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0D75C9ED-D4DB-470E-9FA0-F515A5712A2D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READ ME" sheetId="1" r:id="rId1"/>
    <sheet name="RECAP" sheetId="2" r:id="rId2"/>
    <sheet name="TERSE MONTH 1" sheetId="3" r:id="rId3"/>
    <sheet name="AR MONTH 1" sheetId="4" r:id="rId4"/>
    <sheet name="TERSE MONTH 2" sheetId="5" r:id="rId5"/>
    <sheet name="AR MONTH 2" sheetId="6" r:id="rId6"/>
    <sheet name="TERSE MONTH 3" sheetId="7" r:id="rId7"/>
    <sheet name="AR MONTH 3" sheetId="8" r:id="rId8"/>
    <sheet name="LIS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9" l="1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AG1500" i="8"/>
  <c r="AH1500" i="8" s="1"/>
  <c r="AF1500" i="8"/>
  <c r="AE1500" i="8"/>
  <c r="AG1499" i="8"/>
  <c r="AH1499" i="8" s="1"/>
  <c r="AF1499" i="8"/>
  <c r="AE1499" i="8"/>
  <c r="AG1498" i="8"/>
  <c r="AH1498" i="8" s="1"/>
  <c r="AF1498" i="8"/>
  <c r="AE1498" i="8"/>
  <c r="AG1497" i="8"/>
  <c r="AH1497" i="8" s="1"/>
  <c r="AF1497" i="8"/>
  <c r="AE1497" i="8"/>
  <c r="AG1496" i="8"/>
  <c r="AH1496" i="8" s="1"/>
  <c r="AF1496" i="8"/>
  <c r="AE1496" i="8"/>
  <c r="AG1495" i="8"/>
  <c r="AH1495" i="8" s="1"/>
  <c r="AF1495" i="8"/>
  <c r="AE1495" i="8"/>
  <c r="AG1494" i="8"/>
  <c r="AH1494" i="8" s="1"/>
  <c r="AF1494" i="8"/>
  <c r="AE1494" i="8"/>
  <c r="AG1493" i="8"/>
  <c r="AH1493" i="8" s="1"/>
  <c r="AF1493" i="8"/>
  <c r="AE1493" i="8"/>
  <c r="AG1492" i="8"/>
  <c r="AH1492" i="8" s="1"/>
  <c r="AF1492" i="8"/>
  <c r="AE1492" i="8"/>
  <c r="AG1491" i="8"/>
  <c r="AH1491" i="8" s="1"/>
  <c r="AF1491" i="8"/>
  <c r="AE1491" i="8"/>
  <c r="AG1490" i="8"/>
  <c r="AH1490" i="8" s="1"/>
  <c r="AF1490" i="8"/>
  <c r="AE1490" i="8"/>
  <c r="AG1489" i="8"/>
  <c r="AH1489" i="8" s="1"/>
  <c r="AF1489" i="8"/>
  <c r="AE1489" i="8"/>
  <c r="AG1488" i="8"/>
  <c r="AH1488" i="8" s="1"/>
  <c r="AF1488" i="8"/>
  <c r="AE1488" i="8"/>
  <c r="AG1487" i="8"/>
  <c r="AH1487" i="8" s="1"/>
  <c r="AF1487" i="8"/>
  <c r="AE1487" i="8"/>
  <c r="AG1486" i="8"/>
  <c r="AH1486" i="8" s="1"/>
  <c r="AF1486" i="8"/>
  <c r="AE1486" i="8"/>
  <c r="AG1485" i="8"/>
  <c r="AH1485" i="8" s="1"/>
  <c r="AF1485" i="8"/>
  <c r="AE1485" i="8"/>
  <c r="AG1484" i="8"/>
  <c r="AH1484" i="8" s="1"/>
  <c r="AF1484" i="8"/>
  <c r="AE1484" i="8"/>
  <c r="AG1483" i="8"/>
  <c r="AH1483" i="8" s="1"/>
  <c r="AF1483" i="8"/>
  <c r="AE1483" i="8"/>
  <c r="AG1482" i="8"/>
  <c r="AH1482" i="8" s="1"/>
  <c r="AF1482" i="8"/>
  <c r="AE1482" i="8"/>
  <c r="AG1481" i="8"/>
  <c r="AH1481" i="8" s="1"/>
  <c r="AF1481" i="8"/>
  <c r="AE1481" i="8"/>
  <c r="AG1480" i="8"/>
  <c r="AH1480" i="8" s="1"/>
  <c r="AF1480" i="8"/>
  <c r="AE1480" i="8"/>
  <c r="AG1479" i="8"/>
  <c r="AH1479" i="8" s="1"/>
  <c r="AF1479" i="8"/>
  <c r="AE1479" i="8"/>
  <c r="AG1478" i="8"/>
  <c r="AH1478" i="8" s="1"/>
  <c r="AF1478" i="8"/>
  <c r="AE1478" i="8"/>
  <c r="AG1477" i="8"/>
  <c r="AH1477" i="8" s="1"/>
  <c r="AF1477" i="8"/>
  <c r="AE1477" i="8"/>
  <c r="AG1476" i="8"/>
  <c r="AH1476" i="8" s="1"/>
  <c r="AF1476" i="8"/>
  <c r="AE1476" i="8"/>
  <c r="AG1475" i="8"/>
  <c r="AH1475" i="8" s="1"/>
  <c r="AF1475" i="8"/>
  <c r="AE1475" i="8"/>
  <c r="AG1474" i="8"/>
  <c r="AH1474" i="8" s="1"/>
  <c r="AF1474" i="8"/>
  <c r="AE1474" i="8"/>
  <c r="AG1473" i="8"/>
  <c r="AH1473" i="8" s="1"/>
  <c r="AF1473" i="8"/>
  <c r="AE1473" i="8"/>
  <c r="AG1472" i="8"/>
  <c r="AH1472" i="8" s="1"/>
  <c r="AF1472" i="8"/>
  <c r="AE1472" i="8"/>
  <c r="AG1471" i="8"/>
  <c r="AH1471" i="8" s="1"/>
  <c r="AF1471" i="8"/>
  <c r="AE1471" i="8"/>
  <c r="AG1470" i="8"/>
  <c r="AH1470" i="8" s="1"/>
  <c r="AF1470" i="8"/>
  <c r="AE1470" i="8"/>
  <c r="AG1469" i="8"/>
  <c r="AH1469" i="8" s="1"/>
  <c r="AF1469" i="8"/>
  <c r="AE1469" i="8"/>
  <c r="AG1468" i="8"/>
  <c r="AH1468" i="8" s="1"/>
  <c r="AF1468" i="8"/>
  <c r="AE1468" i="8"/>
  <c r="AG1467" i="8"/>
  <c r="AH1467" i="8" s="1"/>
  <c r="AF1467" i="8"/>
  <c r="AE1467" i="8"/>
  <c r="AG1466" i="8"/>
  <c r="AH1466" i="8" s="1"/>
  <c r="AF1466" i="8"/>
  <c r="AE1466" i="8"/>
  <c r="AG1465" i="8"/>
  <c r="AH1465" i="8" s="1"/>
  <c r="AF1465" i="8"/>
  <c r="AE1465" i="8"/>
  <c r="AG1464" i="8"/>
  <c r="AH1464" i="8" s="1"/>
  <c r="AF1464" i="8"/>
  <c r="AE1464" i="8"/>
  <c r="AG1463" i="8"/>
  <c r="AH1463" i="8" s="1"/>
  <c r="AF1463" i="8"/>
  <c r="AE1463" i="8"/>
  <c r="AG1462" i="8"/>
  <c r="AH1462" i="8" s="1"/>
  <c r="AF1462" i="8"/>
  <c r="AE1462" i="8"/>
  <c r="AG1461" i="8"/>
  <c r="AH1461" i="8" s="1"/>
  <c r="AF1461" i="8"/>
  <c r="AE1461" i="8"/>
  <c r="AG1460" i="8"/>
  <c r="AH1460" i="8" s="1"/>
  <c r="AF1460" i="8"/>
  <c r="AE1460" i="8"/>
  <c r="AG1459" i="8"/>
  <c r="AH1459" i="8" s="1"/>
  <c r="AF1459" i="8"/>
  <c r="AE1459" i="8"/>
  <c r="AG1458" i="8"/>
  <c r="AH1458" i="8" s="1"/>
  <c r="AF1458" i="8"/>
  <c r="AE1458" i="8"/>
  <c r="AG1457" i="8"/>
  <c r="AH1457" i="8" s="1"/>
  <c r="AF1457" i="8"/>
  <c r="AE1457" i="8"/>
  <c r="AG1456" i="8"/>
  <c r="AH1456" i="8" s="1"/>
  <c r="AF1456" i="8"/>
  <c r="AE1456" i="8"/>
  <c r="AG1455" i="8"/>
  <c r="AH1455" i="8" s="1"/>
  <c r="AF1455" i="8"/>
  <c r="AE1455" i="8"/>
  <c r="AG1454" i="8"/>
  <c r="AH1454" i="8" s="1"/>
  <c r="AF1454" i="8"/>
  <c r="AE1454" i="8"/>
  <c r="AG1453" i="8"/>
  <c r="AH1453" i="8" s="1"/>
  <c r="AF1453" i="8"/>
  <c r="AE1453" i="8"/>
  <c r="AG1452" i="8"/>
  <c r="AH1452" i="8" s="1"/>
  <c r="AF1452" i="8"/>
  <c r="AE1452" i="8"/>
  <c r="AG1451" i="8"/>
  <c r="AH1451" i="8" s="1"/>
  <c r="AF1451" i="8"/>
  <c r="AE1451" i="8"/>
  <c r="AG1450" i="8"/>
  <c r="AH1450" i="8" s="1"/>
  <c r="AF1450" i="8"/>
  <c r="AE1450" i="8"/>
  <c r="AG1449" i="8"/>
  <c r="AH1449" i="8" s="1"/>
  <c r="AF1449" i="8"/>
  <c r="AE1449" i="8"/>
  <c r="AG1448" i="8"/>
  <c r="AH1448" i="8" s="1"/>
  <c r="AF1448" i="8"/>
  <c r="AE1448" i="8"/>
  <c r="AG1447" i="8"/>
  <c r="AH1447" i="8" s="1"/>
  <c r="AF1447" i="8"/>
  <c r="AE1447" i="8"/>
  <c r="AG1446" i="8"/>
  <c r="AH1446" i="8" s="1"/>
  <c r="AF1446" i="8"/>
  <c r="AE1446" i="8"/>
  <c r="AG1445" i="8"/>
  <c r="AH1445" i="8" s="1"/>
  <c r="AF1445" i="8"/>
  <c r="AE1445" i="8"/>
  <c r="AG1444" i="8"/>
  <c r="AH1444" i="8" s="1"/>
  <c r="AF1444" i="8"/>
  <c r="AE1444" i="8"/>
  <c r="AG1443" i="8"/>
  <c r="AH1443" i="8" s="1"/>
  <c r="AF1443" i="8"/>
  <c r="AE1443" i="8"/>
  <c r="AG1442" i="8"/>
  <c r="AH1442" i="8" s="1"/>
  <c r="AF1442" i="8"/>
  <c r="AE1442" i="8"/>
  <c r="AG1441" i="8"/>
  <c r="AH1441" i="8" s="1"/>
  <c r="AF1441" i="8"/>
  <c r="AE1441" i="8"/>
  <c r="AG1440" i="8"/>
  <c r="AH1440" i="8" s="1"/>
  <c r="AF1440" i="8"/>
  <c r="AE1440" i="8"/>
  <c r="AG1439" i="8"/>
  <c r="AH1439" i="8" s="1"/>
  <c r="AF1439" i="8"/>
  <c r="AE1439" i="8"/>
  <c r="AG1438" i="8"/>
  <c r="AH1438" i="8" s="1"/>
  <c r="AF1438" i="8"/>
  <c r="AE1438" i="8"/>
  <c r="AG1437" i="8"/>
  <c r="AH1437" i="8" s="1"/>
  <c r="AF1437" i="8"/>
  <c r="AE1437" i="8"/>
  <c r="AG1436" i="8"/>
  <c r="AH1436" i="8" s="1"/>
  <c r="AF1436" i="8"/>
  <c r="AE1436" i="8"/>
  <c r="AG1435" i="8"/>
  <c r="AH1435" i="8" s="1"/>
  <c r="AF1435" i="8"/>
  <c r="AE1435" i="8"/>
  <c r="AG1434" i="8"/>
  <c r="AH1434" i="8" s="1"/>
  <c r="AF1434" i="8"/>
  <c r="AE1434" i="8"/>
  <c r="AG1433" i="8"/>
  <c r="AH1433" i="8" s="1"/>
  <c r="AF1433" i="8"/>
  <c r="AE1433" i="8"/>
  <c r="AG1432" i="8"/>
  <c r="AH1432" i="8" s="1"/>
  <c r="AF1432" i="8"/>
  <c r="AE1432" i="8"/>
  <c r="AG1431" i="8"/>
  <c r="AH1431" i="8" s="1"/>
  <c r="AF1431" i="8"/>
  <c r="AE1431" i="8"/>
  <c r="AG1430" i="8"/>
  <c r="AH1430" i="8" s="1"/>
  <c r="AF1430" i="8"/>
  <c r="AE1430" i="8"/>
  <c r="AG1429" i="8"/>
  <c r="AH1429" i="8" s="1"/>
  <c r="AF1429" i="8"/>
  <c r="AE1429" i="8"/>
  <c r="AG1428" i="8"/>
  <c r="AH1428" i="8" s="1"/>
  <c r="AF1428" i="8"/>
  <c r="AE1428" i="8"/>
  <c r="AG1427" i="8"/>
  <c r="AH1427" i="8" s="1"/>
  <c r="AF1427" i="8"/>
  <c r="AE1427" i="8"/>
  <c r="AG1426" i="8"/>
  <c r="AH1426" i="8" s="1"/>
  <c r="AF1426" i="8"/>
  <c r="AE1426" i="8"/>
  <c r="AG1425" i="8"/>
  <c r="AH1425" i="8" s="1"/>
  <c r="AF1425" i="8"/>
  <c r="AE1425" i="8"/>
  <c r="AG1424" i="8"/>
  <c r="AH1424" i="8" s="1"/>
  <c r="AF1424" i="8"/>
  <c r="AE1424" i="8"/>
  <c r="AG1423" i="8"/>
  <c r="AH1423" i="8" s="1"/>
  <c r="AF1423" i="8"/>
  <c r="AE1423" i="8"/>
  <c r="AG1422" i="8"/>
  <c r="AH1422" i="8" s="1"/>
  <c r="AF1422" i="8"/>
  <c r="AE1422" i="8"/>
  <c r="AG1421" i="8"/>
  <c r="AH1421" i="8" s="1"/>
  <c r="AF1421" i="8"/>
  <c r="AE1421" i="8"/>
  <c r="AG1420" i="8"/>
  <c r="AH1420" i="8" s="1"/>
  <c r="AF1420" i="8"/>
  <c r="AE1420" i="8"/>
  <c r="AG1419" i="8"/>
  <c r="AH1419" i="8" s="1"/>
  <c r="AF1419" i="8"/>
  <c r="AE1419" i="8"/>
  <c r="AG1418" i="8"/>
  <c r="AH1418" i="8" s="1"/>
  <c r="AF1418" i="8"/>
  <c r="AE1418" i="8"/>
  <c r="AG1417" i="8"/>
  <c r="AH1417" i="8" s="1"/>
  <c r="AF1417" i="8"/>
  <c r="AE1417" i="8"/>
  <c r="AG1416" i="8"/>
  <c r="AH1416" i="8" s="1"/>
  <c r="AF1416" i="8"/>
  <c r="AE1416" i="8"/>
  <c r="AG1415" i="8"/>
  <c r="AH1415" i="8" s="1"/>
  <c r="AF1415" i="8"/>
  <c r="AE1415" i="8"/>
  <c r="AG1414" i="8"/>
  <c r="AH1414" i="8" s="1"/>
  <c r="AF1414" i="8"/>
  <c r="AE1414" i="8"/>
  <c r="AG1413" i="8"/>
  <c r="AH1413" i="8" s="1"/>
  <c r="AF1413" i="8"/>
  <c r="AE1413" i="8"/>
  <c r="AG1412" i="8"/>
  <c r="AH1412" i="8" s="1"/>
  <c r="AF1412" i="8"/>
  <c r="AE1412" i="8"/>
  <c r="AG1411" i="8"/>
  <c r="AH1411" i="8" s="1"/>
  <c r="AF1411" i="8"/>
  <c r="AE1411" i="8"/>
  <c r="AG1410" i="8"/>
  <c r="AH1410" i="8" s="1"/>
  <c r="AF1410" i="8"/>
  <c r="AE1410" i="8"/>
  <c r="AG1409" i="8"/>
  <c r="AH1409" i="8" s="1"/>
  <c r="AF1409" i="8"/>
  <c r="AE1409" i="8"/>
  <c r="AG1408" i="8"/>
  <c r="AH1408" i="8" s="1"/>
  <c r="AF1408" i="8"/>
  <c r="AE1408" i="8"/>
  <c r="AG1407" i="8"/>
  <c r="AH1407" i="8" s="1"/>
  <c r="AF1407" i="8"/>
  <c r="AE1407" i="8"/>
  <c r="AG1406" i="8"/>
  <c r="AH1406" i="8" s="1"/>
  <c r="AF1406" i="8"/>
  <c r="AE1406" i="8"/>
  <c r="AG1405" i="8"/>
  <c r="AH1405" i="8" s="1"/>
  <c r="AF1405" i="8"/>
  <c r="AE1405" i="8"/>
  <c r="AG1404" i="8"/>
  <c r="AH1404" i="8" s="1"/>
  <c r="AF1404" i="8"/>
  <c r="AE1404" i="8"/>
  <c r="AG1403" i="8"/>
  <c r="AH1403" i="8" s="1"/>
  <c r="AF1403" i="8"/>
  <c r="AE1403" i="8"/>
  <c r="AG1402" i="8"/>
  <c r="AH1402" i="8" s="1"/>
  <c r="AF1402" i="8"/>
  <c r="AE1402" i="8"/>
  <c r="AG1401" i="8"/>
  <c r="AH1401" i="8" s="1"/>
  <c r="AF1401" i="8"/>
  <c r="AE1401" i="8"/>
  <c r="AG1400" i="8"/>
  <c r="AH1400" i="8" s="1"/>
  <c r="AF1400" i="8"/>
  <c r="AE1400" i="8"/>
  <c r="AG1399" i="8"/>
  <c r="AH1399" i="8" s="1"/>
  <c r="AF1399" i="8"/>
  <c r="AE1399" i="8"/>
  <c r="AG1398" i="8"/>
  <c r="AH1398" i="8" s="1"/>
  <c r="AF1398" i="8"/>
  <c r="AE1398" i="8"/>
  <c r="AG1397" i="8"/>
  <c r="AH1397" i="8" s="1"/>
  <c r="AF1397" i="8"/>
  <c r="AE1397" i="8"/>
  <c r="AG1396" i="8"/>
  <c r="AH1396" i="8" s="1"/>
  <c r="AF1396" i="8"/>
  <c r="AE1396" i="8"/>
  <c r="AG1395" i="8"/>
  <c r="AH1395" i="8" s="1"/>
  <c r="AF1395" i="8"/>
  <c r="AE1395" i="8"/>
  <c r="AG1394" i="8"/>
  <c r="AH1394" i="8" s="1"/>
  <c r="AF1394" i="8"/>
  <c r="AE1394" i="8"/>
  <c r="AG1393" i="8"/>
  <c r="AH1393" i="8" s="1"/>
  <c r="AF1393" i="8"/>
  <c r="AE1393" i="8"/>
  <c r="AG1392" i="8"/>
  <c r="AH1392" i="8" s="1"/>
  <c r="AF1392" i="8"/>
  <c r="AE1392" i="8"/>
  <c r="AG1391" i="8"/>
  <c r="AH1391" i="8" s="1"/>
  <c r="AF1391" i="8"/>
  <c r="AE1391" i="8"/>
  <c r="AG1390" i="8"/>
  <c r="AH1390" i="8" s="1"/>
  <c r="AF1390" i="8"/>
  <c r="AE1390" i="8"/>
  <c r="AG1389" i="8"/>
  <c r="AH1389" i="8" s="1"/>
  <c r="AF1389" i="8"/>
  <c r="AE1389" i="8"/>
  <c r="AG1388" i="8"/>
  <c r="AH1388" i="8" s="1"/>
  <c r="AF1388" i="8"/>
  <c r="AE1388" i="8"/>
  <c r="AG1387" i="8"/>
  <c r="AH1387" i="8" s="1"/>
  <c r="AF1387" i="8"/>
  <c r="AE1387" i="8"/>
  <c r="AG1386" i="8"/>
  <c r="AH1386" i="8" s="1"/>
  <c r="AF1386" i="8"/>
  <c r="AE1386" i="8"/>
  <c r="AG1385" i="8"/>
  <c r="AH1385" i="8" s="1"/>
  <c r="AF1385" i="8"/>
  <c r="AE1385" i="8"/>
  <c r="AG1384" i="8"/>
  <c r="AH1384" i="8" s="1"/>
  <c r="AF1384" i="8"/>
  <c r="AE1384" i="8"/>
  <c r="AG1383" i="8"/>
  <c r="AH1383" i="8" s="1"/>
  <c r="AF1383" i="8"/>
  <c r="AE1383" i="8"/>
  <c r="AG1382" i="8"/>
  <c r="AH1382" i="8" s="1"/>
  <c r="AF1382" i="8"/>
  <c r="AE1382" i="8"/>
  <c r="AG1381" i="8"/>
  <c r="AH1381" i="8" s="1"/>
  <c r="AF1381" i="8"/>
  <c r="AE1381" i="8"/>
  <c r="AG1380" i="8"/>
  <c r="AH1380" i="8" s="1"/>
  <c r="AF1380" i="8"/>
  <c r="AE1380" i="8"/>
  <c r="AG1379" i="8"/>
  <c r="AH1379" i="8" s="1"/>
  <c r="AF1379" i="8"/>
  <c r="AE1379" i="8"/>
  <c r="AG1378" i="8"/>
  <c r="AH1378" i="8" s="1"/>
  <c r="AF1378" i="8"/>
  <c r="AE1378" i="8"/>
  <c r="AG1377" i="8"/>
  <c r="AH1377" i="8" s="1"/>
  <c r="AF1377" i="8"/>
  <c r="AE1377" i="8"/>
  <c r="AG1376" i="8"/>
  <c r="AH1376" i="8" s="1"/>
  <c r="AF1376" i="8"/>
  <c r="AE1376" i="8"/>
  <c r="AG1375" i="8"/>
  <c r="AH1375" i="8" s="1"/>
  <c r="AF1375" i="8"/>
  <c r="AE1375" i="8"/>
  <c r="AG1374" i="8"/>
  <c r="AH1374" i="8" s="1"/>
  <c r="AF1374" i="8"/>
  <c r="AE1374" i="8"/>
  <c r="AG1373" i="8"/>
  <c r="AH1373" i="8" s="1"/>
  <c r="AF1373" i="8"/>
  <c r="AE1373" i="8"/>
  <c r="AG1372" i="8"/>
  <c r="AH1372" i="8" s="1"/>
  <c r="AF1372" i="8"/>
  <c r="AE1372" i="8"/>
  <c r="AG1371" i="8"/>
  <c r="AH1371" i="8" s="1"/>
  <c r="AF1371" i="8"/>
  <c r="AE1371" i="8"/>
  <c r="AG1370" i="8"/>
  <c r="AH1370" i="8" s="1"/>
  <c r="AF1370" i="8"/>
  <c r="AE1370" i="8"/>
  <c r="AG1369" i="8"/>
  <c r="AH1369" i="8" s="1"/>
  <c r="AF1369" i="8"/>
  <c r="AE1369" i="8"/>
  <c r="AG1368" i="8"/>
  <c r="AH1368" i="8" s="1"/>
  <c r="AF1368" i="8"/>
  <c r="AE1368" i="8"/>
  <c r="AG1367" i="8"/>
  <c r="AH1367" i="8" s="1"/>
  <c r="AF1367" i="8"/>
  <c r="AE1367" i="8"/>
  <c r="AG1366" i="8"/>
  <c r="AH1366" i="8" s="1"/>
  <c r="AF1366" i="8"/>
  <c r="AE1366" i="8"/>
  <c r="AG1365" i="8"/>
  <c r="AH1365" i="8" s="1"/>
  <c r="AF1365" i="8"/>
  <c r="AE1365" i="8"/>
  <c r="AG1364" i="8"/>
  <c r="AH1364" i="8" s="1"/>
  <c r="AF1364" i="8"/>
  <c r="AE1364" i="8"/>
  <c r="AG1363" i="8"/>
  <c r="AH1363" i="8" s="1"/>
  <c r="AF1363" i="8"/>
  <c r="AE1363" i="8"/>
  <c r="AG1362" i="8"/>
  <c r="AH1362" i="8" s="1"/>
  <c r="AF1362" i="8"/>
  <c r="AE1362" i="8"/>
  <c r="AG1361" i="8"/>
  <c r="AH1361" i="8" s="1"/>
  <c r="AF1361" i="8"/>
  <c r="AE1361" i="8"/>
  <c r="AG1360" i="8"/>
  <c r="AH1360" i="8" s="1"/>
  <c r="AF1360" i="8"/>
  <c r="AE1360" i="8"/>
  <c r="AG1359" i="8"/>
  <c r="AH1359" i="8" s="1"/>
  <c r="AF1359" i="8"/>
  <c r="AE1359" i="8"/>
  <c r="AG1358" i="8"/>
  <c r="AH1358" i="8" s="1"/>
  <c r="AF1358" i="8"/>
  <c r="AE1358" i="8"/>
  <c r="AG1357" i="8"/>
  <c r="AH1357" i="8" s="1"/>
  <c r="AF1357" i="8"/>
  <c r="AE1357" i="8"/>
  <c r="AG1356" i="8"/>
  <c r="AH1356" i="8" s="1"/>
  <c r="AF1356" i="8"/>
  <c r="AE1356" i="8"/>
  <c r="AG1355" i="8"/>
  <c r="AH1355" i="8" s="1"/>
  <c r="AF1355" i="8"/>
  <c r="AE1355" i="8"/>
  <c r="AG1354" i="8"/>
  <c r="AH1354" i="8" s="1"/>
  <c r="AF1354" i="8"/>
  <c r="AE1354" i="8"/>
  <c r="AG1353" i="8"/>
  <c r="AH1353" i="8" s="1"/>
  <c r="AF1353" i="8"/>
  <c r="AE1353" i="8"/>
  <c r="AG1352" i="8"/>
  <c r="AH1352" i="8" s="1"/>
  <c r="AF1352" i="8"/>
  <c r="AE1352" i="8"/>
  <c r="AG1351" i="8"/>
  <c r="AH1351" i="8" s="1"/>
  <c r="AF1351" i="8"/>
  <c r="AE1351" i="8"/>
  <c r="AG1350" i="8"/>
  <c r="AH1350" i="8" s="1"/>
  <c r="AF1350" i="8"/>
  <c r="AE1350" i="8"/>
  <c r="AG1349" i="8"/>
  <c r="AH1349" i="8" s="1"/>
  <c r="AF1349" i="8"/>
  <c r="AE1349" i="8"/>
  <c r="AG1348" i="8"/>
  <c r="AH1348" i="8" s="1"/>
  <c r="AF1348" i="8"/>
  <c r="AE1348" i="8"/>
  <c r="AG1347" i="8"/>
  <c r="AH1347" i="8" s="1"/>
  <c r="AF1347" i="8"/>
  <c r="AE1347" i="8"/>
  <c r="AG1346" i="8"/>
  <c r="AH1346" i="8" s="1"/>
  <c r="AF1346" i="8"/>
  <c r="AE1346" i="8"/>
  <c r="AG1345" i="8"/>
  <c r="AH1345" i="8" s="1"/>
  <c r="AF1345" i="8"/>
  <c r="AE1345" i="8"/>
  <c r="AG1344" i="8"/>
  <c r="AH1344" i="8" s="1"/>
  <c r="AF1344" i="8"/>
  <c r="AE1344" i="8"/>
  <c r="AG1343" i="8"/>
  <c r="AH1343" i="8" s="1"/>
  <c r="AF1343" i="8"/>
  <c r="AE1343" i="8"/>
  <c r="AG1342" i="8"/>
  <c r="AH1342" i="8" s="1"/>
  <c r="AF1342" i="8"/>
  <c r="AE1342" i="8"/>
  <c r="AG1341" i="8"/>
  <c r="AH1341" i="8" s="1"/>
  <c r="AF1341" i="8"/>
  <c r="AE1341" i="8"/>
  <c r="AG1340" i="8"/>
  <c r="AH1340" i="8" s="1"/>
  <c r="AF1340" i="8"/>
  <c r="AE1340" i="8"/>
  <c r="AG1339" i="8"/>
  <c r="AH1339" i="8" s="1"/>
  <c r="AF1339" i="8"/>
  <c r="AE1339" i="8"/>
  <c r="AG1338" i="8"/>
  <c r="AH1338" i="8" s="1"/>
  <c r="AF1338" i="8"/>
  <c r="AE1338" i="8"/>
  <c r="AG1337" i="8"/>
  <c r="AH1337" i="8" s="1"/>
  <c r="AF1337" i="8"/>
  <c r="AE1337" i="8"/>
  <c r="AG1336" i="8"/>
  <c r="AH1336" i="8" s="1"/>
  <c r="AF1336" i="8"/>
  <c r="AE1336" i="8"/>
  <c r="AG1335" i="8"/>
  <c r="AH1335" i="8" s="1"/>
  <c r="AF1335" i="8"/>
  <c r="AE1335" i="8"/>
  <c r="AG1334" i="8"/>
  <c r="AH1334" i="8" s="1"/>
  <c r="AF1334" i="8"/>
  <c r="AE1334" i="8"/>
  <c r="AG1333" i="8"/>
  <c r="AH1333" i="8" s="1"/>
  <c r="AF1333" i="8"/>
  <c r="AE1333" i="8"/>
  <c r="AG1332" i="8"/>
  <c r="AH1332" i="8" s="1"/>
  <c r="AF1332" i="8"/>
  <c r="AE1332" i="8"/>
  <c r="AG1331" i="8"/>
  <c r="AH1331" i="8" s="1"/>
  <c r="AF1331" i="8"/>
  <c r="AE1331" i="8"/>
  <c r="AG1330" i="8"/>
  <c r="AH1330" i="8" s="1"/>
  <c r="AF1330" i="8"/>
  <c r="AE1330" i="8"/>
  <c r="AG1329" i="8"/>
  <c r="AH1329" i="8" s="1"/>
  <c r="AF1329" i="8"/>
  <c r="AE1329" i="8"/>
  <c r="AG1328" i="8"/>
  <c r="AH1328" i="8" s="1"/>
  <c r="AF1328" i="8"/>
  <c r="AE1328" i="8"/>
  <c r="AG1327" i="8"/>
  <c r="AH1327" i="8" s="1"/>
  <c r="AF1327" i="8"/>
  <c r="AE1327" i="8"/>
  <c r="AG1326" i="8"/>
  <c r="AH1326" i="8" s="1"/>
  <c r="AF1326" i="8"/>
  <c r="AE1326" i="8"/>
  <c r="AG1325" i="8"/>
  <c r="AH1325" i="8" s="1"/>
  <c r="AF1325" i="8"/>
  <c r="AE1325" i="8"/>
  <c r="AG1324" i="8"/>
  <c r="AH1324" i="8" s="1"/>
  <c r="AF1324" i="8"/>
  <c r="AE1324" i="8"/>
  <c r="AG1323" i="8"/>
  <c r="AH1323" i="8" s="1"/>
  <c r="AF1323" i="8"/>
  <c r="AE1323" i="8"/>
  <c r="AG1322" i="8"/>
  <c r="AH1322" i="8" s="1"/>
  <c r="AF1322" i="8"/>
  <c r="AE1322" i="8"/>
  <c r="AG1321" i="8"/>
  <c r="AH1321" i="8" s="1"/>
  <c r="AF1321" i="8"/>
  <c r="AE1321" i="8"/>
  <c r="AG1320" i="8"/>
  <c r="AH1320" i="8" s="1"/>
  <c r="AF1320" i="8"/>
  <c r="AE1320" i="8"/>
  <c r="AG1319" i="8"/>
  <c r="AH1319" i="8" s="1"/>
  <c r="AF1319" i="8"/>
  <c r="AE1319" i="8"/>
  <c r="AG1318" i="8"/>
  <c r="AH1318" i="8" s="1"/>
  <c r="AF1318" i="8"/>
  <c r="AE1318" i="8"/>
  <c r="AG1317" i="8"/>
  <c r="AH1317" i="8" s="1"/>
  <c r="AF1317" i="8"/>
  <c r="AE1317" i="8"/>
  <c r="AG1316" i="8"/>
  <c r="AH1316" i="8" s="1"/>
  <c r="AF1316" i="8"/>
  <c r="AE1316" i="8"/>
  <c r="AG1315" i="8"/>
  <c r="AH1315" i="8" s="1"/>
  <c r="AF1315" i="8"/>
  <c r="AE1315" i="8"/>
  <c r="AG1314" i="8"/>
  <c r="AH1314" i="8" s="1"/>
  <c r="AF1314" i="8"/>
  <c r="AE1314" i="8"/>
  <c r="AG1313" i="8"/>
  <c r="AH1313" i="8" s="1"/>
  <c r="AF1313" i="8"/>
  <c r="AE1313" i="8"/>
  <c r="AG1312" i="8"/>
  <c r="AH1312" i="8" s="1"/>
  <c r="AF1312" i="8"/>
  <c r="AE1312" i="8"/>
  <c r="AG1311" i="8"/>
  <c r="AH1311" i="8" s="1"/>
  <c r="AF1311" i="8"/>
  <c r="AE1311" i="8"/>
  <c r="AG1310" i="8"/>
  <c r="AH1310" i="8" s="1"/>
  <c r="AF1310" i="8"/>
  <c r="AE1310" i="8"/>
  <c r="AG1309" i="8"/>
  <c r="AH1309" i="8" s="1"/>
  <c r="AF1309" i="8"/>
  <c r="AE1309" i="8"/>
  <c r="AG1308" i="8"/>
  <c r="AH1308" i="8" s="1"/>
  <c r="AF1308" i="8"/>
  <c r="AE1308" i="8"/>
  <c r="AG1307" i="8"/>
  <c r="AH1307" i="8" s="1"/>
  <c r="AF1307" i="8"/>
  <c r="AE1307" i="8"/>
  <c r="AG1306" i="8"/>
  <c r="AH1306" i="8" s="1"/>
  <c r="AF1306" i="8"/>
  <c r="AE1306" i="8"/>
  <c r="AG1305" i="8"/>
  <c r="AH1305" i="8" s="1"/>
  <c r="AF1305" i="8"/>
  <c r="AE1305" i="8"/>
  <c r="AG1304" i="8"/>
  <c r="AH1304" i="8" s="1"/>
  <c r="AF1304" i="8"/>
  <c r="AE1304" i="8"/>
  <c r="AG1303" i="8"/>
  <c r="AH1303" i="8" s="1"/>
  <c r="AF1303" i="8"/>
  <c r="AE1303" i="8"/>
  <c r="AG1302" i="8"/>
  <c r="AH1302" i="8" s="1"/>
  <c r="AF1302" i="8"/>
  <c r="AE1302" i="8"/>
  <c r="AG1301" i="8"/>
  <c r="AH1301" i="8" s="1"/>
  <c r="AF1301" i="8"/>
  <c r="AE1301" i="8"/>
  <c r="AG1300" i="8"/>
  <c r="AH1300" i="8" s="1"/>
  <c r="AF1300" i="8"/>
  <c r="AE1300" i="8"/>
  <c r="AG1299" i="8"/>
  <c r="AH1299" i="8" s="1"/>
  <c r="AF1299" i="8"/>
  <c r="AE1299" i="8"/>
  <c r="AG1298" i="8"/>
  <c r="AH1298" i="8" s="1"/>
  <c r="AF1298" i="8"/>
  <c r="AE1298" i="8"/>
  <c r="AG1297" i="8"/>
  <c r="AH1297" i="8" s="1"/>
  <c r="AF1297" i="8"/>
  <c r="AE1297" i="8"/>
  <c r="AG1296" i="8"/>
  <c r="AH1296" i="8" s="1"/>
  <c r="AF1296" i="8"/>
  <c r="AE1296" i="8"/>
  <c r="AG1295" i="8"/>
  <c r="AH1295" i="8" s="1"/>
  <c r="AF1295" i="8"/>
  <c r="AE1295" i="8"/>
  <c r="AG1294" i="8"/>
  <c r="AH1294" i="8" s="1"/>
  <c r="AF1294" i="8"/>
  <c r="AE1294" i="8"/>
  <c r="AG1293" i="8"/>
  <c r="AH1293" i="8" s="1"/>
  <c r="AF1293" i="8"/>
  <c r="AE1293" i="8"/>
  <c r="AG1292" i="8"/>
  <c r="AH1292" i="8" s="1"/>
  <c r="AF1292" i="8"/>
  <c r="AE1292" i="8"/>
  <c r="AG1291" i="8"/>
  <c r="AH1291" i="8" s="1"/>
  <c r="AF1291" i="8"/>
  <c r="AE1291" i="8"/>
  <c r="AG1290" i="8"/>
  <c r="AH1290" i="8" s="1"/>
  <c r="AF1290" i="8"/>
  <c r="AE1290" i="8"/>
  <c r="AG1289" i="8"/>
  <c r="AH1289" i="8" s="1"/>
  <c r="AF1289" i="8"/>
  <c r="AE1289" i="8"/>
  <c r="AG1288" i="8"/>
  <c r="AH1288" i="8" s="1"/>
  <c r="AF1288" i="8"/>
  <c r="AE1288" i="8"/>
  <c r="AG1287" i="8"/>
  <c r="AH1287" i="8" s="1"/>
  <c r="AF1287" i="8"/>
  <c r="AE1287" i="8"/>
  <c r="AG1286" i="8"/>
  <c r="AH1286" i="8" s="1"/>
  <c r="AF1286" i="8"/>
  <c r="AE1286" i="8"/>
  <c r="AG1285" i="8"/>
  <c r="AH1285" i="8" s="1"/>
  <c r="AF1285" i="8"/>
  <c r="AE1285" i="8"/>
  <c r="AG1284" i="8"/>
  <c r="AH1284" i="8" s="1"/>
  <c r="AF1284" i="8"/>
  <c r="AE1284" i="8"/>
  <c r="AG1283" i="8"/>
  <c r="AH1283" i="8" s="1"/>
  <c r="AF1283" i="8"/>
  <c r="AE1283" i="8"/>
  <c r="AG1282" i="8"/>
  <c r="AH1282" i="8" s="1"/>
  <c r="AF1282" i="8"/>
  <c r="AE1282" i="8"/>
  <c r="AG1281" i="8"/>
  <c r="AH1281" i="8" s="1"/>
  <c r="AF1281" i="8"/>
  <c r="AE1281" i="8"/>
  <c r="AG1280" i="8"/>
  <c r="AH1280" i="8" s="1"/>
  <c r="AF1280" i="8"/>
  <c r="AE1280" i="8"/>
  <c r="AG1279" i="8"/>
  <c r="AH1279" i="8" s="1"/>
  <c r="AF1279" i="8"/>
  <c r="AE1279" i="8"/>
  <c r="AG1278" i="8"/>
  <c r="AH1278" i="8" s="1"/>
  <c r="AF1278" i="8"/>
  <c r="AE1278" i="8"/>
  <c r="AG1277" i="8"/>
  <c r="AH1277" i="8" s="1"/>
  <c r="AF1277" i="8"/>
  <c r="AE1277" i="8"/>
  <c r="AG1276" i="8"/>
  <c r="AH1276" i="8" s="1"/>
  <c r="AF1276" i="8"/>
  <c r="AE1276" i="8"/>
  <c r="AG1275" i="8"/>
  <c r="AH1275" i="8" s="1"/>
  <c r="AF1275" i="8"/>
  <c r="AE1275" i="8"/>
  <c r="AG1274" i="8"/>
  <c r="AH1274" i="8" s="1"/>
  <c r="AF1274" i="8"/>
  <c r="AE1274" i="8"/>
  <c r="AG1273" i="8"/>
  <c r="AH1273" i="8" s="1"/>
  <c r="AF1273" i="8"/>
  <c r="AE1273" i="8"/>
  <c r="AG1272" i="8"/>
  <c r="AH1272" i="8" s="1"/>
  <c r="AF1272" i="8"/>
  <c r="AE1272" i="8"/>
  <c r="AG1271" i="8"/>
  <c r="AH1271" i="8" s="1"/>
  <c r="AF1271" i="8"/>
  <c r="AE1271" i="8"/>
  <c r="AG1270" i="8"/>
  <c r="AH1270" i="8" s="1"/>
  <c r="AF1270" i="8"/>
  <c r="AE1270" i="8"/>
  <c r="AG1269" i="8"/>
  <c r="AH1269" i="8" s="1"/>
  <c r="AF1269" i="8"/>
  <c r="AE1269" i="8"/>
  <c r="AG1268" i="8"/>
  <c r="AH1268" i="8" s="1"/>
  <c r="AF1268" i="8"/>
  <c r="AE1268" i="8"/>
  <c r="AG1267" i="8"/>
  <c r="AH1267" i="8" s="1"/>
  <c r="AF1267" i="8"/>
  <c r="AE1267" i="8"/>
  <c r="AG1266" i="8"/>
  <c r="AH1266" i="8" s="1"/>
  <c r="AF1266" i="8"/>
  <c r="AE1266" i="8"/>
  <c r="AG1265" i="8"/>
  <c r="AH1265" i="8" s="1"/>
  <c r="AF1265" i="8"/>
  <c r="AE1265" i="8"/>
  <c r="AG1264" i="8"/>
  <c r="AH1264" i="8" s="1"/>
  <c r="AF1264" i="8"/>
  <c r="AE1264" i="8"/>
  <c r="AG1263" i="8"/>
  <c r="AH1263" i="8" s="1"/>
  <c r="AF1263" i="8"/>
  <c r="AE1263" i="8"/>
  <c r="AG1262" i="8"/>
  <c r="AH1262" i="8" s="1"/>
  <c r="AF1262" i="8"/>
  <c r="AE1262" i="8"/>
  <c r="AG1261" i="8"/>
  <c r="AH1261" i="8" s="1"/>
  <c r="AF1261" i="8"/>
  <c r="AE1261" i="8"/>
  <c r="AG1260" i="8"/>
  <c r="AH1260" i="8" s="1"/>
  <c r="AF1260" i="8"/>
  <c r="AE1260" i="8"/>
  <c r="AG1259" i="8"/>
  <c r="AH1259" i="8" s="1"/>
  <c r="AF1259" i="8"/>
  <c r="AE1259" i="8"/>
  <c r="AG1258" i="8"/>
  <c r="AH1258" i="8" s="1"/>
  <c r="AF1258" i="8"/>
  <c r="AE1258" i="8"/>
  <c r="AG1257" i="8"/>
  <c r="AH1257" i="8" s="1"/>
  <c r="AF1257" i="8"/>
  <c r="AE1257" i="8"/>
  <c r="AG1256" i="8"/>
  <c r="AH1256" i="8" s="1"/>
  <c r="AF1256" i="8"/>
  <c r="AE1256" i="8"/>
  <c r="AG1255" i="8"/>
  <c r="AH1255" i="8" s="1"/>
  <c r="AF1255" i="8"/>
  <c r="AE1255" i="8"/>
  <c r="AG1254" i="8"/>
  <c r="AH1254" i="8" s="1"/>
  <c r="AF1254" i="8"/>
  <c r="AE1254" i="8"/>
  <c r="AG1253" i="8"/>
  <c r="AH1253" i="8" s="1"/>
  <c r="AF1253" i="8"/>
  <c r="AE1253" i="8"/>
  <c r="AG1252" i="8"/>
  <c r="AH1252" i="8" s="1"/>
  <c r="AF1252" i="8"/>
  <c r="AE1252" i="8"/>
  <c r="AG1251" i="8"/>
  <c r="AH1251" i="8" s="1"/>
  <c r="AF1251" i="8"/>
  <c r="AE1251" i="8"/>
  <c r="AG1250" i="8"/>
  <c r="AH1250" i="8" s="1"/>
  <c r="AF1250" i="8"/>
  <c r="AE1250" i="8"/>
  <c r="AG1249" i="8"/>
  <c r="AH1249" i="8" s="1"/>
  <c r="AF1249" i="8"/>
  <c r="AE1249" i="8"/>
  <c r="AG1248" i="8"/>
  <c r="AH1248" i="8" s="1"/>
  <c r="AF1248" i="8"/>
  <c r="AE1248" i="8"/>
  <c r="AG1247" i="8"/>
  <c r="AH1247" i="8" s="1"/>
  <c r="AF1247" i="8"/>
  <c r="AE1247" i="8"/>
  <c r="AG1246" i="8"/>
  <c r="AH1246" i="8" s="1"/>
  <c r="AF1246" i="8"/>
  <c r="AE1246" i="8"/>
  <c r="AG1245" i="8"/>
  <c r="AH1245" i="8" s="1"/>
  <c r="AF1245" i="8"/>
  <c r="AE1245" i="8"/>
  <c r="AG1244" i="8"/>
  <c r="AH1244" i="8" s="1"/>
  <c r="AF1244" i="8"/>
  <c r="AE1244" i="8"/>
  <c r="AG1243" i="8"/>
  <c r="AH1243" i="8" s="1"/>
  <c r="AF1243" i="8"/>
  <c r="AE1243" i="8"/>
  <c r="AG1242" i="8"/>
  <c r="AH1242" i="8" s="1"/>
  <c r="AF1242" i="8"/>
  <c r="AE1242" i="8"/>
  <c r="AG1241" i="8"/>
  <c r="AH1241" i="8" s="1"/>
  <c r="AF1241" i="8"/>
  <c r="AE1241" i="8"/>
  <c r="AG1240" i="8"/>
  <c r="AH1240" i="8" s="1"/>
  <c r="AF1240" i="8"/>
  <c r="AE1240" i="8"/>
  <c r="AG1239" i="8"/>
  <c r="AH1239" i="8" s="1"/>
  <c r="AF1239" i="8"/>
  <c r="AE1239" i="8"/>
  <c r="AG1238" i="8"/>
  <c r="AH1238" i="8" s="1"/>
  <c r="AF1238" i="8"/>
  <c r="AE1238" i="8"/>
  <c r="AG1237" i="8"/>
  <c r="AH1237" i="8" s="1"/>
  <c r="AF1237" i="8"/>
  <c r="AE1237" i="8"/>
  <c r="AG1236" i="8"/>
  <c r="AH1236" i="8" s="1"/>
  <c r="AF1236" i="8"/>
  <c r="AE1236" i="8"/>
  <c r="AG1235" i="8"/>
  <c r="AH1235" i="8" s="1"/>
  <c r="AF1235" i="8"/>
  <c r="AE1235" i="8"/>
  <c r="AG1234" i="8"/>
  <c r="AH1234" i="8" s="1"/>
  <c r="AF1234" i="8"/>
  <c r="AE1234" i="8"/>
  <c r="AG1233" i="8"/>
  <c r="AH1233" i="8" s="1"/>
  <c r="AF1233" i="8"/>
  <c r="AE1233" i="8"/>
  <c r="AG1232" i="8"/>
  <c r="AH1232" i="8" s="1"/>
  <c r="AF1232" i="8"/>
  <c r="AE1232" i="8"/>
  <c r="AG1231" i="8"/>
  <c r="AH1231" i="8" s="1"/>
  <c r="AF1231" i="8"/>
  <c r="AE1231" i="8"/>
  <c r="AG1230" i="8"/>
  <c r="AH1230" i="8" s="1"/>
  <c r="AF1230" i="8"/>
  <c r="AE1230" i="8"/>
  <c r="AG1229" i="8"/>
  <c r="AH1229" i="8" s="1"/>
  <c r="AF1229" i="8"/>
  <c r="AE1229" i="8"/>
  <c r="AG1228" i="8"/>
  <c r="AH1228" i="8" s="1"/>
  <c r="AF1228" i="8"/>
  <c r="AE1228" i="8"/>
  <c r="AG1227" i="8"/>
  <c r="AH1227" i="8" s="1"/>
  <c r="AF1227" i="8"/>
  <c r="AE1227" i="8"/>
  <c r="AG1226" i="8"/>
  <c r="AH1226" i="8" s="1"/>
  <c r="AF1226" i="8"/>
  <c r="AE1226" i="8"/>
  <c r="AG1225" i="8"/>
  <c r="AH1225" i="8" s="1"/>
  <c r="AF1225" i="8"/>
  <c r="AE1225" i="8"/>
  <c r="AG1224" i="8"/>
  <c r="AH1224" i="8" s="1"/>
  <c r="AF1224" i="8"/>
  <c r="AE1224" i="8"/>
  <c r="AG1223" i="8"/>
  <c r="AH1223" i="8" s="1"/>
  <c r="AF1223" i="8"/>
  <c r="AE1223" i="8"/>
  <c r="AG1222" i="8"/>
  <c r="AH1222" i="8" s="1"/>
  <c r="AF1222" i="8"/>
  <c r="AE1222" i="8"/>
  <c r="AG1221" i="8"/>
  <c r="AH1221" i="8" s="1"/>
  <c r="AF1221" i="8"/>
  <c r="AE1221" i="8"/>
  <c r="AG1220" i="8"/>
  <c r="AH1220" i="8" s="1"/>
  <c r="AF1220" i="8"/>
  <c r="AE1220" i="8"/>
  <c r="AG1219" i="8"/>
  <c r="AH1219" i="8" s="1"/>
  <c r="AF1219" i="8"/>
  <c r="AE1219" i="8"/>
  <c r="AG1218" i="8"/>
  <c r="AH1218" i="8" s="1"/>
  <c r="AF1218" i="8"/>
  <c r="AE1218" i="8"/>
  <c r="AG1217" i="8"/>
  <c r="AH1217" i="8" s="1"/>
  <c r="AF1217" i="8"/>
  <c r="AE1217" i="8"/>
  <c r="AG1216" i="8"/>
  <c r="AH1216" i="8" s="1"/>
  <c r="AF1216" i="8"/>
  <c r="AE1216" i="8"/>
  <c r="AG1215" i="8"/>
  <c r="AH1215" i="8" s="1"/>
  <c r="AF1215" i="8"/>
  <c r="AE1215" i="8"/>
  <c r="AG1214" i="8"/>
  <c r="AH1214" i="8" s="1"/>
  <c r="AF1214" i="8"/>
  <c r="AE1214" i="8"/>
  <c r="AG1213" i="8"/>
  <c r="AH1213" i="8" s="1"/>
  <c r="AF1213" i="8"/>
  <c r="AE1213" i="8"/>
  <c r="AG1212" i="8"/>
  <c r="AH1212" i="8" s="1"/>
  <c r="AF1212" i="8"/>
  <c r="AE1212" i="8"/>
  <c r="AG1211" i="8"/>
  <c r="AH1211" i="8" s="1"/>
  <c r="AF1211" i="8"/>
  <c r="AE1211" i="8"/>
  <c r="AG1210" i="8"/>
  <c r="AH1210" i="8" s="1"/>
  <c r="AF1210" i="8"/>
  <c r="AE1210" i="8"/>
  <c r="AG1209" i="8"/>
  <c r="AH1209" i="8" s="1"/>
  <c r="AF1209" i="8"/>
  <c r="AE1209" i="8"/>
  <c r="AG1208" i="8"/>
  <c r="AH1208" i="8" s="1"/>
  <c r="AF1208" i="8"/>
  <c r="AE1208" i="8"/>
  <c r="AG1207" i="8"/>
  <c r="AH1207" i="8" s="1"/>
  <c r="AF1207" i="8"/>
  <c r="AE1207" i="8"/>
  <c r="AG1206" i="8"/>
  <c r="AH1206" i="8" s="1"/>
  <c r="AF1206" i="8"/>
  <c r="AE1206" i="8"/>
  <c r="AG1205" i="8"/>
  <c r="AH1205" i="8" s="1"/>
  <c r="AF1205" i="8"/>
  <c r="AE1205" i="8"/>
  <c r="AG1204" i="8"/>
  <c r="AH1204" i="8" s="1"/>
  <c r="AF1204" i="8"/>
  <c r="AE1204" i="8"/>
  <c r="AG1203" i="8"/>
  <c r="AH1203" i="8" s="1"/>
  <c r="AF1203" i="8"/>
  <c r="AE1203" i="8"/>
  <c r="AG1202" i="8"/>
  <c r="AH1202" i="8" s="1"/>
  <c r="AF1202" i="8"/>
  <c r="AE1202" i="8"/>
  <c r="AG1201" i="8"/>
  <c r="AH1201" i="8" s="1"/>
  <c r="AF1201" i="8"/>
  <c r="AE1201" i="8"/>
  <c r="AG1200" i="8"/>
  <c r="AH1200" i="8" s="1"/>
  <c r="AF1200" i="8"/>
  <c r="AE1200" i="8"/>
  <c r="AG1199" i="8"/>
  <c r="AH1199" i="8" s="1"/>
  <c r="AF1199" i="8"/>
  <c r="AE1199" i="8"/>
  <c r="AG1198" i="8"/>
  <c r="AH1198" i="8" s="1"/>
  <c r="AF1198" i="8"/>
  <c r="AE1198" i="8"/>
  <c r="AG1197" i="8"/>
  <c r="AH1197" i="8" s="1"/>
  <c r="AF1197" i="8"/>
  <c r="AE1197" i="8"/>
  <c r="AG1196" i="8"/>
  <c r="AH1196" i="8" s="1"/>
  <c r="AF1196" i="8"/>
  <c r="AE1196" i="8"/>
  <c r="AG1195" i="8"/>
  <c r="AH1195" i="8" s="1"/>
  <c r="AF1195" i="8"/>
  <c r="AE1195" i="8"/>
  <c r="AG1194" i="8"/>
  <c r="AH1194" i="8" s="1"/>
  <c r="AF1194" i="8"/>
  <c r="AE1194" i="8"/>
  <c r="AG1193" i="8"/>
  <c r="AH1193" i="8" s="1"/>
  <c r="AF1193" i="8"/>
  <c r="AE1193" i="8"/>
  <c r="AG1192" i="8"/>
  <c r="AH1192" i="8" s="1"/>
  <c r="AF1192" i="8"/>
  <c r="AE1192" i="8"/>
  <c r="AG1191" i="8"/>
  <c r="AH1191" i="8" s="1"/>
  <c r="AF1191" i="8"/>
  <c r="AE1191" i="8"/>
  <c r="AG1190" i="8"/>
  <c r="AH1190" i="8" s="1"/>
  <c r="AF1190" i="8"/>
  <c r="AE1190" i="8"/>
  <c r="AG1189" i="8"/>
  <c r="AH1189" i="8" s="1"/>
  <c r="AF1189" i="8"/>
  <c r="AE1189" i="8"/>
  <c r="AG1188" i="8"/>
  <c r="AH1188" i="8" s="1"/>
  <c r="AF1188" i="8"/>
  <c r="AE1188" i="8"/>
  <c r="AG1187" i="8"/>
  <c r="AH1187" i="8" s="1"/>
  <c r="AF1187" i="8"/>
  <c r="AE1187" i="8"/>
  <c r="AG1186" i="8"/>
  <c r="AH1186" i="8" s="1"/>
  <c r="AF1186" i="8"/>
  <c r="AE1186" i="8"/>
  <c r="AG1185" i="8"/>
  <c r="AH1185" i="8" s="1"/>
  <c r="AF1185" i="8"/>
  <c r="AE1185" i="8"/>
  <c r="AG1184" i="8"/>
  <c r="AH1184" i="8" s="1"/>
  <c r="AF1184" i="8"/>
  <c r="AE1184" i="8"/>
  <c r="AG1183" i="8"/>
  <c r="AH1183" i="8" s="1"/>
  <c r="AF1183" i="8"/>
  <c r="AE1183" i="8"/>
  <c r="AG1182" i="8"/>
  <c r="AH1182" i="8" s="1"/>
  <c r="AF1182" i="8"/>
  <c r="AE1182" i="8"/>
  <c r="AG1181" i="8"/>
  <c r="AH1181" i="8" s="1"/>
  <c r="AF1181" i="8"/>
  <c r="AE1181" i="8"/>
  <c r="AG1180" i="8"/>
  <c r="AH1180" i="8" s="1"/>
  <c r="AF1180" i="8"/>
  <c r="AE1180" i="8"/>
  <c r="AG1179" i="8"/>
  <c r="AH1179" i="8" s="1"/>
  <c r="AF1179" i="8"/>
  <c r="AE1179" i="8"/>
  <c r="AG1178" i="8"/>
  <c r="AH1178" i="8" s="1"/>
  <c r="AF1178" i="8"/>
  <c r="AE1178" i="8"/>
  <c r="AG1177" i="8"/>
  <c r="AH1177" i="8" s="1"/>
  <c r="AF1177" i="8"/>
  <c r="AE1177" i="8"/>
  <c r="AG1176" i="8"/>
  <c r="AH1176" i="8" s="1"/>
  <c r="AF1176" i="8"/>
  <c r="AE1176" i="8"/>
  <c r="AG1175" i="8"/>
  <c r="AH1175" i="8" s="1"/>
  <c r="AF1175" i="8"/>
  <c r="AE1175" i="8"/>
  <c r="AG1174" i="8"/>
  <c r="AH1174" i="8" s="1"/>
  <c r="AF1174" i="8"/>
  <c r="AE1174" i="8"/>
  <c r="AG1173" i="8"/>
  <c r="AH1173" i="8" s="1"/>
  <c r="AF1173" i="8"/>
  <c r="AE1173" i="8"/>
  <c r="AG1172" i="8"/>
  <c r="AH1172" i="8" s="1"/>
  <c r="AF1172" i="8"/>
  <c r="AE1172" i="8"/>
  <c r="AG1171" i="8"/>
  <c r="AH1171" i="8" s="1"/>
  <c r="AF1171" i="8"/>
  <c r="AE1171" i="8"/>
  <c r="AG1170" i="8"/>
  <c r="AH1170" i="8" s="1"/>
  <c r="AF1170" i="8"/>
  <c r="AE1170" i="8"/>
  <c r="AG1169" i="8"/>
  <c r="AH1169" i="8" s="1"/>
  <c r="AF1169" i="8"/>
  <c r="AE1169" i="8"/>
  <c r="AG1168" i="8"/>
  <c r="AH1168" i="8" s="1"/>
  <c r="AF1168" i="8"/>
  <c r="AE1168" i="8"/>
  <c r="AG1167" i="8"/>
  <c r="AH1167" i="8" s="1"/>
  <c r="AF1167" i="8"/>
  <c r="AE1167" i="8"/>
  <c r="AG1166" i="8"/>
  <c r="AH1166" i="8" s="1"/>
  <c r="AF1166" i="8"/>
  <c r="AE1166" i="8"/>
  <c r="AG1165" i="8"/>
  <c r="AH1165" i="8" s="1"/>
  <c r="AF1165" i="8"/>
  <c r="AE1165" i="8"/>
  <c r="AG1164" i="8"/>
  <c r="AH1164" i="8" s="1"/>
  <c r="AF1164" i="8"/>
  <c r="AE1164" i="8"/>
  <c r="AG1163" i="8"/>
  <c r="AH1163" i="8" s="1"/>
  <c r="AF1163" i="8"/>
  <c r="AE1163" i="8"/>
  <c r="AG1162" i="8"/>
  <c r="AH1162" i="8" s="1"/>
  <c r="AF1162" i="8"/>
  <c r="AE1162" i="8"/>
  <c r="AG1161" i="8"/>
  <c r="AH1161" i="8" s="1"/>
  <c r="AF1161" i="8"/>
  <c r="AE1161" i="8"/>
  <c r="AG1160" i="8"/>
  <c r="AH1160" i="8" s="1"/>
  <c r="AF1160" i="8"/>
  <c r="AE1160" i="8"/>
  <c r="AG1159" i="8"/>
  <c r="AH1159" i="8" s="1"/>
  <c r="AF1159" i="8"/>
  <c r="AE1159" i="8"/>
  <c r="AG1158" i="8"/>
  <c r="AH1158" i="8" s="1"/>
  <c r="AF1158" i="8"/>
  <c r="AE1158" i="8"/>
  <c r="AG1157" i="8"/>
  <c r="AH1157" i="8" s="1"/>
  <c r="AF1157" i="8"/>
  <c r="AE1157" i="8"/>
  <c r="AG1156" i="8"/>
  <c r="AH1156" i="8" s="1"/>
  <c r="AF1156" i="8"/>
  <c r="AE1156" i="8"/>
  <c r="AG1155" i="8"/>
  <c r="AH1155" i="8" s="1"/>
  <c r="AF1155" i="8"/>
  <c r="AE1155" i="8"/>
  <c r="AG1154" i="8"/>
  <c r="AH1154" i="8" s="1"/>
  <c r="AF1154" i="8"/>
  <c r="AE1154" i="8"/>
  <c r="AG1153" i="8"/>
  <c r="AH1153" i="8" s="1"/>
  <c r="AF1153" i="8"/>
  <c r="AE1153" i="8"/>
  <c r="AG1152" i="8"/>
  <c r="AH1152" i="8" s="1"/>
  <c r="AF1152" i="8"/>
  <c r="AE1152" i="8"/>
  <c r="AG1151" i="8"/>
  <c r="AH1151" i="8" s="1"/>
  <c r="AF1151" i="8"/>
  <c r="AE1151" i="8"/>
  <c r="AG1150" i="8"/>
  <c r="AH1150" i="8" s="1"/>
  <c r="AF1150" i="8"/>
  <c r="AE1150" i="8"/>
  <c r="AG1149" i="8"/>
  <c r="AH1149" i="8" s="1"/>
  <c r="AF1149" i="8"/>
  <c r="AE1149" i="8"/>
  <c r="AG1148" i="8"/>
  <c r="AH1148" i="8" s="1"/>
  <c r="AF1148" i="8"/>
  <c r="AE1148" i="8"/>
  <c r="AG1147" i="8"/>
  <c r="AH1147" i="8" s="1"/>
  <c r="AF1147" i="8"/>
  <c r="AE1147" i="8"/>
  <c r="AG1146" i="8"/>
  <c r="AH1146" i="8" s="1"/>
  <c r="AF1146" i="8"/>
  <c r="AE1146" i="8"/>
  <c r="AG1145" i="8"/>
  <c r="AH1145" i="8" s="1"/>
  <c r="AF1145" i="8"/>
  <c r="AE1145" i="8"/>
  <c r="AG1144" i="8"/>
  <c r="AH1144" i="8" s="1"/>
  <c r="AF1144" i="8"/>
  <c r="AE1144" i="8"/>
  <c r="AG1143" i="8"/>
  <c r="AH1143" i="8" s="1"/>
  <c r="AF1143" i="8"/>
  <c r="AE1143" i="8"/>
  <c r="AG1142" i="8"/>
  <c r="AH1142" i="8" s="1"/>
  <c r="AF1142" i="8"/>
  <c r="AE1142" i="8"/>
  <c r="AG1141" i="8"/>
  <c r="AH1141" i="8" s="1"/>
  <c r="AF1141" i="8"/>
  <c r="AE1141" i="8"/>
  <c r="AG1140" i="8"/>
  <c r="AH1140" i="8" s="1"/>
  <c r="AF1140" i="8"/>
  <c r="AE1140" i="8"/>
  <c r="AG1139" i="8"/>
  <c r="AH1139" i="8" s="1"/>
  <c r="AF1139" i="8"/>
  <c r="AE1139" i="8"/>
  <c r="AG1138" i="8"/>
  <c r="AH1138" i="8" s="1"/>
  <c r="AF1138" i="8"/>
  <c r="AE1138" i="8"/>
  <c r="AG1137" i="8"/>
  <c r="AH1137" i="8" s="1"/>
  <c r="AF1137" i="8"/>
  <c r="AE1137" i="8"/>
  <c r="AG1136" i="8"/>
  <c r="AH1136" i="8" s="1"/>
  <c r="AF1136" i="8"/>
  <c r="AE1136" i="8"/>
  <c r="AG1135" i="8"/>
  <c r="AH1135" i="8" s="1"/>
  <c r="AF1135" i="8"/>
  <c r="AE1135" i="8"/>
  <c r="AG1134" i="8"/>
  <c r="AH1134" i="8" s="1"/>
  <c r="AF1134" i="8"/>
  <c r="AE1134" i="8"/>
  <c r="AG1133" i="8"/>
  <c r="AH1133" i="8" s="1"/>
  <c r="AF1133" i="8"/>
  <c r="AE1133" i="8"/>
  <c r="AG1132" i="8"/>
  <c r="AH1132" i="8" s="1"/>
  <c r="AF1132" i="8"/>
  <c r="AE1132" i="8"/>
  <c r="AG1131" i="8"/>
  <c r="AH1131" i="8" s="1"/>
  <c r="AF1131" i="8"/>
  <c r="AE1131" i="8"/>
  <c r="AG1130" i="8"/>
  <c r="AH1130" i="8" s="1"/>
  <c r="AF1130" i="8"/>
  <c r="AE1130" i="8"/>
  <c r="AG1129" i="8"/>
  <c r="AH1129" i="8" s="1"/>
  <c r="AF1129" i="8"/>
  <c r="AE1129" i="8"/>
  <c r="AG1128" i="8"/>
  <c r="AH1128" i="8" s="1"/>
  <c r="AF1128" i="8"/>
  <c r="AE1128" i="8"/>
  <c r="AG1127" i="8"/>
  <c r="AH1127" i="8" s="1"/>
  <c r="AF1127" i="8"/>
  <c r="AE1127" i="8"/>
  <c r="AG1126" i="8"/>
  <c r="AH1126" i="8" s="1"/>
  <c r="AF1126" i="8"/>
  <c r="AE1126" i="8"/>
  <c r="AG1125" i="8"/>
  <c r="AH1125" i="8" s="1"/>
  <c r="AF1125" i="8"/>
  <c r="AE1125" i="8"/>
  <c r="AG1124" i="8"/>
  <c r="AH1124" i="8" s="1"/>
  <c r="AF1124" i="8"/>
  <c r="AE1124" i="8"/>
  <c r="AG1123" i="8"/>
  <c r="AH1123" i="8" s="1"/>
  <c r="AF1123" i="8"/>
  <c r="AE1123" i="8"/>
  <c r="AG1122" i="8"/>
  <c r="AH1122" i="8" s="1"/>
  <c r="AF1122" i="8"/>
  <c r="AE1122" i="8"/>
  <c r="AG1121" i="8"/>
  <c r="AH1121" i="8" s="1"/>
  <c r="AF1121" i="8"/>
  <c r="AE1121" i="8"/>
  <c r="AG1120" i="8"/>
  <c r="AH1120" i="8" s="1"/>
  <c r="AF1120" i="8"/>
  <c r="AE1120" i="8"/>
  <c r="AG1119" i="8"/>
  <c r="AH1119" i="8" s="1"/>
  <c r="AF1119" i="8"/>
  <c r="AE1119" i="8"/>
  <c r="AG1118" i="8"/>
  <c r="AH1118" i="8" s="1"/>
  <c r="AF1118" i="8"/>
  <c r="AE1118" i="8"/>
  <c r="AG1117" i="8"/>
  <c r="AH1117" i="8" s="1"/>
  <c r="AF1117" i="8"/>
  <c r="AE1117" i="8"/>
  <c r="AG1116" i="8"/>
  <c r="AH1116" i="8" s="1"/>
  <c r="AF1116" i="8"/>
  <c r="AE1116" i="8"/>
  <c r="AG1115" i="8"/>
  <c r="AH1115" i="8" s="1"/>
  <c r="AF1115" i="8"/>
  <c r="AE1115" i="8"/>
  <c r="AG1114" i="8"/>
  <c r="AH1114" i="8" s="1"/>
  <c r="AF1114" i="8"/>
  <c r="AE1114" i="8"/>
  <c r="AG1113" i="8"/>
  <c r="AH1113" i="8" s="1"/>
  <c r="AF1113" i="8"/>
  <c r="AE1113" i="8"/>
  <c r="AG1112" i="8"/>
  <c r="AH1112" i="8" s="1"/>
  <c r="AF1112" i="8"/>
  <c r="AE1112" i="8"/>
  <c r="AG1111" i="8"/>
  <c r="AH1111" i="8" s="1"/>
  <c r="AF1111" i="8"/>
  <c r="AE1111" i="8"/>
  <c r="AG1110" i="8"/>
  <c r="AH1110" i="8" s="1"/>
  <c r="AF1110" i="8"/>
  <c r="AE1110" i="8"/>
  <c r="AG1109" i="8"/>
  <c r="AH1109" i="8" s="1"/>
  <c r="AF1109" i="8"/>
  <c r="AE1109" i="8"/>
  <c r="AG1108" i="8"/>
  <c r="AH1108" i="8" s="1"/>
  <c r="AF1108" i="8"/>
  <c r="AE1108" i="8"/>
  <c r="AG1107" i="8"/>
  <c r="AH1107" i="8" s="1"/>
  <c r="AF1107" i="8"/>
  <c r="AE1107" i="8"/>
  <c r="AG1106" i="8"/>
  <c r="AH1106" i="8" s="1"/>
  <c r="AF1106" i="8"/>
  <c r="AE1106" i="8"/>
  <c r="AG1105" i="8"/>
  <c r="AH1105" i="8" s="1"/>
  <c r="AF1105" i="8"/>
  <c r="AE1105" i="8"/>
  <c r="AG1104" i="8"/>
  <c r="AH1104" i="8" s="1"/>
  <c r="AF1104" i="8"/>
  <c r="AE1104" i="8"/>
  <c r="AG1103" i="8"/>
  <c r="AH1103" i="8" s="1"/>
  <c r="AF1103" i="8"/>
  <c r="AE1103" i="8"/>
  <c r="AG1102" i="8"/>
  <c r="AH1102" i="8" s="1"/>
  <c r="AF1102" i="8"/>
  <c r="AE1102" i="8"/>
  <c r="AG1101" i="8"/>
  <c r="AH1101" i="8" s="1"/>
  <c r="AF1101" i="8"/>
  <c r="AE1101" i="8"/>
  <c r="AG1100" i="8"/>
  <c r="AH1100" i="8" s="1"/>
  <c r="AF1100" i="8"/>
  <c r="AE1100" i="8"/>
  <c r="AG1099" i="8"/>
  <c r="AH1099" i="8" s="1"/>
  <c r="AF1099" i="8"/>
  <c r="AE1099" i="8"/>
  <c r="AG1098" i="8"/>
  <c r="AH1098" i="8" s="1"/>
  <c r="AF1098" i="8"/>
  <c r="AE1098" i="8"/>
  <c r="AG1097" i="8"/>
  <c r="AH1097" i="8" s="1"/>
  <c r="AF1097" i="8"/>
  <c r="AE1097" i="8"/>
  <c r="AG1096" i="8"/>
  <c r="AH1096" i="8" s="1"/>
  <c r="AF1096" i="8"/>
  <c r="AE1096" i="8"/>
  <c r="AG1095" i="8"/>
  <c r="AH1095" i="8" s="1"/>
  <c r="AF1095" i="8"/>
  <c r="AE1095" i="8"/>
  <c r="AG1094" i="8"/>
  <c r="AH1094" i="8" s="1"/>
  <c r="AF1094" i="8"/>
  <c r="AE1094" i="8"/>
  <c r="AG1093" i="8"/>
  <c r="AH1093" i="8" s="1"/>
  <c r="AF1093" i="8"/>
  <c r="AE1093" i="8"/>
  <c r="AG1092" i="8"/>
  <c r="AH1092" i="8" s="1"/>
  <c r="AF1092" i="8"/>
  <c r="AE1092" i="8"/>
  <c r="AG1091" i="8"/>
  <c r="AH1091" i="8" s="1"/>
  <c r="AF1091" i="8"/>
  <c r="AE1091" i="8"/>
  <c r="AG1090" i="8"/>
  <c r="AH1090" i="8" s="1"/>
  <c r="AF1090" i="8"/>
  <c r="AE1090" i="8"/>
  <c r="AG1089" i="8"/>
  <c r="AH1089" i="8" s="1"/>
  <c r="AF1089" i="8"/>
  <c r="AE1089" i="8"/>
  <c r="AG1088" i="8"/>
  <c r="AH1088" i="8" s="1"/>
  <c r="AF1088" i="8"/>
  <c r="AE1088" i="8"/>
  <c r="AG1087" i="8"/>
  <c r="AH1087" i="8" s="1"/>
  <c r="AF1087" i="8"/>
  <c r="AE1087" i="8"/>
  <c r="AG1086" i="8"/>
  <c r="AH1086" i="8" s="1"/>
  <c r="AF1086" i="8"/>
  <c r="AE1086" i="8"/>
  <c r="AG1085" i="8"/>
  <c r="AH1085" i="8" s="1"/>
  <c r="AF1085" i="8"/>
  <c r="AE1085" i="8"/>
  <c r="AG1084" i="8"/>
  <c r="AH1084" i="8" s="1"/>
  <c r="AF1084" i="8"/>
  <c r="AE1084" i="8"/>
  <c r="AG1083" i="8"/>
  <c r="AH1083" i="8" s="1"/>
  <c r="AF1083" i="8"/>
  <c r="AE1083" i="8"/>
  <c r="AG1082" i="8"/>
  <c r="AH1082" i="8" s="1"/>
  <c r="AF1082" i="8"/>
  <c r="AE1082" i="8"/>
  <c r="AG1081" i="8"/>
  <c r="AH1081" i="8" s="1"/>
  <c r="AF1081" i="8"/>
  <c r="AE1081" i="8"/>
  <c r="AG1080" i="8"/>
  <c r="AH1080" i="8" s="1"/>
  <c r="AF1080" i="8"/>
  <c r="AE1080" i="8"/>
  <c r="AG1079" i="8"/>
  <c r="AH1079" i="8" s="1"/>
  <c r="AF1079" i="8"/>
  <c r="AE1079" i="8"/>
  <c r="AG1078" i="8"/>
  <c r="AH1078" i="8" s="1"/>
  <c r="AF1078" i="8"/>
  <c r="AE1078" i="8"/>
  <c r="AG1077" i="8"/>
  <c r="AH1077" i="8" s="1"/>
  <c r="AF1077" i="8"/>
  <c r="AE1077" i="8"/>
  <c r="AG1076" i="8"/>
  <c r="AH1076" i="8" s="1"/>
  <c r="AF1076" i="8"/>
  <c r="AE1076" i="8"/>
  <c r="AG1075" i="8"/>
  <c r="AH1075" i="8" s="1"/>
  <c r="AF1075" i="8"/>
  <c r="AE1075" i="8"/>
  <c r="AG1074" i="8"/>
  <c r="AH1074" i="8" s="1"/>
  <c r="AF1074" i="8"/>
  <c r="AE1074" i="8"/>
  <c r="AG1073" i="8"/>
  <c r="AH1073" i="8" s="1"/>
  <c r="AF1073" i="8"/>
  <c r="AE1073" i="8"/>
  <c r="AG1072" i="8"/>
  <c r="AH1072" i="8" s="1"/>
  <c r="AF1072" i="8"/>
  <c r="AE1072" i="8"/>
  <c r="AG1071" i="8"/>
  <c r="AH1071" i="8" s="1"/>
  <c r="AF1071" i="8"/>
  <c r="AE1071" i="8"/>
  <c r="AG1070" i="8"/>
  <c r="AH1070" i="8" s="1"/>
  <c r="AF1070" i="8"/>
  <c r="AE1070" i="8"/>
  <c r="AG1069" i="8"/>
  <c r="AH1069" i="8" s="1"/>
  <c r="AF1069" i="8"/>
  <c r="AE1069" i="8"/>
  <c r="AG1068" i="8"/>
  <c r="AH1068" i="8" s="1"/>
  <c r="AF1068" i="8"/>
  <c r="AE1068" i="8"/>
  <c r="AG1067" i="8"/>
  <c r="AH1067" i="8" s="1"/>
  <c r="AF1067" i="8"/>
  <c r="AE1067" i="8"/>
  <c r="AG1066" i="8"/>
  <c r="AH1066" i="8" s="1"/>
  <c r="AF1066" i="8"/>
  <c r="AE1066" i="8"/>
  <c r="AG1065" i="8"/>
  <c r="AH1065" i="8" s="1"/>
  <c r="AF1065" i="8"/>
  <c r="AE1065" i="8"/>
  <c r="AG1064" i="8"/>
  <c r="AH1064" i="8" s="1"/>
  <c r="AF1064" i="8"/>
  <c r="AE1064" i="8"/>
  <c r="AG1063" i="8"/>
  <c r="AH1063" i="8" s="1"/>
  <c r="AF1063" i="8"/>
  <c r="AE1063" i="8"/>
  <c r="AG1062" i="8"/>
  <c r="AH1062" i="8" s="1"/>
  <c r="AF1062" i="8"/>
  <c r="AE1062" i="8"/>
  <c r="AG1061" i="8"/>
  <c r="AH1061" i="8" s="1"/>
  <c r="AF1061" i="8"/>
  <c r="AE1061" i="8"/>
  <c r="AG1060" i="8"/>
  <c r="AH1060" i="8" s="1"/>
  <c r="AF1060" i="8"/>
  <c r="AE1060" i="8"/>
  <c r="AG1059" i="8"/>
  <c r="AH1059" i="8" s="1"/>
  <c r="AF1059" i="8"/>
  <c r="AE1059" i="8"/>
  <c r="AG1058" i="8"/>
  <c r="AH1058" i="8" s="1"/>
  <c r="AF1058" i="8"/>
  <c r="AE1058" i="8"/>
  <c r="AG1057" i="8"/>
  <c r="AH1057" i="8" s="1"/>
  <c r="AF1057" i="8"/>
  <c r="AE1057" i="8"/>
  <c r="AG1056" i="8"/>
  <c r="AH1056" i="8" s="1"/>
  <c r="AF1056" i="8"/>
  <c r="AE1056" i="8"/>
  <c r="AG1055" i="8"/>
  <c r="AH1055" i="8" s="1"/>
  <c r="AF1055" i="8"/>
  <c r="AE1055" i="8"/>
  <c r="AG1054" i="8"/>
  <c r="AH1054" i="8" s="1"/>
  <c r="AF1054" i="8"/>
  <c r="AE1054" i="8"/>
  <c r="AG1053" i="8"/>
  <c r="AH1053" i="8" s="1"/>
  <c r="AF1053" i="8"/>
  <c r="AE1053" i="8"/>
  <c r="AG1052" i="8"/>
  <c r="AH1052" i="8" s="1"/>
  <c r="AF1052" i="8"/>
  <c r="AE1052" i="8"/>
  <c r="AG1051" i="8"/>
  <c r="AH1051" i="8" s="1"/>
  <c r="AF1051" i="8"/>
  <c r="AE1051" i="8"/>
  <c r="AG1050" i="8"/>
  <c r="AH1050" i="8" s="1"/>
  <c r="AF1050" i="8"/>
  <c r="AE1050" i="8"/>
  <c r="AG1049" i="8"/>
  <c r="AH1049" i="8" s="1"/>
  <c r="AF1049" i="8"/>
  <c r="AE1049" i="8"/>
  <c r="AG1048" i="8"/>
  <c r="AH1048" i="8" s="1"/>
  <c r="AF1048" i="8"/>
  <c r="AE1048" i="8"/>
  <c r="AG1047" i="8"/>
  <c r="AH1047" i="8" s="1"/>
  <c r="AF1047" i="8"/>
  <c r="AE1047" i="8"/>
  <c r="AG1046" i="8"/>
  <c r="AH1046" i="8" s="1"/>
  <c r="AF1046" i="8"/>
  <c r="AE1046" i="8"/>
  <c r="AG1045" i="8"/>
  <c r="AH1045" i="8" s="1"/>
  <c r="AF1045" i="8"/>
  <c r="AE1045" i="8"/>
  <c r="AG1044" i="8"/>
  <c r="AH1044" i="8" s="1"/>
  <c r="AF1044" i="8"/>
  <c r="AE1044" i="8"/>
  <c r="AG1043" i="8"/>
  <c r="AH1043" i="8" s="1"/>
  <c r="AF1043" i="8"/>
  <c r="AE1043" i="8"/>
  <c r="AG1042" i="8"/>
  <c r="AH1042" i="8" s="1"/>
  <c r="AF1042" i="8"/>
  <c r="AE1042" i="8"/>
  <c r="AG1041" i="8"/>
  <c r="AH1041" i="8" s="1"/>
  <c r="AF1041" i="8"/>
  <c r="AE1041" i="8"/>
  <c r="AG1040" i="8"/>
  <c r="AH1040" i="8" s="1"/>
  <c r="AF1040" i="8"/>
  <c r="AE1040" i="8"/>
  <c r="AG1039" i="8"/>
  <c r="AH1039" i="8" s="1"/>
  <c r="AF1039" i="8"/>
  <c r="AE1039" i="8"/>
  <c r="AG1038" i="8"/>
  <c r="AH1038" i="8" s="1"/>
  <c r="AF1038" i="8"/>
  <c r="AE1038" i="8"/>
  <c r="AG1037" i="8"/>
  <c r="AH1037" i="8" s="1"/>
  <c r="AF1037" i="8"/>
  <c r="AE1037" i="8"/>
  <c r="AG1036" i="8"/>
  <c r="AH1036" i="8" s="1"/>
  <c r="AF1036" i="8"/>
  <c r="AE1036" i="8"/>
  <c r="AG1035" i="8"/>
  <c r="AH1035" i="8" s="1"/>
  <c r="AF1035" i="8"/>
  <c r="AE1035" i="8"/>
  <c r="AG1034" i="8"/>
  <c r="AH1034" i="8" s="1"/>
  <c r="AF1034" i="8"/>
  <c r="AE1034" i="8"/>
  <c r="AG1033" i="8"/>
  <c r="AH1033" i="8" s="1"/>
  <c r="AF1033" i="8"/>
  <c r="AE1033" i="8"/>
  <c r="AG1032" i="8"/>
  <c r="AH1032" i="8" s="1"/>
  <c r="AF1032" i="8"/>
  <c r="AE1032" i="8"/>
  <c r="AG1031" i="8"/>
  <c r="AH1031" i="8" s="1"/>
  <c r="AF1031" i="8"/>
  <c r="AE1031" i="8"/>
  <c r="AG1030" i="8"/>
  <c r="AH1030" i="8" s="1"/>
  <c r="AF1030" i="8"/>
  <c r="AE1030" i="8"/>
  <c r="AG1029" i="8"/>
  <c r="AH1029" i="8" s="1"/>
  <c r="AF1029" i="8"/>
  <c r="AE1029" i="8"/>
  <c r="AG1028" i="8"/>
  <c r="AH1028" i="8" s="1"/>
  <c r="AF1028" i="8"/>
  <c r="AE1028" i="8"/>
  <c r="AG1027" i="8"/>
  <c r="AH1027" i="8" s="1"/>
  <c r="AF1027" i="8"/>
  <c r="AE1027" i="8"/>
  <c r="AG1026" i="8"/>
  <c r="AH1026" i="8" s="1"/>
  <c r="AF1026" i="8"/>
  <c r="AE1026" i="8"/>
  <c r="AG1025" i="8"/>
  <c r="AH1025" i="8" s="1"/>
  <c r="AF1025" i="8"/>
  <c r="AE1025" i="8"/>
  <c r="AG1024" i="8"/>
  <c r="AH1024" i="8" s="1"/>
  <c r="AF1024" i="8"/>
  <c r="AE1024" i="8"/>
  <c r="AG1023" i="8"/>
  <c r="AH1023" i="8" s="1"/>
  <c r="AF1023" i="8"/>
  <c r="AE1023" i="8"/>
  <c r="AG1022" i="8"/>
  <c r="AH1022" i="8" s="1"/>
  <c r="AF1022" i="8"/>
  <c r="AE1022" i="8"/>
  <c r="AG1021" i="8"/>
  <c r="AH1021" i="8" s="1"/>
  <c r="AF1021" i="8"/>
  <c r="AE1021" i="8"/>
  <c r="AG1020" i="8"/>
  <c r="AH1020" i="8" s="1"/>
  <c r="AF1020" i="8"/>
  <c r="AE1020" i="8"/>
  <c r="AG1019" i="8"/>
  <c r="AH1019" i="8" s="1"/>
  <c r="AF1019" i="8"/>
  <c r="AE1019" i="8"/>
  <c r="AG1018" i="8"/>
  <c r="AH1018" i="8" s="1"/>
  <c r="AF1018" i="8"/>
  <c r="AE1018" i="8"/>
  <c r="AG1017" i="8"/>
  <c r="AH1017" i="8" s="1"/>
  <c r="AF1017" i="8"/>
  <c r="AE1017" i="8"/>
  <c r="AG1016" i="8"/>
  <c r="AH1016" i="8" s="1"/>
  <c r="AF1016" i="8"/>
  <c r="AE1016" i="8"/>
  <c r="AG1015" i="8"/>
  <c r="AH1015" i="8" s="1"/>
  <c r="AF1015" i="8"/>
  <c r="AE1015" i="8"/>
  <c r="AG1014" i="8"/>
  <c r="AH1014" i="8" s="1"/>
  <c r="AF1014" i="8"/>
  <c r="AE1014" i="8"/>
  <c r="AG1013" i="8"/>
  <c r="AH1013" i="8" s="1"/>
  <c r="AF1013" i="8"/>
  <c r="AE1013" i="8"/>
  <c r="AG1012" i="8"/>
  <c r="AH1012" i="8" s="1"/>
  <c r="AF1012" i="8"/>
  <c r="AE1012" i="8"/>
  <c r="AG1011" i="8"/>
  <c r="AH1011" i="8" s="1"/>
  <c r="AF1011" i="8"/>
  <c r="AE1011" i="8"/>
  <c r="AG1010" i="8"/>
  <c r="AH1010" i="8" s="1"/>
  <c r="AF1010" i="8"/>
  <c r="AE1010" i="8"/>
  <c r="AG1009" i="8"/>
  <c r="AH1009" i="8" s="1"/>
  <c r="AF1009" i="8"/>
  <c r="AE1009" i="8"/>
  <c r="AG1008" i="8"/>
  <c r="AH1008" i="8" s="1"/>
  <c r="AF1008" i="8"/>
  <c r="AE1008" i="8"/>
  <c r="AG1007" i="8"/>
  <c r="AH1007" i="8" s="1"/>
  <c r="AF1007" i="8"/>
  <c r="AE1007" i="8"/>
  <c r="AG1006" i="8"/>
  <c r="AH1006" i="8" s="1"/>
  <c r="AF1006" i="8"/>
  <c r="AE1006" i="8"/>
  <c r="AG1005" i="8"/>
  <c r="AH1005" i="8" s="1"/>
  <c r="AF1005" i="8"/>
  <c r="AE1005" i="8"/>
  <c r="AG1004" i="8"/>
  <c r="AH1004" i="8" s="1"/>
  <c r="AF1004" i="8"/>
  <c r="AE1004" i="8"/>
  <c r="AG1003" i="8"/>
  <c r="AH1003" i="8" s="1"/>
  <c r="AF1003" i="8"/>
  <c r="AE1003" i="8"/>
  <c r="AG1002" i="8"/>
  <c r="AH1002" i="8" s="1"/>
  <c r="AF1002" i="8"/>
  <c r="AE1002" i="8"/>
  <c r="AG1001" i="8"/>
  <c r="AH1001" i="8" s="1"/>
  <c r="AF1001" i="8"/>
  <c r="AE1001" i="8"/>
  <c r="AG1000" i="8"/>
  <c r="AH1000" i="8" s="1"/>
  <c r="AF1000" i="8"/>
  <c r="AE1000" i="8"/>
  <c r="AG999" i="8"/>
  <c r="AH999" i="8" s="1"/>
  <c r="AF999" i="8"/>
  <c r="AE999" i="8"/>
  <c r="AG998" i="8"/>
  <c r="AH998" i="8" s="1"/>
  <c r="AF998" i="8"/>
  <c r="AE998" i="8"/>
  <c r="AG997" i="8"/>
  <c r="AH997" i="8" s="1"/>
  <c r="AF997" i="8"/>
  <c r="AE997" i="8"/>
  <c r="AG996" i="8"/>
  <c r="AH996" i="8" s="1"/>
  <c r="AF996" i="8"/>
  <c r="AE996" i="8"/>
  <c r="AG995" i="8"/>
  <c r="AH995" i="8" s="1"/>
  <c r="AF995" i="8"/>
  <c r="AE995" i="8"/>
  <c r="AG994" i="8"/>
  <c r="AH994" i="8" s="1"/>
  <c r="AF994" i="8"/>
  <c r="AE994" i="8"/>
  <c r="AG993" i="8"/>
  <c r="AH993" i="8" s="1"/>
  <c r="AF993" i="8"/>
  <c r="AE993" i="8"/>
  <c r="AG992" i="8"/>
  <c r="AH992" i="8" s="1"/>
  <c r="AF992" i="8"/>
  <c r="AE992" i="8"/>
  <c r="AG991" i="8"/>
  <c r="AH991" i="8" s="1"/>
  <c r="AF991" i="8"/>
  <c r="AE991" i="8"/>
  <c r="AG990" i="8"/>
  <c r="AH990" i="8" s="1"/>
  <c r="AF990" i="8"/>
  <c r="AE990" i="8"/>
  <c r="AG989" i="8"/>
  <c r="AH989" i="8" s="1"/>
  <c r="AF989" i="8"/>
  <c r="AE989" i="8"/>
  <c r="AG988" i="8"/>
  <c r="AH988" i="8" s="1"/>
  <c r="AF988" i="8"/>
  <c r="AE988" i="8"/>
  <c r="AG987" i="8"/>
  <c r="AH987" i="8" s="1"/>
  <c r="AF987" i="8"/>
  <c r="AE987" i="8"/>
  <c r="AG986" i="8"/>
  <c r="AH986" i="8" s="1"/>
  <c r="AF986" i="8"/>
  <c r="AE986" i="8"/>
  <c r="AG985" i="8"/>
  <c r="AH985" i="8" s="1"/>
  <c r="AF985" i="8"/>
  <c r="AE985" i="8"/>
  <c r="AG984" i="8"/>
  <c r="AH984" i="8" s="1"/>
  <c r="AF984" i="8"/>
  <c r="AE984" i="8"/>
  <c r="AG983" i="8"/>
  <c r="AH983" i="8" s="1"/>
  <c r="AF983" i="8"/>
  <c r="AE983" i="8"/>
  <c r="AG982" i="8"/>
  <c r="AH982" i="8" s="1"/>
  <c r="AF982" i="8"/>
  <c r="AE982" i="8"/>
  <c r="AG981" i="8"/>
  <c r="AH981" i="8" s="1"/>
  <c r="AF981" i="8"/>
  <c r="AE981" i="8"/>
  <c r="AG980" i="8"/>
  <c r="AH980" i="8" s="1"/>
  <c r="AF980" i="8"/>
  <c r="AE980" i="8"/>
  <c r="AG979" i="8"/>
  <c r="AH979" i="8" s="1"/>
  <c r="AF979" i="8"/>
  <c r="AE979" i="8"/>
  <c r="AG978" i="8"/>
  <c r="AH978" i="8" s="1"/>
  <c r="AF978" i="8"/>
  <c r="AE978" i="8"/>
  <c r="AG977" i="8"/>
  <c r="AH977" i="8" s="1"/>
  <c r="AF977" i="8"/>
  <c r="AE977" i="8"/>
  <c r="AG976" i="8"/>
  <c r="AH976" i="8" s="1"/>
  <c r="AF976" i="8"/>
  <c r="AE976" i="8"/>
  <c r="AG975" i="8"/>
  <c r="AH975" i="8" s="1"/>
  <c r="AF975" i="8"/>
  <c r="AE975" i="8"/>
  <c r="AG974" i="8"/>
  <c r="AH974" i="8" s="1"/>
  <c r="AF974" i="8"/>
  <c r="AE974" i="8"/>
  <c r="AG973" i="8"/>
  <c r="AH973" i="8" s="1"/>
  <c r="AF973" i="8"/>
  <c r="AE973" i="8"/>
  <c r="AG972" i="8"/>
  <c r="AH972" i="8" s="1"/>
  <c r="AF972" i="8"/>
  <c r="AE972" i="8"/>
  <c r="AG971" i="8"/>
  <c r="AH971" i="8" s="1"/>
  <c r="AF971" i="8"/>
  <c r="AE971" i="8"/>
  <c r="AG970" i="8"/>
  <c r="AH970" i="8" s="1"/>
  <c r="AF970" i="8"/>
  <c r="AE970" i="8"/>
  <c r="AG969" i="8"/>
  <c r="AH969" i="8" s="1"/>
  <c r="AF969" i="8"/>
  <c r="AE969" i="8"/>
  <c r="AG968" i="8"/>
  <c r="AH968" i="8" s="1"/>
  <c r="AF968" i="8"/>
  <c r="AE968" i="8"/>
  <c r="AG967" i="8"/>
  <c r="AH967" i="8" s="1"/>
  <c r="AF967" i="8"/>
  <c r="AE967" i="8"/>
  <c r="AG966" i="8"/>
  <c r="AH966" i="8" s="1"/>
  <c r="AF966" i="8"/>
  <c r="AE966" i="8"/>
  <c r="AG965" i="8"/>
  <c r="AH965" i="8" s="1"/>
  <c r="AF965" i="8"/>
  <c r="AE965" i="8"/>
  <c r="AG964" i="8"/>
  <c r="AH964" i="8" s="1"/>
  <c r="AF964" i="8"/>
  <c r="AE964" i="8"/>
  <c r="AG963" i="8"/>
  <c r="AH963" i="8" s="1"/>
  <c r="AF963" i="8"/>
  <c r="AE963" i="8"/>
  <c r="AG962" i="8"/>
  <c r="AH962" i="8" s="1"/>
  <c r="AF962" i="8"/>
  <c r="AE962" i="8"/>
  <c r="AG961" i="8"/>
  <c r="AH961" i="8" s="1"/>
  <c r="AF961" i="8"/>
  <c r="AE961" i="8"/>
  <c r="AG960" i="8"/>
  <c r="AH960" i="8" s="1"/>
  <c r="AF960" i="8"/>
  <c r="AE960" i="8"/>
  <c r="AG959" i="8"/>
  <c r="AH959" i="8" s="1"/>
  <c r="AF959" i="8"/>
  <c r="AE959" i="8"/>
  <c r="AG958" i="8"/>
  <c r="AH958" i="8" s="1"/>
  <c r="AF958" i="8"/>
  <c r="AE958" i="8"/>
  <c r="AG957" i="8"/>
  <c r="AH957" i="8" s="1"/>
  <c r="AF957" i="8"/>
  <c r="AE957" i="8"/>
  <c r="AG956" i="8"/>
  <c r="AH956" i="8" s="1"/>
  <c r="AF956" i="8"/>
  <c r="AE956" i="8"/>
  <c r="AG955" i="8"/>
  <c r="AH955" i="8" s="1"/>
  <c r="AF955" i="8"/>
  <c r="AE955" i="8"/>
  <c r="AG954" i="8"/>
  <c r="AH954" i="8" s="1"/>
  <c r="AF954" i="8"/>
  <c r="AE954" i="8"/>
  <c r="AG953" i="8"/>
  <c r="AH953" i="8" s="1"/>
  <c r="AF953" i="8"/>
  <c r="AE953" i="8"/>
  <c r="AG952" i="8"/>
  <c r="AH952" i="8" s="1"/>
  <c r="AF952" i="8"/>
  <c r="AE952" i="8"/>
  <c r="AG951" i="8"/>
  <c r="AH951" i="8" s="1"/>
  <c r="AF951" i="8"/>
  <c r="AE951" i="8"/>
  <c r="AG950" i="8"/>
  <c r="AH950" i="8" s="1"/>
  <c r="AF950" i="8"/>
  <c r="AE950" i="8"/>
  <c r="AG949" i="8"/>
  <c r="AH949" i="8" s="1"/>
  <c r="AF949" i="8"/>
  <c r="AE949" i="8"/>
  <c r="AG948" i="8"/>
  <c r="AH948" i="8" s="1"/>
  <c r="AF948" i="8"/>
  <c r="AE948" i="8"/>
  <c r="AG947" i="8"/>
  <c r="AH947" i="8" s="1"/>
  <c r="AF947" i="8"/>
  <c r="AE947" i="8"/>
  <c r="AG946" i="8"/>
  <c r="AH946" i="8" s="1"/>
  <c r="AF946" i="8"/>
  <c r="AE946" i="8"/>
  <c r="AG945" i="8"/>
  <c r="AH945" i="8" s="1"/>
  <c r="AF945" i="8"/>
  <c r="AE945" i="8"/>
  <c r="AG944" i="8"/>
  <c r="AH944" i="8" s="1"/>
  <c r="AF944" i="8"/>
  <c r="AE944" i="8"/>
  <c r="AG943" i="8"/>
  <c r="AH943" i="8" s="1"/>
  <c r="AF943" i="8"/>
  <c r="AE943" i="8"/>
  <c r="AG942" i="8"/>
  <c r="AH942" i="8" s="1"/>
  <c r="AF942" i="8"/>
  <c r="AE942" i="8"/>
  <c r="AG941" i="8"/>
  <c r="AH941" i="8" s="1"/>
  <c r="AF941" i="8"/>
  <c r="AE941" i="8"/>
  <c r="AG940" i="8"/>
  <c r="AH940" i="8" s="1"/>
  <c r="AF940" i="8"/>
  <c r="AE940" i="8"/>
  <c r="AG939" i="8"/>
  <c r="AH939" i="8" s="1"/>
  <c r="AF939" i="8"/>
  <c r="AE939" i="8"/>
  <c r="AG938" i="8"/>
  <c r="AH938" i="8" s="1"/>
  <c r="AF938" i="8"/>
  <c r="AE938" i="8"/>
  <c r="AG937" i="8"/>
  <c r="AH937" i="8" s="1"/>
  <c r="AF937" i="8"/>
  <c r="AE937" i="8"/>
  <c r="AG936" i="8"/>
  <c r="AH936" i="8" s="1"/>
  <c r="AF936" i="8"/>
  <c r="AE936" i="8"/>
  <c r="AG935" i="8"/>
  <c r="AH935" i="8" s="1"/>
  <c r="AF935" i="8"/>
  <c r="AE935" i="8"/>
  <c r="AG934" i="8"/>
  <c r="AH934" i="8" s="1"/>
  <c r="AF934" i="8"/>
  <c r="AE934" i="8"/>
  <c r="AG933" i="8"/>
  <c r="AH933" i="8" s="1"/>
  <c r="AF933" i="8"/>
  <c r="AE933" i="8"/>
  <c r="AG932" i="8"/>
  <c r="AH932" i="8" s="1"/>
  <c r="AF932" i="8"/>
  <c r="AE932" i="8"/>
  <c r="AG931" i="8"/>
  <c r="AH931" i="8" s="1"/>
  <c r="AF931" i="8"/>
  <c r="AE931" i="8"/>
  <c r="AG930" i="8"/>
  <c r="AH930" i="8" s="1"/>
  <c r="AF930" i="8"/>
  <c r="AE930" i="8"/>
  <c r="AG929" i="8"/>
  <c r="AH929" i="8" s="1"/>
  <c r="AF929" i="8"/>
  <c r="AE929" i="8"/>
  <c r="AG928" i="8"/>
  <c r="AH928" i="8" s="1"/>
  <c r="AF928" i="8"/>
  <c r="AE928" i="8"/>
  <c r="AG927" i="8"/>
  <c r="AH927" i="8" s="1"/>
  <c r="AF927" i="8"/>
  <c r="AE927" i="8"/>
  <c r="AG926" i="8"/>
  <c r="AH926" i="8" s="1"/>
  <c r="AF926" i="8"/>
  <c r="AE926" i="8"/>
  <c r="AG925" i="8"/>
  <c r="AH925" i="8" s="1"/>
  <c r="AF925" i="8"/>
  <c r="AE925" i="8"/>
  <c r="AG924" i="8"/>
  <c r="AH924" i="8" s="1"/>
  <c r="AF924" i="8"/>
  <c r="AE924" i="8"/>
  <c r="AG923" i="8"/>
  <c r="AH923" i="8" s="1"/>
  <c r="AF923" i="8"/>
  <c r="AE923" i="8"/>
  <c r="AG922" i="8"/>
  <c r="AH922" i="8" s="1"/>
  <c r="AF922" i="8"/>
  <c r="AE922" i="8"/>
  <c r="AG921" i="8"/>
  <c r="AH921" i="8" s="1"/>
  <c r="AF921" i="8"/>
  <c r="AE921" i="8"/>
  <c r="AG920" i="8"/>
  <c r="AH920" i="8" s="1"/>
  <c r="AF920" i="8"/>
  <c r="AE920" i="8"/>
  <c r="AG919" i="8"/>
  <c r="AH919" i="8" s="1"/>
  <c r="AF919" i="8"/>
  <c r="AE919" i="8"/>
  <c r="AG918" i="8"/>
  <c r="AH918" i="8" s="1"/>
  <c r="AF918" i="8"/>
  <c r="AE918" i="8"/>
  <c r="AG917" i="8"/>
  <c r="AH917" i="8" s="1"/>
  <c r="AF917" i="8"/>
  <c r="AE917" i="8"/>
  <c r="AG916" i="8"/>
  <c r="AH916" i="8" s="1"/>
  <c r="AF916" i="8"/>
  <c r="AE916" i="8"/>
  <c r="AG915" i="8"/>
  <c r="AH915" i="8" s="1"/>
  <c r="AF915" i="8"/>
  <c r="AE915" i="8"/>
  <c r="AG914" i="8"/>
  <c r="AH914" i="8" s="1"/>
  <c r="AF914" i="8"/>
  <c r="AE914" i="8"/>
  <c r="AG913" i="8"/>
  <c r="AH913" i="8" s="1"/>
  <c r="AF913" i="8"/>
  <c r="AE913" i="8"/>
  <c r="AG912" i="8"/>
  <c r="AH912" i="8" s="1"/>
  <c r="AF912" i="8"/>
  <c r="AE912" i="8"/>
  <c r="AG911" i="8"/>
  <c r="AH911" i="8" s="1"/>
  <c r="AF911" i="8"/>
  <c r="AE911" i="8"/>
  <c r="AG910" i="8"/>
  <c r="AH910" i="8" s="1"/>
  <c r="AF910" i="8"/>
  <c r="AE910" i="8"/>
  <c r="AG909" i="8"/>
  <c r="AH909" i="8" s="1"/>
  <c r="AF909" i="8"/>
  <c r="AE909" i="8"/>
  <c r="AG908" i="8"/>
  <c r="AH908" i="8" s="1"/>
  <c r="AF908" i="8"/>
  <c r="AE908" i="8"/>
  <c r="AG907" i="8"/>
  <c r="AH907" i="8" s="1"/>
  <c r="AF907" i="8"/>
  <c r="AE907" i="8"/>
  <c r="AG906" i="8"/>
  <c r="AH906" i="8" s="1"/>
  <c r="AF906" i="8"/>
  <c r="AE906" i="8"/>
  <c r="AG905" i="8"/>
  <c r="AH905" i="8" s="1"/>
  <c r="AF905" i="8"/>
  <c r="AE905" i="8"/>
  <c r="AG904" i="8"/>
  <c r="AH904" i="8" s="1"/>
  <c r="AF904" i="8"/>
  <c r="AE904" i="8"/>
  <c r="AG903" i="8"/>
  <c r="AH903" i="8" s="1"/>
  <c r="AF903" i="8"/>
  <c r="AE903" i="8"/>
  <c r="AG902" i="8"/>
  <c r="AH902" i="8" s="1"/>
  <c r="AF902" i="8"/>
  <c r="AE902" i="8"/>
  <c r="AG901" i="8"/>
  <c r="AH901" i="8" s="1"/>
  <c r="AF901" i="8"/>
  <c r="AE901" i="8"/>
  <c r="AG900" i="8"/>
  <c r="AH900" i="8" s="1"/>
  <c r="AF900" i="8"/>
  <c r="AE900" i="8"/>
  <c r="AG899" i="8"/>
  <c r="AH899" i="8" s="1"/>
  <c r="AF899" i="8"/>
  <c r="AE899" i="8"/>
  <c r="AG898" i="8"/>
  <c r="AH898" i="8" s="1"/>
  <c r="AF898" i="8"/>
  <c r="AE898" i="8"/>
  <c r="AG897" i="8"/>
  <c r="AH897" i="8" s="1"/>
  <c r="AF897" i="8"/>
  <c r="AE897" i="8"/>
  <c r="AG896" i="8"/>
  <c r="AH896" i="8" s="1"/>
  <c r="AF896" i="8"/>
  <c r="AE896" i="8"/>
  <c r="AG895" i="8"/>
  <c r="AH895" i="8" s="1"/>
  <c r="AF895" i="8"/>
  <c r="AE895" i="8"/>
  <c r="AG894" i="8"/>
  <c r="AH894" i="8" s="1"/>
  <c r="AF894" i="8"/>
  <c r="AE894" i="8"/>
  <c r="AG893" i="8"/>
  <c r="AH893" i="8" s="1"/>
  <c r="AF893" i="8"/>
  <c r="AE893" i="8"/>
  <c r="AG892" i="8"/>
  <c r="AH892" i="8" s="1"/>
  <c r="AF892" i="8"/>
  <c r="AE892" i="8"/>
  <c r="AG891" i="8"/>
  <c r="AH891" i="8" s="1"/>
  <c r="AF891" i="8"/>
  <c r="AE891" i="8"/>
  <c r="AG890" i="8"/>
  <c r="AH890" i="8" s="1"/>
  <c r="AF890" i="8"/>
  <c r="AE890" i="8"/>
  <c r="AG889" i="8"/>
  <c r="AH889" i="8" s="1"/>
  <c r="AF889" i="8"/>
  <c r="AE889" i="8"/>
  <c r="AG888" i="8"/>
  <c r="AH888" i="8" s="1"/>
  <c r="AF888" i="8"/>
  <c r="AE888" i="8"/>
  <c r="AG887" i="8"/>
  <c r="AH887" i="8" s="1"/>
  <c r="AF887" i="8"/>
  <c r="AE887" i="8"/>
  <c r="AG886" i="8"/>
  <c r="AH886" i="8" s="1"/>
  <c r="AF886" i="8"/>
  <c r="AE886" i="8"/>
  <c r="AG885" i="8"/>
  <c r="AH885" i="8" s="1"/>
  <c r="AF885" i="8"/>
  <c r="AE885" i="8"/>
  <c r="AG884" i="8"/>
  <c r="AH884" i="8" s="1"/>
  <c r="AF884" i="8"/>
  <c r="AE884" i="8"/>
  <c r="AG883" i="8"/>
  <c r="AH883" i="8" s="1"/>
  <c r="AF883" i="8"/>
  <c r="AE883" i="8"/>
  <c r="AG882" i="8"/>
  <c r="AH882" i="8" s="1"/>
  <c r="AF882" i="8"/>
  <c r="AE882" i="8"/>
  <c r="AG881" i="8"/>
  <c r="AH881" i="8" s="1"/>
  <c r="AF881" i="8"/>
  <c r="AE881" i="8"/>
  <c r="AG880" i="8"/>
  <c r="AH880" i="8" s="1"/>
  <c r="AF880" i="8"/>
  <c r="AE880" i="8"/>
  <c r="AG879" i="8"/>
  <c r="AH879" i="8" s="1"/>
  <c r="AF879" i="8"/>
  <c r="AE879" i="8"/>
  <c r="AG878" i="8"/>
  <c r="AH878" i="8" s="1"/>
  <c r="AF878" i="8"/>
  <c r="AE878" i="8"/>
  <c r="AG877" i="8"/>
  <c r="AH877" i="8" s="1"/>
  <c r="AF877" i="8"/>
  <c r="AE877" i="8"/>
  <c r="AG876" i="8"/>
  <c r="AH876" i="8" s="1"/>
  <c r="AF876" i="8"/>
  <c r="AE876" i="8"/>
  <c r="AG875" i="8"/>
  <c r="AH875" i="8" s="1"/>
  <c r="AF875" i="8"/>
  <c r="AE875" i="8"/>
  <c r="AG874" i="8"/>
  <c r="AH874" i="8" s="1"/>
  <c r="AF874" i="8"/>
  <c r="AE874" i="8"/>
  <c r="AG873" i="8"/>
  <c r="AH873" i="8" s="1"/>
  <c r="AF873" i="8"/>
  <c r="AE873" i="8"/>
  <c r="AG872" i="8"/>
  <c r="AH872" i="8" s="1"/>
  <c r="AF872" i="8"/>
  <c r="AE872" i="8"/>
  <c r="AG871" i="8"/>
  <c r="AH871" i="8" s="1"/>
  <c r="AF871" i="8"/>
  <c r="AE871" i="8"/>
  <c r="AG870" i="8"/>
  <c r="AH870" i="8" s="1"/>
  <c r="AF870" i="8"/>
  <c r="AE870" i="8"/>
  <c r="AG869" i="8"/>
  <c r="AH869" i="8" s="1"/>
  <c r="AF869" i="8"/>
  <c r="AE869" i="8"/>
  <c r="AG868" i="8"/>
  <c r="AH868" i="8" s="1"/>
  <c r="AF868" i="8"/>
  <c r="AE868" i="8"/>
  <c r="AG867" i="8"/>
  <c r="AH867" i="8" s="1"/>
  <c r="AF867" i="8"/>
  <c r="AE867" i="8"/>
  <c r="AG866" i="8"/>
  <c r="AH866" i="8" s="1"/>
  <c r="AF866" i="8"/>
  <c r="AE866" i="8"/>
  <c r="AG865" i="8"/>
  <c r="AH865" i="8" s="1"/>
  <c r="AF865" i="8"/>
  <c r="AE865" i="8"/>
  <c r="AG864" i="8"/>
  <c r="AH864" i="8" s="1"/>
  <c r="AF864" i="8"/>
  <c r="AE864" i="8"/>
  <c r="AG863" i="8"/>
  <c r="AH863" i="8" s="1"/>
  <c r="AF863" i="8"/>
  <c r="AE863" i="8"/>
  <c r="AG862" i="8"/>
  <c r="AH862" i="8" s="1"/>
  <c r="AF862" i="8"/>
  <c r="AE862" i="8"/>
  <c r="AG861" i="8"/>
  <c r="AH861" i="8" s="1"/>
  <c r="AF861" i="8"/>
  <c r="AE861" i="8"/>
  <c r="AG860" i="8"/>
  <c r="AH860" i="8" s="1"/>
  <c r="AF860" i="8"/>
  <c r="AE860" i="8"/>
  <c r="AG859" i="8"/>
  <c r="AH859" i="8" s="1"/>
  <c r="AF859" i="8"/>
  <c r="AE859" i="8"/>
  <c r="AG858" i="8"/>
  <c r="AH858" i="8" s="1"/>
  <c r="AF858" i="8"/>
  <c r="AE858" i="8"/>
  <c r="AG857" i="8"/>
  <c r="AH857" i="8" s="1"/>
  <c r="AF857" i="8"/>
  <c r="AE857" i="8"/>
  <c r="AG856" i="8"/>
  <c r="AH856" i="8" s="1"/>
  <c r="AF856" i="8"/>
  <c r="AE856" i="8"/>
  <c r="AG855" i="8"/>
  <c r="AH855" i="8" s="1"/>
  <c r="AF855" i="8"/>
  <c r="AE855" i="8"/>
  <c r="AG854" i="8"/>
  <c r="AH854" i="8" s="1"/>
  <c r="AF854" i="8"/>
  <c r="AE854" i="8"/>
  <c r="AG853" i="8"/>
  <c r="AH853" i="8" s="1"/>
  <c r="AF853" i="8"/>
  <c r="AE853" i="8"/>
  <c r="AG852" i="8"/>
  <c r="AH852" i="8" s="1"/>
  <c r="AF852" i="8"/>
  <c r="AE852" i="8"/>
  <c r="AG851" i="8"/>
  <c r="AH851" i="8" s="1"/>
  <c r="AF851" i="8"/>
  <c r="AE851" i="8"/>
  <c r="AG850" i="8"/>
  <c r="AH850" i="8" s="1"/>
  <c r="AF850" i="8"/>
  <c r="AE850" i="8"/>
  <c r="AG849" i="8"/>
  <c r="AH849" i="8" s="1"/>
  <c r="AF849" i="8"/>
  <c r="AE849" i="8"/>
  <c r="AG848" i="8"/>
  <c r="AH848" i="8" s="1"/>
  <c r="AF848" i="8"/>
  <c r="AE848" i="8"/>
  <c r="AG847" i="8"/>
  <c r="AH847" i="8" s="1"/>
  <c r="AF847" i="8"/>
  <c r="AE847" i="8"/>
  <c r="AG846" i="8"/>
  <c r="AH846" i="8" s="1"/>
  <c r="AF846" i="8"/>
  <c r="AE846" i="8"/>
  <c r="AG845" i="8"/>
  <c r="AH845" i="8" s="1"/>
  <c r="AF845" i="8"/>
  <c r="AE845" i="8"/>
  <c r="AG844" i="8"/>
  <c r="AH844" i="8" s="1"/>
  <c r="AF844" i="8"/>
  <c r="AE844" i="8"/>
  <c r="AG843" i="8"/>
  <c r="AH843" i="8" s="1"/>
  <c r="AF843" i="8"/>
  <c r="AE843" i="8"/>
  <c r="AG842" i="8"/>
  <c r="AH842" i="8" s="1"/>
  <c r="AF842" i="8"/>
  <c r="AE842" i="8"/>
  <c r="AG841" i="8"/>
  <c r="AH841" i="8" s="1"/>
  <c r="AF841" i="8"/>
  <c r="AE841" i="8"/>
  <c r="AG840" i="8"/>
  <c r="AH840" i="8" s="1"/>
  <c r="AF840" i="8"/>
  <c r="AE840" i="8"/>
  <c r="AG839" i="8"/>
  <c r="AH839" i="8" s="1"/>
  <c r="AF839" i="8"/>
  <c r="AE839" i="8"/>
  <c r="AG838" i="8"/>
  <c r="AH838" i="8" s="1"/>
  <c r="AF838" i="8"/>
  <c r="AE838" i="8"/>
  <c r="AG837" i="8"/>
  <c r="AH837" i="8" s="1"/>
  <c r="AF837" i="8"/>
  <c r="AE837" i="8"/>
  <c r="AG836" i="8"/>
  <c r="AH836" i="8" s="1"/>
  <c r="AF836" i="8"/>
  <c r="AE836" i="8"/>
  <c r="AG835" i="8"/>
  <c r="AH835" i="8" s="1"/>
  <c r="AF835" i="8"/>
  <c r="AE835" i="8"/>
  <c r="AG834" i="8"/>
  <c r="AH834" i="8" s="1"/>
  <c r="AF834" i="8"/>
  <c r="AE834" i="8"/>
  <c r="AG833" i="8"/>
  <c r="AH833" i="8" s="1"/>
  <c r="AF833" i="8"/>
  <c r="AE833" i="8"/>
  <c r="AG832" i="8"/>
  <c r="AH832" i="8" s="1"/>
  <c r="AF832" i="8"/>
  <c r="AE832" i="8"/>
  <c r="AG831" i="8"/>
  <c r="AH831" i="8" s="1"/>
  <c r="AF831" i="8"/>
  <c r="AE831" i="8"/>
  <c r="AG830" i="8"/>
  <c r="AH830" i="8" s="1"/>
  <c r="AF830" i="8"/>
  <c r="AE830" i="8"/>
  <c r="AG829" i="8"/>
  <c r="AH829" i="8" s="1"/>
  <c r="AF829" i="8"/>
  <c r="AE829" i="8"/>
  <c r="AG828" i="8"/>
  <c r="AH828" i="8" s="1"/>
  <c r="AF828" i="8"/>
  <c r="AE828" i="8"/>
  <c r="AG827" i="8"/>
  <c r="AH827" i="8" s="1"/>
  <c r="AF827" i="8"/>
  <c r="AE827" i="8"/>
  <c r="AG826" i="8"/>
  <c r="AH826" i="8" s="1"/>
  <c r="AF826" i="8"/>
  <c r="AE826" i="8"/>
  <c r="AG825" i="8"/>
  <c r="AH825" i="8" s="1"/>
  <c r="AF825" i="8"/>
  <c r="AE825" i="8"/>
  <c r="AG824" i="8"/>
  <c r="AH824" i="8" s="1"/>
  <c r="AF824" i="8"/>
  <c r="AE824" i="8"/>
  <c r="AG823" i="8"/>
  <c r="AH823" i="8" s="1"/>
  <c r="AF823" i="8"/>
  <c r="AE823" i="8"/>
  <c r="AG822" i="8"/>
  <c r="AH822" i="8" s="1"/>
  <c r="AF822" i="8"/>
  <c r="AE822" i="8"/>
  <c r="AG821" i="8"/>
  <c r="AH821" i="8" s="1"/>
  <c r="AF821" i="8"/>
  <c r="AE821" i="8"/>
  <c r="AG820" i="8"/>
  <c r="AH820" i="8" s="1"/>
  <c r="AF820" i="8"/>
  <c r="AE820" i="8"/>
  <c r="AG819" i="8"/>
  <c r="AH819" i="8" s="1"/>
  <c r="AF819" i="8"/>
  <c r="AE819" i="8"/>
  <c r="AG818" i="8"/>
  <c r="AH818" i="8" s="1"/>
  <c r="AF818" i="8"/>
  <c r="AE818" i="8"/>
  <c r="AG817" i="8"/>
  <c r="AH817" i="8" s="1"/>
  <c r="AF817" i="8"/>
  <c r="AE817" i="8"/>
  <c r="AG816" i="8"/>
  <c r="AH816" i="8" s="1"/>
  <c r="AF816" i="8"/>
  <c r="AE816" i="8"/>
  <c r="AG815" i="8"/>
  <c r="AH815" i="8" s="1"/>
  <c r="AF815" i="8"/>
  <c r="AE815" i="8"/>
  <c r="AG814" i="8"/>
  <c r="AH814" i="8" s="1"/>
  <c r="AF814" i="8"/>
  <c r="AE814" i="8"/>
  <c r="AG813" i="8"/>
  <c r="AH813" i="8" s="1"/>
  <c r="AF813" i="8"/>
  <c r="AE813" i="8"/>
  <c r="AG812" i="8"/>
  <c r="AH812" i="8" s="1"/>
  <c r="AF812" i="8"/>
  <c r="AE812" i="8"/>
  <c r="AG811" i="8"/>
  <c r="AH811" i="8" s="1"/>
  <c r="AF811" i="8"/>
  <c r="AE811" i="8"/>
  <c r="AG810" i="8"/>
  <c r="AH810" i="8" s="1"/>
  <c r="AF810" i="8"/>
  <c r="AE810" i="8"/>
  <c r="AG809" i="8"/>
  <c r="AH809" i="8" s="1"/>
  <c r="AF809" i="8"/>
  <c r="AE809" i="8"/>
  <c r="AG808" i="8"/>
  <c r="AH808" i="8" s="1"/>
  <c r="AF808" i="8"/>
  <c r="AE808" i="8"/>
  <c r="AG807" i="8"/>
  <c r="AH807" i="8" s="1"/>
  <c r="AF807" i="8"/>
  <c r="AE807" i="8"/>
  <c r="AG806" i="8"/>
  <c r="AH806" i="8" s="1"/>
  <c r="AF806" i="8"/>
  <c r="AE806" i="8"/>
  <c r="AG805" i="8"/>
  <c r="AH805" i="8" s="1"/>
  <c r="AF805" i="8"/>
  <c r="AE805" i="8"/>
  <c r="AG804" i="8"/>
  <c r="AH804" i="8" s="1"/>
  <c r="AF804" i="8"/>
  <c r="AE804" i="8"/>
  <c r="AG803" i="8"/>
  <c r="AH803" i="8" s="1"/>
  <c r="AF803" i="8"/>
  <c r="AE803" i="8"/>
  <c r="AG802" i="8"/>
  <c r="AH802" i="8" s="1"/>
  <c r="AF802" i="8"/>
  <c r="AE802" i="8"/>
  <c r="AG801" i="8"/>
  <c r="AH801" i="8" s="1"/>
  <c r="AF801" i="8"/>
  <c r="AE801" i="8"/>
  <c r="AG800" i="8"/>
  <c r="AH800" i="8" s="1"/>
  <c r="AF800" i="8"/>
  <c r="AE800" i="8"/>
  <c r="AG799" i="8"/>
  <c r="AH799" i="8" s="1"/>
  <c r="AF799" i="8"/>
  <c r="AE799" i="8"/>
  <c r="AG798" i="8"/>
  <c r="AH798" i="8" s="1"/>
  <c r="AF798" i="8"/>
  <c r="AE798" i="8"/>
  <c r="AG797" i="8"/>
  <c r="AH797" i="8" s="1"/>
  <c r="AF797" i="8"/>
  <c r="AE797" i="8"/>
  <c r="AG796" i="8"/>
  <c r="AH796" i="8" s="1"/>
  <c r="AF796" i="8"/>
  <c r="AE796" i="8"/>
  <c r="AG795" i="8"/>
  <c r="AH795" i="8" s="1"/>
  <c r="AF795" i="8"/>
  <c r="AE795" i="8"/>
  <c r="AG794" i="8"/>
  <c r="AH794" i="8" s="1"/>
  <c r="AF794" i="8"/>
  <c r="AE794" i="8"/>
  <c r="AG793" i="8"/>
  <c r="AH793" i="8" s="1"/>
  <c r="AF793" i="8"/>
  <c r="AE793" i="8"/>
  <c r="AG792" i="8"/>
  <c r="AH792" i="8" s="1"/>
  <c r="AF792" i="8"/>
  <c r="AE792" i="8"/>
  <c r="AG791" i="8"/>
  <c r="AH791" i="8" s="1"/>
  <c r="AF791" i="8"/>
  <c r="AE791" i="8"/>
  <c r="AG790" i="8"/>
  <c r="AH790" i="8" s="1"/>
  <c r="AF790" i="8"/>
  <c r="AE790" i="8"/>
  <c r="AG789" i="8"/>
  <c r="AH789" i="8" s="1"/>
  <c r="AF789" i="8"/>
  <c r="AE789" i="8"/>
  <c r="AG788" i="8"/>
  <c r="AH788" i="8" s="1"/>
  <c r="AF788" i="8"/>
  <c r="AE788" i="8"/>
  <c r="AG787" i="8"/>
  <c r="AH787" i="8" s="1"/>
  <c r="AF787" i="8"/>
  <c r="AE787" i="8"/>
  <c r="AG786" i="8"/>
  <c r="AH786" i="8" s="1"/>
  <c r="AF786" i="8"/>
  <c r="AE786" i="8"/>
  <c r="AG785" i="8"/>
  <c r="AH785" i="8" s="1"/>
  <c r="AF785" i="8"/>
  <c r="AE785" i="8"/>
  <c r="AG784" i="8"/>
  <c r="AH784" i="8" s="1"/>
  <c r="AF784" i="8"/>
  <c r="AE784" i="8"/>
  <c r="AG783" i="8"/>
  <c r="AH783" i="8" s="1"/>
  <c r="AF783" i="8"/>
  <c r="AE783" i="8"/>
  <c r="AG782" i="8"/>
  <c r="AH782" i="8" s="1"/>
  <c r="AF782" i="8"/>
  <c r="AE782" i="8"/>
  <c r="AG781" i="8"/>
  <c r="AH781" i="8" s="1"/>
  <c r="AF781" i="8"/>
  <c r="AE781" i="8"/>
  <c r="AG780" i="8"/>
  <c r="AH780" i="8" s="1"/>
  <c r="AF780" i="8"/>
  <c r="AE780" i="8"/>
  <c r="AG779" i="8"/>
  <c r="AH779" i="8" s="1"/>
  <c r="AF779" i="8"/>
  <c r="AE779" i="8"/>
  <c r="AG778" i="8"/>
  <c r="AH778" i="8" s="1"/>
  <c r="AF778" i="8"/>
  <c r="AE778" i="8"/>
  <c r="AG777" i="8"/>
  <c r="AH777" i="8" s="1"/>
  <c r="AF777" i="8"/>
  <c r="AE777" i="8"/>
  <c r="AG776" i="8"/>
  <c r="AH776" i="8" s="1"/>
  <c r="AF776" i="8"/>
  <c r="AE776" i="8"/>
  <c r="AG775" i="8"/>
  <c r="AH775" i="8" s="1"/>
  <c r="AF775" i="8"/>
  <c r="AE775" i="8"/>
  <c r="AG774" i="8"/>
  <c r="AH774" i="8" s="1"/>
  <c r="AF774" i="8"/>
  <c r="AE774" i="8"/>
  <c r="AG773" i="8"/>
  <c r="AH773" i="8" s="1"/>
  <c r="AF773" i="8"/>
  <c r="AE773" i="8"/>
  <c r="AG772" i="8"/>
  <c r="AH772" i="8" s="1"/>
  <c r="AF772" i="8"/>
  <c r="AE772" i="8"/>
  <c r="AG771" i="8"/>
  <c r="AH771" i="8" s="1"/>
  <c r="AF771" i="8"/>
  <c r="AE771" i="8"/>
  <c r="AG770" i="8"/>
  <c r="AH770" i="8" s="1"/>
  <c r="AF770" i="8"/>
  <c r="AE770" i="8"/>
  <c r="AG769" i="8"/>
  <c r="AH769" i="8" s="1"/>
  <c r="AF769" i="8"/>
  <c r="AE769" i="8"/>
  <c r="AG768" i="8"/>
  <c r="AH768" i="8" s="1"/>
  <c r="AF768" i="8"/>
  <c r="AE768" i="8"/>
  <c r="AG767" i="8"/>
  <c r="AH767" i="8" s="1"/>
  <c r="AF767" i="8"/>
  <c r="AE767" i="8"/>
  <c r="AG766" i="8"/>
  <c r="AH766" i="8" s="1"/>
  <c r="AF766" i="8"/>
  <c r="AE766" i="8"/>
  <c r="AG765" i="8"/>
  <c r="AH765" i="8" s="1"/>
  <c r="AF765" i="8"/>
  <c r="AE765" i="8"/>
  <c r="AG764" i="8"/>
  <c r="AH764" i="8" s="1"/>
  <c r="AF764" i="8"/>
  <c r="AE764" i="8"/>
  <c r="AG763" i="8"/>
  <c r="AH763" i="8" s="1"/>
  <c r="AF763" i="8"/>
  <c r="AE763" i="8"/>
  <c r="AG762" i="8"/>
  <c r="AH762" i="8" s="1"/>
  <c r="AF762" i="8"/>
  <c r="AE762" i="8"/>
  <c r="AG761" i="8"/>
  <c r="AH761" i="8" s="1"/>
  <c r="AF761" i="8"/>
  <c r="AE761" i="8"/>
  <c r="AG760" i="8"/>
  <c r="AH760" i="8" s="1"/>
  <c r="AF760" i="8"/>
  <c r="AE760" i="8"/>
  <c r="AG759" i="8"/>
  <c r="AH759" i="8" s="1"/>
  <c r="AF759" i="8"/>
  <c r="AE759" i="8"/>
  <c r="AG758" i="8"/>
  <c r="AH758" i="8" s="1"/>
  <c r="AF758" i="8"/>
  <c r="AE758" i="8"/>
  <c r="AG757" i="8"/>
  <c r="AH757" i="8" s="1"/>
  <c r="AF757" i="8"/>
  <c r="AE757" i="8"/>
  <c r="AG756" i="8"/>
  <c r="AH756" i="8" s="1"/>
  <c r="AF756" i="8"/>
  <c r="AE756" i="8"/>
  <c r="AG755" i="8"/>
  <c r="AH755" i="8" s="1"/>
  <c r="AF755" i="8"/>
  <c r="AE755" i="8"/>
  <c r="AG754" i="8"/>
  <c r="AH754" i="8" s="1"/>
  <c r="AF754" i="8"/>
  <c r="AE754" i="8"/>
  <c r="AG753" i="8"/>
  <c r="AH753" i="8" s="1"/>
  <c r="AF753" i="8"/>
  <c r="AE753" i="8"/>
  <c r="AG752" i="8"/>
  <c r="AH752" i="8" s="1"/>
  <c r="AF752" i="8"/>
  <c r="AE752" i="8"/>
  <c r="AG751" i="8"/>
  <c r="AH751" i="8" s="1"/>
  <c r="AF751" i="8"/>
  <c r="AE751" i="8"/>
  <c r="AG750" i="8"/>
  <c r="AH750" i="8" s="1"/>
  <c r="AF750" i="8"/>
  <c r="AE750" i="8"/>
  <c r="AG749" i="8"/>
  <c r="AH749" i="8" s="1"/>
  <c r="AF749" i="8"/>
  <c r="AE749" i="8"/>
  <c r="AG748" i="8"/>
  <c r="AH748" i="8" s="1"/>
  <c r="AF748" i="8"/>
  <c r="AE748" i="8"/>
  <c r="AG747" i="8"/>
  <c r="AH747" i="8" s="1"/>
  <c r="AF747" i="8"/>
  <c r="AE747" i="8"/>
  <c r="AG746" i="8"/>
  <c r="AH746" i="8" s="1"/>
  <c r="AF746" i="8"/>
  <c r="AE746" i="8"/>
  <c r="AG745" i="8"/>
  <c r="AH745" i="8" s="1"/>
  <c r="AF745" i="8"/>
  <c r="AE745" i="8"/>
  <c r="AG744" i="8"/>
  <c r="AH744" i="8" s="1"/>
  <c r="AF744" i="8"/>
  <c r="AE744" i="8"/>
  <c r="AG743" i="8"/>
  <c r="AH743" i="8" s="1"/>
  <c r="AF743" i="8"/>
  <c r="AE743" i="8"/>
  <c r="AG742" i="8"/>
  <c r="AH742" i="8" s="1"/>
  <c r="AF742" i="8"/>
  <c r="AE742" i="8"/>
  <c r="AG741" i="8"/>
  <c r="AH741" i="8" s="1"/>
  <c r="AF741" i="8"/>
  <c r="AE741" i="8"/>
  <c r="AG740" i="8"/>
  <c r="AH740" i="8" s="1"/>
  <c r="AF740" i="8"/>
  <c r="AE740" i="8"/>
  <c r="AG739" i="8"/>
  <c r="AH739" i="8" s="1"/>
  <c r="AF739" i="8"/>
  <c r="AE739" i="8"/>
  <c r="AG738" i="8"/>
  <c r="AH738" i="8" s="1"/>
  <c r="AF738" i="8"/>
  <c r="AE738" i="8"/>
  <c r="AG737" i="8"/>
  <c r="AH737" i="8" s="1"/>
  <c r="AF737" i="8"/>
  <c r="AE737" i="8"/>
  <c r="AG736" i="8"/>
  <c r="AH736" i="8" s="1"/>
  <c r="AF736" i="8"/>
  <c r="AE736" i="8"/>
  <c r="AG735" i="8"/>
  <c r="AH735" i="8" s="1"/>
  <c r="AF735" i="8"/>
  <c r="AE735" i="8"/>
  <c r="AG734" i="8"/>
  <c r="AH734" i="8" s="1"/>
  <c r="AF734" i="8"/>
  <c r="AE734" i="8"/>
  <c r="AG733" i="8"/>
  <c r="AH733" i="8" s="1"/>
  <c r="AF733" i="8"/>
  <c r="AE733" i="8"/>
  <c r="AG732" i="8"/>
  <c r="AH732" i="8" s="1"/>
  <c r="AF732" i="8"/>
  <c r="AE732" i="8"/>
  <c r="AG731" i="8"/>
  <c r="AH731" i="8" s="1"/>
  <c r="AF731" i="8"/>
  <c r="AE731" i="8"/>
  <c r="AG730" i="8"/>
  <c r="AH730" i="8" s="1"/>
  <c r="AF730" i="8"/>
  <c r="AE730" i="8"/>
  <c r="AG729" i="8"/>
  <c r="AH729" i="8" s="1"/>
  <c r="AF729" i="8"/>
  <c r="AE729" i="8"/>
  <c r="AG728" i="8"/>
  <c r="AH728" i="8" s="1"/>
  <c r="AF728" i="8"/>
  <c r="AE728" i="8"/>
  <c r="AG727" i="8"/>
  <c r="AH727" i="8" s="1"/>
  <c r="AF727" i="8"/>
  <c r="AE727" i="8"/>
  <c r="AG726" i="8"/>
  <c r="AH726" i="8" s="1"/>
  <c r="AF726" i="8"/>
  <c r="AE726" i="8"/>
  <c r="AG725" i="8"/>
  <c r="AH725" i="8" s="1"/>
  <c r="AF725" i="8"/>
  <c r="AE725" i="8"/>
  <c r="AG724" i="8"/>
  <c r="AH724" i="8" s="1"/>
  <c r="AF724" i="8"/>
  <c r="AE724" i="8"/>
  <c r="AG723" i="8"/>
  <c r="AH723" i="8" s="1"/>
  <c r="AF723" i="8"/>
  <c r="AE723" i="8"/>
  <c r="AG722" i="8"/>
  <c r="AH722" i="8" s="1"/>
  <c r="AF722" i="8"/>
  <c r="AE722" i="8"/>
  <c r="AG721" i="8"/>
  <c r="AH721" i="8" s="1"/>
  <c r="AF721" i="8"/>
  <c r="AE721" i="8"/>
  <c r="AG720" i="8"/>
  <c r="AH720" i="8" s="1"/>
  <c r="AF720" i="8"/>
  <c r="AE720" i="8"/>
  <c r="AG719" i="8"/>
  <c r="AH719" i="8" s="1"/>
  <c r="AF719" i="8"/>
  <c r="AE719" i="8"/>
  <c r="AG718" i="8"/>
  <c r="AH718" i="8" s="1"/>
  <c r="AF718" i="8"/>
  <c r="AE718" i="8"/>
  <c r="AG717" i="8"/>
  <c r="AH717" i="8" s="1"/>
  <c r="AF717" i="8"/>
  <c r="AE717" i="8"/>
  <c r="AG716" i="8"/>
  <c r="AH716" i="8" s="1"/>
  <c r="AF716" i="8"/>
  <c r="AE716" i="8"/>
  <c r="AG715" i="8"/>
  <c r="AH715" i="8" s="1"/>
  <c r="AF715" i="8"/>
  <c r="AE715" i="8"/>
  <c r="AG714" i="8"/>
  <c r="AH714" i="8" s="1"/>
  <c r="AF714" i="8"/>
  <c r="AE714" i="8"/>
  <c r="AG713" i="8"/>
  <c r="AH713" i="8" s="1"/>
  <c r="AF713" i="8"/>
  <c r="AE713" i="8"/>
  <c r="AG712" i="8"/>
  <c r="AH712" i="8" s="1"/>
  <c r="AF712" i="8"/>
  <c r="AE712" i="8"/>
  <c r="AG711" i="8"/>
  <c r="AH711" i="8" s="1"/>
  <c r="AF711" i="8"/>
  <c r="AE711" i="8"/>
  <c r="AG710" i="8"/>
  <c r="AH710" i="8" s="1"/>
  <c r="AF710" i="8"/>
  <c r="AE710" i="8"/>
  <c r="AG709" i="8"/>
  <c r="AH709" i="8" s="1"/>
  <c r="AF709" i="8"/>
  <c r="AE709" i="8"/>
  <c r="AG708" i="8"/>
  <c r="AH708" i="8" s="1"/>
  <c r="AF708" i="8"/>
  <c r="AE708" i="8"/>
  <c r="AG707" i="8"/>
  <c r="AH707" i="8" s="1"/>
  <c r="AF707" i="8"/>
  <c r="AE707" i="8"/>
  <c r="AG706" i="8"/>
  <c r="AH706" i="8" s="1"/>
  <c r="AF706" i="8"/>
  <c r="AE706" i="8"/>
  <c r="AG705" i="8"/>
  <c r="AH705" i="8" s="1"/>
  <c r="AF705" i="8"/>
  <c r="AE705" i="8"/>
  <c r="AG704" i="8"/>
  <c r="AH704" i="8" s="1"/>
  <c r="AF704" i="8"/>
  <c r="AE704" i="8"/>
  <c r="AG703" i="8"/>
  <c r="AH703" i="8" s="1"/>
  <c r="AF703" i="8"/>
  <c r="AE703" i="8"/>
  <c r="AG702" i="8"/>
  <c r="AH702" i="8" s="1"/>
  <c r="AF702" i="8"/>
  <c r="AE702" i="8"/>
  <c r="AG701" i="8"/>
  <c r="AH701" i="8" s="1"/>
  <c r="AF701" i="8"/>
  <c r="AE701" i="8"/>
  <c r="AG700" i="8"/>
  <c r="AH700" i="8" s="1"/>
  <c r="AF700" i="8"/>
  <c r="AE700" i="8"/>
  <c r="AG699" i="8"/>
  <c r="AH699" i="8" s="1"/>
  <c r="AF699" i="8"/>
  <c r="AE699" i="8"/>
  <c r="AG698" i="8"/>
  <c r="AH698" i="8" s="1"/>
  <c r="AF698" i="8"/>
  <c r="AE698" i="8"/>
  <c r="AG697" i="8"/>
  <c r="AH697" i="8" s="1"/>
  <c r="AF697" i="8"/>
  <c r="AE697" i="8"/>
  <c r="AG696" i="8"/>
  <c r="AH696" i="8" s="1"/>
  <c r="AF696" i="8"/>
  <c r="AE696" i="8"/>
  <c r="AG695" i="8"/>
  <c r="AH695" i="8" s="1"/>
  <c r="AF695" i="8"/>
  <c r="AE695" i="8"/>
  <c r="AG694" i="8"/>
  <c r="AH694" i="8" s="1"/>
  <c r="AF694" i="8"/>
  <c r="AE694" i="8"/>
  <c r="AG693" i="8"/>
  <c r="AH693" i="8" s="1"/>
  <c r="AF693" i="8"/>
  <c r="AE693" i="8"/>
  <c r="AG692" i="8"/>
  <c r="AH692" i="8" s="1"/>
  <c r="AF692" i="8"/>
  <c r="AE692" i="8"/>
  <c r="AG691" i="8"/>
  <c r="AH691" i="8" s="1"/>
  <c r="AF691" i="8"/>
  <c r="AE691" i="8"/>
  <c r="AG690" i="8"/>
  <c r="AH690" i="8" s="1"/>
  <c r="AF690" i="8"/>
  <c r="AE690" i="8"/>
  <c r="AG689" i="8"/>
  <c r="AH689" i="8" s="1"/>
  <c r="AF689" i="8"/>
  <c r="AE689" i="8"/>
  <c r="AG688" i="8"/>
  <c r="AH688" i="8" s="1"/>
  <c r="AF688" i="8"/>
  <c r="AE688" i="8"/>
  <c r="AG687" i="8"/>
  <c r="AH687" i="8" s="1"/>
  <c r="AF687" i="8"/>
  <c r="AE687" i="8"/>
  <c r="AG686" i="8"/>
  <c r="AH686" i="8" s="1"/>
  <c r="AF686" i="8"/>
  <c r="AE686" i="8"/>
  <c r="AG685" i="8"/>
  <c r="AH685" i="8" s="1"/>
  <c r="AF685" i="8"/>
  <c r="AE685" i="8"/>
  <c r="AG684" i="8"/>
  <c r="AH684" i="8" s="1"/>
  <c r="AF684" i="8"/>
  <c r="AE684" i="8"/>
  <c r="AG683" i="8"/>
  <c r="AH683" i="8" s="1"/>
  <c r="AF683" i="8"/>
  <c r="AE683" i="8"/>
  <c r="AG682" i="8"/>
  <c r="AH682" i="8" s="1"/>
  <c r="AF682" i="8"/>
  <c r="AE682" i="8"/>
  <c r="AG681" i="8"/>
  <c r="AH681" i="8" s="1"/>
  <c r="AF681" i="8"/>
  <c r="AE681" i="8"/>
  <c r="AG680" i="8"/>
  <c r="AH680" i="8" s="1"/>
  <c r="AF680" i="8"/>
  <c r="AE680" i="8"/>
  <c r="AG679" i="8"/>
  <c r="AH679" i="8" s="1"/>
  <c r="AF679" i="8"/>
  <c r="AE679" i="8"/>
  <c r="AG678" i="8"/>
  <c r="AH678" i="8" s="1"/>
  <c r="AF678" i="8"/>
  <c r="AE678" i="8"/>
  <c r="AG677" i="8"/>
  <c r="AH677" i="8" s="1"/>
  <c r="AF677" i="8"/>
  <c r="AE677" i="8"/>
  <c r="AG676" i="8"/>
  <c r="AH676" i="8" s="1"/>
  <c r="AF676" i="8"/>
  <c r="AE676" i="8"/>
  <c r="AG675" i="8"/>
  <c r="AH675" i="8" s="1"/>
  <c r="AF675" i="8"/>
  <c r="AE675" i="8"/>
  <c r="AG674" i="8"/>
  <c r="AH674" i="8" s="1"/>
  <c r="AF674" i="8"/>
  <c r="AE674" i="8"/>
  <c r="AG673" i="8"/>
  <c r="AH673" i="8" s="1"/>
  <c r="AF673" i="8"/>
  <c r="AE673" i="8"/>
  <c r="AG672" i="8"/>
  <c r="AH672" i="8" s="1"/>
  <c r="AF672" i="8"/>
  <c r="AE672" i="8"/>
  <c r="AG671" i="8"/>
  <c r="AH671" i="8" s="1"/>
  <c r="AF671" i="8"/>
  <c r="AE671" i="8"/>
  <c r="AG670" i="8"/>
  <c r="AH670" i="8" s="1"/>
  <c r="AF670" i="8"/>
  <c r="AE670" i="8"/>
  <c r="AG669" i="8"/>
  <c r="AH669" i="8" s="1"/>
  <c r="AF669" i="8"/>
  <c r="AE669" i="8"/>
  <c r="AG668" i="8"/>
  <c r="AH668" i="8" s="1"/>
  <c r="AF668" i="8"/>
  <c r="AE668" i="8"/>
  <c r="AG667" i="8"/>
  <c r="AH667" i="8" s="1"/>
  <c r="AF667" i="8"/>
  <c r="AE667" i="8"/>
  <c r="AG666" i="8"/>
  <c r="AH666" i="8" s="1"/>
  <c r="AF666" i="8"/>
  <c r="AE666" i="8"/>
  <c r="AG665" i="8"/>
  <c r="AH665" i="8" s="1"/>
  <c r="AF665" i="8"/>
  <c r="AE665" i="8"/>
  <c r="AG664" i="8"/>
  <c r="AH664" i="8" s="1"/>
  <c r="AF664" i="8"/>
  <c r="AE664" i="8"/>
  <c r="AG663" i="8"/>
  <c r="AH663" i="8" s="1"/>
  <c r="AF663" i="8"/>
  <c r="AE663" i="8"/>
  <c r="AG662" i="8"/>
  <c r="AH662" i="8" s="1"/>
  <c r="AF662" i="8"/>
  <c r="AE662" i="8"/>
  <c r="AG661" i="8"/>
  <c r="AH661" i="8" s="1"/>
  <c r="AF661" i="8"/>
  <c r="AE661" i="8"/>
  <c r="AG660" i="8"/>
  <c r="AH660" i="8" s="1"/>
  <c r="AF660" i="8"/>
  <c r="AE660" i="8"/>
  <c r="AG659" i="8"/>
  <c r="AH659" i="8" s="1"/>
  <c r="AF659" i="8"/>
  <c r="AE659" i="8"/>
  <c r="AG658" i="8"/>
  <c r="AH658" i="8" s="1"/>
  <c r="AF658" i="8"/>
  <c r="AE658" i="8"/>
  <c r="AG657" i="8"/>
  <c r="AH657" i="8" s="1"/>
  <c r="AF657" i="8"/>
  <c r="AE657" i="8"/>
  <c r="AG656" i="8"/>
  <c r="AH656" i="8" s="1"/>
  <c r="AF656" i="8"/>
  <c r="AE656" i="8"/>
  <c r="AG655" i="8"/>
  <c r="AH655" i="8" s="1"/>
  <c r="AF655" i="8"/>
  <c r="AE655" i="8"/>
  <c r="AG654" i="8"/>
  <c r="AH654" i="8" s="1"/>
  <c r="AF654" i="8"/>
  <c r="AE654" i="8"/>
  <c r="AG653" i="8"/>
  <c r="AH653" i="8" s="1"/>
  <c r="AF653" i="8"/>
  <c r="AE653" i="8"/>
  <c r="AG652" i="8"/>
  <c r="AH652" i="8" s="1"/>
  <c r="AF652" i="8"/>
  <c r="AE652" i="8"/>
  <c r="AG651" i="8"/>
  <c r="AH651" i="8" s="1"/>
  <c r="AF651" i="8"/>
  <c r="AE651" i="8"/>
  <c r="AG650" i="8"/>
  <c r="AH650" i="8" s="1"/>
  <c r="AF650" i="8"/>
  <c r="AE650" i="8"/>
  <c r="AG649" i="8"/>
  <c r="AH649" i="8" s="1"/>
  <c r="AF649" i="8"/>
  <c r="AE649" i="8"/>
  <c r="AG648" i="8"/>
  <c r="AH648" i="8" s="1"/>
  <c r="AF648" i="8"/>
  <c r="AE648" i="8"/>
  <c r="AG647" i="8"/>
  <c r="AH647" i="8" s="1"/>
  <c r="AF647" i="8"/>
  <c r="AE647" i="8"/>
  <c r="AG646" i="8"/>
  <c r="AH646" i="8" s="1"/>
  <c r="AF646" i="8"/>
  <c r="AE646" i="8"/>
  <c r="AG645" i="8"/>
  <c r="AH645" i="8" s="1"/>
  <c r="AF645" i="8"/>
  <c r="AE645" i="8"/>
  <c r="AG644" i="8"/>
  <c r="AH644" i="8" s="1"/>
  <c r="AF644" i="8"/>
  <c r="AE644" i="8"/>
  <c r="AG643" i="8"/>
  <c r="AH643" i="8" s="1"/>
  <c r="AF643" i="8"/>
  <c r="AE643" i="8"/>
  <c r="AG642" i="8"/>
  <c r="AH642" i="8" s="1"/>
  <c r="AF642" i="8"/>
  <c r="AE642" i="8"/>
  <c r="AG641" i="8"/>
  <c r="AH641" i="8" s="1"/>
  <c r="AF641" i="8"/>
  <c r="AE641" i="8"/>
  <c r="AG640" i="8"/>
  <c r="AH640" i="8" s="1"/>
  <c r="AF640" i="8"/>
  <c r="AE640" i="8"/>
  <c r="AG639" i="8"/>
  <c r="AH639" i="8" s="1"/>
  <c r="AF639" i="8"/>
  <c r="AE639" i="8"/>
  <c r="AG638" i="8"/>
  <c r="AH638" i="8" s="1"/>
  <c r="AF638" i="8"/>
  <c r="AE638" i="8"/>
  <c r="AG637" i="8"/>
  <c r="AH637" i="8" s="1"/>
  <c r="AF637" i="8"/>
  <c r="AE637" i="8"/>
  <c r="AG636" i="8"/>
  <c r="AH636" i="8" s="1"/>
  <c r="AF636" i="8"/>
  <c r="AE636" i="8"/>
  <c r="AG635" i="8"/>
  <c r="AH635" i="8" s="1"/>
  <c r="AF635" i="8"/>
  <c r="AE635" i="8"/>
  <c r="AG634" i="8"/>
  <c r="AH634" i="8" s="1"/>
  <c r="AF634" i="8"/>
  <c r="AE634" i="8"/>
  <c r="AG633" i="8"/>
  <c r="AH633" i="8" s="1"/>
  <c r="AF633" i="8"/>
  <c r="AE633" i="8"/>
  <c r="AG632" i="8"/>
  <c r="AH632" i="8" s="1"/>
  <c r="AF632" i="8"/>
  <c r="AE632" i="8"/>
  <c r="AG631" i="8"/>
  <c r="AH631" i="8" s="1"/>
  <c r="AF631" i="8"/>
  <c r="AE631" i="8"/>
  <c r="AG630" i="8"/>
  <c r="AH630" i="8" s="1"/>
  <c r="AF630" i="8"/>
  <c r="AE630" i="8"/>
  <c r="AG629" i="8"/>
  <c r="AH629" i="8" s="1"/>
  <c r="AF629" i="8"/>
  <c r="AE629" i="8"/>
  <c r="AG628" i="8"/>
  <c r="AH628" i="8" s="1"/>
  <c r="AF628" i="8"/>
  <c r="AE628" i="8"/>
  <c r="AG627" i="8"/>
  <c r="AH627" i="8" s="1"/>
  <c r="AF627" i="8"/>
  <c r="AE627" i="8"/>
  <c r="AG626" i="8"/>
  <c r="AH626" i="8" s="1"/>
  <c r="AF626" i="8"/>
  <c r="AE626" i="8"/>
  <c r="AG625" i="8"/>
  <c r="AH625" i="8" s="1"/>
  <c r="AF625" i="8"/>
  <c r="AE625" i="8"/>
  <c r="AG624" i="8"/>
  <c r="AH624" i="8" s="1"/>
  <c r="AF624" i="8"/>
  <c r="AE624" i="8"/>
  <c r="AG623" i="8"/>
  <c r="AH623" i="8" s="1"/>
  <c r="AF623" i="8"/>
  <c r="AE623" i="8"/>
  <c r="AG622" i="8"/>
  <c r="AH622" i="8" s="1"/>
  <c r="AF622" i="8"/>
  <c r="AE622" i="8"/>
  <c r="AG621" i="8"/>
  <c r="AH621" i="8" s="1"/>
  <c r="AF621" i="8"/>
  <c r="AE621" i="8"/>
  <c r="AG620" i="8"/>
  <c r="AH620" i="8" s="1"/>
  <c r="AF620" i="8"/>
  <c r="AE620" i="8"/>
  <c r="AG619" i="8"/>
  <c r="AH619" i="8" s="1"/>
  <c r="AF619" i="8"/>
  <c r="AE619" i="8"/>
  <c r="AG618" i="8"/>
  <c r="AH618" i="8" s="1"/>
  <c r="AF618" i="8"/>
  <c r="AE618" i="8"/>
  <c r="AG617" i="8"/>
  <c r="AH617" i="8" s="1"/>
  <c r="AF617" i="8"/>
  <c r="AE617" i="8"/>
  <c r="AG616" i="8"/>
  <c r="AH616" i="8" s="1"/>
  <c r="AF616" i="8"/>
  <c r="AE616" i="8"/>
  <c r="AG615" i="8"/>
  <c r="AH615" i="8" s="1"/>
  <c r="AF615" i="8"/>
  <c r="AE615" i="8"/>
  <c r="AG614" i="8"/>
  <c r="AH614" i="8" s="1"/>
  <c r="AF614" i="8"/>
  <c r="AE614" i="8"/>
  <c r="AG613" i="8"/>
  <c r="AH613" i="8" s="1"/>
  <c r="AF613" i="8"/>
  <c r="AE613" i="8"/>
  <c r="AG612" i="8"/>
  <c r="AH612" i="8" s="1"/>
  <c r="AF612" i="8"/>
  <c r="AE612" i="8"/>
  <c r="AG611" i="8"/>
  <c r="AH611" i="8" s="1"/>
  <c r="AF611" i="8"/>
  <c r="AE611" i="8"/>
  <c r="AG610" i="8"/>
  <c r="AH610" i="8" s="1"/>
  <c r="AF610" i="8"/>
  <c r="AE610" i="8"/>
  <c r="AG609" i="8"/>
  <c r="AH609" i="8" s="1"/>
  <c r="AF609" i="8"/>
  <c r="AE609" i="8"/>
  <c r="AG608" i="8"/>
  <c r="AH608" i="8" s="1"/>
  <c r="AF608" i="8"/>
  <c r="AE608" i="8"/>
  <c r="AG607" i="8"/>
  <c r="AH607" i="8" s="1"/>
  <c r="AF607" i="8"/>
  <c r="AE607" i="8"/>
  <c r="AG606" i="8"/>
  <c r="AH606" i="8" s="1"/>
  <c r="AF606" i="8"/>
  <c r="AE606" i="8"/>
  <c r="AG605" i="8"/>
  <c r="AH605" i="8" s="1"/>
  <c r="AF605" i="8"/>
  <c r="AE605" i="8"/>
  <c r="AG604" i="8"/>
  <c r="AH604" i="8" s="1"/>
  <c r="AF604" i="8"/>
  <c r="AE604" i="8"/>
  <c r="AG603" i="8"/>
  <c r="AH603" i="8" s="1"/>
  <c r="AF603" i="8"/>
  <c r="AE603" i="8"/>
  <c r="AG602" i="8"/>
  <c r="AH602" i="8" s="1"/>
  <c r="AF602" i="8"/>
  <c r="AE602" i="8"/>
  <c r="AG601" i="8"/>
  <c r="AH601" i="8" s="1"/>
  <c r="AF601" i="8"/>
  <c r="AE601" i="8"/>
  <c r="AG600" i="8"/>
  <c r="AH600" i="8" s="1"/>
  <c r="AF600" i="8"/>
  <c r="AE600" i="8"/>
  <c r="AG599" i="8"/>
  <c r="AH599" i="8" s="1"/>
  <c r="AF599" i="8"/>
  <c r="AE599" i="8"/>
  <c r="AG598" i="8"/>
  <c r="AH598" i="8" s="1"/>
  <c r="AF598" i="8"/>
  <c r="AE598" i="8"/>
  <c r="AG597" i="8"/>
  <c r="AH597" i="8" s="1"/>
  <c r="AF597" i="8"/>
  <c r="AE597" i="8"/>
  <c r="AG596" i="8"/>
  <c r="AH596" i="8" s="1"/>
  <c r="AF596" i="8"/>
  <c r="AE596" i="8"/>
  <c r="AG595" i="8"/>
  <c r="AH595" i="8" s="1"/>
  <c r="AF595" i="8"/>
  <c r="AE595" i="8"/>
  <c r="AG594" i="8"/>
  <c r="AH594" i="8" s="1"/>
  <c r="AF594" i="8"/>
  <c r="AE594" i="8"/>
  <c r="AG593" i="8"/>
  <c r="AH593" i="8" s="1"/>
  <c r="AF593" i="8"/>
  <c r="AE593" i="8"/>
  <c r="AG592" i="8"/>
  <c r="AH592" i="8" s="1"/>
  <c r="AF592" i="8"/>
  <c r="AE592" i="8"/>
  <c r="AG591" i="8"/>
  <c r="AH591" i="8" s="1"/>
  <c r="AF591" i="8"/>
  <c r="AE591" i="8"/>
  <c r="AG590" i="8"/>
  <c r="AH590" i="8" s="1"/>
  <c r="AF590" i="8"/>
  <c r="AE590" i="8"/>
  <c r="AG589" i="8"/>
  <c r="AH589" i="8" s="1"/>
  <c r="AF589" i="8"/>
  <c r="AE589" i="8"/>
  <c r="AG588" i="8"/>
  <c r="AH588" i="8" s="1"/>
  <c r="AF588" i="8"/>
  <c r="AE588" i="8"/>
  <c r="AG587" i="8"/>
  <c r="AH587" i="8" s="1"/>
  <c r="AF587" i="8"/>
  <c r="AE587" i="8"/>
  <c r="AG586" i="8"/>
  <c r="AH586" i="8" s="1"/>
  <c r="AF586" i="8"/>
  <c r="AE586" i="8"/>
  <c r="AG585" i="8"/>
  <c r="AH585" i="8" s="1"/>
  <c r="AF585" i="8"/>
  <c r="AE585" i="8"/>
  <c r="AG584" i="8"/>
  <c r="AH584" i="8" s="1"/>
  <c r="AF584" i="8"/>
  <c r="AE584" i="8"/>
  <c r="AG583" i="8"/>
  <c r="AH583" i="8" s="1"/>
  <c r="AF583" i="8"/>
  <c r="AE583" i="8"/>
  <c r="AG582" i="8"/>
  <c r="AH582" i="8" s="1"/>
  <c r="AF582" i="8"/>
  <c r="AE582" i="8"/>
  <c r="AG581" i="8"/>
  <c r="AH581" i="8" s="1"/>
  <c r="AF581" i="8"/>
  <c r="AE581" i="8"/>
  <c r="AG580" i="8"/>
  <c r="AH580" i="8" s="1"/>
  <c r="AF580" i="8"/>
  <c r="AE580" i="8"/>
  <c r="AG579" i="8"/>
  <c r="AH579" i="8" s="1"/>
  <c r="AF579" i="8"/>
  <c r="AE579" i="8"/>
  <c r="AG578" i="8"/>
  <c r="AH578" i="8" s="1"/>
  <c r="AF578" i="8"/>
  <c r="AE578" i="8"/>
  <c r="AG577" i="8"/>
  <c r="AH577" i="8" s="1"/>
  <c r="AF577" i="8"/>
  <c r="AE577" i="8"/>
  <c r="AG576" i="8"/>
  <c r="AH576" i="8" s="1"/>
  <c r="AF576" i="8"/>
  <c r="AE576" i="8"/>
  <c r="AG575" i="8"/>
  <c r="AH575" i="8" s="1"/>
  <c r="AF575" i="8"/>
  <c r="AE575" i="8"/>
  <c r="AG574" i="8"/>
  <c r="AH574" i="8" s="1"/>
  <c r="AF574" i="8"/>
  <c r="AE574" i="8"/>
  <c r="AG573" i="8"/>
  <c r="AH573" i="8" s="1"/>
  <c r="AF573" i="8"/>
  <c r="AE573" i="8"/>
  <c r="AG572" i="8"/>
  <c r="AH572" i="8" s="1"/>
  <c r="AF572" i="8"/>
  <c r="AE572" i="8"/>
  <c r="AG571" i="8"/>
  <c r="AH571" i="8" s="1"/>
  <c r="AF571" i="8"/>
  <c r="AE571" i="8"/>
  <c r="AG570" i="8"/>
  <c r="AH570" i="8" s="1"/>
  <c r="AF570" i="8"/>
  <c r="AE570" i="8"/>
  <c r="AG569" i="8"/>
  <c r="AH569" i="8" s="1"/>
  <c r="AF569" i="8"/>
  <c r="AE569" i="8"/>
  <c r="AG568" i="8"/>
  <c r="AH568" i="8" s="1"/>
  <c r="AF568" i="8"/>
  <c r="AE568" i="8"/>
  <c r="AG567" i="8"/>
  <c r="AH567" i="8" s="1"/>
  <c r="AF567" i="8"/>
  <c r="AE567" i="8"/>
  <c r="AG566" i="8"/>
  <c r="AH566" i="8" s="1"/>
  <c r="AF566" i="8"/>
  <c r="AE566" i="8"/>
  <c r="AG565" i="8"/>
  <c r="AH565" i="8" s="1"/>
  <c r="AF565" i="8"/>
  <c r="AE565" i="8"/>
  <c r="AG564" i="8"/>
  <c r="AH564" i="8" s="1"/>
  <c r="AF564" i="8"/>
  <c r="AE564" i="8"/>
  <c r="AG563" i="8"/>
  <c r="AH563" i="8" s="1"/>
  <c r="AF563" i="8"/>
  <c r="AE563" i="8"/>
  <c r="AG562" i="8"/>
  <c r="AH562" i="8" s="1"/>
  <c r="AF562" i="8"/>
  <c r="AE562" i="8"/>
  <c r="AG561" i="8"/>
  <c r="AH561" i="8" s="1"/>
  <c r="AF561" i="8"/>
  <c r="AE561" i="8"/>
  <c r="AG560" i="8"/>
  <c r="AH560" i="8" s="1"/>
  <c r="AF560" i="8"/>
  <c r="AE560" i="8"/>
  <c r="AG559" i="8"/>
  <c r="AH559" i="8" s="1"/>
  <c r="AF559" i="8"/>
  <c r="AE559" i="8"/>
  <c r="AG558" i="8"/>
  <c r="AH558" i="8" s="1"/>
  <c r="AF558" i="8"/>
  <c r="AE558" i="8"/>
  <c r="AG557" i="8"/>
  <c r="AH557" i="8" s="1"/>
  <c r="AF557" i="8"/>
  <c r="AE557" i="8"/>
  <c r="AG556" i="8"/>
  <c r="AH556" i="8" s="1"/>
  <c r="AF556" i="8"/>
  <c r="AE556" i="8"/>
  <c r="AG555" i="8"/>
  <c r="AH555" i="8" s="1"/>
  <c r="AF555" i="8"/>
  <c r="AE555" i="8"/>
  <c r="AG554" i="8"/>
  <c r="AH554" i="8" s="1"/>
  <c r="AF554" i="8"/>
  <c r="AE554" i="8"/>
  <c r="AG553" i="8"/>
  <c r="AH553" i="8" s="1"/>
  <c r="AF553" i="8"/>
  <c r="AE553" i="8"/>
  <c r="AG552" i="8"/>
  <c r="AH552" i="8" s="1"/>
  <c r="AF552" i="8"/>
  <c r="AE552" i="8"/>
  <c r="AG551" i="8"/>
  <c r="AH551" i="8" s="1"/>
  <c r="AF551" i="8"/>
  <c r="AE551" i="8"/>
  <c r="AG550" i="8"/>
  <c r="AH550" i="8" s="1"/>
  <c r="AF550" i="8"/>
  <c r="AE550" i="8"/>
  <c r="AG549" i="8"/>
  <c r="AH549" i="8" s="1"/>
  <c r="AF549" i="8"/>
  <c r="AE549" i="8"/>
  <c r="AG548" i="8"/>
  <c r="AH548" i="8" s="1"/>
  <c r="AF548" i="8"/>
  <c r="AE548" i="8"/>
  <c r="AG547" i="8"/>
  <c r="AH547" i="8" s="1"/>
  <c r="AF547" i="8"/>
  <c r="AE547" i="8"/>
  <c r="AG546" i="8"/>
  <c r="AH546" i="8" s="1"/>
  <c r="AF546" i="8"/>
  <c r="AE546" i="8"/>
  <c r="AG545" i="8"/>
  <c r="AH545" i="8" s="1"/>
  <c r="AF545" i="8"/>
  <c r="AE545" i="8"/>
  <c r="AG544" i="8"/>
  <c r="AH544" i="8" s="1"/>
  <c r="AF544" i="8"/>
  <c r="AE544" i="8"/>
  <c r="AG543" i="8"/>
  <c r="AH543" i="8" s="1"/>
  <c r="AF543" i="8"/>
  <c r="AE543" i="8"/>
  <c r="AG542" i="8"/>
  <c r="AH542" i="8" s="1"/>
  <c r="AF542" i="8"/>
  <c r="AE542" i="8"/>
  <c r="AG541" i="8"/>
  <c r="AH541" i="8" s="1"/>
  <c r="AF541" i="8"/>
  <c r="AE541" i="8"/>
  <c r="AG540" i="8"/>
  <c r="AH540" i="8" s="1"/>
  <c r="AF540" i="8"/>
  <c r="AE540" i="8"/>
  <c r="AG539" i="8"/>
  <c r="AH539" i="8" s="1"/>
  <c r="AF539" i="8"/>
  <c r="AE539" i="8"/>
  <c r="AG538" i="8"/>
  <c r="AH538" i="8" s="1"/>
  <c r="AF538" i="8"/>
  <c r="AE538" i="8"/>
  <c r="AG537" i="8"/>
  <c r="AH537" i="8" s="1"/>
  <c r="AF537" i="8"/>
  <c r="AE537" i="8"/>
  <c r="AG536" i="8"/>
  <c r="AH536" i="8" s="1"/>
  <c r="AF536" i="8"/>
  <c r="AE536" i="8"/>
  <c r="AG535" i="8"/>
  <c r="AH535" i="8" s="1"/>
  <c r="AF535" i="8"/>
  <c r="AE535" i="8"/>
  <c r="AG534" i="8"/>
  <c r="AH534" i="8" s="1"/>
  <c r="AF534" i="8"/>
  <c r="AE534" i="8"/>
  <c r="AG533" i="8"/>
  <c r="AH533" i="8" s="1"/>
  <c r="AF533" i="8"/>
  <c r="AE533" i="8"/>
  <c r="AG532" i="8"/>
  <c r="AH532" i="8" s="1"/>
  <c r="AF532" i="8"/>
  <c r="AE532" i="8"/>
  <c r="AG531" i="8"/>
  <c r="AH531" i="8" s="1"/>
  <c r="AF531" i="8"/>
  <c r="AE531" i="8"/>
  <c r="AG530" i="8"/>
  <c r="AH530" i="8" s="1"/>
  <c r="AF530" i="8"/>
  <c r="AE530" i="8"/>
  <c r="AG529" i="8"/>
  <c r="AH529" i="8" s="1"/>
  <c r="AF529" i="8"/>
  <c r="AE529" i="8"/>
  <c r="AG528" i="8"/>
  <c r="AH528" i="8" s="1"/>
  <c r="AF528" i="8"/>
  <c r="AE528" i="8"/>
  <c r="AG527" i="8"/>
  <c r="AH527" i="8" s="1"/>
  <c r="AF527" i="8"/>
  <c r="AE527" i="8"/>
  <c r="AG526" i="8"/>
  <c r="AH526" i="8" s="1"/>
  <c r="AF526" i="8"/>
  <c r="AE526" i="8"/>
  <c r="AG525" i="8"/>
  <c r="AH525" i="8" s="1"/>
  <c r="AF525" i="8"/>
  <c r="AE525" i="8"/>
  <c r="AG524" i="8"/>
  <c r="AH524" i="8" s="1"/>
  <c r="AF524" i="8"/>
  <c r="AE524" i="8"/>
  <c r="AG523" i="8"/>
  <c r="AH523" i="8" s="1"/>
  <c r="AF523" i="8"/>
  <c r="AE523" i="8"/>
  <c r="AG522" i="8"/>
  <c r="AH522" i="8" s="1"/>
  <c r="AF522" i="8"/>
  <c r="AE522" i="8"/>
  <c r="AG521" i="8"/>
  <c r="AH521" i="8" s="1"/>
  <c r="AF521" i="8"/>
  <c r="AE521" i="8"/>
  <c r="AG520" i="8"/>
  <c r="AH520" i="8" s="1"/>
  <c r="AF520" i="8"/>
  <c r="AE520" i="8"/>
  <c r="AG519" i="8"/>
  <c r="AH519" i="8" s="1"/>
  <c r="AF519" i="8"/>
  <c r="AE519" i="8"/>
  <c r="AG518" i="8"/>
  <c r="AH518" i="8" s="1"/>
  <c r="AF518" i="8"/>
  <c r="AE518" i="8"/>
  <c r="AG517" i="8"/>
  <c r="AH517" i="8" s="1"/>
  <c r="AF517" i="8"/>
  <c r="AE517" i="8"/>
  <c r="AG516" i="8"/>
  <c r="AH516" i="8" s="1"/>
  <c r="AF516" i="8"/>
  <c r="AE516" i="8"/>
  <c r="AG515" i="8"/>
  <c r="AH515" i="8" s="1"/>
  <c r="AF515" i="8"/>
  <c r="AE515" i="8"/>
  <c r="AG514" i="8"/>
  <c r="AH514" i="8" s="1"/>
  <c r="AF514" i="8"/>
  <c r="AE514" i="8"/>
  <c r="AG513" i="8"/>
  <c r="AH513" i="8" s="1"/>
  <c r="AF513" i="8"/>
  <c r="AE513" i="8"/>
  <c r="AG512" i="8"/>
  <c r="AH512" i="8" s="1"/>
  <c r="AF512" i="8"/>
  <c r="AE512" i="8"/>
  <c r="AG511" i="8"/>
  <c r="AH511" i="8" s="1"/>
  <c r="AF511" i="8"/>
  <c r="AE511" i="8"/>
  <c r="AG510" i="8"/>
  <c r="AH510" i="8" s="1"/>
  <c r="AF510" i="8"/>
  <c r="AE510" i="8"/>
  <c r="AG509" i="8"/>
  <c r="AH509" i="8" s="1"/>
  <c r="AF509" i="8"/>
  <c r="AE509" i="8"/>
  <c r="AG508" i="8"/>
  <c r="AH508" i="8" s="1"/>
  <c r="AF508" i="8"/>
  <c r="AE508" i="8"/>
  <c r="AG507" i="8"/>
  <c r="AH507" i="8" s="1"/>
  <c r="AF507" i="8"/>
  <c r="AE507" i="8"/>
  <c r="AG506" i="8"/>
  <c r="AH506" i="8" s="1"/>
  <c r="AF506" i="8"/>
  <c r="AE506" i="8"/>
  <c r="AG505" i="8"/>
  <c r="AH505" i="8" s="1"/>
  <c r="AF505" i="8"/>
  <c r="AE505" i="8"/>
  <c r="AG504" i="8"/>
  <c r="AH504" i="8" s="1"/>
  <c r="AF504" i="8"/>
  <c r="AE504" i="8"/>
  <c r="AG503" i="8"/>
  <c r="AH503" i="8" s="1"/>
  <c r="AF503" i="8"/>
  <c r="AE503" i="8"/>
  <c r="AG502" i="8"/>
  <c r="AH502" i="8" s="1"/>
  <c r="AF502" i="8"/>
  <c r="AE502" i="8"/>
  <c r="AG501" i="8"/>
  <c r="AH501" i="8" s="1"/>
  <c r="AF501" i="8"/>
  <c r="AE501" i="8"/>
  <c r="AG500" i="8"/>
  <c r="AH500" i="8" s="1"/>
  <c r="AF500" i="8"/>
  <c r="AE500" i="8"/>
  <c r="AG499" i="8"/>
  <c r="AH499" i="8" s="1"/>
  <c r="AF499" i="8"/>
  <c r="AE499" i="8"/>
  <c r="AG498" i="8"/>
  <c r="AH498" i="8" s="1"/>
  <c r="AF498" i="8"/>
  <c r="AE498" i="8"/>
  <c r="AG497" i="8"/>
  <c r="AH497" i="8" s="1"/>
  <c r="AF497" i="8"/>
  <c r="AE497" i="8"/>
  <c r="AG496" i="8"/>
  <c r="AH496" i="8" s="1"/>
  <c r="AF496" i="8"/>
  <c r="AE496" i="8"/>
  <c r="AG495" i="8"/>
  <c r="AH495" i="8" s="1"/>
  <c r="AF495" i="8"/>
  <c r="AE495" i="8"/>
  <c r="AG494" i="8"/>
  <c r="AH494" i="8" s="1"/>
  <c r="AF494" i="8"/>
  <c r="AE494" i="8"/>
  <c r="AG493" i="8"/>
  <c r="AH493" i="8" s="1"/>
  <c r="AF493" i="8"/>
  <c r="AE493" i="8"/>
  <c r="AG492" i="8"/>
  <c r="AH492" i="8" s="1"/>
  <c r="AF492" i="8"/>
  <c r="AE492" i="8"/>
  <c r="AG491" i="8"/>
  <c r="AH491" i="8" s="1"/>
  <c r="AF491" i="8"/>
  <c r="AE491" i="8"/>
  <c r="AG490" i="8"/>
  <c r="AH490" i="8" s="1"/>
  <c r="AF490" i="8"/>
  <c r="AE490" i="8"/>
  <c r="AG489" i="8"/>
  <c r="AH489" i="8" s="1"/>
  <c r="AF489" i="8"/>
  <c r="AE489" i="8"/>
  <c r="AG488" i="8"/>
  <c r="AH488" i="8" s="1"/>
  <c r="AF488" i="8"/>
  <c r="AE488" i="8"/>
  <c r="AG487" i="8"/>
  <c r="AH487" i="8" s="1"/>
  <c r="AF487" i="8"/>
  <c r="AE487" i="8"/>
  <c r="AG486" i="8"/>
  <c r="AH486" i="8" s="1"/>
  <c r="AF486" i="8"/>
  <c r="AE486" i="8"/>
  <c r="AG485" i="8"/>
  <c r="AH485" i="8" s="1"/>
  <c r="AF485" i="8"/>
  <c r="AE485" i="8"/>
  <c r="AG484" i="8"/>
  <c r="AH484" i="8" s="1"/>
  <c r="AF484" i="8"/>
  <c r="AE484" i="8"/>
  <c r="AG483" i="8"/>
  <c r="AH483" i="8" s="1"/>
  <c r="AF483" i="8"/>
  <c r="AE483" i="8"/>
  <c r="AG482" i="8"/>
  <c r="AH482" i="8" s="1"/>
  <c r="AF482" i="8"/>
  <c r="AE482" i="8"/>
  <c r="AG481" i="8"/>
  <c r="AH481" i="8" s="1"/>
  <c r="AF481" i="8"/>
  <c r="AE481" i="8"/>
  <c r="AG480" i="8"/>
  <c r="AH480" i="8" s="1"/>
  <c r="AF480" i="8"/>
  <c r="AE480" i="8"/>
  <c r="AG479" i="8"/>
  <c r="AH479" i="8" s="1"/>
  <c r="AF479" i="8"/>
  <c r="AE479" i="8"/>
  <c r="AG478" i="8"/>
  <c r="AH478" i="8" s="1"/>
  <c r="AF478" i="8"/>
  <c r="AE478" i="8"/>
  <c r="AG477" i="8"/>
  <c r="AH477" i="8" s="1"/>
  <c r="AF477" i="8"/>
  <c r="AE477" i="8"/>
  <c r="AG476" i="8"/>
  <c r="AH476" i="8" s="1"/>
  <c r="AF476" i="8"/>
  <c r="AE476" i="8"/>
  <c r="AG475" i="8"/>
  <c r="AH475" i="8" s="1"/>
  <c r="AF475" i="8"/>
  <c r="AE475" i="8"/>
  <c r="AG474" i="8"/>
  <c r="AH474" i="8" s="1"/>
  <c r="AF474" i="8"/>
  <c r="AE474" i="8"/>
  <c r="AG473" i="8"/>
  <c r="AH473" i="8" s="1"/>
  <c r="AF473" i="8"/>
  <c r="AE473" i="8"/>
  <c r="AG472" i="8"/>
  <c r="AH472" i="8" s="1"/>
  <c r="AF472" i="8"/>
  <c r="AE472" i="8"/>
  <c r="AG471" i="8"/>
  <c r="AH471" i="8" s="1"/>
  <c r="AF471" i="8"/>
  <c r="AE471" i="8"/>
  <c r="AG470" i="8"/>
  <c r="AH470" i="8" s="1"/>
  <c r="AF470" i="8"/>
  <c r="AE470" i="8"/>
  <c r="AG469" i="8"/>
  <c r="AH469" i="8" s="1"/>
  <c r="AF469" i="8"/>
  <c r="AE469" i="8"/>
  <c r="AG468" i="8"/>
  <c r="AH468" i="8" s="1"/>
  <c r="AF468" i="8"/>
  <c r="AE468" i="8"/>
  <c r="AG467" i="8"/>
  <c r="AH467" i="8" s="1"/>
  <c r="AF467" i="8"/>
  <c r="AE467" i="8"/>
  <c r="AG466" i="8"/>
  <c r="AH466" i="8" s="1"/>
  <c r="AF466" i="8"/>
  <c r="AE466" i="8"/>
  <c r="AG465" i="8"/>
  <c r="AH465" i="8" s="1"/>
  <c r="AF465" i="8"/>
  <c r="AE465" i="8"/>
  <c r="AG464" i="8"/>
  <c r="AH464" i="8" s="1"/>
  <c r="AF464" i="8"/>
  <c r="AE464" i="8"/>
  <c r="AG463" i="8"/>
  <c r="AH463" i="8" s="1"/>
  <c r="AF463" i="8"/>
  <c r="AE463" i="8"/>
  <c r="AG462" i="8"/>
  <c r="AH462" i="8" s="1"/>
  <c r="AF462" i="8"/>
  <c r="AE462" i="8"/>
  <c r="AG461" i="8"/>
  <c r="AH461" i="8" s="1"/>
  <c r="AF461" i="8"/>
  <c r="AE461" i="8"/>
  <c r="AG460" i="8"/>
  <c r="AH460" i="8" s="1"/>
  <c r="AF460" i="8"/>
  <c r="AE460" i="8"/>
  <c r="AG459" i="8"/>
  <c r="AH459" i="8" s="1"/>
  <c r="AF459" i="8"/>
  <c r="AE459" i="8"/>
  <c r="AG458" i="8"/>
  <c r="AH458" i="8" s="1"/>
  <c r="AF458" i="8"/>
  <c r="AE458" i="8"/>
  <c r="AG457" i="8"/>
  <c r="AH457" i="8" s="1"/>
  <c r="AF457" i="8"/>
  <c r="AE457" i="8"/>
  <c r="AG456" i="8"/>
  <c r="AH456" i="8" s="1"/>
  <c r="AF456" i="8"/>
  <c r="AE456" i="8"/>
  <c r="AG455" i="8"/>
  <c r="AH455" i="8" s="1"/>
  <c r="AF455" i="8"/>
  <c r="AE455" i="8"/>
  <c r="AG454" i="8"/>
  <c r="AH454" i="8" s="1"/>
  <c r="AF454" i="8"/>
  <c r="AE454" i="8"/>
  <c r="AG453" i="8"/>
  <c r="AH453" i="8" s="1"/>
  <c r="AF453" i="8"/>
  <c r="AE453" i="8"/>
  <c r="AG452" i="8"/>
  <c r="AH452" i="8" s="1"/>
  <c r="AF452" i="8"/>
  <c r="AE452" i="8"/>
  <c r="AG451" i="8"/>
  <c r="AH451" i="8" s="1"/>
  <c r="AF451" i="8"/>
  <c r="AE451" i="8"/>
  <c r="AG450" i="8"/>
  <c r="AH450" i="8" s="1"/>
  <c r="AF450" i="8"/>
  <c r="AE450" i="8"/>
  <c r="AG449" i="8"/>
  <c r="AH449" i="8" s="1"/>
  <c r="AF449" i="8"/>
  <c r="AE449" i="8"/>
  <c r="AG448" i="8"/>
  <c r="AH448" i="8" s="1"/>
  <c r="AF448" i="8"/>
  <c r="AE448" i="8"/>
  <c r="AG447" i="8"/>
  <c r="AH447" i="8" s="1"/>
  <c r="AF447" i="8"/>
  <c r="AE447" i="8"/>
  <c r="AG446" i="8"/>
  <c r="AH446" i="8" s="1"/>
  <c r="AF446" i="8"/>
  <c r="AE446" i="8"/>
  <c r="AG445" i="8"/>
  <c r="AH445" i="8" s="1"/>
  <c r="AF445" i="8"/>
  <c r="AE445" i="8"/>
  <c r="AG444" i="8"/>
  <c r="AH444" i="8" s="1"/>
  <c r="AF444" i="8"/>
  <c r="AE444" i="8"/>
  <c r="AG443" i="8"/>
  <c r="AH443" i="8" s="1"/>
  <c r="AF443" i="8"/>
  <c r="AE443" i="8"/>
  <c r="AG442" i="8"/>
  <c r="AH442" i="8" s="1"/>
  <c r="AF442" i="8"/>
  <c r="AE442" i="8"/>
  <c r="AG441" i="8"/>
  <c r="AH441" i="8" s="1"/>
  <c r="AF441" i="8"/>
  <c r="AE441" i="8"/>
  <c r="AG440" i="8"/>
  <c r="AH440" i="8" s="1"/>
  <c r="AF440" i="8"/>
  <c r="AE440" i="8"/>
  <c r="AG439" i="8"/>
  <c r="AH439" i="8" s="1"/>
  <c r="AF439" i="8"/>
  <c r="AE439" i="8"/>
  <c r="AG438" i="8"/>
  <c r="AH438" i="8" s="1"/>
  <c r="AF438" i="8"/>
  <c r="AE438" i="8"/>
  <c r="AG437" i="8"/>
  <c r="AH437" i="8" s="1"/>
  <c r="AF437" i="8"/>
  <c r="AE437" i="8"/>
  <c r="AG436" i="8"/>
  <c r="AH436" i="8" s="1"/>
  <c r="AF436" i="8"/>
  <c r="AE436" i="8"/>
  <c r="AG435" i="8"/>
  <c r="AH435" i="8" s="1"/>
  <c r="AF435" i="8"/>
  <c r="AE435" i="8"/>
  <c r="AG434" i="8"/>
  <c r="AH434" i="8" s="1"/>
  <c r="AF434" i="8"/>
  <c r="AE434" i="8"/>
  <c r="AG433" i="8"/>
  <c r="AH433" i="8" s="1"/>
  <c r="AF433" i="8"/>
  <c r="AE433" i="8"/>
  <c r="AG432" i="8"/>
  <c r="AH432" i="8" s="1"/>
  <c r="AF432" i="8"/>
  <c r="AE432" i="8"/>
  <c r="AG431" i="8"/>
  <c r="AH431" i="8" s="1"/>
  <c r="AF431" i="8"/>
  <c r="AE431" i="8"/>
  <c r="AG430" i="8"/>
  <c r="AH430" i="8" s="1"/>
  <c r="AF430" i="8"/>
  <c r="AE430" i="8"/>
  <c r="AG429" i="8"/>
  <c r="AH429" i="8" s="1"/>
  <c r="AF429" i="8"/>
  <c r="AE429" i="8"/>
  <c r="AG428" i="8"/>
  <c r="AH428" i="8" s="1"/>
  <c r="AF428" i="8"/>
  <c r="AE428" i="8"/>
  <c r="AG427" i="8"/>
  <c r="AH427" i="8" s="1"/>
  <c r="AF427" i="8"/>
  <c r="AE427" i="8"/>
  <c r="AG426" i="8"/>
  <c r="AH426" i="8" s="1"/>
  <c r="AF426" i="8"/>
  <c r="AE426" i="8"/>
  <c r="AG425" i="8"/>
  <c r="AH425" i="8" s="1"/>
  <c r="AF425" i="8"/>
  <c r="AE425" i="8"/>
  <c r="AG424" i="8"/>
  <c r="AH424" i="8" s="1"/>
  <c r="AF424" i="8"/>
  <c r="AE424" i="8"/>
  <c r="AG423" i="8"/>
  <c r="AH423" i="8" s="1"/>
  <c r="AF423" i="8"/>
  <c r="AE423" i="8"/>
  <c r="AG422" i="8"/>
  <c r="AH422" i="8" s="1"/>
  <c r="AF422" i="8"/>
  <c r="AE422" i="8"/>
  <c r="AG421" i="8"/>
  <c r="AH421" i="8" s="1"/>
  <c r="AF421" i="8"/>
  <c r="AE421" i="8"/>
  <c r="AG420" i="8"/>
  <c r="AH420" i="8" s="1"/>
  <c r="AF420" i="8"/>
  <c r="AE420" i="8"/>
  <c r="AG419" i="8"/>
  <c r="AH419" i="8" s="1"/>
  <c r="AF419" i="8"/>
  <c r="AE419" i="8"/>
  <c r="AG418" i="8"/>
  <c r="AH418" i="8" s="1"/>
  <c r="AF418" i="8"/>
  <c r="AE418" i="8"/>
  <c r="AG417" i="8"/>
  <c r="AH417" i="8" s="1"/>
  <c r="AF417" i="8"/>
  <c r="AE417" i="8"/>
  <c r="AG416" i="8"/>
  <c r="AH416" i="8" s="1"/>
  <c r="AF416" i="8"/>
  <c r="AE416" i="8"/>
  <c r="AG415" i="8"/>
  <c r="AH415" i="8" s="1"/>
  <c r="AF415" i="8"/>
  <c r="AE415" i="8"/>
  <c r="AG414" i="8"/>
  <c r="AH414" i="8" s="1"/>
  <c r="AF414" i="8"/>
  <c r="AE414" i="8"/>
  <c r="AG413" i="8"/>
  <c r="AH413" i="8" s="1"/>
  <c r="AF413" i="8"/>
  <c r="AE413" i="8"/>
  <c r="AG412" i="8"/>
  <c r="AH412" i="8" s="1"/>
  <c r="AF412" i="8"/>
  <c r="AE412" i="8"/>
  <c r="AG411" i="8"/>
  <c r="AH411" i="8" s="1"/>
  <c r="AF411" i="8"/>
  <c r="AE411" i="8"/>
  <c r="AG410" i="8"/>
  <c r="AH410" i="8" s="1"/>
  <c r="AF410" i="8"/>
  <c r="AE410" i="8"/>
  <c r="AG409" i="8"/>
  <c r="AH409" i="8" s="1"/>
  <c r="AF409" i="8"/>
  <c r="AE409" i="8"/>
  <c r="AG408" i="8"/>
  <c r="AH408" i="8" s="1"/>
  <c r="AF408" i="8"/>
  <c r="AE408" i="8"/>
  <c r="AG407" i="8"/>
  <c r="AH407" i="8" s="1"/>
  <c r="AF407" i="8"/>
  <c r="AE407" i="8"/>
  <c r="AG406" i="8"/>
  <c r="AH406" i="8" s="1"/>
  <c r="AF406" i="8"/>
  <c r="AE406" i="8"/>
  <c r="AG405" i="8"/>
  <c r="AH405" i="8" s="1"/>
  <c r="AF405" i="8"/>
  <c r="AE405" i="8"/>
  <c r="AG404" i="8"/>
  <c r="AH404" i="8" s="1"/>
  <c r="AF404" i="8"/>
  <c r="AE404" i="8"/>
  <c r="AG403" i="8"/>
  <c r="AH403" i="8" s="1"/>
  <c r="AF403" i="8"/>
  <c r="AE403" i="8"/>
  <c r="AG402" i="8"/>
  <c r="AH402" i="8" s="1"/>
  <c r="AF402" i="8"/>
  <c r="AE402" i="8"/>
  <c r="AG401" i="8"/>
  <c r="AH401" i="8" s="1"/>
  <c r="AF401" i="8"/>
  <c r="AE401" i="8"/>
  <c r="AG400" i="8"/>
  <c r="AH400" i="8" s="1"/>
  <c r="AF400" i="8"/>
  <c r="AE400" i="8"/>
  <c r="AG399" i="8"/>
  <c r="AH399" i="8" s="1"/>
  <c r="AF399" i="8"/>
  <c r="AE399" i="8"/>
  <c r="AG398" i="8"/>
  <c r="AH398" i="8" s="1"/>
  <c r="AF398" i="8"/>
  <c r="AE398" i="8"/>
  <c r="AG397" i="8"/>
  <c r="AH397" i="8" s="1"/>
  <c r="AF397" i="8"/>
  <c r="AE397" i="8"/>
  <c r="AG396" i="8"/>
  <c r="AH396" i="8" s="1"/>
  <c r="AF396" i="8"/>
  <c r="AE396" i="8"/>
  <c r="AG395" i="8"/>
  <c r="AH395" i="8" s="1"/>
  <c r="AF395" i="8"/>
  <c r="AE395" i="8"/>
  <c r="AG394" i="8"/>
  <c r="AH394" i="8" s="1"/>
  <c r="AF394" i="8"/>
  <c r="AE394" i="8"/>
  <c r="AG393" i="8"/>
  <c r="AH393" i="8" s="1"/>
  <c r="AF393" i="8"/>
  <c r="AE393" i="8"/>
  <c r="AG392" i="8"/>
  <c r="AH392" i="8" s="1"/>
  <c r="AF392" i="8"/>
  <c r="AE392" i="8"/>
  <c r="AG391" i="8"/>
  <c r="AH391" i="8" s="1"/>
  <c r="AF391" i="8"/>
  <c r="AE391" i="8"/>
  <c r="AG390" i="8"/>
  <c r="AH390" i="8" s="1"/>
  <c r="AF390" i="8"/>
  <c r="AE390" i="8"/>
  <c r="AG389" i="8"/>
  <c r="AH389" i="8" s="1"/>
  <c r="AF389" i="8"/>
  <c r="AE389" i="8"/>
  <c r="AG388" i="8"/>
  <c r="AH388" i="8" s="1"/>
  <c r="AF388" i="8"/>
  <c r="AE388" i="8"/>
  <c r="AG387" i="8"/>
  <c r="AH387" i="8" s="1"/>
  <c r="AF387" i="8"/>
  <c r="AE387" i="8"/>
  <c r="AG386" i="8"/>
  <c r="AH386" i="8" s="1"/>
  <c r="AF386" i="8"/>
  <c r="AE386" i="8"/>
  <c r="AG385" i="8"/>
  <c r="AH385" i="8" s="1"/>
  <c r="AF385" i="8"/>
  <c r="AE385" i="8"/>
  <c r="AG384" i="8"/>
  <c r="AH384" i="8" s="1"/>
  <c r="AF384" i="8"/>
  <c r="AE384" i="8"/>
  <c r="AG383" i="8"/>
  <c r="AH383" i="8" s="1"/>
  <c r="AF383" i="8"/>
  <c r="AE383" i="8"/>
  <c r="AG382" i="8"/>
  <c r="AH382" i="8" s="1"/>
  <c r="AF382" i="8"/>
  <c r="AE382" i="8"/>
  <c r="AG381" i="8"/>
  <c r="AH381" i="8" s="1"/>
  <c r="AF381" i="8"/>
  <c r="AE381" i="8"/>
  <c r="AG380" i="8"/>
  <c r="AH380" i="8" s="1"/>
  <c r="AF380" i="8"/>
  <c r="AE380" i="8"/>
  <c r="AG379" i="8"/>
  <c r="AH379" i="8" s="1"/>
  <c r="AF379" i="8"/>
  <c r="AE379" i="8"/>
  <c r="AG378" i="8"/>
  <c r="AH378" i="8" s="1"/>
  <c r="AF378" i="8"/>
  <c r="AE378" i="8"/>
  <c r="AG377" i="8"/>
  <c r="AH377" i="8" s="1"/>
  <c r="AF377" i="8"/>
  <c r="AE377" i="8"/>
  <c r="AG376" i="8"/>
  <c r="AH376" i="8" s="1"/>
  <c r="AF376" i="8"/>
  <c r="AE376" i="8"/>
  <c r="AG375" i="8"/>
  <c r="AH375" i="8" s="1"/>
  <c r="AF375" i="8"/>
  <c r="AE375" i="8"/>
  <c r="AG374" i="8"/>
  <c r="AH374" i="8" s="1"/>
  <c r="AF374" i="8"/>
  <c r="AE374" i="8"/>
  <c r="AG373" i="8"/>
  <c r="AH373" i="8" s="1"/>
  <c r="AF373" i="8"/>
  <c r="AE373" i="8"/>
  <c r="AG372" i="8"/>
  <c r="AH372" i="8" s="1"/>
  <c r="AF372" i="8"/>
  <c r="AE372" i="8"/>
  <c r="AG371" i="8"/>
  <c r="AH371" i="8" s="1"/>
  <c r="AF371" i="8"/>
  <c r="AE371" i="8"/>
  <c r="AG370" i="8"/>
  <c r="AH370" i="8" s="1"/>
  <c r="AF370" i="8"/>
  <c r="AE370" i="8"/>
  <c r="AG369" i="8"/>
  <c r="AH369" i="8" s="1"/>
  <c r="AF369" i="8"/>
  <c r="AE369" i="8"/>
  <c r="AG368" i="8"/>
  <c r="AH368" i="8" s="1"/>
  <c r="AF368" i="8"/>
  <c r="AE368" i="8"/>
  <c r="AG367" i="8"/>
  <c r="AH367" i="8" s="1"/>
  <c r="AF367" i="8"/>
  <c r="AE367" i="8"/>
  <c r="AG366" i="8"/>
  <c r="AH366" i="8" s="1"/>
  <c r="AF366" i="8"/>
  <c r="AE366" i="8"/>
  <c r="AG365" i="8"/>
  <c r="AH365" i="8" s="1"/>
  <c r="AF365" i="8"/>
  <c r="AE365" i="8"/>
  <c r="AG364" i="8"/>
  <c r="AH364" i="8" s="1"/>
  <c r="AF364" i="8"/>
  <c r="AE364" i="8"/>
  <c r="AG363" i="8"/>
  <c r="AH363" i="8" s="1"/>
  <c r="AF363" i="8"/>
  <c r="AE363" i="8"/>
  <c r="AG362" i="8"/>
  <c r="AH362" i="8" s="1"/>
  <c r="AF362" i="8"/>
  <c r="AE362" i="8"/>
  <c r="AG361" i="8"/>
  <c r="AH361" i="8" s="1"/>
  <c r="AF361" i="8"/>
  <c r="AE361" i="8"/>
  <c r="AG360" i="8"/>
  <c r="AH360" i="8" s="1"/>
  <c r="AF360" i="8"/>
  <c r="AE360" i="8"/>
  <c r="AG359" i="8"/>
  <c r="AH359" i="8" s="1"/>
  <c r="AF359" i="8"/>
  <c r="AE359" i="8"/>
  <c r="AG358" i="8"/>
  <c r="AH358" i="8" s="1"/>
  <c r="AF358" i="8"/>
  <c r="AE358" i="8"/>
  <c r="AG357" i="8"/>
  <c r="AH357" i="8" s="1"/>
  <c r="AF357" i="8"/>
  <c r="AE357" i="8"/>
  <c r="AG356" i="8"/>
  <c r="AH356" i="8" s="1"/>
  <c r="AF356" i="8"/>
  <c r="AE356" i="8"/>
  <c r="AG355" i="8"/>
  <c r="AH355" i="8" s="1"/>
  <c r="AF355" i="8"/>
  <c r="AE355" i="8"/>
  <c r="AG354" i="8"/>
  <c r="AH354" i="8" s="1"/>
  <c r="AF354" i="8"/>
  <c r="AE354" i="8"/>
  <c r="AG353" i="8"/>
  <c r="AH353" i="8" s="1"/>
  <c r="AF353" i="8"/>
  <c r="AE353" i="8"/>
  <c r="AG352" i="8"/>
  <c r="AH352" i="8" s="1"/>
  <c r="AF352" i="8"/>
  <c r="AE352" i="8"/>
  <c r="AG351" i="8"/>
  <c r="AH351" i="8" s="1"/>
  <c r="AF351" i="8"/>
  <c r="AE351" i="8"/>
  <c r="AG350" i="8"/>
  <c r="AH350" i="8" s="1"/>
  <c r="AF350" i="8"/>
  <c r="AE350" i="8"/>
  <c r="AG349" i="8"/>
  <c r="AH349" i="8" s="1"/>
  <c r="AF349" i="8"/>
  <c r="AE349" i="8"/>
  <c r="AG348" i="8"/>
  <c r="AH348" i="8" s="1"/>
  <c r="AF348" i="8"/>
  <c r="AE348" i="8"/>
  <c r="AG347" i="8"/>
  <c r="AH347" i="8" s="1"/>
  <c r="AF347" i="8"/>
  <c r="AE347" i="8"/>
  <c r="AG346" i="8"/>
  <c r="AH346" i="8" s="1"/>
  <c r="AF346" i="8"/>
  <c r="AE346" i="8"/>
  <c r="AG345" i="8"/>
  <c r="AH345" i="8" s="1"/>
  <c r="AF345" i="8"/>
  <c r="AE345" i="8"/>
  <c r="AG344" i="8"/>
  <c r="AH344" i="8" s="1"/>
  <c r="AF344" i="8"/>
  <c r="AE344" i="8"/>
  <c r="AG343" i="8"/>
  <c r="AH343" i="8" s="1"/>
  <c r="AF343" i="8"/>
  <c r="AE343" i="8"/>
  <c r="AG342" i="8"/>
  <c r="AH342" i="8" s="1"/>
  <c r="AF342" i="8"/>
  <c r="AE342" i="8"/>
  <c r="AG341" i="8"/>
  <c r="AH341" i="8" s="1"/>
  <c r="AF341" i="8"/>
  <c r="AE341" i="8"/>
  <c r="AG340" i="8"/>
  <c r="AH340" i="8" s="1"/>
  <c r="AF340" i="8"/>
  <c r="AE340" i="8"/>
  <c r="AG339" i="8"/>
  <c r="AH339" i="8" s="1"/>
  <c r="AF339" i="8"/>
  <c r="AE339" i="8"/>
  <c r="AG338" i="8"/>
  <c r="AH338" i="8" s="1"/>
  <c r="AF338" i="8"/>
  <c r="AE338" i="8"/>
  <c r="AG337" i="8"/>
  <c r="AH337" i="8" s="1"/>
  <c r="AF337" i="8"/>
  <c r="AE337" i="8"/>
  <c r="AG336" i="8"/>
  <c r="AH336" i="8" s="1"/>
  <c r="AF336" i="8"/>
  <c r="AE336" i="8"/>
  <c r="AG335" i="8"/>
  <c r="AH335" i="8" s="1"/>
  <c r="AF335" i="8"/>
  <c r="AE335" i="8"/>
  <c r="AG334" i="8"/>
  <c r="AH334" i="8" s="1"/>
  <c r="AF334" i="8"/>
  <c r="AE334" i="8"/>
  <c r="AG333" i="8"/>
  <c r="AH333" i="8" s="1"/>
  <c r="AF333" i="8"/>
  <c r="AE333" i="8"/>
  <c r="AG332" i="8"/>
  <c r="AH332" i="8" s="1"/>
  <c r="AF332" i="8"/>
  <c r="AE332" i="8"/>
  <c r="AG331" i="8"/>
  <c r="AH331" i="8" s="1"/>
  <c r="AF331" i="8"/>
  <c r="AE331" i="8"/>
  <c r="AG330" i="8"/>
  <c r="AH330" i="8" s="1"/>
  <c r="AF330" i="8"/>
  <c r="AE330" i="8"/>
  <c r="AG329" i="8"/>
  <c r="AH329" i="8" s="1"/>
  <c r="AF329" i="8"/>
  <c r="AE329" i="8"/>
  <c r="AG328" i="8"/>
  <c r="AH328" i="8" s="1"/>
  <c r="AF328" i="8"/>
  <c r="AE328" i="8"/>
  <c r="AG327" i="8"/>
  <c r="AH327" i="8" s="1"/>
  <c r="AF327" i="8"/>
  <c r="AE327" i="8"/>
  <c r="AG326" i="8"/>
  <c r="AH326" i="8" s="1"/>
  <c r="AF326" i="8"/>
  <c r="AE326" i="8"/>
  <c r="AG325" i="8"/>
  <c r="AH325" i="8" s="1"/>
  <c r="AF325" i="8"/>
  <c r="AE325" i="8"/>
  <c r="AG324" i="8"/>
  <c r="AH324" i="8" s="1"/>
  <c r="AF324" i="8"/>
  <c r="AE324" i="8"/>
  <c r="AG323" i="8"/>
  <c r="AH323" i="8" s="1"/>
  <c r="AF323" i="8"/>
  <c r="AE323" i="8"/>
  <c r="AG322" i="8"/>
  <c r="AH322" i="8" s="1"/>
  <c r="AF322" i="8"/>
  <c r="AE322" i="8"/>
  <c r="AG321" i="8"/>
  <c r="AH321" i="8" s="1"/>
  <c r="AF321" i="8"/>
  <c r="AE321" i="8"/>
  <c r="AG320" i="8"/>
  <c r="AH320" i="8" s="1"/>
  <c r="AF320" i="8"/>
  <c r="AE320" i="8"/>
  <c r="AG319" i="8"/>
  <c r="AH319" i="8" s="1"/>
  <c r="AF319" i="8"/>
  <c r="AE319" i="8"/>
  <c r="AG318" i="8"/>
  <c r="AH318" i="8" s="1"/>
  <c r="AF318" i="8"/>
  <c r="AE318" i="8"/>
  <c r="AG317" i="8"/>
  <c r="AH317" i="8" s="1"/>
  <c r="AF317" i="8"/>
  <c r="AE317" i="8"/>
  <c r="AG316" i="8"/>
  <c r="AH316" i="8" s="1"/>
  <c r="AF316" i="8"/>
  <c r="AE316" i="8"/>
  <c r="AG315" i="8"/>
  <c r="AH315" i="8" s="1"/>
  <c r="AF315" i="8"/>
  <c r="AE315" i="8"/>
  <c r="AG314" i="8"/>
  <c r="AH314" i="8" s="1"/>
  <c r="AF314" i="8"/>
  <c r="AE314" i="8"/>
  <c r="AG313" i="8"/>
  <c r="AH313" i="8" s="1"/>
  <c r="AF313" i="8"/>
  <c r="AE313" i="8"/>
  <c r="AG312" i="8"/>
  <c r="AH312" i="8" s="1"/>
  <c r="AF312" i="8"/>
  <c r="AE312" i="8"/>
  <c r="AG311" i="8"/>
  <c r="AH311" i="8" s="1"/>
  <c r="AF311" i="8"/>
  <c r="AE311" i="8"/>
  <c r="AG310" i="8"/>
  <c r="AH310" i="8" s="1"/>
  <c r="AF310" i="8"/>
  <c r="AE310" i="8"/>
  <c r="AG309" i="8"/>
  <c r="AH309" i="8" s="1"/>
  <c r="AF309" i="8"/>
  <c r="AE309" i="8"/>
  <c r="AG308" i="8"/>
  <c r="AH308" i="8" s="1"/>
  <c r="AF308" i="8"/>
  <c r="AE308" i="8"/>
  <c r="AG307" i="8"/>
  <c r="AH307" i="8" s="1"/>
  <c r="AF307" i="8"/>
  <c r="AE307" i="8"/>
  <c r="AG306" i="8"/>
  <c r="AH306" i="8" s="1"/>
  <c r="AF306" i="8"/>
  <c r="AE306" i="8"/>
  <c r="AG305" i="8"/>
  <c r="AH305" i="8" s="1"/>
  <c r="AF305" i="8"/>
  <c r="AE305" i="8"/>
  <c r="AG304" i="8"/>
  <c r="AH304" i="8" s="1"/>
  <c r="AF304" i="8"/>
  <c r="AE304" i="8"/>
  <c r="AG303" i="8"/>
  <c r="AH303" i="8" s="1"/>
  <c r="AF303" i="8"/>
  <c r="AE303" i="8"/>
  <c r="AG302" i="8"/>
  <c r="AH302" i="8" s="1"/>
  <c r="AF302" i="8"/>
  <c r="AE302" i="8"/>
  <c r="AG301" i="8"/>
  <c r="AH301" i="8" s="1"/>
  <c r="AF301" i="8"/>
  <c r="AE301" i="8"/>
  <c r="AG300" i="8"/>
  <c r="AH300" i="8" s="1"/>
  <c r="AF300" i="8"/>
  <c r="AE300" i="8"/>
  <c r="AG299" i="8"/>
  <c r="AH299" i="8" s="1"/>
  <c r="AF299" i="8"/>
  <c r="AE299" i="8"/>
  <c r="AG298" i="8"/>
  <c r="AH298" i="8" s="1"/>
  <c r="AF298" i="8"/>
  <c r="AE298" i="8"/>
  <c r="AG297" i="8"/>
  <c r="AH297" i="8" s="1"/>
  <c r="AF297" i="8"/>
  <c r="AE297" i="8"/>
  <c r="AG296" i="8"/>
  <c r="AH296" i="8" s="1"/>
  <c r="AF296" i="8"/>
  <c r="AE296" i="8"/>
  <c r="AG295" i="8"/>
  <c r="AH295" i="8" s="1"/>
  <c r="AF295" i="8"/>
  <c r="AE295" i="8"/>
  <c r="AG294" i="8"/>
  <c r="AH294" i="8" s="1"/>
  <c r="AF294" i="8"/>
  <c r="AE294" i="8"/>
  <c r="AG293" i="8"/>
  <c r="AH293" i="8" s="1"/>
  <c r="AF293" i="8"/>
  <c r="AE293" i="8"/>
  <c r="AG292" i="8"/>
  <c r="AH292" i="8" s="1"/>
  <c r="AF292" i="8"/>
  <c r="AE292" i="8"/>
  <c r="AG291" i="8"/>
  <c r="AH291" i="8" s="1"/>
  <c r="AF291" i="8"/>
  <c r="AE291" i="8"/>
  <c r="AG290" i="8"/>
  <c r="AH290" i="8" s="1"/>
  <c r="AF290" i="8"/>
  <c r="AE290" i="8"/>
  <c r="AG289" i="8"/>
  <c r="AH289" i="8" s="1"/>
  <c r="AF289" i="8"/>
  <c r="AE289" i="8"/>
  <c r="AG288" i="8"/>
  <c r="AH288" i="8" s="1"/>
  <c r="AF288" i="8"/>
  <c r="AE288" i="8"/>
  <c r="AG287" i="8"/>
  <c r="AH287" i="8" s="1"/>
  <c r="AF287" i="8"/>
  <c r="AE287" i="8"/>
  <c r="AG286" i="8"/>
  <c r="AH286" i="8" s="1"/>
  <c r="AF286" i="8"/>
  <c r="AE286" i="8"/>
  <c r="AG285" i="8"/>
  <c r="AH285" i="8" s="1"/>
  <c r="AF285" i="8"/>
  <c r="AE285" i="8"/>
  <c r="AG284" i="8"/>
  <c r="AH284" i="8" s="1"/>
  <c r="AF284" i="8"/>
  <c r="AE284" i="8"/>
  <c r="AG283" i="8"/>
  <c r="AH283" i="8" s="1"/>
  <c r="AF283" i="8"/>
  <c r="AE283" i="8"/>
  <c r="AG282" i="8"/>
  <c r="AH282" i="8" s="1"/>
  <c r="AF282" i="8"/>
  <c r="AE282" i="8"/>
  <c r="AG281" i="8"/>
  <c r="AH281" i="8" s="1"/>
  <c r="AF281" i="8"/>
  <c r="AE281" i="8"/>
  <c r="AG280" i="8"/>
  <c r="AH280" i="8" s="1"/>
  <c r="AF280" i="8"/>
  <c r="AE280" i="8"/>
  <c r="AG279" i="8"/>
  <c r="AH279" i="8" s="1"/>
  <c r="AF279" i="8"/>
  <c r="AE279" i="8"/>
  <c r="AG278" i="8"/>
  <c r="AH278" i="8" s="1"/>
  <c r="AF278" i="8"/>
  <c r="AE278" i="8"/>
  <c r="AG277" i="8"/>
  <c r="AH277" i="8" s="1"/>
  <c r="AF277" i="8"/>
  <c r="AE277" i="8"/>
  <c r="AG276" i="8"/>
  <c r="AH276" i="8" s="1"/>
  <c r="AF276" i="8"/>
  <c r="AE276" i="8"/>
  <c r="AG275" i="8"/>
  <c r="AH275" i="8" s="1"/>
  <c r="AF275" i="8"/>
  <c r="AE275" i="8"/>
  <c r="AG274" i="8"/>
  <c r="AH274" i="8" s="1"/>
  <c r="AF274" i="8"/>
  <c r="AE274" i="8"/>
  <c r="AG273" i="8"/>
  <c r="AH273" i="8" s="1"/>
  <c r="AF273" i="8"/>
  <c r="AE273" i="8"/>
  <c r="AG272" i="8"/>
  <c r="AH272" i="8" s="1"/>
  <c r="AF272" i="8"/>
  <c r="AE272" i="8"/>
  <c r="AG271" i="8"/>
  <c r="AH271" i="8" s="1"/>
  <c r="AF271" i="8"/>
  <c r="AE271" i="8"/>
  <c r="AG270" i="8"/>
  <c r="AH270" i="8" s="1"/>
  <c r="AF270" i="8"/>
  <c r="AE270" i="8"/>
  <c r="AG269" i="8"/>
  <c r="AH269" i="8" s="1"/>
  <c r="AF269" i="8"/>
  <c r="AE269" i="8"/>
  <c r="AG268" i="8"/>
  <c r="AH268" i="8" s="1"/>
  <c r="AF268" i="8"/>
  <c r="AE268" i="8"/>
  <c r="AG267" i="8"/>
  <c r="AH267" i="8" s="1"/>
  <c r="AF267" i="8"/>
  <c r="AE267" i="8"/>
  <c r="AG266" i="8"/>
  <c r="AH266" i="8" s="1"/>
  <c r="AF266" i="8"/>
  <c r="AE266" i="8"/>
  <c r="AG265" i="8"/>
  <c r="AH265" i="8" s="1"/>
  <c r="AF265" i="8"/>
  <c r="AE265" i="8"/>
  <c r="AG264" i="8"/>
  <c r="AH264" i="8" s="1"/>
  <c r="AF264" i="8"/>
  <c r="AE264" i="8"/>
  <c r="AG263" i="8"/>
  <c r="AH263" i="8" s="1"/>
  <c r="AF263" i="8"/>
  <c r="AE263" i="8"/>
  <c r="AG262" i="8"/>
  <c r="AH262" i="8" s="1"/>
  <c r="AF262" i="8"/>
  <c r="AE262" i="8"/>
  <c r="AG261" i="8"/>
  <c r="AH261" i="8" s="1"/>
  <c r="AF261" i="8"/>
  <c r="AE261" i="8"/>
  <c r="AG260" i="8"/>
  <c r="AH260" i="8" s="1"/>
  <c r="AF260" i="8"/>
  <c r="AE260" i="8"/>
  <c r="AG259" i="8"/>
  <c r="AH259" i="8" s="1"/>
  <c r="AF259" i="8"/>
  <c r="AE259" i="8"/>
  <c r="AG258" i="8"/>
  <c r="AH258" i="8" s="1"/>
  <c r="AF258" i="8"/>
  <c r="AE258" i="8"/>
  <c r="AG257" i="8"/>
  <c r="AH257" i="8" s="1"/>
  <c r="AF257" i="8"/>
  <c r="AE257" i="8"/>
  <c r="AG256" i="8"/>
  <c r="AH256" i="8" s="1"/>
  <c r="AF256" i="8"/>
  <c r="AE256" i="8"/>
  <c r="AG255" i="8"/>
  <c r="AH255" i="8" s="1"/>
  <c r="AF255" i="8"/>
  <c r="AE255" i="8"/>
  <c r="AG254" i="8"/>
  <c r="AH254" i="8" s="1"/>
  <c r="AF254" i="8"/>
  <c r="AE254" i="8"/>
  <c r="AG253" i="8"/>
  <c r="AH253" i="8" s="1"/>
  <c r="AF253" i="8"/>
  <c r="AE253" i="8"/>
  <c r="AG252" i="8"/>
  <c r="AH252" i="8" s="1"/>
  <c r="AF252" i="8"/>
  <c r="AE252" i="8"/>
  <c r="AG251" i="8"/>
  <c r="AH251" i="8" s="1"/>
  <c r="AF251" i="8"/>
  <c r="AE251" i="8"/>
  <c r="AG250" i="8"/>
  <c r="AH250" i="8" s="1"/>
  <c r="AF250" i="8"/>
  <c r="AE250" i="8"/>
  <c r="AG249" i="8"/>
  <c r="AH249" i="8" s="1"/>
  <c r="AF249" i="8"/>
  <c r="AE249" i="8"/>
  <c r="AG248" i="8"/>
  <c r="AH248" i="8" s="1"/>
  <c r="AF248" i="8"/>
  <c r="AE248" i="8"/>
  <c r="AG247" i="8"/>
  <c r="AH247" i="8" s="1"/>
  <c r="AF247" i="8"/>
  <c r="AE247" i="8"/>
  <c r="AG246" i="8"/>
  <c r="AH246" i="8" s="1"/>
  <c r="AF246" i="8"/>
  <c r="AE246" i="8"/>
  <c r="AG245" i="8"/>
  <c r="AH245" i="8" s="1"/>
  <c r="AF245" i="8"/>
  <c r="AE245" i="8"/>
  <c r="AG244" i="8"/>
  <c r="AH244" i="8" s="1"/>
  <c r="AF244" i="8"/>
  <c r="AE244" i="8"/>
  <c r="AG243" i="8"/>
  <c r="AH243" i="8" s="1"/>
  <c r="AF243" i="8"/>
  <c r="AE243" i="8"/>
  <c r="AG242" i="8"/>
  <c r="AH242" i="8" s="1"/>
  <c r="AF242" i="8"/>
  <c r="AE242" i="8"/>
  <c r="AG241" i="8"/>
  <c r="AH241" i="8" s="1"/>
  <c r="AF241" i="8"/>
  <c r="AE241" i="8"/>
  <c r="AG240" i="8"/>
  <c r="AH240" i="8" s="1"/>
  <c r="AF240" i="8"/>
  <c r="AE240" i="8"/>
  <c r="AG239" i="8"/>
  <c r="AH239" i="8" s="1"/>
  <c r="AF239" i="8"/>
  <c r="AE239" i="8"/>
  <c r="AG238" i="8"/>
  <c r="AH238" i="8" s="1"/>
  <c r="AF238" i="8"/>
  <c r="AE238" i="8"/>
  <c r="AG237" i="8"/>
  <c r="AH237" i="8" s="1"/>
  <c r="AF237" i="8"/>
  <c r="AE237" i="8"/>
  <c r="AG236" i="8"/>
  <c r="AH236" i="8" s="1"/>
  <c r="AF236" i="8"/>
  <c r="AE236" i="8"/>
  <c r="AG235" i="8"/>
  <c r="AH235" i="8" s="1"/>
  <c r="AF235" i="8"/>
  <c r="AE235" i="8"/>
  <c r="AG234" i="8"/>
  <c r="AH234" i="8" s="1"/>
  <c r="AF234" i="8"/>
  <c r="AE234" i="8"/>
  <c r="AG233" i="8"/>
  <c r="AH233" i="8" s="1"/>
  <c r="AF233" i="8"/>
  <c r="AE233" i="8"/>
  <c r="AG232" i="8"/>
  <c r="AH232" i="8" s="1"/>
  <c r="AF232" i="8"/>
  <c r="AE232" i="8"/>
  <c r="AG231" i="8"/>
  <c r="AH231" i="8" s="1"/>
  <c r="AF231" i="8"/>
  <c r="AE231" i="8"/>
  <c r="AG230" i="8"/>
  <c r="AH230" i="8" s="1"/>
  <c r="AF230" i="8"/>
  <c r="AE230" i="8"/>
  <c r="AG229" i="8"/>
  <c r="AH229" i="8" s="1"/>
  <c r="AF229" i="8"/>
  <c r="AE229" i="8"/>
  <c r="AG228" i="8"/>
  <c r="AH228" i="8" s="1"/>
  <c r="AF228" i="8"/>
  <c r="AE228" i="8"/>
  <c r="AG227" i="8"/>
  <c r="AH227" i="8" s="1"/>
  <c r="AF227" i="8"/>
  <c r="AE227" i="8"/>
  <c r="AG226" i="8"/>
  <c r="AH226" i="8" s="1"/>
  <c r="AF226" i="8"/>
  <c r="AE226" i="8"/>
  <c r="AG225" i="8"/>
  <c r="AH225" i="8" s="1"/>
  <c r="AF225" i="8"/>
  <c r="AE225" i="8"/>
  <c r="AG224" i="8"/>
  <c r="AH224" i="8" s="1"/>
  <c r="AF224" i="8"/>
  <c r="AE224" i="8"/>
  <c r="AG223" i="8"/>
  <c r="AH223" i="8" s="1"/>
  <c r="AF223" i="8"/>
  <c r="AE223" i="8"/>
  <c r="AG222" i="8"/>
  <c r="AH222" i="8" s="1"/>
  <c r="AF222" i="8"/>
  <c r="AE222" i="8"/>
  <c r="AG221" i="8"/>
  <c r="AH221" i="8" s="1"/>
  <c r="AF221" i="8"/>
  <c r="AE221" i="8"/>
  <c r="AG220" i="8"/>
  <c r="AH220" i="8" s="1"/>
  <c r="AF220" i="8"/>
  <c r="AE220" i="8"/>
  <c r="AG219" i="8"/>
  <c r="AH219" i="8" s="1"/>
  <c r="AF219" i="8"/>
  <c r="AE219" i="8"/>
  <c r="AG218" i="8"/>
  <c r="AH218" i="8" s="1"/>
  <c r="AF218" i="8"/>
  <c r="AE218" i="8"/>
  <c r="AG217" i="8"/>
  <c r="AH217" i="8" s="1"/>
  <c r="AF217" i="8"/>
  <c r="AE217" i="8"/>
  <c r="AG216" i="8"/>
  <c r="AH216" i="8" s="1"/>
  <c r="AF216" i="8"/>
  <c r="AE216" i="8"/>
  <c r="AG215" i="8"/>
  <c r="AH215" i="8" s="1"/>
  <c r="AF215" i="8"/>
  <c r="AE215" i="8"/>
  <c r="AG214" i="8"/>
  <c r="AH214" i="8" s="1"/>
  <c r="AF214" i="8"/>
  <c r="AE214" i="8"/>
  <c r="AG213" i="8"/>
  <c r="AH213" i="8" s="1"/>
  <c r="AF213" i="8"/>
  <c r="AE213" i="8"/>
  <c r="AG212" i="8"/>
  <c r="AH212" i="8" s="1"/>
  <c r="AF212" i="8"/>
  <c r="AE212" i="8"/>
  <c r="AG211" i="8"/>
  <c r="AH211" i="8" s="1"/>
  <c r="AF211" i="8"/>
  <c r="AE211" i="8"/>
  <c r="AG210" i="8"/>
  <c r="AH210" i="8" s="1"/>
  <c r="AF210" i="8"/>
  <c r="AE210" i="8"/>
  <c r="AG209" i="8"/>
  <c r="AH209" i="8" s="1"/>
  <c r="AF209" i="8"/>
  <c r="AE209" i="8"/>
  <c r="AG208" i="8"/>
  <c r="AH208" i="8" s="1"/>
  <c r="AF208" i="8"/>
  <c r="AE208" i="8"/>
  <c r="AG207" i="8"/>
  <c r="AH207" i="8" s="1"/>
  <c r="AF207" i="8"/>
  <c r="AE207" i="8"/>
  <c r="AG206" i="8"/>
  <c r="AH206" i="8" s="1"/>
  <c r="AF206" i="8"/>
  <c r="AE206" i="8"/>
  <c r="AG205" i="8"/>
  <c r="AH205" i="8" s="1"/>
  <c r="AF205" i="8"/>
  <c r="AE205" i="8"/>
  <c r="AG204" i="8"/>
  <c r="AH204" i="8" s="1"/>
  <c r="AF204" i="8"/>
  <c r="AE204" i="8"/>
  <c r="AG203" i="8"/>
  <c r="AH203" i="8" s="1"/>
  <c r="AF203" i="8"/>
  <c r="AE203" i="8"/>
  <c r="AG202" i="8"/>
  <c r="AH202" i="8" s="1"/>
  <c r="AF202" i="8"/>
  <c r="AE202" i="8"/>
  <c r="AG201" i="8"/>
  <c r="AH201" i="8" s="1"/>
  <c r="AF201" i="8"/>
  <c r="AE201" i="8"/>
  <c r="AG200" i="8"/>
  <c r="AH200" i="8" s="1"/>
  <c r="AF200" i="8"/>
  <c r="AE200" i="8"/>
  <c r="AG199" i="8"/>
  <c r="AH199" i="8" s="1"/>
  <c r="AF199" i="8"/>
  <c r="AE199" i="8"/>
  <c r="AG198" i="8"/>
  <c r="AH198" i="8" s="1"/>
  <c r="AF198" i="8"/>
  <c r="AE198" i="8"/>
  <c r="AG197" i="8"/>
  <c r="AH197" i="8" s="1"/>
  <c r="AF197" i="8"/>
  <c r="AE197" i="8"/>
  <c r="AG196" i="8"/>
  <c r="AH196" i="8" s="1"/>
  <c r="AF196" i="8"/>
  <c r="AE196" i="8"/>
  <c r="AG195" i="8"/>
  <c r="AH195" i="8" s="1"/>
  <c r="AF195" i="8"/>
  <c r="AE195" i="8"/>
  <c r="AG194" i="8"/>
  <c r="AH194" i="8" s="1"/>
  <c r="AF194" i="8"/>
  <c r="AE194" i="8"/>
  <c r="AG193" i="8"/>
  <c r="AH193" i="8" s="1"/>
  <c r="AF193" i="8"/>
  <c r="AE193" i="8"/>
  <c r="AG192" i="8"/>
  <c r="AH192" i="8" s="1"/>
  <c r="AF192" i="8"/>
  <c r="AE192" i="8"/>
  <c r="AG191" i="8"/>
  <c r="AH191" i="8" s="1"/>
  <c r="AF191" i="8"/>
  <c r="AE191" i="8"/>
  <c r="AG190" i="8"/>
  <c r="AH190" i="8" s="1"/>
  <c r="AF190" i="8"/>
  <c r="AE190" i="8"/>
  <c r="AG189" i="8"/>
  <c r="AH189" i="8" s="1"/>
  <c r="AF189" i="8"/>
  <c r="AE189" i="8"/>
  <c r="AG188" i="8"/>
  <c r="AH188" i="8" s="1"/>
  <c r="AF188" i="8"/>
  <c r="AE188" i="8"/>
  <c r="AG187" i="8"/>
  <c r="AH187" i="8" s="1"/>
  <c r="AF187" i="8"/>
  <c r="AE187" i="8"/>
  <c r="AG186" i="8"/>
  <c r="AH186" i="8" s="1"/>
  <c r="AF186" i="8"/>
  <c r="AE186" i="8"/>
  <c r="AG185" i="8"/>
  <c r="AH185" i="8" s="1"/>
  <c r="AF185" i="8"/>
  <c r="AE185" i="8"/>
  <c r="AG184" i="8"/>
  <c r="AH184" i="8" s="1"/>
  <c r="AF184" i="8"/>
  <c r="AE184" i="8"/>
  <c r="AG183" i="8"/>
  <c r="AH183" i="8" s="1"/>
  <c r="AF183" i="8"/>
  <c r="AE183" i="8"/>
  <c r="AG182" i="8"/>
  <c r="AH182" i="8" s="1"/>
  <c r="AF182" i="8"/>
  <c r="AE182" i="8"/>
  <c r="AG181" i="8"/>
  <c r="AH181" i="8" s="1"/>
  <c r="AF181" i="8"/>
  <c r="AE181" i="8"/>
  <c r="AG180" i="8"/>
  <c r="AH180" i="8" s="1"/>
  <c r="AF180" i="8"/>
  <c r="AE180" i="8"/>
  <c r="AG179" i="8"/>
  <c r="AH179" i="8" s="1"/>
  <c r="AF179" i="8"/>
  <c r="AE179" i="8"/>
  <c r="AG178" i="8"/>
  <c r="AH178" i="8" s="1"/>
  <c r="AF178" i="8"/>
  <c r="AE178" i="8"/>
  <c r="AG177" i="8"/>
  <c r="AH177" i="8" s="1"/>
  <c r="AF177" i="8"/>
  <c r="AE177" i="8"/>
  <c r="AG176" i="8"/>
  <c r="AH176" i="8" s="1"/>
  <c r="AF176" i="8"/>
  <c r="AE176" i="8"/>
  <c r="AG175" i="8"/>
  <c r="AH175" i="8" s="1"/>
  <c r="AF175" i="8"/>
  <c r="AE175" i="8"/>
  <c r="AG174" i="8"/>
  <c r="AH174" i="8" s="1"/>
  <c r="AF174" i="8"/>
  <c r="AE174" i="8"/>
  <c r="AG173" i="8"/>
  <c r="AH173" i="8" s="1"/>
  <c r="AF173" i="8"/>
  <c r="AE173" i="8"/>
  <c r="AG172" i="8"/>
  <c r="AH172" i="8" s="1"/>
  <c r="AF172" i="8"/>
  <c r="AE172" i="8"/>
  <c r="AG171" i="8"/>
  <c r="AH171" i="8" s="1"/>
  <c r="AF171" i="8"/>
  <c r="AE171" i="8"/>
  <c r="AG170" i="8"/>
  <c r="AH170" i="8" s="1"/>
  <c r="AF170" i="8"/>
  <c r="AE170" i="8"/>
  <c r="AG169" i="8"/>
  <c r="AH169" i="8" s="1"/>
  <c r="AF169" i="8"/>
  <c r="AE169" i="8"/>
  <c r="AG168" i="8"/>
  <c r="AH168" i="8" s="1"/>
  <c r="AF168" i="8"/>
  <c r="AE168" i="8"/>
  <c r="AG167" i="8"/>
  <c r="AH167" i="8" s="1"/>
  <c r="AF167" i="8"/>
  <c r="AE167" i="8"/>
  <c r="AG166" i="8"/>
  <c r="AH166" i="8" s="1"/>
  <c r="AF166" i="8"/>
  <c r="AE166" i="8"/>
  <c r="AG165" i="8"/>
  <c r="AH165" i="8" s="1"/>
  <c r="AF165" i="8"/>
  <c r="AE165" i="8"/>
  <c r="AG164" i="8"/>
  <c r="AH164" i="8" s="1"/>
  <c r="AF164" i="8"/>
  <c r="AE164" i="8"/>
  <c r="AG163" i="8"/>
  <c r="AH163" i="8" s="1"/>
  <c r="AF163" i="8"/>
  <c r="AE163" i="8"/>
  <c r="AG162" i="8"/>
  <c r="AH162" i="8" s="1"/>
  <c r="AF162" i="8"/>
  <c r="AE162" i="8"/>
  <c r="AG161" i="8"/>
  <c r="AH161" i="8" s="1"/>
  <c r="AF161" i="8"/>
  <c r="AE161" i="8"/>
  <c r="AG160" i="8"/>
  <c r="AH160" i="8" s="1"/>
  <c r="AF160" i="8"/>
  <c r="AE160" i="8"/>
  <c r="AG159" i="8"/>
  <c r="AH159" i="8" s="1"/>
  <c r="AF159" i="8"/>
  <c r="AE159" i="8"/>
  <c r="AG158" i="8"/>
  <c r="AH158" i="8" s="1"/>
  <c r="AF158" i="8"/>
  <c r="AE158" i="8"/>
  <c r="AG157" i="8"/>
  <c r="AH157" i="8" s="1"/>
  <c r="AF157" i="8"/>
  <c r="AE157" i="8"/>
  <c r="AG156" i="8"/>
  <c r="AH156" i="8" s="1"/>
  <c r="AF156" i="8"/>
  <c r="AE156" i="8"/>
  <c r="AG155" i="8"/>
  <c r="AH155" i="8" s="1"/>
  <c r="AF155" i="8"/>
  <c r="AE155" i="8"/>
  <c r="AG154" i="8"/>
  <c r="AH154" i="8" s="1"/>
  <c r="AF154" i="8"/>
  <c r="AE154" i="8"/>
  <c r="AG153" i="8"/>
  <c r="AH153" i="8" s="1"/>
  <c r="AF153" i="8"/>
  <c r="AE153" i="8"/>
  <c r="AG152" i="8"/>
  <c r="AH152" i="8" s="1"/>
  <c r="AF152" i="8"/>
  <c r="AE152" i="8"/>
  <c r="AG151" i="8"/>
  <c r="AH151" i="8" s="1"/>
  <c r="AF151" i="8"/>
  <c r="AE151" i="8"/>
  <c r="AG150" i="8"/>
  <c r="AH150" i="8" s="1"/>
  <c r="AF150" i="8"/>
  <c r="AE150" i="8"/>
  <c r="AG149" i="8"/>
  <c r="AH149" i="8" s="1"/>
  <c r="AF149" i="8"/>
  <c r="AE149" i="8"/>
  <c r="AG148" i="8"/>
  <c r="AH148" i="8" s="1"/>
  <c r="AF148" i="8"/>
  <c r="AE148" i="8"/>
  <c r="AG147" i="8"/>
  <c r="AH147" i="8" s="1"/>
  <c r="AF147" i="8"/>
  <c r="AE147" i="8"/>
  <c r="AG146" i="8"/>
  <c r="AH146" i="8" s="1"/>
  <c r="AF146" i="8"/>
  <c r="AE146" i="8"/>
  <c r="AG145" i="8"/>
  <c r="AH145" i="8" s="1"/>
  <c r="AF145" i="8"/>
  <c r="AE145" i="8"/>
  <c r="AG144" i="8"/>
  <c r="AH144" i="8" s="1"/>
  <c r="AF144" i="8"/>
  <c r="AE144" i="8"/>
  <c r="AG143" i="8"/>
  <c r="AH143" i="8" s="1"/>
  <c r="AF143" i="8"/>
  <c r="AE143" i="8"/>
  <c r="AG142" i="8"/>
  <c r="AH142" i="8" s="1"/>
  <c r="AF142" i="8"/>
  <c r="AE142" i="8"/>
  <c r="AG141" i="8"/>
  <c r="AH141" i="8" s="1"/>
  <c r="AF141" i="8"/>
  <c r="AE141" i="8"/>
  <c r="AG140" i="8"/>
  <c r="AH140" i="8" s="1"/>
  <c r="AF140" i="8"/>
  <c r="AE140" i="8"/>
  <c r="AG139" i="8"/>
  <c r="AH139" i="8" s="1"/>
  <c r="AF139" i="8"/>
  <c r="AE139" i="8"/>
  <c r="AG138" i="8"/>
  <c r="AH138" i="8" s="1"/>
  <c r="AF138" i="8"/>
  <c r="AE138" i="8"/>
  <c r="AG137" i="8"/>
  <c r="AH137" i="8" s="1"/>
  <c r="AF137" i="8"/>
  <c r="AE137" i="8"/>
  <c r="AG136" i="8"/>
  <c r="AH136" i="8" s="1"/>
  <c r="AF136" i="8"/>
  <c r="AE136" i="8"/>
  <c r="AG135" i="8"/>
  <c r="AH135" i="8" s="1"/>
  <c r="AF135" i="8"/>
  <c r="AE135" i="8"/>
  <c r="AG134" i="8"/>
  <c r="AH134" i="8" s="1"/>
  <c r="AF134" i="8"/>
  <c r="AE134" i="8"/>
  <c r="AG133" i="8"/>
  <c r="AH133" i="8" s="1"/>
  <c r="AF133" i="8"/>
  <c r="AE133" i="8"/>
  <c r="AG132" i="8"/>
  <c r="AH132" i="8" s="1"/>
  <c r="AF132" i="8"/>
  <c r="AE132" i="8"/>
  <c r="AG131" i="8"/>
  <c r="AH131" i="8" s="1"/>
  <c r="AF131" i="8"/>
  <c r="AE131" i="8"/>
  <c r="AG130" i="8"/>
  <c r="AH130" i="8" s="1"/>
  <c r="AF130" i="8"/>
  <c r="AE130" i="8"/>
  <c r="AG129" i="8"/>
  <c r="AH129" i="8" s="1"/>
  <c r="AF129" i="8"/>
  <c r="AE129" i="8"/>
  <c r="AG128" i="8"/>
  <c r="AH128" i="8" s="1"/>
  <c r="AF128" i="8"/>
  <c r="AE128" i="8"/>
  <c r="AG127" i="8"/>
  <c r="AH127" i="8" s="1"/>
  <c r="AF127" i="8"/>
  <c r="AE127" i="8"/>
  <c r="AG126" i="8"/>
  <c r="AH126" i="8" s="1"/>
  <c r="AF126" i="8"/>
  <c r="AE126" i="8"/>
  <c r="AG125" i="8"/>
  <c r="AH125" i="8" s="1"/>
  <c r="AF125" i="8"/>
  <c r="AE125" i="8"/>
  <c r="AG124" i="8"/>
  <c r="AH124" i="8" s="1"/>
  <c r="AF124" i="8"/>
  <c r="AE124" i="8"/>
  <c r="AG123" i="8"/>
  <c r="AH123" i="8" s="1"/>
  <c r="AF123" i="8"/>
  <c r="AE123" i="8"/>
  <c r="AG122" i="8"/>
  <c r="AH122" i="8" s="1"/>
  <c r="AF122" i="8"/>
  <c r="AE122" i="8"/>
  <c r="AG121" i="8"/>
  <c r="AH121" i="8" s="1"/>
  <c r="AF121" i="8"/>
  <c r="AE121" i="8"/>
  <c r="AG120" i="8"/>
  <c r="AH120" i="8" s="1"/>
  <c r="AF120" i="8"/>
  <c r="AE120" i="8"/>
  <c r="AG119" i="8"/>
  <c r="AH119" i="8" s="1"/>
  <c r="AF119" i="8"/>
  <c r="AE119" i="8"/>
  <c r="AG118" i="8"/>
  <c r="AH118" i="8" s="1"/>
  <c r="AF118" i="8"/>
  <c r="AE118" i="8"/>
  <c r="AG117" i="8"/>
  <c r="AH117" i="8" s="1"/>
  <c r="AF117" i="8"/>
  <c r="AE117" i="8"/>
  <c r="AG116" i="8"/>
  <c r="AH116" i="8" s="1"/>
  <c r="AF116" i="8"/>
  <c r="AE116" i="8"/>
  <c r="AG115" i="8"/>
  <c r="AH115" i="8" s="1"/>
  <c r="AF115" i="8"/>
  <c r="AE115" i="8"/>
  <c r="AG114" i="8"/>
  <c r="AH114" i="8" s="1"/>
  <c r="AF114" i="8"/>
  <c r="AE114" i="8"/>
  <c r="AG113" i="8"/>
  <c r="AH113" i="8" s="1"/>
  <c r="AF113" i="8"/>
  <c r="AE113" i="8"/>
  <c r="AG112" i="8"/>
  <c r="AH112" i="8" s="1"/>
  <c r="AF112" i="8"/>
  <c r="AE112" i="8"/>
  <c r="AG111" i="8"/>
  <c r="AH111" i="8" s="1"/>
  <c r="AF111" i="8"/>
  <c r="AE111" i="8"/>
  <c r="AG110" i="8"/>
  <c r="AH110" i="8" s="1"/>
  <c r="AF110" i="8"/>
  <c r="AE110" i="8"/>
  <c r="AG109" i="8"/>
  <c r="AH109" i="8" s="1"/>
  <c r="AF109" i="8"/>
  <c r="AE109" i="8"/>
  <c r="AG108" i="8"/>
  <c r="AH108" i="8" s="1"/>
  <c r="AF108" i="8"/>
  <c r="AE108" i="8"/>
  <c r="AG107" i="8"/>
  <c r="AH107" i="8" s="1"/>
  <c r="AF107" i="8"/>
  <c r="AE107" i="8"/>
  <c r="AG106" i="8"/>
  <c r="AH106" i="8" s="1"/>
  <c r="AF106" i="8"/>
  <c r="AE106" i="8"/>
  <c r="AG105" i="8"/>
  <c r="AH105" i="8" s="1"/>
  <c r="AF105" i="8"/>
  <c r="AE105" i="8"/>
  <c r="AG104" i="8"/>
  <c r="AH104" i="8" s="1"/>
  <c r="AF104" i="8"/>
  <c r="AE104" i="8"/>
  <c r="AG103" i="8"/>
  <c r="AH103" i="8" s="1"/>
  <c r="AF103" i="8"/>
  <c r="AE103" i="8"/>
  <c r="AG102" i="8"/>
  <c r="AH102" i="8" s="1"/>
  <c r="AF102" i="8"/>
  <c r="AE102" i="8"/>
  <c r="AG101" i="8"/>
  <c r="AH101" i="8" s="1"/>
  <c r="AF101" i="8"/>
  <c r="AE101" i="8"/>
  <c r="AG100" i="8"/>
  <c r="AH100" i="8" s="1"/>
  <c r="AF100" i="8"/>
  <c r="AE100" i="8"/>
  <c r="AG99" i="8"/>
  <c r="AH99" i="8" s="1"/>
  <c r="AF99" i="8"/>
  <c r="AE99" i="8"/>
  <c r="AG98" i="8"/>
  <c r="AH98" i="8" s="1"/>
  <c r="AF98" i="8"/>
  <c r="AE98" i="8"/>
  <c r="AG97" i="8"/>
  <c r="AH97" i="8" s="1"/>
  <c r="AF97" i="8"/>
  <c r="AE97" i="8"/>
  <c r="AG96" i="8"/>
  <c r="AH96" i="8" s="1"/>
  <c r="AF96" i="8"/>
  <c r="AE96" i="8"/>
  <c r="AG95" i="8"/>
  <c r="AH95" i="8" s="1"/>
  <c r="AF95" i="8"/>
  <c r="AE95" i="8"/>
  <c r="AG94" i="8"/>
  <c r="AH94" i="8" s="1"/>
  <c r="AF94" i="8"/>
  <c r="AE94" i="8"/>
  <c r="AG93" i="8"/>
  <c r="AH93" i="8" s="1"/>
  <c r="AF93" i="8"/>
  <c r="AE93" i="8"/>
  <c r="AG92" i="8"/>
  <c r="AH92" i="8" s="1"/>
  <c r="AF92" i="8"/>
  <c r="AE92" i="8"/>
  <c r="AG91" i="8"/>
  <c r="AH91" i="8" s="1"/>
  <c r="AF91" i="8"/>
  <c r="AE91" i="8"/>
  <c r="AG90" i="8"/>
  <c r="AH90" i="8" s="1"/>
  <c r="AF90" i="8"/>
  <c r="AE90" i="8"/>
  <c r="AG89" i="8"/>
  <c r="AH89" i="8" s="1"/>
  <c r="AF89" i="8"/>
  <c r="AE89" i="8"/>
  <c r="AG88" i="8"/>
  <c r="AH88" i="8" s="1"/>
  <c r="AF88" i="8"/>
  <c r="AE88" i="8"/>
  <c r="AG87" i="8"/>
  <c r="AH87" i="8" s="1"/>
  <c r="AF87" i="8"/>
  <c r="AE87" i="8"/>
  <c r="AG86" i="8"/>
  <c r="AH86" i="8" s="1"/>
  <c r="AF86" i="8"/>
  <c r="AE86" i="8"/>
  <c r="AG85" i="8"/>
  <c r="AH85" i="8" s="1"/>
  <c r="AF85" i="8"/>
  <c r="AE85" i="8"/>
  <c r="AG84" i="8"/>
  <c r="AH84" i="8" s="1"/>
  <c r="AF84" i="8"/>
  <c r="AE84" i="8"/>
  <c r="AG83" i="8"/>
  <c r="AH83" i="8" s="1"/>
  <c r="AF83" i="8"/>
  <c r="AE83" i="8"/>
  <c r="AG82" i="8"/>
  <c r="AH82" i="8" s="1"/>
  <c r="AF82" i="8"/>
  <c r="AE82" i="8"/>
  <c r="AG81" i="8"/>
  <c r="AH81" i="8" s="1"/>
  <c r="AF81" i="8"/>
  <c r="AE81" i="8"/>
  <c r="AG80" i="8"/>
  <c r="AH80" i="8" s="1"/>
  <c r="AF80" i="8"/>
  <c r="AE80" i="8"/>
  <c r="AG79" i="8"/>
  <c r="AH79" i="8" s="1"/>
  <c r="AF79" i="8"/>
  <c r="AE79" i="8"/>
  <c r="AG78" i="8"/>
  <c r="AH78" i="8" s="1"/>
  <c r="AF78" i="8"/>
  <c r="AE78" i="8"/>
  <c r="AG77" i="8"/>
  <c r="AH77" i="8" s="1"/>
  <c r="AF77" i="8"/>
  <c r="AE77" i="8"/>
  <c r="AG76" i="8"/>
  <c r="AH76" i="8" s="1"/>
  <c r="AF76" i="8"/>
  <c r="AE76" i="8"/>
  <c r="AG75" i="8"/>
  <c r="AH75" i="8" s="1"/>
  <c r="AF75" i="8"/>
  <c r="AE75" i="8"/>
  <c r="AG74" i="8"/>
  <c r="AH74" i="8" s="1"/>
  <c r="AF74" i="8"/>
  <c r="AE74" i="8"/>
  <c r="AG73" i="8"/>
  <c r="AH73" i="8" s="1"/>
  <c r="AF73" i="8"/>
  <c r="AE73" i="8"/>
  <c r="AG72" i="8"/>
  <c r="AH72" i="8" s="1"/>
  <c r="AF72" i="8"/>
  <c r="AE72" i="8"/>
  <c r="AG71" i="8"/>
  <c r="AH71" i="8" s="1"/>
  <c r="AF71" i="8"/>
  <c r="AE71" i="8"/>
  <c r="AG70" i="8"/>
  <c r="AH70" i="8" s="1"/>
  <c r="AF70" i="8"/>
  <c r="AE70" i="8"/>
  <c r="AG69" i="8"/>
  <c r="AH69" i="8" s="1"/>
  <c r="AF69" i="8"/>
  <c r="AE69" i="8"/>
  <c r="AG68" i="8"/>
  <c r="AH68" i="8" s="1"/>
  <c r="AF68" i="8"/>
  <c r="AE68" i="8"/>
  <c r="AG67" i="8"/>
  <c r="AH67" i="8" s="1"/>
  <c r="AF67" i="8"/>
  <c r="AE67" i="8"/>
  <c r="AG66" i="8"/>
  <c r="AH66" i="8" s="1"/>
  <c r="AF66" i="8"/>
  <c r="AE66" i="8"/>
  <c r="AG65" i="8"/>
  <c r="AH65" i="8" s="1"/>
  <c r="AF65" i="8"/>
  <c r="AE65" i="8"/>
  <c r="AG64" i="8"/>
  <c r="AH64" i="8" s="1"/>
  <c r="AF64" i="8"/>
  <c r="AE64" i="8"/>
  <c r="AG63" i="8"/>
  <c r="AH63" i="8" s="1"/>
  <c r="AF63" i="8"/>
  <c r="AE63" i="8"/>
  <c r="AG62" i="8"/>
  <c r="AH62" i="8" s="1"/>
  <c r="AF62" i="8"/>
  <c r="AE62" i="8"/>
  <c r="AG61" i="8"/>
  <c r="AH61" i="8" s="1"/>
  <c r="AF61" i="8"/>
  <c r="AE61" i="8"/>
  <c r="AG60" i="8"/>
  <c r="AH60" i="8" s="1"/>
  <c r="AF60" i="8"/>
  <c r="AE60" i="8"/>
  <c r="AG59" i="8"/>
  <c r="AH59" i="8" s="1"/>
  <c r="AF59" i="8"/>
  <c r="AE59" i="8"/>
  <c r="AG58" i="8"/>
  <c r="AH58" i="8" s="1"/>
  <c r="AF58" i="8"/>
  <c r="AE58" i="8"/>
  <c r="AG57" i="8"/>
  <c r="AH57" i="8" s="1"/>
  <c r="AF57" i="8"/>
  <c r="AE57" i="8"/>
  <c r="AG56" i="8"/>
  <c r="AH56" i="8" s="1"/>
  <c r="AF56" i="8"/>
  <c r="AE56" i="8"/>
  <c r="AG55" i="8"/>
  <c r="AH55" i="8" s="1"/>
  <c r="AF55" i="8"/>
  <c r="AE55" i="8"/>
  <c r="AG54" i="8"/>
  <c r="AH54" i="8" s="1"/>
  <c r="AF54" i="8"/>
  <c r="AE54" i="8"/>
  <c r="AG53" i="8"/>
  <c r="AH53" i="8" s="1"/>
  <c r="AF53" i="8"/>
  <c r="AE53" i="8"/>
  <c r="AG52" i="8"/>
  <c r="AH52" i="8" s="1"/>
  <c r="AF52" i="8"/>
  <c r="AE52" i="8"/>
  <c r="AG51" i="8"/>
  <c r="AH51" i="8" s="1"/>
  <c r="AF51" i="8"/>
  <c r="AE51" i="8"/>
  <c r="AG50" i="8"/>
  <c r="AH50" i="8" s="1"/>
  <c r="AF50" i="8"/>
  <c r="AE50" i="8"/>
  <c r="AG49" i="8"/>
  <c r="AH49" i="8" s="1"/>
  <c r="AF49" i="8"/>
  <c r="AE49" i="8"/>
  <c r="AG48" i="8"/>
  <c r="AH48" i="8" s="1"/>
  <c r="AF48" i="8"/>
  <c r="AE48" i="8"/>
  <c r="AG47" i="8"/>
  <c r="AH47" i="8" s="1"/>
  <c r="AF47" i="8"/>
  <c r="AE47" i="8"/>
  <c r="AG46" i="8"/>
  <c r="AH46" i="8" s="1"/>
  <c r="AF46" i="8"/>
  <c r="AE46" i="8"/>
  <c r="AG45" i="8"/>
  <c r="AH45" i="8" s="1"/>
  <c r="AF45" i="8"/>
  <c r="AE45" i="8"/>
  <c r="AG44" i="8"/>
  <c r="AH44" i="8" s="1"/>
  <c r="AF44" i="8"/>
  <c r="AE44" i="8"/>
  <c r="AG43" i="8"/>
  <c r="AH43" i="8" s="1"/>
  <c r="AF43" i="8"/>
  <c r="AE43" i="8"/>
  <c r="AG42" i="8"/>
  <c r="AH42" i="8" s="1"/>
  <c r="AF42" i="8"/>
  <c r="AE42" i="8"/>
  <c r="AG41" i="8"/>
  <c r="AH41" i="8" s="1"/>
  <c r="AF41" i="8"/>
  <c r="AE41" i="8"/>
  <c r="AG40" i="8"/>
  <c r="AH40" i="8" s="1"/>
  <c r="AF40" i="8"/>
  <c r="AE40" i="8"/>
  <c r="AG39" i="8"/>
  <c r="AH39" i="8" s="1"/>
  <c r="AF39" i="8"/>
  <c r="AE39" i="8"/>
  <c r="AG38" i="8"/>
  <c r="AH38" i="8" s="1"/>
  <c r="AF38" i="8"/>
  <c r="AE38" i="8"/>
  <c r="AG37" i="8"/>
  <c r="AH37" i="8" s="1"/>
  <c r="AF37" i="8"/>
  <c r="AE37" i="8"/>
  <c r="AG36" i="8"/>
  <c r="AH36" i="8" s="1"/>
  <c r="AF36" i="8"/>
  <c r="AE36" i="8"/>
  <c r="AG35" i="8"/>
  <c r="AH35" i="8" s="1"/>
  <c r="AF35" i="8"/>
  <c r="AE35" i="8"/>
  <c r="AG34" i="8"/>
  <c r="AH34" i="8" s="1"/>
  <c r="AF34" i="8"/>
  <c r="AE34" i="8"/>
  <c r="AG33" i="8"/>
  <c r="AH33" i="8" s="1"/>
  <c r="AF33" i="8"/>
  <c r="AE33" i="8"/>
  <c r="AG32" i="8"/>
  <c r="AH32" i="8" s="1"/>
  <c r="AF32" i="8"/>
  <c r="AE32" i="8"/>
  <c r="AG31" i="8"/>
  <c r="AH31" i="8" s="1"/>
  <c r="AF31" i="8"/>
  <c r="AE31" i="8"/>
  <c r="AG30" i="8"/>
  <c r="AH30" i="8" s="1"/>
  <c r="AF30" i="8"/>
  <c r="AE30" i="8"/>
  <c r="AG29" i="8"/>
  <c r="AH29" i="8" s="1"/>
  <c r="AF29" i="8"/>
  <c r="AE29" i="8"/>
  <c r="AG28" i="8"/>
  <c r="AH28" i="8" s="1"/>
  <c r="AF28" i="8"/>
  <c r="AE28" i="8"/>
  <c r="AG27" i="8"/>
  <c r="AH27" i="8" s="1"/>
  <c r="AF27" i="8"/>
  <c r="AE27" i="8"/>
  <c r="AG26" i="8"/>
  <c r="AH26" i="8" s="1"/>
  <c r="AF26" i="8"/>
  <c r="AE26" i="8"/>
  <c r="AG25" i="8"/>
  <c r="AH25" i="8" s="1"/>
  <c r="AF25" i="8"/>
  <c r="AE25" i="8"/>
  <c r="AG24" i="8"/>
  <c r="AH24" i="8" s="1"/>
  <c r="AF24" i="8"/>
  <c r="AE24" i="8"/>
  <c r="AG23" i="8"/>
  <c r="AH23" i="8" s="1"/>
  <c r="AF23" i="8"/>
  <c r="AE23" i="8"/>
  <c r="AG22" i="8"/>
  <c r="AH22" i="8" s="1"/>
  <c r="AF22" i="8"/>
  <c r="AE22" i="8"/>
  <c r="AG21" i="8"/>
  <c r="AH21" i="8" s="1"/>
  <c r="AF21" i="8"/>
  <c r="AE21" i="8"/>
  <c r="AG20" i="8"/>
  <c r="AH20" i="8" s="1"/>
  <c r="AF20" i="8"/>
  <c r="AE20" i="8"/>
  <c r="AG19" i="8"/>
  <c r="AH19" i="8" s="1"/>
  <c r="AF19" i="8"/>
  <c r="AE19" i="8"/>
  <c r="AG18" i="8"/>
  <c r="AH18" i="8" s="1"/>
  <c r="AF18" i="8"/>
  <c r="AE18" i="8"/>
  <c r="AG17" i="8"/>
  <c r="AH17" i="8" s="1"/>
  <c r="AF17" i="8"/>
  <c r="AE17" i="8"/>
  <c r="AG16" i="8"/>
  <c r="AH16" i="8" s="1"/>
  <c r="AF16" i="8"/>
  <c r="AE16" i="8"/>
  <c r="AG15" i="8"/>
  <c r="AH15" i="8" s="1"/>
  <c r="AF15" i="8"/>
  <c r="AE15" i="8"/>
  <c r="AG14" i="8"/>
  <c r="AH14" i="8" s="1"/>
  <c r="AF14" i="8"/>
  <c r="AE14" i="8"/>
  <c r="AG13" i="8"/>
  <c r="AH13" i="8" s="1"/>
  <c r="AF13" i="8"/>
  <c r="AE13" i="8"/>
  <c r="AG12" i="8"/>
  <c r="AH12" i="8" s="1"/>
  <c r="AF12" i="8"/>
  <c r="AE12" i="8"/>
  <c r="AG11" i="8"/>
  <c r="AH11" i="8" s="1"/>
  <c r="AF11" i="8"/>
  <c r="AE11" i="8"/>
  <c r="AG10" i="8"/>
  <c r="AH10" i="8" s="1"/>
  <c r="AF10" i="8"/>
  <c r="AE10" i="8"/>
  <c r="AG9" i="8"/>
  <c r="AH9" i="8" s="1"/>
  <c r="AF9" i="8"/>
  <c r="AE9" i="8"/>
  <c r="AG8" i="8"/>
  <c r="AH8" i="8" s="1"/>
  <c r="AF8" i="8"/>
  <c r="AE8" i="8"/>
  <c r="AG7" i="8"/>
  <c r="AH7" i="8" s="1"/>
  <c r="AF7" i="8"/>
  <c r="AE7" i="8"/>
  <c r="AG6" i="8"/>
  <c r="AH6" i="8" s="1"/>
  <c r="AF6" i="8"/>
  <c r="AE6" i="8"/>
  <c r="AG5" i="8"/>
  <c r="AH5" i="8" s="1"/>
  <c r="AF5" i="8"/>
  <c r="AE5" i="8"/>
  <c r="AG4" i="8"/>
  <c r="AH4" i="8" s="1"/>
  <c r="AF4" i="8"/>
  <c r="AE4" i="8"/>
  <c r="AG3" i="8"/>
  <c r="AH3" i="8" s="1"/>
  <c r="AF3" i="8"/>
  <c r="AE3" i="8"/>
  <c r="AG2" i="8"/>
  <c r="AH2" i="8" s="1"/>
  <c r="AF2" i="8"/>
  <c r="AE2" i="8"/>
  <c r="AU3000" i="7"/>
  <c r="AU2999" i="7"/>
  <c r="AU2998" i="7"/>
  <c r="AU2997" i="7"/>
  <c r="AU2996" i="7"/>
  <c r="AU2995" i="7"/>
  <c r="AU2994" i="7"/>
  <c r="AU2993" i="7"/>
  <c r="AU2992" i="7"/>
  <c r="AU2991" i="7"/>
  <c r="AU2990" i="7"/>
  <c r="AU2989" i="7"/>
  <c r="AU2988" i="7"/>
  <c r="AU2987" i="7"/>
  <c r="AU2986" i="7"/>
  <c r="AU2985" i="7"/>
  <c r="AU2984" i="7"/>
  <c r="AU2983" i="7"/>
  <c r="AU2982" i="7"/>
  <c r="AU2981" i="7"/>
  <c r="AU2980" i="7"/>
  <c r="AU2979" i="7"/>
  <c r="AU2978" i="7"/>
  <c r="AU2977" i="7"/>
  <c r="AU2976" i="7"/>
  <c r="AU2975" i="7"/>
  <c r="AU2974" i="7"/>
  <c r="AU2973" i="7"/>
  <c r="AU2972" i="7"/>
  <c r="AU2971" i="7"/>
  <c r="AU2970" i="7"/>
  <c r="AU2969" i="7"/>
  <c r="AU2968" i="7"/>
  <c r="AU2967" i="7"/>
  <c r="AU2966" i="7"/>
  <c r="AU2965" i="7"/>
  <c r="AU2964" i="7"/>
  <c r="AU2963" i="7"/>
  <c r="AU2962" i="7"/>
  <c r="AU2961" i="7"/>
  <c r="AU2960" i="7"/>
  <c r="AU2959" i="7"/>
  <c r="AU2958" i="7"/>
  <c r="AU2957" i="7"/>
  <c r="AU2956" i="7"/>
  <c r="AU2955" i="7"/>
  <c r="AU2954" i="7"/>
  <c r="AU2953" i="7"/>
  <c r="AU2952" i="7"/>
  <c r="AU2951" i="7"/>
  <c r="AU2950" i="7"/>
  <c r="AU2949" i="7"/>
  <c r="AU2948" i="7"/>
  <c r="AU2947" i="7"/>
  <c r="AU2946" i="7"/>
  <c r="AU2945" i="7"/>
  <c r="AU2944" i="7"/>
  <c r="AU2943" i="7"/>
  <c r="AU2942" i="7"/>
  <c r="AU2941" i="7"/>
  <c r="AU2940" i="7"/>
  <c r="AU2939" i="7"/>
  <c r="AU2938" i="7"/>
  <c r="AU2937" i="7"/>
  <c r="AU2936" i="7"/>
  <c r="AU2935" i="7"/>
  <c r="AU2934" i="7"/>
  <c r="AU2933" i="7"/>
  <c r="AU2932" i="7"/>
  <c r="AU2931" i="7"/>
  <c r="AU2930" i="7"/>
  <c r="AU2929" i="7"/>
  <c r="AU2928" i="7"/>
  <c r="AU2927" i="7"/>
  <c r="AU2926" i="7"/>
  <c r="AU2925" i="7"/>
  <c r="AU2924" i="7"/>
  <c r="AU2923" i="7"/>
  <c r="AU2922" i="7"/>
  <c r="AU2921" i="7"/>
  <c r="AU2920" i="7"/>
  <c r="AU2919" i="7"/>
  <c r="AU2918" i="7"/>
  <c r="AU2917" i="7"/>
  <c r="AU2916" i="7"/>
  <c r="AU2915" i="7"/>
  <c r="AU2914" i="7"/>
  <c r="AU2913" i="7"/>
  <c r="AU2912" i="7"/>
  <c r="AU2911" i="7"/>
  <c r="AU2910" i="7"/>
  <c r="AU2909" i="7"/>
  <c r="AU2908" i="7"/>
  <c r="AU2907" i="7"/>
  <c r="AU2906" i="7"/>
  <c r="AU2905" i="7"/>
  <c r="AU2904" i="7"/>
  <c r="AU2903" i="7"/>
  <c r="AU2902" i="7"/>
  <c r="AU2901" i="7"/>
  <c r="AU2900" i="7"/>
  <c r="AU2899" i="7"/>
  <c r="AU2898" i="7"/>
  <c r="AU2897" i="7"/>
  <c r="AU2896" i="7"/>
  <c r="AU2895" i="7"/>
  <c r="AU2894" i="7"/>
  <c r="AU2893" i="7"/>
  <c r="AU2892" i="7"/>
  <c r="AU2891" i="7"/>
  <c r="AU2890" i="7"/>
  <c r="AU2889" i="7"/>
  <c r="AU2888" i="7"/>
  <c r="AU2887" i="7"/>
  <c r="AU2886" i="7"/>
  <c r="AU2885" i="7"/>
  <c r="AU2884" i="7"/>
  <c r="AU2883" i="7"/>
  <c r="AU2882" i="7"/>
  <c r="AU2881" i="7"/>
  <c r="AU2880" i="7"/>
  <c r="AU2879" i="7"/>
  <c r="AU2878" i="7"/>
  <c r="AU2877" i="7"/>
  <c r="AU2876" i="7"/>
  <c r="AU2875" i="7"/>
  <c r="AU2874" i="7"/>
  <c r="AU2873" i="7"/>
  <c r="AU2872" i="7"/>
  <c r="AU2871" i="7"/>
  <c r="AU2870" i="7"/>
  <c r="AU2869" i="7"/>
  <c r="AU2868" i="7"/>
  <c r="AU2867" i="7"/>
  <c r="AU2866" i="7"/>
  <c r="AU2865" i="7"/>
  <c r="AU2864" i="7"/>
  <c r="AU2863" i="7"/>
  <c r="AU2862" i="7"/>
  <c r="AU2861" i="7"/>
  <c r="AU2860" i="7"/>
  <c r="AU2859" i="7"/>
  <c r="AU2858" i="7"/>
  <c r="AU2857" i="7"/>
  <c r="AU2856" i="7"/>
  <c r="AU2855" i="7"/>
  <c r="AU2854" i="7"/>
  <c r="AU2853" i="7"/>
  <c r="AU2852" i="7"/>
  <c r="AU2851" i="7"/>
  <c r="AU2850" i="7"/>
  <c r="AU2849" i="7"/>
  <c r="AU2848" i="7"/>
  <c r="AU2847" i="7"/>
  <c r="AU2846" i="7"/>
  <c r="AU2845" i="7"/>
  <c r="AU2844" i="7"/>
  <c r="AU2843" i="7"/>
  <c r="AU2842" i="7"/>
  <c r="AU2841" i="7"/>
  <c r="AU2840" i="7"/>
  <c r="AU2839" i="7"/>
  <c r="AU2838" i="7"/>
  <c r="AU2837" i="7"/>
  <c r="AU2836" i="7"/>
  <c r="AU2835" i="7"/>
  <c r="AU2834" i="7"/>
  <c r="AU2833" i="7"/>
  <c r="AU2832" i="7"/>
  <c r="AU2831" i="7"/>
  <c r="AU2830" i="7"/>
  <c r="AU2829" i="7"/>
  <c r="AU2828" i="7"/>
  <c r="AU2827" i="7"/>
  <c r="AU2826" i="7"/>
  <c r="AU2825" i="7"/>
  <c r="AU2824" i="7"/>
  <c r="AU2823" i="7"/>
  <c r="AU2822" i="7"/>
  <c r="AU2821" i="7"/>
  <c r="AU2820" i="7"/>
  <c r="AU2819" i="7"/>
  <c r="AU2818" i="7"/>
  <c r="AU2817" i="7"/>
  <c r="AU2816" i="7"/>
  <c r="AU2815" i="7"/>
  <c r="AU2814" i="7"/>
  <c r="AU2813" i="7"/>
  <c r="AU2812" i="7"/>
  <c r="AU2811" i="7"/>
  <c r="AU2810" i="7"/>
  <c r="AU2809" i="7"/>
  <c r="AU2808" i="7"/>
  <c r="AU2807" i="7"/>
  <c r="AU2806" i="7"/>
  <c r="AU2805" i="7"/>
  <c r="AU2804" i="7"/>
  <c r="AU2803" i="7"/>
  <c r="AU2802" i="7"/>
  <c r="AU2801" i="7"/>
  <c r="AU2800" i="7"/>
  <c r="AU2799" i="7"/>
  <c r="AU2798" i="7"/>
  <c r="AU2797" i="7"/>
  <c r="AU2796" i="7"/>
  <c r="AU2795" i="7"/>
  <c r="AU2794" i="7"/>
  <c r="AU2793" i="7"/>
  <c r="AU2792" i="7"/>
  <c r="AU2791" i="7"/>
  <c r="AU2790" i="7"/>
  <c r="AU2789" i="7"/>
  <c r="AU2788" i="7"/>
  <c r="AU2787" i="7"/>
  <c r="AU2786" i="7"/>
  <c r="AU2785" i="7"/>
  <c r="AU2784" i="7"/>
  <c r="AU2783" i="7"/>
  <c r="AU2782" i="7"/>
  <c r="AU2781" i="7"/>
  <c r="AU2780" i="7"/>
  <c r="AU2779" i="7"/>
  <c r="AU2778" i="7"/>
  <c r="AU2777" i="7"/>
  <c r="AU2776" i="7"/>
  <c r="AU2775" i="7"/>
  <c r="AU2774" i="7"/>
  <c r="AU2773" i="7"/>
  <c r="AU2772" i="7"/>
  <c r="AU2771" i="7"/>
  <c r="AU2770" i="7"/>
  <c r="AU2769" i="7"/>
  <c r="AU2768" i="7"/>
  <c r="AU2767" i="7"/>
  <c r="AU2766" i="7"/>
  <c r="AU2765" i="7"/>
  <c r="AU2764" i="7"/>
  <c r="AU2763" i="7"/>
  <c r="AU2762" i="7"/>
  <c r="AU2761" i="7"/>
  <c r="AU2760" i="7"/>
  <c r="AU2759" i="7"/>
  <c r="AU2758" i="7"/>
  <c r="AU2757" i="7"/>
  <c r="AU2756" i="7"/>
  <c r="AU2755" i="7"/>
  <c r="AU2754" i="7"/>
  <c r="AU2753" i="7"/>
  <c r="AU2752" i="7"/>
  <c r="AU2751" i="7"/>
  <c r="AU2750" i="7"/>
  <c r="AU2749" i="7"/>
  <c r="AU2748" i="7"/>
  <c r="AU2747" i="7"/>
  <c r="AU2746" i="7"/>
  <c r="AU2745" i="7"/>
  <c r="AU2744" i="7"/>
  <c r="AU2743" i="7"/>
  <c r="AU2742" i="7"/>
  <c r="AU2741" i="7"/>
  <c r="AU2740" i="7"/>
  <c r="AU2739" i="7"/>
  <c r="AU2738" i="7"/>
  <c r="AU2737" i="7"/>
  <c r="AU2736" i="7"/>
  <c r="AU2735" i="7"/>
  <c r="AU2734" i="7"/>
  <c r="AU2733" i="7"/>
  <c r="AU2732" i="7"/>
  <c r="AU2731" i="7"/>
  <c r="AU2730" i="7"/>
  <c r="AU2729" i="7"/>
  <c r="AU2728" i="7"/>
  <c r="AU2727" i="7"/>
  <c r="AU2726" i="7"/>
  <c r="AU2725" i="7"/>
  <c r="AU2724" i="7"/>
  <c r="AU2723" i="7"/>
  <c r="AU2722" i="7"/>
  <c r="AU2721" i="7"/>
  <c r="AU2720" i="7"/>
  <c r="AU2719" i="7"/>
  <c r="AU2718" i="7"/>
  <c r="AU2717" i="7"/>
  <c r="AU2716" i="7"/>
  <c r="AU2715" i="7"/>
  <c r="AU2714" i="7"/>
  <c r="AU2713" i="7"/>
  <c r="AU2712" i="7"/>
  <c r="AU2711" i="7"/>
  <c r="AU2710" i="7"/>
  <c r="AU2709" i="7"/>
  <c r="AU2708" i="7"/>
  <c r="AU2707" i="7"/>
  <c r="AU2706" i="7"/>
  <c r="AU2705" i="7"/>
  <c r="AU2704" i="7"/>
  <c r="AU2703" i="7"/>
  <c r="AU2702" i="7"/>
  <c r="AU2701" i="7"/>
  <c r="AU2700" i="7"/>
  <c r="AU2699" i="7"/>
  <c r="AU2698" i="7"/>
  <c r="AU2697" i="7"/>
  <c r="AU2696" i="7"/>
  <c r="AU2695" i="7"/>
  <c r="AU2694" i="7"/>
  <c r="AU2693" i="7"/>
  <c r="AU2692" i="7"/>
  <c r="AU2691" i="7"/>
  <c r="AU2690" i="7"/>
  <c r="AU2689" i="7"/>
  <c r="AU2688" i="7"/>
  <c r="AU2687" i="7"/>
  <c r="AU2686" i="7"/>
  <c r="AU2685" i="7"/>
  <c r="AU2684" i="7"/>
  <c r="AU2683" i="7"/>
  <c r="AU2682" i="7"/>
  <c r="AU2681" i="7"/>
  <c r="AU2680" i="7"/>
  <c r="AU2679" i="7"/>
  <c r="AU2678" i="7"/>
  <c r="AU2677" i="7"/>
  <c r="AU2676" i="7"/>
  <c r="AU2675" i="7"/>
  <c r="AU2674" i="7"/>
  <c r="AU2673" i="7"/>
  <c r="AU2672" i="7"/>
  <c r="AU2671" i="7"/>
  <c r="AU2670" i="7"/>
  <c r="AU2669" i="7"/>
  <c r="AU2668" i="7"/>
  <c r="AU2667" i="7"/>
  <c r="AU2666" i="7"/>
  <c r="AU2665" i="7"/>
  <c r="AU2664" i="7"/>
  <c r="AU2663" i="7"/>
  <c r="AU2662" i="7"/>
  <c r="AU2661" i="7"/>
  <c r="AU2660" i="7"/>
  <c r="AU2659" i="7"/>
  <c r="AU2658" i="7"/>
  <c r="AU2657" i="7"/>
  <c r="AU2656" i="7"/>
  <c r="AU2655" i="7"/>
  <c r="AU2654" i="7"/>
  <c r="AU2653" i="7"/>
  <c r="AU2652" i="7"/>
  <c r="AU2651" i="7"/>
  <c r="AU2650" i="7"/>
  <c r="AU2649" i="7"/>
  <c r="AU2648" i="7"/>
  <c r="AU2647" i="7"/>
  <c r="AU2646" i="7"/>
  <c r="AU2645" i="7"/>
  <c r="AU2644" i="7"/>
  <c r="AU2643" i="7"/>
  <c r="AU2642" i="7"/>
  <c r="AU2641" i="7"/>
  <c r="AU2640" i="7"/>
  <c r="AU2639" i="7"/>
  <c r="AU2638" i="7"/>
  <c r="AU2637" i="7"/>
  <c r="AU2636" i="7"/>
  <c r="AU2635" i="7"/>
  <c r="AU2634" i="7"/>
  <c r="AU2633" i="7"/>
  <c r="AU2632" i="7"/>
  <c r="AU2631" i="7"/>
  <c r="AU2630" i="7"/>
  <c r="AU2629" i="7"/>
  <c r="AU2628" i="7"/>
  <c r="AU2627" i="7"/>
  <c r="AU2626" i="7"/>
  <c r="AU2625" i="7"/>
  <c r="AU2624" i="7"/>
  <c r="AU2623" i="7"/>
  <c r="AU2622" i="7"/>
  <c r="AU2621" i="7"/>
  <c r="AU2620" i="7"/>
  <c r="AU2619" i="7"/>
  <c r="AU2618" i="7"/>
  <c r="AU2617" i="7"/>
  <c r="AU2616" i="7"/>
  <c r="AU2615" i="7"/>
  <c r="AU2614" i="7"/>
  <c r="AU2613" i="7"/>
  <c r="AU2612" i="7"/>
  <c r="AU2611" i="7"/>
  <c r="AU2610" i="7"/>
  <c r="AU2609" i="7"/>
  <c r="AU2608" i="7"/>
  <c r="AU2607" i="7"/>
  <c r="AU2606" i="7"/>
  <c r="AU2605" i="7"/>
  <c r="AU2604" i="7"/>
  <c r="AU2603" i="7"/>
  <c r="AU2602" i="7"/>
  <c r="AU2601" i="7"/>
  <c r="AU2600" i="7"/>
  <c r="AU2599" i="7"/>
  <c r="AU2598" i="7"/>
  <c r="AU2597" i="7"/>
  <c r="AU2596" i="7"/>
  <c r="AU2595" i="7"/>
  <c r="AU2594" i="7"/>
  <c r="AU2593" i="7"/>
  <c r="AU2592" i="7"/>
  <c r="AU2591" i="7"/>
  <c r="AU2590" i="7"/>
  <c r="AU2589" i="7"/>
  <c r="AU2588" i="7"/>
  <c r="AU2587" i="7"/>
  <c r="AU2586" i="7"/>
  <c r="AU2585" i="7"/>
  <c r="AU2584" i="7"/>
  <c r="AU2583" i="7"/>
  <c r="AU2582" i="7"/>
  <c r="AU2581" i="7"/>
  <c r="AU2580" i="7"/>
  <c r="AU2579" i="7"/>
  <c r="AU2578" i="7"/>
  <c r="AU2577" i="7"/>
  <c r="AU2576" i="7"/>
  <c r="AU2575" i="7"/>
  <c r="AU2574" i="7"/>
  <c r="AU2573" i="7"/>
  <c r="AU2572" i="7"/>
  <c r="AU2571" i="7"/>
  <c r="AU2570" i="7"/>
  <c r="AU2569" i="7"/>
  <c r="AU2568" i="7"/>
  <c r="AU2567" i="7"/>
  <c r="AU2566" i="7"/>
  <c r="AU2565" i="7"/>
  <c r="AU2564" i="7"/>
  <c r="AU2563" i="7"/>
  <c r="AU2562" i="7"/>
  <c r="AU2561" i="7"/>
  <c r="AU2560" i="7"/>
  <c r="AU2559" i="7"/>
  <c r="AU2558" i="7"/>
  <c r="AU2557" i="7"/>
  <c r="AU2556" i="7"/>
  <c r="AU2555" i="7"/>
  <c r="AU2554" i="7"/>
  <c r="AU2553" i="7"/>
  <c r="AU2552" i="7"/>
  <c r="AU2551" i="7"/>
  <c r="AU2550" i="7"/>
  <c r="AU2549" i="7"/>
  <c r="AU2548" i="7"/>
  <c r="AU2547" i="7"/>
  <c r="AU2546" i="7"/>
  <c r="AU2545" i="7"/>
  <c r="AU2544" i="7"/>
  <c r="AU2543" i="7"/>
  <c r="AU2542" i="7"/>
  <c r="AU2541" i="7"/>
  <c r="AU2540" i="7"/>
  <c r="AU2539" i="7"/>
  <c r="AU2538" i="7"/>
  <c r="AU2537" i="7"/>
  <c r="AU2536" i="7"/>
  <c r="AU2535" i="7"/>
  <c r="AU2534" i="7"/>
  <c r="AU2533" i="7"/>
  <c r="AU2532" i="7"/>
  <c r="AU2531" i="7"/>
  <c r="AU2530" i="7"/>
  <c r="AU2529" i="7"/>
  <c r="AU2528" i="7"/>
  <c r="AU2527" i="7"/>
  <c r="AU2526" i="7"/>
  <c r="AU2525" i="7"/>
  <c r="AU2524" i="7"/>
  <c r="AU2523" i="7"/>
  <c r="AU2522" i="7"/>
  <c r="AU2521" i="7"/>
  <c r="AU2520" i="7"/>
  <c r="AU2519" i="7"/>
  <c r="AU2518" i="7"/>
  <c r="AU2517" i="7"/>
  <c r="AU2516" i="7"/>
  <c r="AU2515" i="7"/>
  <c r="AU2514" i="7"/>
  <c r="AU2513" i="7"/>
  <c r="AU2512" i="7"/>
  <c r="AU2511" i="7"/>
  <c r="AU2510" i="7"/>
  <c r="AU2509" i="7"/>
  <c r="AU2508" i="7"/>
  <c r="AU2507" i="7"/>
  <c r="AU2506" i="7"/>
  <c r="AU2505" i="7"/>
  <c r="AU2504" i="7"/>
  <c r="AU2503" i="7"/>
  <c r="AU2502" i="7"/>
  <c r="AU2501" i="7"/>
  <c r="AU2500" i="7"/>
  <c r="AU2499" i="7"/>
  <c r="AU2498" i="7"/>
  <c r="AU2497" i="7"/>
  <c r="AU2496" i="7"/>
  <c r="AU2495" i="7"/>
  <c r="AU2494" i="7"/>
  <c r="AU2493" i="7"/>
  <c r="AU2492" i="7"/>
  <c r="AU2491" i="7"/>
  <c r="AU2490" i="7"/>
  <c r="AU2489" i="7"/>
  <c r="AU2488" i="7"/>
  <c r="AU2487" i="7"/>
  <c r="AU2486" i="7"/>
  <c r="AU2485" i="7"/>
  <c r="AU2484" i="7"/>
  <c r="AU2483" i="7"/>
  <c r="AU2482" i="7"/>
  <c r="AU2481" i="7"/>
  <c r="AU2480" i="7"/>
  <c r="AU2479" i="7"/>
  <c r="AU2478" i="7"/>
  <c r="AU2477" i="7"/>
  <c r="AU2476" i="7"/>
  <c r="AU2475" i="7"/>
  <c r="AU2474" i="7"/>
  <c r="AU2473" i="7"/>
  <c r="AU2472" i="7"/>
  <c r="AU2471" i="7"/>
  <c r="AU2470" i="7"/>
  <c r="AU2469" i="7"/>
  <c r="AU2468" i="7"/>
  <c r="AU2467" i="7"/>
  <c r="AU2466" i="7"/>
  <c r="AU2465" i="7"/>
  <c r="AU2464" i="7"/>
  <c r="AU2463" i="7"/>
  <c r="AU2462" i="7"/>
  <c r="AU2461" i="7"/>
  <c r="AU2460" i="7"/>
  <c r="AU2459" i="7"/>
  <c r="AU2458" i="7"/>
  <c r="AU2457" i="7"/>
  <c r="AU2456" i="7"/>
  <c r="AU2455" i="7"/>
  <c r="AU2454" i="7"/>
  <c r="AU2453" i="7"/>
  <c r="AU2452" i="7"/>
  <c r="AU2451" i="7"/>
  <c r="AU2450" i="7"/>
  <c r="AU2449" i="7"/>
  <c r="AU2448" i="7"/>
  <c r="AU2447" i="7"/>
  <c r="AU2446" i="7"/>
  <c r="AU2445" i="7"/>
  <c r="AU2444" i="7"/>
  <c r="AU2443" i="7"/>
  <c r="AU2442" i="7"/>
  <c r="AU2441" i="7"/>
  <c r="AU2440" i="7"/>
  <c r="AU2439" i="7"/>
  <c r="AU2438" i="7"/>
  <c r="AU2437" i="7"/>
  <c r="AU2436" i="7"/>
  <c r="AU2435" i="7"/>
  <c r="AU2434" i="7"/>
  <c r="AU2433" i="7"/>
  <c r="AU2432" i="7"/>
  <c r="AU2431" i="7"/>
  <c r="AU2430" i="7"/>
  <c r="AU2429" i="7"/>
  <c r="AU2428" i="7"/>
  <c r="AU2427" i="7"/>
  <c r="AU2426" i="7"/>
  <c r="AU2425" i="7"/>
  <c r="AU2424" i="7"/>
  <c r="AU2423" i="7"/>
  <c r="AU2422" i="7"/>
  <c r="AU2421" i="7"/>
  <c r="AU2420" i="7"/>
  <c r="AU2419" i="7"/>
  <c r="AU2418" i="7"/>
  <c r="AU2417" i="7"/>
  <c r="AU2416" i="7"/>
  <c r="AU2415" i="7"/>
  <c r="AU2414" i="7"/>
  <c r="AU2413" i="7"/>
  <c r="AU2412" i="7"/>
  <c r="AU2411" i="7"/>
  <c r="AU2410" i="7"/>
  <c r="AU2409" i="7"/>
  <c r="AU2408" i="7"/>
  <c r="AU2407" i="7"/>
  <c r="AU2406" i="7"/>
  <c r="AU2405" i="7"/>
  <c r="AU2404" i="7"/>
  <c r="AU2403" i="7"/>
  <c r="AU2402" i="7"/>
  <c r="AU2401" i="7"/>
  <c r="AU2400" i="7"/>
  <c r="AU2399" i="7"/>
  <c r="AU2398" i="7"/>
  <c r="AU2397" i="7"/>
  <c r="AU2396" i="7"/>
  <c r="AU2395" i="7"/>
  <c r="AU2394" i="7"/>
  <c r="AU2393" i="7"/>
  <c r="AU2392" i="7"/>
  <c r="AU2391" i="7"/>
  <c r="AU2390" i="7"/>
  <c r="AU2389" i="7"/>
  <c r="AU2388" i="7"/>
  <c r="AU2387" i="7"/>
  <c r="AU2386" i="7"/>
  <c r="AU2385" i="7"/>
  <c r="AU2384" i="7"/>
  <c r="AU2383" i="7"/>
  <c r="AU2382" i="7"/>
  <c r="AU2381" i="7"/>
  <c r="AU2380" i="7"/>
  <c r="AU2379" i="7"/>
  <c r="AU2378" i="7"/>
  <c r="AU2377" i="7"/>
  <c r="AU2376" i="7"/>
  <c r="AU2375" i="7"/>
  <c r="AU2374" i="7"/>
  <c r="AU2373" i="7"/>
  <c r="AU2372" i="7"/>
  <c r="AU2371" i="7"/>
  <c r="AU2370" i="7"/>
  <c r="AU2369" i="7"/>
  <c r="AU2368" i="7"/>
  <c r="AU2367" i="7"/>
  <c r="AU2366" i="7"/>
  <c r="AU2365" i="7"/>
  <c r="AU2364" i="7"/>
  <c r="AU2363" i="7"/>
  <c r="AU2362" i="7"/>
  <c r="AU2361" i="7"/>
  <c r="AU2360" i="7"/>
  <c r="AU2359" i="7"/>
  <c r="AU2358" i="7"/>
  <c r="AU2357" i="7"/>
  <c r="AU2356" i="7"/>
  <c r="AU2355" i="7"/>
  <c r="AU2354" i="7"/>
  <c r="AU2353" i="7"/>
  <c r="AU2352" i="7"/>
  <c r="AU2351" i="7"/>
  <c r="AU2350" i="7"/>
  <c r="AU2349" i="7"/>
  <c r="AU2348" i="7"/>
  <c r="AU2347" i="7"/>
  <c r="AU2346" i="7"/>
  <c r="AU2345" i="7"/>
  <c r="AU2344" i="7"/>
  <c r="AU2343" i="7"/>
  <c r="AU2342" i="7"/>
  <c r="AU2341" i="7"/>
  <c r="AU2340" i="7"/>
  <c r="AU2339" i="7"/>
  <c r="AU2338" i="7"/>
  <c r="AU2337" i="7"/>
  <c r="AU2336" i="7"/>
  <c r="AU2335" i="7"/>
  <c r="AU2334" i="7"/>
  <c r="AU2333" i="7"/>
  <c r="AU2332" i="7"/>
  <c r="AU2331" i="7"/>
  <c r="AU2330" i="7"/>
  <c r="AU2329" i="7"/>
  <c r="AU2328" i="7"/>
  <c r="AU2327" i="7"/>
  <c r="AU2326" i="7"/>
  <c r="AU2325" i="7"/>
  <c r="AU2324" i="7"/>
  <c r="AU2323" i="7"/>
  <c r="AU2322" i="7"/>
  <c r="AU2321" i="7"/>
  <c r="AU2320" i="7"/>
  <c r="AU2319" i="7"/>
  <c r="AU2318" i="7"/>
  <c r="AU2317" i="7"/>
  <c r="AU2316" i="7"/>
  <c r="AU2315" i="7"/>
  <c r="AU2314" i="7"/>
  <c r="AU2313" i="7"/>
  <c r="AU2312" i="7"/>
  <c r="AU2311" i="7"/>
  <c r="AU2310" i="7"/>
  <c r="AU2309" i="7"/>
  <c r="AU2308" i="7"/>
  <c r="AU2307" i="7"/>
  <c r="AU2306" i="7"/>
  <c r="AU2305" i="7"/>
  <c r="AU2304" i="7"/>
  <c r="AU2303" i="7"/>
  <c r="AU2302" i="7"/>
  <c r="AU2301" i="7"/>
  <c r="AU2300" i="7"/>
  <c r="AU2299" i="7"/>
  <c r="AU2298" i="7"/>
  <c r="AU2297" i="7"/>
  <c r="AU2296" i="7"/>
  <c r="AU2295" i="7"/>
  <c r="AU2294" i="7"/>
  <c r="AU2293" i="7"/>
  <c r="AU2292" i="7"/>
  <c r="AU2291" i="7"/>
  <c r="AU2290" i="7"/>
  <c r="AU2289" i="7"/>
  <c r="AU2288" i="7"/>
  <c r="AU2287" i="7"/>
  <c r="AU2286" i="7"/>
  <c r="AU2285" i="7"/>
  <c r="AU2284" i="7"/>
  <c r="AU2283" i="7"/>
  <c r="AU2282" i="7"/>
  <c r="AU2281" i="7"/>
  <c r="AU2280" i="7"/>
  <c r="AU2279" i="7"/>
  <c r="AU2278" i="7"/>
  <c r="AU2277" i="7"/>
  <c r="AU2276" i="7"/>
  <c r="AU2275" i="7"/>
  <c r="AU2274" i="7"/>
  <c r="AU2273" i="7"/>
  <c r="AU2272" i="7"/>
  <c r="AU2271" i="7"/>
  <c r="AU2270" i="7"/>
  <c r="AU2269" i="7"/>
  <c r="AU2268" i="7"/>
  <c r="AU2267" i="7"/>
  <c r="AU2266" i="7"/>
  <c r="AU2265" i="7"/>
  <c r="AU2264" i="7"/>
  <c r="AU2263" i="7"/>
  <c r="AU2262" i="7"/>
  <c r="AU2261" i="7"/>
  <c r="AU2260" i="7"/>
  <c r="AU2259" i="7"/>
  <c r="AU2258" i="7"/>
  <c r="AU2257" i="7"/>
  <c r="AU2256" i="7"/>
  <c r="AU2255" i="7"/>
  <c r="AU2254" i="7"/>
  <c r="AU2253" i="7"/>
  <c r="AU2252" i="7"/>
  <c r="AU2251" i="7"/>
  <c r="AU2250" i="7"/>
  <c r="AU2249" i="7"/>
  <c r="AU2248" i="7"/>
  <c r="AU2247" i="7"/>
  <c r="AU2246" i="7"/>
  <c r="AU2245" i="7"/>
  <c r="AU2244" i="7"/>
  <c r="AU2243" i="7"/>
  <c r="AU2242" i="7"/>
  <c r="AU2241" i="7"/>
  <c r="AU2240" i="7"/>
  <c r="AU2239" i="7"/>
  <c r="AU2238" i="7"/>
  <c r="AU2237" i="7"/>
  <c r="AU2236" i="7"/>
  <c r="AU2235" i="7"/>
  <c r="AU2234" i="7"/>
  <c r="AU2233" i="7"/>
  <c r="AU2232" i="7"/>
  <c r="AU2231" i="7"/>
  <c r="AU2230" i="7"/>
  <c r="AU2229" i="7"/>
  <c r="AU2228" i="7"/>
  <c r="AU2227" i="7"/>
  <c r="AU2226" i="7"/>
  <c r="AU2225" i="7"/>
  <c r="AU2224" i="7"/>
  <c r="AU2223" i="7"/>
  <c r="AU2222" i="7"/>
  <c r="AU2221" i="7"/>
  <c r="AU2220" i="7"/>
  <c r="AU2219" i="7"/>
  <c r="AU2218" i="7"/>
  <c r="AU2217" i="7"/>
  <c r="AU2216" i="7"/>
  <c r="AU2215" i="7"/>
  <c r="AU2214" i="7"/>
  <c r="AU2213" i="7"/>
  <c r="AU2212" i="7"/>
  <c r="AU2211" i="7"/>
  <c r="AU2210" i="7"/>
  <c r="AU2209" i="7"/>
  <c r="AU2208" i="7"/>
  <c r="AU2207" i="7"/>
  <c r="AU2206" i="7"/>
  <c r="AU2205" i="7"/>
  <c r="AU2204" i="7"/>
  <c r="AU2203" i="7"/>
  <c r="AU2202" i="7"/>
  <c r="AU2201" i="7"/>
  <c r="AU2200" i="7"/>
  <c r="AU2199" i="7"/>
  <c r="AU2198" i="7"/>
  <c r="AU2197" i="7"/>
  <c r="AU2196" i="7"/>
  <c r="AU2195" i="7"/>
  <c r="AU2194" i="7"/>
  <c r="AU2193" i="7"/>
  <c r="AU2192" i="7"/>
  <c r="AU2191" i="7"/>
  <c r="AU2190" i="7"/>
  <c r="AU2189" i="7"/>
  <c r="AU2188" i="7"/>
  <c r="AU2187" i="7"/>
  <c r="AU2186" i="7"/>
  <c r="AU2185" i="7"/>
  <c r="AU2184" i="7"/>
  <c r="AU2183" i="7"/>
  <c r="AU2182" i="7"/>
  <c r="AU2181" i="7"/>
  <c r="AU2180" i="7"/>
  <c r="AU2179" i="7"/>
  <c r="AU2178" i="7"/>
  <c r="AU2177" i="7"/>
  <c r="AU2176" i="7"/>
  <c r="AU2175" i="7"/>
  <c r="AU2174" i="7"/>
  <c r="AU2173" i="7"/>
  <c r="AU2172" i="7"/>
  <c r="AU2171" i="7"/>
  <c r="AU2170" i="7"/>
  <c r="AU2169" i="7"/>
  <c r="AU2168" i="7"/>
  <c r="AU2167" i="7"/>
  <c r="AU2166" i="7"/>
  <c r="AU2165" i="7"/>
  <c r="AU2164" i="7"/>
  <c r="AU2163" i="7"/>
  <c r="AU2162" i="7"/>
  <c r="AU2161" i="7"/>
  <c r="AU2160" i="7"/>
  <c r="AU2159" i="7"/>
  <c r="AU2158" i="7"/>
  <c r="AU2157" i="7"/>
  <c r="AU2156" i="7"/>
  <c r="AU2155" i="7"/>
  <c r="AU2154" i="7"/>
  <c r="AU2153" i="7"/>
  <c r="AU2152" i="7"/>
  <c r="AU2151" i="7"/>
  <c r="AU2150" i="7"/>
  <c r="AU2149" i="7"/>
  <c r="AU2148" i="7"/>
  <c r="AU2147" i="7"/>
  <c r="AU2146" i="7"/>
  <c r="AU2145" i="7"/>
  <c r="AU2144" i="7"/>
  <c r="AU2143" i="7"/>
  <c r="AU2142" i="7"/>
  <c r="AU2141" i="7"/>
  <c r="AU2140" i="7"/>
  <c r="AU2139" i="7"/>
  <c r="AU2138" i="7"/>
  <c r="AU2137" i="7"/>
  <c r="AU2136" i="7"/>
  <c r="AU2135" i="7"/>
  <c r="AU2134" i="7"/>
  <c r="AU2133" i="7"/>
  <c r="AU2132" i="7"/>
  <c r="AU2131" i="7"/>
  <c r="AU2130" i="7"/>
  <c r="AU2129" i="7"/>
  <c r="AU2128" i="7"/>
  <c r="AU2127" i="7"/>
  <c r="AU2126" i="7"/>
  <c r="AU2125" i="7"/>
  <c r="AU2124" i="7"/>
  <c r="AU2123" i="7"/>
  <c r="AU2122" i="7"/>
  <c r="AU2121" i="7"/>
  <c r="AU2120" i="7"/>
  <c r="AU2119" i="7"/>
  <c r="AU2118" i="7"/>
  <c r="AU2117" i="7"/>
  <c r="AU2116" i="7"/>
  <c r="AU2115" i="7"/>
  <c r="AU2114" i="7"/>
  <c r="AU2113" i="7"/>
  <c r="AU2112" i="7"/>
  <c r="AU2111" i="7"/>
  <c r="AU2110" i="7"/>
  <c r="AU2109" i="7"/>
  <c r="AU2108" i="7"/>
  <c r="AU2107" i="7"/>
  <c r="AU2106" i="7"/>
  <c r="AU2105" i="7"/>
  <c r="AU2104" i="7"/>
  <c r="AU2103" i="7"/>
  <c r="AU2102" i="7"/>
  <c r="AU2101" i="7"/>
  <c r="AU2100" i="7"/>
  <c r="AU2099" i="7"/>
  <c r="AU2098" i="7"/>
  <c r="AU2097" i="7"/>
  <c r="AU2096" i="7"/>
  <c r="AU2095" i="7"/>
  <c r="AU2094" i="7"/>
  <c r="AU2093" i="7"/>
  <c r="AU2092" i="7"/>
  <c r="AU2091" i="7"/>
  <c r="AU2090" i="7"/>
  <c r="AU2089" i="7"/>
  <c r="AU2088" i="7"/>
  <c r="AU2087" i="7"/>
  <c r="AU2086" i="7"/>
  <c r="AU2085" i="7"/>
  <c r="AU2084" i="7"/>
  <c r="AU2083" i="7"/>
  <c r="AU2082" i="7"/>
  <c r="AU2081" i="7"/>
  <c r="AU2080" i="7"/>
  <c r="AU2079" i="7"/>
  <c r="AU2078" i="7"/>
  <c r="AU2077" i="7"/>
  <c r="AU2076" i="7"/>
  <c r="AU2075" i="7"/>
  <c r="AU2074" i="7"/>
  <c r="AU2073" i="7"/>
  <c r="AU2072" i="7"/>
  <c r="AU2071" i="7"/>
  <c r="AU2070" i="7"/>
  <c r="AU2069" i="7"/>
  <c r="AU2068" i="7"/>
  <c r="AU2067" i="7"/>
  <c r="AU2066" i="7"/>
  <c r="AU2065" i="7"/>
  <c r="AU2064" i="7"/>
  <c r="AU2063" i="7"/>
  <c r="AU2062" i="7"/>
  <c r="AU2061" i="7"/>
  <c r="AU2060" i="7"/>
  <c r="AU2059" i="7"/>
  <c r="AU2058" i="7"/>
  <c r="AU2057" i="7"/>
  <c r="AU2056" i="7"/>
  <c r="AU2055" i="7"/>
  <c r="AU2054" i="7"/>
  <c r="AU2053" i="7"/>
  <c r="AU2052" i="7"/>
  <c r="AU2051" i="7"/>
  <c r="AU2050" i="7"/>
  <c r="AU2049" i="7"/>
  <c r="AU2048" i="7"/>
  <c r="AU2047" i="7"/>
  <c r="AU2046" i="7"/>
  <c r="AU2045" i="7"/>
  <c r="AU2044" i="7"/>
  <c r="AU2043" i="7"/>
  <c r="AU2042" i="7"/>
  <c r="AU2041" i="7"/>
  <c r="AU2040" i="7"/>
  <c r="AU2039" i="7"/>
  <c r="AU2038" i="7"/>
  <c r="AU2037" i="7"/>
  <c r="AU2036" i="7"/>
  <c r="AU2035" i="7"/>
  <c r="AU2034" i="7"/>
  <c r="AU2033" i="7"/>
  <c r="AU2032" i="7"/>
  <c r="AU2031" i="7"/>
  <c r="AU2030" i="7"/>
  <c r="AU2029" i="7"/>
  <c r="AU2028" i="7"/>
  <c r="AU2027" i="7"/>
  <c r="AU2026" i="7"/>
  <c r="AU2025" i="7"/>
  <c r="AU2024" i="7"/>
  <c r="AU2023" i="7"/>
  <c r="AU2022" i="7"/>
  <c r="AU2021" i="7"/>
  <c r="AU2020" i="7"/>
  <c r="AU2019" i="7"/>
  <c r="AU2018" i="7"/>
  <c r="AU2017" i="7"/>
  <c r="AU2016" i="7"/>
  <c r="AU2015" i="7"/>
  <c r="AU2014" i="7"/>
  <c r="AU2013" i="7"/>
  <c r="AU2012" i="7"/>
  <c r="AU2011" i="7"/>
  <c r="AU2010" i="7"/>
  <c r="AU2009" i="7"/>
  <c r="AU2008" i="7"/>
  <c r="AU2007" i="7"/>
  <c r="AU2006" i="7"/>
  <c r="AU2005" i="7"/>
  <c r="AU2004" i="7"/>
  <c r="AU2003" i="7"/>
  <c r="AU2002" i="7"/>
  <c r="AU2001" i="7"/>
  <c r="AU2000" i="7"/>
  <c r="AU1999" i="7"/>
  <c r="AU1998" i="7"/>
  <c r="AU1997" i="7"/>
  <c r="AU1996" i="7"/>
  <c r="AU1995" i="7"/>
  <c r="AU1994" i="7"/>
  <c r="AU1993" i="7"/>
  <c r="AU1992" i="7"/>
  <c r="AU1991" i="7"/>
  <c r="AU1990" i="7"/>
  <c r="AU1989" i="7"/>
  <c r="AU1988" i="7"/>
  <c r="AU1987" i="7"/>
  <c r="AU1986" i="7"/>
  <c r="AU1985" i="7"/>
  <c r="AU1984" i="7"/>
  <c r="AU1983" i="7"/>
  <c r="AU1982" i="7"/>
  <c r="AU1981" i="7"/>
  <c r="AU1980" i="7"/>
  <c r="AU1979" i="7"/>
  <c r="AU1978" i="7"/>
  <c r="AU1977" i="7"/>
  <c r="AU1976" i="7"/>
  <c r="AU1975" i="7"/>
  <c r="AU1974" i="7"/>
  <c r="AU1973" i="7"/>
  <c r="AU1972" i="7"/>
  <c r="AU1971" i="7"/>
  <c r="AU1970" i="7"/>
  <c r="AU1969" i="7"/>
  <c r="AU1968" i="7"/>
  <c r="AU1967" i="7"/>
  <c r="AU1966" i="7"/>
  <c r="AU1965" i="7"/>
  <c r="AU1964" i="7"/>
  <c r="AU1963" i="7"/>
  <c r="AU1962" i="7"/>
  <c r="AU1961" i="7"/>
  <c r="AU1960" i="7"/>
  <c r="AU1959" i="7"/>
  <c r="AU1958" i="7"/>
  <c r="AU1957" i="7"/>
  <c r="AU1956" i="7"/>
  <c r="AU1955" i="7"/>
  <c r="AU1954" i="7"/>
  <c r="AU1953" i="7"/>
  <c r="AU1952" i="7"/>
  <c r="AU1951" i="7"/>
  <c r="AU1950" i="7"/>
  <c r="AU1949" i="7"/>
  <c r="AU1948" i="7"/>
  <c r="AU1947" i="7"/>
  <c r="AU1946" i="7"/>
  <c r="AU1945" i="7"/>
  <c r="AU1944" i="7"/>
  <c r="AU1943" i="7"/>
  <c r="AU1942" i="7"/>
  <c r="AU1941" i="7"/>
  <c r="AU1940" i="7"/>
  <c r="AU1939" i="7"/>
  <c r="AU1938" i="7"/>
  <c r="AU1937" i="7"/>
  <c r="AU1936" i="7"/>
  <c r="AU1935" i="7"/>
  <c r="AU1934" i="7"/>
  <c r="AU1933" i="7"/>
  <c r="AU1932" i="7"/>
  <c r="AU1931" i="7"/>
  <c r="AU1930" i="7"/>
  <c r="AU1929" i="7"/>
  <c r="AU1928" i="7"/>
  <c r="AU1927" i="7"/>
  <c r="AU1926" i="7"/>
  <c r="AU1925" i="7"/>
  <c r="AU1924" i="7"/>
  <c r="AU1923" i="7"/>
  <c r="AU1922" i="7"/>
  <c r="AU1921" i="7"/>
  <c r="AU1920" i="7"/>
  <c r="AU1919" i="7"/>
  <c r="AU1918" i="7"/>
  <c r="AU1917" i="7"/>
  <c r="AU1916" i="7"/>
  <c r="AU1915" i="7"/>
  <c r="AU1914" i="7"/>
  <c r="AU1913" i="7"/>
  <c r="AU1912" i="7"/>
  <c r="AU1911" i="7"/>
  <c r="AU1910" i="7"/>
  <c r="AU1909" i="7"/>
  <c r="AU1908" i="7"/>
  <c r="AU1907" i="7"/>
  <c r="AU1906" i="7"/>
  <c r="AU1905" i="7"/>
  <c r="AU1904" i="7"/>
  <c r="AU1903" i="7"/>
  <c r="AU1902" i="7"/>
  <c r="AU1901" i="7"/>
  <c r="AU1900" i="7"/>
  <c r="AU1899" i="7"/>
  <c r="AU1898" i="7"/>
  <c r="AU1897" i="7"/>
  <c r="AU1896" i="7"/>
  <c r="AU1895" i="7"/>
  <c r="AU1894" i="7"/>
  <c r="AU1893" i="7"/>
  <c r="AU1892" i="7"/>
  <c r="AU1891" i="7"/>
  <c r="AU1890" i="7"/>
  <c r="AU1889" i="7"/>
  <c r="AU1888" i="7"/>
  <c r="AU1887" i="7"/>
  <c r="AU1886" i="7"/>
  <c r="AU1885" i="7"/>
  <c r="AU1884" i="7"/>
  <c r="AU1883" i="7"/>
  <c r="AU1882" i="7"/>
  <c r="AU1881" i="7"/>
  <c r="AU1880" i="7"/>
  <c r="AU1879" i="7"/>
  <c r="AU1878" i="7"/>
  <c r="AU1877" i="7"/>
  <c r="AU1876" i="7"/>
  <c r="AU1875" i="7"/>
  <c r="AU1874" i="7"/>
  <c r="AU1873" i="7"/>
  <c r="AU1872" i="7"/>
  <c r="AU1871" i="7"/>
  <c r="AU1870" i="7"/>
  <c r="AU1869" i="7"/>
  <c r="AU1868" i="7"/>
  <c r="AU1867" i="7"/>
  <c r="AU1866" i="7"/>
  <c r="AU1865" i="7"/>
  <c r="AU1864" i="7"/>
  <c r="AU1863" i="7"/>
  <c r="AU1862" i="7"/>
  <c r="AU1861" i="7"/>
  <c r="AU1860" i="7"/>
  <c r="AU1859" i="7"/>
  <c r="AU1858" i="7"/>
  <c r="AU1857" i="7"/>
  <c r="AU1856" i="7"/>
  <c r="AU1855" i="7"/>
  <c r="AU1854" i="7"/>
  <c r="AU1853" i="7"/>
  <c r="AU1852" i="7"/>
  <c r="AU1851" i="7"/>
  <c r="AU1850" i="7"/>
  <c r="AU1849" i="7"/>
  <c r="AU1848" i="7"/>
  <c r="AU1847" i="7"/>
  <c r="AU1846" i="7"/>
  <c r="AU1845" i="7"/>
  <c r="AU1844" i="7"/>
  <c r="AU1843" i="7"/>
  <c r="AU1842" i="7"/>
  <c r="AU1841" i="7"/>
  <c r="AU1840" i="7"/>
  <c r="AU1839" i="7"/>
  <c r="AU1838" i="7"/>
  <c r="AU1837" i="7"/>
  <c r="AU1836" i="7"/>
  <c r="AU1835" i="7"/>
  <c r="AU1834" i="7"/>
  <c r="AU1833" i="7"/>
  <c r="AU1832" i="7"/>
  <c r="AU1831" i="7"/>
  <c r="AU1830" i="7"/>
  <c r="AU1829" i="7"/>
  <c r="AU1828" i="7"/>
  <c r="AU1827" i="7"/>
  <c r="AU1826" i="7"/>
  <c r="AU1825" i="7"/>
  <c r="AU1824" i="7"/>
  <c r="AU1823" i="7"/>
  <c r="AU1822" i="7"/>
  <c r="AU1821" i="7"/>
  <c r="AU1820" i="7"/>
  <c r="AU1819" i="7"/>
  <c r="AU1818" i="7"/>
  <c r="AU1817" i="7"/>
  <c r="AU1816" i="7"/>
  <c r="AU1815" i="7"/>
  <c r="AU1814" i="7"/>
  <c r="AU1813" i="7"/>
  <c r="AU1812" i="7"/>
  <c r="AU1811" i="7"/>
  <c r="AU1810" i="7"/>
  <c r="AU1809" i="7"/>
  <c r="AU1808" i="7"/>
  <c r="AU1807" i="7"/>
  <c r="AU1806" i="7"/>
  <c r="AU1805" i="7"/>
  <c r="AU1804" i="7"/>
  <c r="AU1803" i="7"/>
  <c r="AU1802" i="7"/>
  <c r="AU1801" i="7"/>
  <c r="AU1800" i="7"/>
  <c r="AU1799" i="7"/>
  <c r="AU1798" i="7"/>
  <c r="AU1797" i="7"/>
  <c r="AU1796" i="7"/>
  <c r="AU1795" i="7"/>
  <c r="AU1794" i="7"/>
  <c r="AU1793" i="7"/>
  <c r="AU1792" i="7"/>
  <c r="AU1791" i="7"/>
  <c r="AU1790" i="7"/>
  <c r="AU1789" i="7"/>
  <c r="AU1788" i="7"/>
  <c r="AU1787" i="7"/>
  <c r="AU1786" i="7"/>
  <c r="AU1785" i="7"/>
  <c r="AU1784" i="7"/>
  <c r="AU1783" i="7"/>
  <c r="AU1782" i="7"/>
  <c r="AU1781" i="7"/>
  <c r="AU1780" i="7"/>
  <c r="AU1779" i="7"/>
  <c r="AU1778" i="7"/>
  <c r="AU1777" i="7"/>
  <c r="AU1776" i="7"/>
  <c r="AU1775" i="7"/>
  <c r="AU1774" i="7"/>
  <c r="AU1773" i="7"/>
  <c r="AU1772" i="7"/>
  <c r="AU1771" i="7"/>
  <c r="AU1770" i="7"/>
  <c r="AU1769" i="7"/>
  <c r="AU1768" i="7"/>
  <c r="AU1767" i="7"/>
  <c r="AU1766" i="7"/>
  <c r="AU1765" i="7"/>
  <c r="AU1764" i="7"/>
  <c r="AU1763" i="7"/>
  <c r="AU1762" i="7"/>
  <c r="AU1761" i="7"/>
  <c r="AU1760" i="7"/>
  <c r="AU1759" i="7"/>
  <c r="AU1758" i="7"/>
  <c r="AU1757" i="7"/>
  <c r="AU1756" i="7"/>
  <c r="AU1755" i="7"/>
  <c r="AU1754" i="7"/>
  <c r="AU1753" i="7"/>
  <c r="AU1752" i="7"/>
  <c r="AU1751" i="7"/>
  <c r="AU1750" i="7"/>
  <c r="AU1749" i="7"/>
  <c r="AU1748" i="7"/>
  <c r="AU1747" i="7"/>
  <c r="AU1746" i="7"/>
  <c r="AU1745" i="7"/>
  <c r="AU1744" i="7"/>
  <c r="AU1743" i="7"/>
  <c r="AU1742" i="7"/>
  <c r="AU1741" i="7"/>
  <c r="AU1740" i="7"/>
  <c r="AU1739" i="7"/>
  <c r="AU1738" i="7"/>
  <c r="AU1737" i="7"/>
  <c r="AU1736" i="7"/>
  <c r="AU1735" i="7"/>
  <c r="AU1734" i="7"/>
  <c r="AU1733" i="7"/>
  <c r="AU1732" i="7"/>
  <c r="AU1731" i="7"/>
  <c r="AU1730" i="7"/>
  <c r="AU1729" i="7"/>
  <c r="AU1728" i="7"/>
  <c r="AU1727" i="7"/>
  <c r="AU1726" i="7"/>
  <c r="AU1725" i="7"/>
  <c r="AU1724" i="7"/>
  <c r="AU1723" i="7"/>
  <c r="AU1722" i="7"/>
  <c r="AU1721" i="7"/>
  <c r="AU1720" i="7"/>
  <c r="AU1719" i="7"/>
  <c r="AU1718" i="7"/>
  <c r="AU1717" i="7"/>
  <c r="AU1716" i="7"/>
  <c r="AU1715" i="7"/>
  <c r="AU1714" i="7"/>
  <c r="AU1713" i="7"/>
  <c r="AU1712" i="7"/>
  <c r="AU1711" i="7"/>
  <c r="AU1710" i="7"/>
  <c r="AU1709" i="7"/>
  <c r="AU1708" i="7"/>
  <c r="AU1707" i="7"/>
  <c r="AU1706" i="7"/>
  <c r="AU1705" i="7"/>
  <c r="AU1704" i="7"/>
  <c r="AU1703" i="7"/>
  <c r="AU1702" i="7"/>
  <c r="AU1701" i="7"/>
  <c r="AU1700" i="7"/>
  <c r="AU1699" i="7"/>
  <c r="AU1698" i="7"/>
  <c r="AU1697" i="7"/>
  <c r="AU1696" i="7"/>
  <c r="AU1695" i="7"/>
  <c r="AU1694" i="7"/>
  <c r="AU1693" i="7"/>
  <c r="AU1692" i="7"/>
  <c r="AU1691" i="7"/>
  <c r="AU1690" i="7"/>
  <c r="AU1689" i="7"/>
  <c r="AU1688" i="7"/>
  <c r="AU1687" i="7"/>
  <c r="AU1686" i="7"/>
  <c r="AU1685" i="7"/>
  <c r="AU1684" i="7"/>
  <c r="AU1683" i="7"/>
  <c r="AU1682" i="7"/>
  <c r="AU1681" i="7"/>
  <c r="AU1680" i="7"/>
  <c r="AU1679" i="7"/>
  <c r="AU1678" i="7"/>
  <c r="AU1677" i="7"/>
  <c r="AU1676" i="7"/>
  <c r="AU1675" i="7"/>
  <c r="AU1674" i="7"/>
  <c r="AU1673" i="7"/>
  <c r="AU1672" i="7"/>
  <c r="AU1671" i="7"/>
  <c r="AU1670" i="7"/>
  <c r="AU1669" i="7"/>
  <c r="AU1668" i="7"/>
  <c r="AU1667" i="7"/>
  <c r="AU1666" i="7"/>
  <c r="AU1665" i="7"/>
  <c r="AU1664" i="7"/>
  <c r="AU1663" i="7"/>
  <c r="AU1662" i="7"/>
  <c r="AU1661" i="7"/>
  <c r="AU1660" i="7"/>
  <c r="AU1659" i="7"/>
  <c r="AU1658" i="7"/>
  <c r="AU1657" i="7"/>
  <c r="AU1656" i="7"/>
  <c r="AU1655" i="7"/>
  <c r="AU1654" i="7"/>
  <c r="AU1653" i="7"/>
  <c r="AU1652" i="7"/>
  <c r="AU1651" i="7"/>
  <c r="AU1650" i="7"/>
  <c r="AU1649" i="7"/>
  <c r="AU1648" i="7"/>
  <c r="AU1647" i="7"/>
  <c r="AU1646" i="7"/>
  <c r="AU1645" i="7"/>
  <c r="AU1644" i="7"/>
  <c r="AU1643" i="7"/>
  <c r="AU1642" i="7"/>
  <c r="AU1641" i="7"/>
  <c r="AU1640" i="7"/>
  <c r="AU1639" i="7"/>
  <c r="AU1638" i="7"/>
  <c r="AU1637" i="7"/>
  <c r="AU1636" i="7"/>
  <c r="AU1635" i="7"/>
  <c r="AU1634" i="7"/>
  <c r="AU1633" i="7"/>
  <c r="AU1632" i="7"/>
  <c r="AU1631" i="7"/>
  <c r="AU1630" i="7"/>
  <c r="AU1629" i="7"/>
  <c r="AU1628" i="7"/>
  <c r="AU1627" i="7"/>
  <c r="AU1626" i="7"/>
  <c r="AU1625" i="7"/>
  <c r="AU1624" i="7"/>
  <c r="AU1623" i="7"/>
  <c r="AU1622" i="7"/>
  <c r="AU1621" i="7"/>
  <c r="AU1620" i="7"/>
  <c r="AU1619" i="7"/>
  <c r="AU1618" i="7"/>
  <c r="AU1617" i="7"/>
  <c r="AU1616" i="7"/>
  <c r="AU1615" i="7"/>
  <c r="AU1614" i="7"/>
  <c r="AU1613" i="7"/>
  <c r="AU1612" i="7"/>
  <c r="AU1611" i="7"/>
  <c r="AU1610" i="7"/>
  <c r="AU1609" i="7"/>
  <c r="AU1608" i="7"/>
  <c r="AU1607" i="7"/>
  <c r="AU1606" i="7"/>
  <c r="AU1605" i="7"/>
  <c r="AU1604" i="7"/>
  <c r="AU1603" i="7"/>
  <c r="AU1602" i="7"/>
  <c r="AU1601" i="7"/>
  <c r="AU1600" i="7"/>
  <c r="AU1599" i="7"/>
  <c r="AU1598" i="7"/>
  <c r="AU1597" i="7"/>
  <c r="AU1596" i="7"/>
  <c r="AU1595" i="7"/>
  <c r="AU1594" i="7"/>
  <c r="AU1593" i="7"/>
  <c r="AU1592" i="7"/>
  <c r="AU1591" i="7"/>
  <c r="AU1590" i="7"/>
  <c r="AU1589" i="7"/>
  <c r="AU1588" i="7"/>
  <c r="AU1587" i="7"/>
  <c r="AU1586" i="7"/>
  <c r="AU1585" i="7"/>
  <c r="AU1584" i="7"/>
  <c r="AU1583" i="7"/>
  <c r="AU1582" i="7"/>
  <c r="AU1581" i="7"/>
  <c r="AU1580" i="7"/>
  <c r="AU1579" i="7"/>
  <c r="AU1578" i="7"/>
  <c r="AU1577" i="7"/>
  <c r="AU1576" i="7"/>
  <c r="AU1575" i="7"/>
  <c r="AU1574" i="7"/>
  <c r="AU1573" i="7"/>
  <c r="AU1572" i="7"/>
  <c r="AU1571" i="7"/>
  <c r="AU1570" i="7"/>
  <c r="AU1569" i="7"/>
  <c r="AU1568" i="7"/>
  <c r="AU1567" i="7"/>
  <c r="AU1566" i="7"/>
  <c r="AU1565" i="7"/>
  <c r="AU1564" i="7"/>
  <c r="AU1563" i="7"/>
  <c r="AU1562" i="7"/>
  <c r="AU1561" i="7"/>
  <c r="AU1560" i="7"/>
  <c r="AU1559" i="7"/>
  <c r="AU1558" i="7"/>
  <c r="AU1557" i="7"/>
  <c r="AU1556" i="7"/>
  <c r="AU1555" i="7"/>
  <c r="AU1554" i="7"/>
  <c r="AU1553" i="7"/>
  <c r="AU1552" i="7"/>
  <c r="AU1551" i="7"/>
  <c r="AU1550" i="7"/>
  <c r="AU1549" i="7"/>
  <c r="AU1548" i="7"/>
  <c r="AU1547" i="7"/>
  <c r="AU1546" i="7"/>
  <c r="AU1545" i="7"/>
  <c r="AU1544" i="7"/>
  <c r="AU1543" i="7"/>
  <c r="AU1542" i="7"/>
  <c r="AU1541" i="7"/>
  <c r="AU1540" i="7"/>
  <c r="AU1539" i="7"/>
  <c r="AU1538" i="7"/>
  <c r="AU1537" i="7"/>
  <c r="AU1536" i="7"/>
  <c r="AU1535" i="7"/>
  <c r="AU1534" i="7"/>
  <c r="AU1533" i="7"/>
  <c r="AU1532" i="7"/>
  <c r="AU1531" i="7"/>
  <c r="AU1530" i="7"/>
  <c r="AU1529" i="7"/>
  <c r="AU1528" i="7"/>
  <c r="AU1527" i="7"/>
  <c r="AU1526" i="7"/>
  <c r="AU1525" i="7"/>
  <c r="AU1524" i="7"/>
  <c r="AU1523" i="7"/>
  <c r="AU1522" i="7"/>
  <c r="AU1521" i="7"/>
  <c r="AU1520" i="7"/>
  <c r="AU1519" i="7"/>
  <c r="AU1518" i="7"/>
  <c r="AU1517" i="7"/>
  <c r="AU1516" i="7"/>
  <c r="AU1515" i="7"/>
  <c r="AU1514" i="7"/>
  <c r="AU1513" i="7"/>
  <c r="AU1512" i="7"/>
  <c r="AU1511" i="7"/>
  <c r="AU1510" i="7"/>
  <c r="AU1509" i="7"/>
  <c r="AU1508" i="7"/>
  <c r="AU1507" i="7"/>
  <c r="AU1506" i="7"/>
  <c r="AU1505" i="7"/>
  <c r="AU1504" i="7"/>
  <c r="AU1503" i="7"/>
  <c r="AU1502" i="7"/>
  <c r="AU1501" i="7"/>
  <c r="AU1500" i="7"/>
  <c r="AU1499" i="7"/>
  <c r="AU1498" i="7"/>
  <c r="AU1497" i="7"/>
  <c r="AU1496" i="7"/>
  <c r="AU1495" i="7"/>
  <c r="AU1494" i="7"/>
  <c r="AU1493" i="7"/>
  <c r="AU1492" i="7"/>
  <c r="AU1491" i="7"/>
  <c r="AU1490" i="7"/>
  <c r="AU1489" i="7"/>
  <c r="AU1488" i="7"/>
  <c r="AU1487" i="7"/>
  <c r="AU1486" i="7"/>
  <c r="AU1485" i="7"/>
  <c r="AU1484" i="7"/>
  <c r="AU1483" i="7"/>
  <c r="AU1482" i="7"/>
  <c r="AU1481" i="7"/>
  <c r="AU1480" i="7"/>
  <c r="AU1479" i="7"/>
  <c r="AU1478" i="7"/>
  <c r="AU1477" i="7"/>
  <c r="AU1476" i="7"/>
  <c r="AU1475" i="7"/>
  <c r="AU1474" i="7"/>
  <c r="AU1473" i="7"/>
  <c r="AU1472" i="7"/>
  <c r="AU1471" i="7"/>
  <c r="AU1470" i="7"/>
  <c r="AU1469" i="7"/>
  <c r="AU1468" i="7"/>
  <c r="AU1467" i="7"/>
  <c r="AU1466" i="7"/>
  <c r="AU1465" i="7"/>
  <c r="AU1464" i="7"/>
  <c r="AU1463" i="7"/>
  <c r="AU1462" i="7"/>
  <c r="AU1461" i="7"/>
  <c r="AU1460" i="7"/>
  <c r="AU1459" i="7"/>
  <c r="AU1458" i="7"/>
  <c r="AU1457" i="7"/>
  <c r="AU1456" i="7"/>
  <c r="AU1455" i="7"/>
  <c r="AU1454" i="7"/>
  <c r="AU1453" i="7"/>
  <c r="AU1452" i="7"/>
  <c r="AU1451" i="7"/>
  <c r="AU1450" i="7"/>
  <c r="AU1449" i="7"/>
  <c r="AU1448" i="7"/>
  <c r="AU1447" i="7"/>
  <c r="AU1446" i="7"/>
  <c r="AU1445" i="7"/>
  <c r="AU1444" i="7"/>
  <c r="AU1443" i="7"/>
  <c r="AU1442" i="7"/>
  <c r="AU1441" i="7"/>
  <c r="AU1440" i="7"/>
  <c r="AU1439" i="7"/>
  <c r="AU1438" i="7"/>
  <c r="AU1437" i="7"/>
  <c r="AU1436" i="7"/>
  <c r="AU1435" i="7"/>
  <c r="AU1434" i="7"/>
  <c r="AU1433" i="7"/>
  <c r="AU1432" i="7"/>
  <c r="AU1431" i="7"/>
  <c r="AU1430" i="7"/>
  <c r="AU1429" i="7"/>
  <c r="AU1428" i="7"/>
  <c r="AU1427" i="7"/>
  <c r="AU1426" i="7"/>
  <c r="AU1425" i="7"/>
  <c r="AU1424" i="7"/>
  <c r="AU1423" i="7"/>
  <c r="AU1422" i="7"/>
  <c r="AU1421" i="7"/>
  <c r="AU1420" i="7"/>
  <c r="AU1419" i="7"/>
  <c r="AU1418" i="7"/>
  <c r="AU1417" i="7"/>
  <c r="AU1416" i="7"/>
  <c r="AU1415" i="7"/>
  <c r="AU1414" i="7"/>
  <c r="AU1413" i="7"/>
  <c r="AU1412" i="7"/>
  <c r="AU1411" i="7"/>
  <c r="AU1410" i="7"/>
  <c r="AU1409" i="7"/>
  <c r="AU1408" i="7"/>
  <c r="AU1407" i="7"/>
  <c r="AU1406" i="7"/>
  <c r="AU1405" i="7"/>
  <c r="AU1404" i="7"/>
  <c r="AU1403" i="7"/>
  <c r="AU1402" i="7"/>
  <c r="AU1401" i="7"/>
  <c r="AU1400" i="7"/>
  <c r="AU1399" i="7"/>
  <c r="AU1398" i="7"/>
  <c r="AU1397" i="7"/>
  <c r="AU1396" i="7"/>
  <c r="AU1395" i="7"/>
  <c r="AU1394" i="7"/>
  <c r="AU1393" i="7"/>
  <c r="AU1392" i="7"/>
  <c r="AU1391" i="7"/>
  <c r="AU1390" i="7"/>
  <c r="AU1389" i="7"/>
  <c r="AU1388" i="7"/>
  <c r="AU1387" i="7"/>
  <c r="AU1386" i="7"/>
  <c r="AU1385" i="7"/>
  <c r="AU1384" i="7"/>
  <c r="AU1383" i="7"/>
  <c r="AU1382" i="7"/>
  <c r="AU1381" i="7"/>
  <c r="AU1380" i="7"/>
  <c r="AU1379" i="7"/>
  <c r="AU1378" i="7"/>
  <c r="AU1377" i="7"/>
  <c r="AU1376" i="7"/>
  <c r="AU1375" i="7"/>
  <c r="AU1374" i="7"/>
  <c r="AU1373" i="7"/>
  <c r="AU1372" i="7"/>
  <c r="AU1371" i="7"/>
  <c r="AU1370" i="7"/>
  <c r="AU1369" i="7"/>
  <c r="AU1368" i="7"/>
  <c r="AU1367" i="7"/>
  <c r="AU1366" i="7"/>
  <c r="AU1365" i="7"/>
  <c r="AU1364" i="7"/>
  <c r="AU1363" i="7"/>
  <c r="AU1362" i="7"/>
  <c r="AU1361" i="7"/>
  <c r="AU1360" i="7"/>
  <c r="AU1359" i="7"/>
  <c r="AU1358" i="7"/>
  <c r="AU1357" i="7"/>
  <c r="AU1356" i="7"/>
  <c r="AU1355" i="7"/>
  <c r="AU1354" i="7"/>
  <c r="AU1353" i="7"/>
  <c r="AU1352" i="7"/>
  <c r="AU1351" i="7"/>
  <c r="AU1350" i="7"/>
  <c r="AU1349" i="7"/>
  <c r="AU1348" i="7"/>
  <c r="AU1347" i="7"/>
  <c r="AU1346" i="7"/>
  <c r="AU1345" i="7"/>
  <c r="AU1344" i="7"/>
  <c r="AU1343" i="7"/>
  <c r="AU1342" i="7"/>
  <c r="AU1341" i="7"/>
  <c r="AU1340" i="7"/>
  <c r="AU1339" i="7"/>
  <c r="AU1338" i="7"/>
  <c r="AU1337" i="7"/>
  <c r="AU1336" i="7"/>
  <c r="AU1335" i="7"/>
  <c r="AU1334" i="7"/>
  <c r="AU1333" i="7"/>
  <c r="AU1332" i="7"/>
  <c r="AU1331" i="7"/>
  <c r="AU1330" i="7"/>
  <c r="AU1329" i="7"/>
  <c r="AU1328" i="7"/>
  <c r="AU1327" i="7"/>
  <c r="AU1326" i="7"/>
  <c r="AU1325" i="7"/>
  <c r="AU1324" i="7"/>
  <c r="AU1323" i="7"/>
  <c r="AU1322" i="7"/>
  <c r="AU1321" i="7"/>
  <c r="AU1320" i="7"/>
  <c r="AU1319" i="7"/>
  <c r="AU1318" i="7"/>
  <c r="AU1317" i="7"/>
  <c r="AU1316" i="7"/>
  <c r="AU1315" i="7"/>
  <c r="AU1314" i="7"/>
  <c r="AU1313" i="7"/>
  <c r="AU1312" i="7"/>
  <c r="AU1311" i="7"/>
  <c r="AU1310" i="7"/>
  <c r="AU1309" i="7"/>
  <c r="AU1308" i="7"/>
  <c r="AU1307" i="7"/>
  <c r="AU1306" i="7"/>
  <c r="AU1305" i="7"/>
  <c r="AU1304" i="7"/>
  <c r="AU1303" i="7"/>
  <c r="AU1302" i="7"/>
  <c r="AU1301" i="7"/>
  <c r="AU1300" i="7"/>
  <c r="AU1299" i="7"/>
  <c r="AU1298" i="7"/>
  <c r="AU1297" i="7"/>
  <c r="AU1296" i="7"/>
  <c r="AU1295" i="7"/>
  <c r="AU1294" i="7"/>
  <c r="AU1293" i="7"/>
  <c r="AU1292" i="7"/>
  <c r="AU1291" i="7"/>
  <c r="AU1290" i="7"/>
  <c r="AU1289" i="7"/>
  <c r="AU1288" i="7"/>
  <c r="AU1287" i="7"/>
  <c r="AU1286" i="7"/>
  <c r="AU1285" i="7"/>
  <c r="AU1284" i="7"/>
  <c r="AU1283" i="7"/>
  <c r="AU1282" i="7"/>
  <c r="AU1281" i="7"/>
  <c r="AU1280" i="7"/>
  <c r="AU1279" i="7"/>
  <c r="AU1278" i="7"/>
  <c r="AU1277" i="7"/>
  <c r="AU1276" i="7"/>
  <c r="AU1275" i="7"/>
  <c r="AU1274" i="7"/>
  <c r="AU1273" i="7"/>
  <c r="AU1272" i="7"/>
  <c r="AU1271" i="7"/>
  <c r="AU1270" i="7"/>
  <c r="AU1269" i="7"/>
  <c r="AU1268" i="7"/>
  <c r="AU1267" i="7"/>
  <c r="AU1266" i="7"/>
  <c r="AU1265" i="7"/>
  <c r="AU1264" i="7"/>
  <c r="AU1263" i="7"/>
  <c r="AU1262" i="7"/>
  <c r="AU1261" i="7"/>
  <c r="AU1260" i="7"/>
  <c r="AU1259" i="7"/>
  <c r="AU1258" i="7"/>
  <c r="AU1257" i="7"/>
  <c r="AU1256" i="7"/>
  <c r="AU1255" i="7"/>
  <c r="AU1254" i="7"/>
  <c r="AU1253" i="7"/>
  <c r="AU1252" i="7"/>
  <c r="AU1251" i="7"/>
  <c r="AU1250" i="7"/>
  <c r="AU1249" i="7"/>
  <c r="AU1248" i="7"/>
  <c r="AU1247" i="7"/>
  <c r="AU1246" i="7"/>
  <c r="AU1245" i="7"/>
  <c r="AU1244" i="7"/>
  <c r="AU1243" i="7"/>
  <c r="AU1242" i="7"/>
  <c r="AU1241" i="7"/>
  <c r="AU1240" i="7"/>
  <c r="AU1239" i="7"/>
  <c r="AU1238" i="7"/>
  <c r="AU1237" i="7"/>
  <c r="AU1236" i="7"/>
  <c r="AU1235" i="7"/>
  <c r="AU1234" i="7"/>
  <c r="AU1233" i="7"/>
  <c r="AU1232" i="7"/>
  <c r="AU1231" i="7"/>
  <c r="AU1230" i="7"/>
  <c r="AU1229" i="7"/>
  <c r="AU1228" i="7"/>
  <c r="AU1227" i="7"/>
  <c r="AU1226" i="7"/>
  <c r="AU1225" i="7"/>
  <c r="AU1224" i="7"/>
  <c r="AU1223" i="7"/>
  <c r="AU1222" i="7"/>
  <c r="AU1221" i="7"/>
  <c r="AU1220" i="7"/>
  <c r="AU1219" i="7"/>
  <c r="AU1218" i="7"/>
  <c r="AU1217" i="7"/>
  <c r="AU1216" i="7"/>
  <c r="AU1215" i="7"/>
  <c r="AU1214" i="7"/>
  <c r="AU1213" i="7"/>
  <c r="AU1212" i="7"/>
  <c r="AU1211" i="7"/>
  <c r="AU1210" i="7"/>
  <c r="AU1209" i="7"/>
  <c r="AU1208" i="7"/>
  <c r="AU1207" i="7"/>
  <c r="AU1206" i="7"/>
  <c r="AU1205" i="7"/>
  <c r="AU1204" i="7"/>
  <c r="AU1203" i="7"/>
  <c r="AU1202" i="7"/>
  <c r="AU1201" i="7"/>
  <c r="AU1200" i="7"/>
  <c r="AU1199" i="7"/>
  <c r="AU1198" i="7"/>
  <c r="AU1197" i="7"/>
  <c r="AU1196" i="7"/>
  <c r="AU1195" i="7"/>
  <c r="AU1194" i="7"/>
  <c r="AU1193" i="7"/>
  <c r="AU1192" i="7"/>
  <c r="AU1191" i="7"/>
  <c r="AU1190" i="7"/>
  <c r="AU1189" i="7"/>
  <c r="AU1188" i="7"/>
  <c r="AU1187" i="7"/>
  <c r="AU1186" i="7"/>
  <c r="AU1185" i="7"/>
  <c r="AU1184" i="7"/>
  <c r="AU1183" i="7"/>
  <c r="AU1182" i="7"/>
  <c r="AU1181" i="7"/>
  <c r="AU1180" i="7"/>
  <c r="AU1179" i="7"/>
  <c r="AU1178" i="7"/>
  <c r="AU1177" i="7"/>
  <c r="AU1176" i="7"/>
  <c r="AU1175" i="7"/>
  <c r="AU1174" i="7"/>
  <c r="AU1173" i="7"/>
  <c r="AU1172" i="7"/>
  <c r="AU1171" i="7"/>
  <c r="AU1170" i="7"/>
  <c r="AU1169" i="7"/>
  <c r="AU1168" i="7"/>
  <c r="AU1167" i="7"/>
  <c r="AU1166" i="7"/>
  <c r="AU1165" i="7"/>
  <c r="AU1164" i="7"/>
  <c r="AU1163" i="7"/>
  <c r="AU1162" i="7"/>
  <c r="AU1161" i="7"/>
  <c r="AU1160" i="7"/>
  <c r="AU1159" i="7"/>
  <c r="AU1158" i="7"/>
  <c r="AU1157" i="7"/>
  <c r="AU1156" i="7"/>
  <c r="AU1155" i="7"/>
  <c r="AU1154" i="7"/>
  <c r="AU1153" i="7"/>
  <c r="AU1152" i="7"/>
  <c r="AU1151" i="7"/>
  <c r="AU1150" i="7"/>
  <c r="AU1149" i="7"/>
  <c r="AU1148" i="7"/>
  <c r="AU1147" i="7"/>
  <c r="AU1146" i="7"/>
  <c r="AU1145" i="7"/>
  <c r="AU1144" i="7"/>
  <c r="AU1143" i="7"/>
  <c r="AU1142" i="7"/>
  <c r="AU1141" i="7"/>
  <c r="AU1140" i="7"/>
  <c r="AU1139" i="7"/>
  <c r="AU1138" i="7"/>
  <c r="AU1137" i="7"/>
  <c r="AU1136" i="7"/>
  <c r="AU1135" i="7"/>
  <c r="AU1134" i="7"/>
  <c r="AU1133" i="7"/>
  <c r="AU1132" i="7"/>
  <c r="AU1131" i="7"/>
  <c r="AU1130" i="7"/>
  <c r="AU1129" i="7"/>
  <c r="AU1128" i="7"/>
  <c r="AU1127" i="7"/>
  <c r="AU1126" i="7"/>
  <c r="AU1125" i="7"/>
  <c r="AU1124" i="7"/>
  <c r="AU1123" i="7"/>
  <c r="AU1122" i="7"/>
  <c r="AU1121" i="7"/>
  <c r="AU1120" i="7"/>
  <c r="AU1119" i="7"/>
  <c r="AU1118" i="7"/>
  <c r="AU1117" i="7"/>
  <c r="AU1116" i="7"/>
  <c r="AU1115" i="7"/>
  <c r="AU1114" i="7"/>
  <c r="AU1113" i="7"/>
  <c r="AU1112" i="7"/>
  <c r="AU1111" i="7"/>
  <c r="AU1110" i="7"/>
  <c r="AU1109" i="7"/>
  <c r="AU1108" i="7"/>
  <c r="AU1107" i="7"/>
  <c r="AU1106" i="7"/>
  <c r="AU1105" i="7"/>
  <c r="AU1104" i="7"/>
  <c r="AU1103" i="7"/>
  <c r="AU1102" i="7"/>
  <c r="AU1101" i="7"/>
  <c r="AU1100" i="7"/>
  <c r="AU1099" i="7"/>
  <c r="AU1098" i="7"/>
  <c r="AU1097" i="7"/>
  <c r="AU1096" i="7"/>
  <c r="AU1095" i="7"/>
  <c r="AU1094" i="7"/>
  <c r="AU1093" i="7"/>
  <c r="AU1092" i="7"/>
  <c r="AU1091" i="7"/>
  <c r="AU1090" i="7"/>
  <c r="AU1089" i="7"/>
  <c r="AU1088" i="7"/>
  <c r="AU1087" i="7"/>
  <c r="AU1086" i="7"/>
  <c r="AU1085" i="7"/>
  <c r="AU1084" i="7"/>
  <c r="AU1083" i="7"/>
  <c r="AU1082" i="7"/>
  <c r="AU1081" i="7"/>
  <c r="AU1080" i="7"/>
  <c r="AU1079" i="7"/>
  <c r="AU1078" i="7"/>
  <c r="AU1077" i="7"/>
  <c r="AU1076" i="7"/>
  <c r="AU1075" i="7"/>
  <c r="AU1074" i="7"/>
  <c r="AU1073" i="7"/>
  <c r="AU1072" i="7"/>
  <c r="AU1071" i="7"/>
  <c r="AU1070" i="7"/>
  <c r="AU1069" i="7"/>
  <c r="AU1068" i="7"/>
  <c r="AU1067" i="7"/>
  <c r="AU1066" i="7"/>
  <c r="AU1065" i="7"/>
  <c r="AU1064" i="7"/>
  <c r="AU1063" i="7"/>
  <c r="AU1062" i="7"/>
  <c r="AU1061" i="7"/>
  <c r="AU1060" i="7"/>
  <c r="AU1059" i="7"/>
  <c r="AU1058" i="7"/>
  <c r="AU1057" i="7"/>
  <c r="AU1056" i="7"/>
  <c r="AU1055" i="7"/>
  <c r="AU1054" i="7"/>
  <c r="AU1053" i="7"/>
  <c r="AU1052" i="7"/>
  <c r="AU1051" i="7"/>
  <c r="AU1050" i="7"/>
  <c r="AU1049" i="7"/>
  <c r="AU1048" i="7"/>
  <c r="AU1047" i="7"/>
  <c r="AU1046" i="7"/>
  <c r="AU1045" i="7"/>
  <c r="AU1044" i="7"/>
  <c r="AU1043" i="7"/>
  <c r="AU1042" i="7"/>
  <c r="AU1041" i="7"/>
  <c r="AU1040" i="7"/>
  <c r="AU1039" i="7"/>
  <c r="AU1038" i="7"/>
  <c r="AU1037" i="7"/>
  <c r="AU1036" i="7"/>
  <c r="AU1035" i="7"/>
  <c r="AU1034" i="7"/>
  <c r="AU1033" i="7"/>
  <c r="AU1032" i="7"/>
  <c r="AU1031" i="7"/>
  <c r="AU1030" i="7"/>
  <c r="AU1029" i="7"/>
  <c r="AU1028" i="7"/>
  <c r="AU1027" i="7"/>
  <c r="AU1026" i="7"/>
  <c r="AU1025" i="7"/>
  <c r="AU1024" i="7"/>
  <c r="AU1023" i="7"/>
  <c r="AU1022" i="7"/>
  <c r="AU1021" i="7"/>
  <c r="AU1020" i="7"/>
  <c r="AU1019" i="7"/>
  <c r="AU1018" i="7"/>
  <c r="AU1017" i="7"/>
  <c r="AU1016" i="7"/>
  <c r="AU1015" i="7"/>
  <c r="AU1014" i="7"/>
  <c r="AU1013" i="7"/>
  <c r="AU1012" i="7"/>
  <c r="AU1011" i="7"/>
  <c r="AU1010" i="7"/>
  <c r="AU1009" i="7"/>
  <c r="AU1008" i="7"/>
  <c r="AU1007" i="7"/>
  <c r="AU1006" i="7"/>
  <c r="AU1005" i="7"/>
  <c r="AU1004" i="7"/>
  <c r="AU1003" i="7"/>
  <c r="AU1002" i="7"/>
  <c r="AU1001" i="7"/>
  <c r="AU1000" i="7"/>
  <c r="AU999" i="7"/>
  <c r="AU998" i="7"/>
  <c r="AU997" i="7"/>
  <c r="AU996" i="7"/>
  <c r="AU995" i="7"/>
  <c r="AU994" i="7"/>
  <c r="AU993" i="7"/>
  <c r="AU992" i="7"/>
  <c r="AU991" i="7"/>
  <c r="AU990" i="7"/>
  <c r="AU989" i="7"/>
  <c r="AU988" i="7"/>
  <c r="AU987" i="7"/>
  <c r="AU986" i="7"/>
  <c r="AU985" i="7"/>
  <c r="AU984" i="7"/>
  <c r="AU983" i="7"/>
  <c r="AU982" i="7"/>
  <c r="AU981" i="7"/>
  <c r="AU980" i="7"/>
  <c r="AU979" i="7"/>
  <c r="AU978" i="7"/>
  <c r="AU977" i="7"/>
  <c r="AU976" i="7"/>
  <c r="AU975" i="7"/>
  <c r="AU974" i="7"/>
  <c r="AU973" i="7"/>
  <c r="AU972" i="7"/>
  <c r="AU971" i="7"/>
  <c r="AU970" i="7"/>
  <c r="AU969" i="7"/>
  <c r="AU968" i="7"/>
  <c r="AU967" i="7"/>
  <c r="AU966" i="7"/>
  <c r="AU965" i="7"/>
  <c r="AU964" i="7"/>
  <c r="AU963" i="7"/>
  <c r="AU962" i="7"/>
  <c r="AU961" i="7"/>
  <c r="AU960" i="7"/>
  <c r="AU959" i="7"/>
  <c r="AU958" i="7"/>
  <c r="AU957" i="7"/>
  <c r="AU956" i="7"/>
  <c r="AU955" i="7"/>
  <c r="AU954" i="7"/>
  <c r="AU953" i="7"/>
  <c r="AU952" i="7"/>
  <c r="AU951" i="7"/>
  <c r="AU950" i="7"/>
  <c r="AU949" i="7"/>
  <c r="AU948" i="7"/>
  <c r="AU947" i="7"/>
  <c r="AU946" i="7"/>
  <c r="AU945" i="7"/>
  <c r="AU944" i="7"/>
  <c r="AU943" i="7"/>
  <c r="AU942" i="7"/>
  <c r="AU941" i="7"/>
  <c r="AU940" i="7"/>
  <c r="AU939" i="7"/>
  <c r="AU938" i="7"/>
  <c r="AU937" i="7"/>
  <c r="AU936" i="7"/>
  <c r="AU935" i="7"/>
  <c r="AU934" i="7"/>
  <c r="AU933" i="7"/>
  <c r="AU932" i="7"/>
  <c r="AU931" i="7"/>
  <c r="AU930" i="7"/>
  <c r="AU929" i="7"/>
  <c r="AU928" i="7"/>
  <c r="AU927" i="7"/>
  <c r="AU926" i="7"/>
  <c r="AU925" i="7"/>
  <c r="AU924" i="7"/>
  <c r="AU923" i="7"/>
  <c r="AU922" i="7"/>
  <c r="AU921" i="7"/>
  <c r="AU920" i="7"/>
  <c r="AU919" i="7"/>
  <c r="AU918" i="7"/>
  <c r="AU917" i="7"/>
  <c r="AU916" i="7"/>
  <c r="AU915" i="7"/>
  <c r="AU914" i="7"/>
  <c r="AU913" i="7"/>
  <c r="AU912" i="7"/>
  <c r="AU911" i="7"/>
  <c r="AU910" i="7"/>
  <c r="AU909" i="7"/>
  <c r="AU908" i="7"/>
  <c r="AU907" i="7"/>
  <c r="AU906" i="7"/>
  <c r="AU905" i="7"/>
  <c r="AU904" i="7"/>
  <c r="AU903" i="7"/>
  <c r="AU902" i="7"/>
  <c r="AU901" i="7"/>
  <c r="AU900" i="7"/>
  <c r="AU899" i="7"/>
  <c r="AU898" i="7"/>
  <c r="AU897" i="7"/>
  <c r="AU896" i="7"/>
  <c r="AU895" i="7"/>
  <c r="AU894" i="7"/>
  <c r="AU893" i="7"/>
  <c r="AU892" i="7"/>
  <c r="AU891" i="7"/>
  <c r="AU890" i="7"/>
  <c r="AU889" i="7"/>
  <c r="AU888" i="7"/>
  <c r="AU887" i="7"/>
  <c r="AU886" i="7"/>
  <c r="AU885" i="7"/>
  <c r="AU884" i="7"/>
  <c r="AU883" i="7"/>
  <c r="AU882" i="7"/>
  <c r="AU881" i="7"/>
  <c r="AU880" i="7"/>
  <c r="AU879" i="7"/>
  <c r="AU878" i="7"/>
  <c r="AU877" i="7"/>
  <c r="AU876" i="7"/>
  <c r="AU875" i="7"/>
  <c r="AU874" i="7"/>
  <c r="AU873" i="7"/>
  <c r="AU872" i="7"/>
  <c r="AU871" i="7"/>
  <c r="AU870" i="7"/>
  <c r="AU869" i="7"/>
  <c r="AU868" i="7"/>
  <c r="AU867" i="7"/>
  <c r="AU866" i="7"/>
  <c r="AU865" i="7"/>
  <c r="AU864" i="7"/>
  <c r="AU863" i="7"/>
  <c r="AU862" i="7"/>
  <c r="AU861" i="7"/>
  <c r="AU860" i="7"/>
  <c r="AU859" i="7"/>
  <c r="AU858" i="7"/>
  <c r="AU857" i="7"/>
  <c r="AU856" i="7"/>
  <c r="AU855" i="7"/>
  <c r="AU854" i="7"/>
  <c r="AU853" i="7"/>
  <c r="AU852" i="7"/>
  <c r="AU851" i="7"/>
  <c r="AU850" i="7"/>
  <c r="AU849" i="7"/>
  <c r="AU848" i="7"/>
  <c r="AU847" i="7"/>
  <c r="AU846" i="7"/>
  <c r="AU845" i="7"/>
  <c r="AU844" i="7"/>
  <c r="AU843" i="7"/>
  <c r="AU842" i="7"/>
  <c r="AU841" i="7"/>
  <c r="AU840" i="7"/>
  <c r="AU839" i="7"/>
  <c r="AU838" i="7"/>
  <c r="AU837" i="7"/>
  <c r="AU836" i="7"/>
  <c r="AU835" i="7"/>
  <c r="AU834" i="7"/>
  <c r="AU833" i="7"/>
  <c r="AU832" i="7"/>
  <c r="AU831" i="7"/>
  <c r="AU830" i="7"/>
  <c r="AU829" i="7"/>
  <c r="AU828" i="7"/>
  <c r="AU827" i="7"/>
  <c r="AU826" i="7"/>
  <c r="AU825" i="7"/>
  <c r="AU824" i="7"/>
  <c r="AU823" i="7"/>
  <c r="AU822" i="7"/>
  <c r="AU821" i="7"/>
  <c r="AU820" i="7"/>
  <c r="AU819" i="7"/>
  <c r="AU818" i="7"/>
  <c r="AU817" i="7"/>
  <c r="AU816" i="7"/>
  <c r="AU815" i="7"/>
  <c r="AU814" i="7"/>
  <c r="AU813" i="7"/>
  <c r="AU812" i="7"/>
  <c r="AU811" i="7"/>
  <c r="AU810" i="7"/>
  <c r="AU809" i="7"/>
  <c r="AU808" i="7"/>
  <c r="AU807" i="7"/>
  <c r="AU806" i="7"/>
  <c r="AU805" i="7"/>
  <c r="AU804" i="7"/>
  <c r="AU803" i="7"/>
  <c r="AU802" i="7"/>
  <c r="AU801" i="7"/>
  <c r="AU800" i="7"/>
  <c r="AU799" i="7"/>
  <c r="AU798" i="7"/>
  <c r="AU797" i="7"/>
  <c r="AU796" i="7"/>
  <c r="AU795" i="7"/>
  <c r="AU794" i="7"/>
  <c r="AU793" i="7"/>
  <c r="AU792" i="7"/>
  <c r="AU791" i="7"/>
  <c r="AU790" i="7"/>
  <c r="AU789" i="7"/>
  <c r="AU788" i="7"/>
  <c r="AU787" i="7"/>
  <c r="AU786" i="7"/>
  <c r="AU785" i="7"/>
  <c r="AU784" i="7"/>
  <c r="AU783" i="7"/>
  <c r="AU782" i="7"/>
  <c r="AU781" i="7"/>
  <c r="AU780" i="7"/>
  <c r="AU779" i="7"/>
  <c r="AU778" i="7"/>
  <c r="AU777" i="7"/>
  <c r="AU776" i="7"/>
  <c r="AU775" i="7"/>
  <c r="AU774" i="7"/>
  <c r="AU773" i="7"/>
  <c r="AU772" i="7"/>
  <c r="AU771" i="7"/>
  <c r="AU770" i="7"/>
  <c r="AU769" i="7"/>
  <c r="AU768" i="7"/>
  <c r="AU767" i="7"/>
  <c r="AU766" i="7"/>
  <c r="AU765" i="7"/>
  <c r="AU764" i="7"/>
  <c r="AU763" i="7"/>
  <c r="AU762" i="7"/>
  <c r="AU761" i="7"/>
  <c r="AU760" i="7"/>
  <c r="AU759" i="7"/>
  <c r="AU758" i="7"/>
  <c r="AU757" i="7"/>
  <c r="AU756" i="7"/>
  <c r="AU755" i="7"/>
  <c r="AU754" i="7"/>
  <c r="AU753" i="7"/>
  <c r="AU752" i="7"/>
  <c r="AU751" i="7"/>
  <c r="AU750" i="7"/>
  <c r="AU749" i="7"/>
  <c r="AU748" i="7"/>
  <c r="AU747" i="7"/>
  <c r="AU746" i="7"/>
  <c r="AU745" i="7"/>
  <c r="AU744" i="7"/>
  <c r="AU743" i="7"/>
  <c r="AU742" i="7"/>
  <c r="AU741" i="7"/>
  <c r="AU740" i="7"/>
  <c r="AU739" i="7"/>
  <c r="AU738" i="7"/>
  <c r="AU737" i="7"/>
  <c r="AU736" i="7"/>
  <c r="AU735" i="7"/>
  <c r="AU734" i="7"/>
  <c r="AU733" i="7"/>
  <c r="AU732" i="7"/>
  <c r="AU731" i="7"/>
  <c r="AU730" i="7"/>
  <c r="AU729" i="7"/>
  <c r="AU728" i="7"/>
  <c r="AU727" i="7"/>
  <c r="AU726" i="7"/>
  <c r="AU725" i="7"/>
  <c r="AU724" i="7"/>
  <c r="AU723" i="7"/>
  <c r="AU722" i="7"/>
  <c r="AU721" i="7"/>
  <c r="AU720" i="7"/>
  <c r="AU719" i="7"/>
  <c r="AU718" i="7"/>
  <c r="AU717" i="7"/>
  <c r="AU716" i="7"/>
  <c r="AU715" i="7"/>
  <c r="AU714" i="7"/>
  <c r="AU713" i="7"/>
  <c r="AU712" i="7"/>
  <c r="AU711" i="7"/>
  <c r="AU710" i="7"/>
  <c r="AU709" i="7"/>
  <c r="AU708" i="7"/>
  <c r="AU707" i="7"/>
  <c r="AU706" i="7"/>
  <c r="AU705" i="7"/>
  <c r="AU704" i="7"/>
  <c r="AU703" i="7"/>
  <c r="AU702" i="7"/>
  <c r="AU701" i="7"/>
  <c r="AU700" i="7"/>
  <c r="AU699" i="7"/>
  <c r="AU698" i="7"/>
  <c r="AU697" i="7"/>
  <c r="AU696" i="7"/>
  <c r="AU695" i="7"/>
  <c r="AU694" i="7"/>
  <c r="AU693" i="7"/>
  <c r="AU692" i="7"/>
  <c r="AU691" i="7"/>
  <c r="AU690" i="7"/>
  <c r="AU689" i="7"/>
  <c r="AU688" i="7"/>
  <c r="AU687" i="7"/>
  <c r="AU686" i="7"/>
  <c r="AU685" i="7"/>
  <c r="AU684" i="7"/>
  <c r="AU683" i="7"/>
  <c r="AU682" i="7"/>
  <c r="AU681" i="7"/>
  <c r="AU680" i="7"/>
  <c r="AU679" i="7"/>
  <c r="AU678" i="7"/>
  <c r="AU677" i="7"/>
  <c r="AU676" i="7"/>
  <c r="AU675" i="7"/>
  <c r="AU674" i="7"/>
  <c r="AU673" i="7"/>
  <c r="AU672" i="7"/>
  <c r="AU671" i="7"/>
  <c r="AU670" i="7"/>
  <c r="AU669" i="7"/>
  <c r="AU668" i="7"/>
  <c r="AU667" i="7"/>
  <c r="AU666" i="7"/>
  <c r="AU665" i="7"/>
  <c r="AU664" i="7"/>
  <c r="AU663" i="7"/>
  <c r="AU662" i="7"/>
  <c r="AU661" i="7"/>
  <c r="AU660" i="7"/>
  <c r="AU659" i="7"/>
  <c r="AU658" i="7"/>
  <c r="AU657" i="7"/>
  <c r="AU656" i="7"/>
  <c r="AU655" i="7"/>
  <c r="AU654" i="7"/>
  <c r="AU653" i="7"/>
  <c r="AU652" i="7"/>
  <c r="AU651" i="7"/>
  <c r="AU650" i="7"/>
  <c r="AU649" i="7"/>
  <c r="AU648" i="7"/>
  <c r="AU647" i="7"/>
  <c r="AU646" i="7"/>
  <c r="AU645" i="7"/>
  <c r="AU644" i="7"/>
  <c r="AU643" i="7"/>
  <c r="AU642" i="7"/>
  <c r="AU641" i="7"/>
  <c r="AU640" i="7"/>
  <c r="AU639" i="7"/>
  <c r="AU638" i="7"/>
  <c r="AU637" i="7"/>
  <c r="AU636" i="7"/>
  <c r="AU635" i="7"/>
  <c r="AU634" i="7"/>
  <c r="AU633" i="7"/>
  <c r="AU632" i="7"/>
  <c r="AU631" i="7"/>
  <c r="AU630" i="7"/>
  <c r="AU629" i="7"/>
  <c r="AU628" i="7"/>
  <c r="AU627" i="7"/>
  <c r="AU626" i="7"/>
  <c r="AU625" i="7"/>
  <c r="AU624" i="7"/>
  <c r="AU623" i="7"/>
  <c r="AU622" i="7"/>
  <c r="AU621" i="7"/>
  <c r="AU620" i="7"/>
  <c r="AU619" i="7"/>
  <c r="AU618" i="7"/>
  <c r="AU617" i="7"/>
  <c r="AU616" i="7"/>
  <c r="AU615" i="7"/>
  <c r="AU614" i="7"/>
  <c r="AU613" i="7"/>
  <c r="AU612" i="7"/>
  <c r="AU611" i="7"/>
  <c r="AU610" i="7"/>
  <c r="AU609" i="7"/>
  <c r="AU608" i="7"/>
  <c r="AU607" i="7"/>
  <c r="AU606" i="7"/>
  <c r="AU605" i="7"/>
  <c r="AU604" i="7"/>
  <c r="AU603" i="7"/>
  <c r="AU602" i="7"/>
  <c r="AU601" i="7"/>
  <c r="AU600" i="7"/>
  <c r="AU599" i="7"/>
  <c r="AU598" i="7"/>
  <c r="AU597" i="7"/>
  <c r="AU596" i="7"/>
  <c r="AU595" i="7"/>
  <c r="AU594" i="7"/>
  <c r="AU593" i="7"/>
  <c r="AU592" i="7"/>
  <c r="AU591" i="7"/>
  <c r="AU590" i="7"/>
  <c r="AU589" i="7"/>
  <c r="AU588" i="7"/>
  <c r="AU587" i="7"/>
  <c r="AU586" i="7"/>
  <c r="AU585" i="7"/>
  <c r="AU584" i="7"/>
  <c r="AU583" i="7"/>
  <c r="AU582" i="7"/>
  <c r="AU581" i="7"/>
  <c r="AU580" i="7"/>
  <c r="AU579" i="7"/>
  <c r="AU578" i="7"/>
  <c r="AU577" i="7"/>
  <c r="AU576" i="7"/>
  <c r="AU575" i="7"/>
  <c r="AU574" i="7"/>
  <c r="AU573" i="7"/>
  <c r="AU572" i="7"/>
  <c r="AU571" i="7"/>
  <c r="AU570" i="7"/>
  <c r="AU569" i="7"/>
  <c r="AU568" i="7"/>
  <c r="AU567" i="7"/>
  <c r="AU566" i="7"/>
  <c r="AU565" i="7"/>
  <c r="AU564" i="7"/>
  <c r="AU563" i="7"/>
  <c r="AU562" i="7"/>
  <c r="AU561" i="7"/>
  <c r="AU560" i="7"/>
  <c r="AU559" i="7"/>
  <c r="AU558" i="7"/>
  <c r="AU557" i="7"/>
  <c r="AU556" i="7"/>
  <c r="AU555" i="7"/>
  <c r="AU554" i="7"/>
  <c r="AU553" i="7"/>
  <c r="AU552" i="7"/>
  <c r="AU551" i="7"/>
  <c r="AU550" i="7"/>
  <c r="AU549" i="7"/>
  <c r="AU548" i="7"/>
  <c r="AU547" i="7"/>
  <c r="AU546" i="7"/>
  <c r="AU545" i="7"/>
  <c r="AU544" i="7"/>
  <c r="AU543" i="7"/>
  <c r="AU542" i="7"/>
  <c r="AU541" i="7"/>
  <c r="AU540" i="7"/>
  <c r="AU539" i="7"/>
  <c r="AU538" i="7"/>
  <c r="AU537" i="7"/>
  <c r="AU536" i="7"/>
  <c r="AU535" i="7"/>
  <c r="AU534" i="7"/>
  <c r="AU533" i="7"/>
  <c r="AU532" i="7"/>
  <c r="AU531" i="7"/>
  <c r="AU530" i="7"/>
  <c r="AU529" i="7"/>
  <c r="AU528" i="7"/>
  <c r="AU527" i="7"/>
  <c r="AU526" i="7"/>
  <c r="AU525" i="7"/>
  <c r="AU524" i="7"/>
  <c r="AU523" i="7"/>
  <c r="AU522" i="7"/>
  <c r="AU521" i="7"/>
  <c r="AU520" i="7"/>
  <c r="AU519" i="7"/>
  <c r="AU518" i="7"/>
  <c r="AU517" i="7"/>
  <c r="AU516" i="7"/>
  <c r="AU515" i="7"/>
  <c r="AU514" i="7"/>
  <c r="AU513" i="7"/>
  <c r="AU512" i="7"/>
  <c r="AU511" i="7"/>
  <c r="AU510" i="7"/>
  <c r="AU509" i="7"/>
  <c r="AU508" i="7"/>
  <c r="AU507" i="7"/>
  <c r="AU506" i="7"/>
  <c r="AU505" i="7"/>
  <c r="AU504" i="7"/>
  <c r="AU503" i="7"/>
  <c r="AU502" i="7"/>
  <c r="AU501" i="7"/>
  <c r="AU500" i="7"/>
  <c r="AU499" i="7"/>
  <c r="AU498" i="7"/>
  <c r="AU497" i="7"/>
  <c r="AU496" i="7"/>
  <c r="AU495" i="7"/>
  <c r="AU494" i="7"/>
  <c r="AU493" i="7"/>
  <c r="AU492" i="7"/>
  <c r="AU491" i="7"/>
  <c r="AU490" i="7"/>
  <c r="AU489" i="7"/>
  <c r="AU488" i="7"/>
  <c r="AU487" i="7"/>
  <c r="AU486" i="7"/>
  <c r="AU485" i="7"/>
  <c r="AU484" i="7"/>
  <c r="AU483" i="7"/>
  <c r="AU482" i="7"/>
  <c r="AU481" i="7"/>
  <c r="AU480" i="7"/>
  <c r="AU479" i="7"/>
  <c r="AU478" i="7"/>
  <c r="AU477" i="7"/>
  <c r="AU476" i="7"/>
  <c r="AU475" i="7"/>
  <c r="AU474" i="7"/>
  <c r="AU473" i="7"/>
  <c r="AU472" i="7"/>
  <c r="AU471" i="7"/>
  <c r="AU470" i="7"/>
  <c r="AU469" i="7"/>
  <c r="AU468" i="7"/>
  <c r="AU467" i="7"/>
  <c r="AU466" i="7"/>
  <c r="AU465" i="7"/>
  <c r="AU464" i="7"/>
  <c r="AU463" i="7"/>
  <c r="AU462" i="7"/>
  <c r="AU461" i="7"/>
  <c r="AU460" i="7"/>
  <c r="AU459" i="7"/>
  <c r="AU458" i="7"/>
  <c r="AU457" i="7"/>
  <c r="AU456" i="7"/>
  <c r="AU455" i="7"/>
  <c r="AU454" i="7"/>
  <c r="AU453" i="7"/>
  <c r="AU452" i="7"/>
  <c r="AU451" i="7"/>
  <c r="AU450" i="7"/>
  <c r="AU449" i="7"/>
  <c r="AU448" i="7"/>
  <c r="AU447" i="7"/>
  <c r="AU446" i="7"/>
  <c r="AU445" i="7"/>
  <c r="AU444" i="7"/>
  <c r="AU443" i="7"/>
  <c r="AU442" i="7"/>
  <c r="AU441" i="7"/>
  <c r="AU440" i="7"/>
  <c r="AU439" i="7"/>
  <c r="AU438" i="7"/>
  <c r="AU437" i="7"/>
  <c r="AU436" i="7"/>
  <c r="AU435" i="7"/>
  <c r="AU434" i="7"/>
  <c r="AU433" i="7"/>
  <c r="AU432" i="7"/>
  <c r="AU431" i="7"/>
  <c r="AU430" i="7"/>
  <c r="AU429" i="7"/>
  <c r="AU428" i="7"/>
  <c r="AU427" i="7"/>
  <c r="AU426" i="7"/>
  <c r="AU425" i="7"/>
  <c r="AU424" i="7"/>
  <c r="AU423" i="7"/>
  <c r="AU422" i="7"/>
  <c r="AU421" i="7"/>
  <c r="AU420" i="7"/>
  <c r="AU419" i="7"/>
  <c r="AU418" i="7"/>
  <c r="AU417" i="7"/>
  <c r="AU416" i="7"/>
  <c r="AU415" i="7"/>
  <c r="AU414" i="7"/>
  <c r="AU413" i="7"/>
  <c r="AU412" i="7"/>
  <c r="AU411" i="7"/>
  <c r="AU410" i="7"/>
  <c r="AU409" i="7"/>
  <c r="AU408" i="7"/>
  <c r="AU407" i="7"/>
  <c r="AU406" i="7"/>
  <c r="AU405" i="7"/>
  <c r="AU404" i="7"/>
  <c r="AU403" i="7"/>
  <c r="AU402" i="7"/>
  <c r="AU401" i="7"/>
  <c r="AU400" i="7"/>
  <c r="AU399" i="7"/>
  <c r="AU398" i="7"/>
  <c r="AU397" i="7"/>
  <c r="AU396" i="7"/>
  <c r="AU395" i="7"/>
  <c r="AU394" i="7"/>
  <c r="AU393" i="7"/>
  <c r="AU392" i="7"/>
  <c r="AU391" i="7"/>
  <c r="AU390" i="7"/>
  <c r="AU389" i="7"/>
  <c r="AU388" i="7"/>
  <c r="AU387" i="7"/>
  <c r="AU386" i="7"/>
  <c r="AU385" i="7"/>
  <c r="AU384" i="7"/>
  <c r="AU383" i="7"/>
  <c r="AU382" i="7"/>
  <c r="AU381" i="7"/>
  <c r="AU380" i="7"/>
  <c r="AU379" i="7"/>
  <c r="AU378" i="7"/>
  <c r="AU377" i="7"/>
  <c r="AU376" i="7"/>
  <c r="AU375" i="7"/>
  <c r="AU374" i="7"/>
  <c r="AU373" i="7"/>
  <c r="AU372" i="7"/>
  <c r="AU371" i="7"/>
  <c r="AU370" i="7"/>
  <c r="AU369" i="7"/>
  <c r="AU368" i="7"/>
  <c r="AU367" i="7"/>
  <c r="AU366" i="7"/>
  <c r="AU365" i="7"/>
  <c r="AU364" i="7"/>
  <c r="AU363" i="7"/>
  <c r="AU362" i="7"/>
  <c r="AU361" i="7"/>
  <c r="AU360" i="7"/>
  <c r="AU359" i="7"/>
  <c r="AU358" i="7"/>
  <c r="AU357" i="7"/>
  <c r="AU356" i="7"/>
  <c r="AU355" i="7"/>
  <c r="AU354" i="7"/>
  <c r="AU353" i="7"/>
  <c r="AU352" i="7"/>
  <c r="AU351" i="7"/>
  <c r="AU350" i="7"/>
  <c r="AU349" i="7"/>
  <c r="AU348" i="7"/>
  <c r="AU347" i="7"/>
  <c r="AU346" i="7"/>
  <c r="AU345" i="7"/>
  <c r="AU344" i="7"/>
  <c r="AU343" i="7"/>
  <c r="AU342" i="7"/>
  <c r="AU341" i="7"/>
  <c r="AU340" i="7"/>
  <c r="AU339" i="7"/>
  <c r="AU338" i="7"/>
  <c r="AU337" i="7"/>
  <c r="AU336" i="7"/>
  <c r="AU335" i="7"/>
  <c r="AU334" i="7"/>
  <c r="AU333" i="7"/>
  <c r="AU332" i="7"/>
  <c r="AU331" i="7"/>
  <c r="AU330" i="7"/>
  <c r="AU329" i="7"/>
  <c r="AU328" i="7"/>
  <c r="AU327" i="7"/>
  <c r="AU326" i="7"/>
  <c r="AU325" i="7"/>
  <c r="AU324" i="7"/>
  <c r="AU323" i="7"/>
  <c r="AU322" i="7"/>
  <c r="AU321" i="7"/>
  <c r="AU320" i="7"/>
  <c r="AU319" i="7"/>
  <c r="AU318" i="7"/>
  <c r="AU317" i="7"/>
  <c r="AU316" i="7"/>
  <c r="AU315" i="7"/>
  <c r="AU314" i="7"/>
  <c r="AU313" i="7"/>
  <c r="AU312" i="7"/>
  <c r="AU311" i="7"/>
  <c r="AU310" i="7"/>
  <c r="AU309" i="7"/>
  <c r="AU308" i="7"/>
  <c r="AU307" i="7"/>
  <c r="AU306" i="7"/>
  <c r="AU305" i="7"/>
  <c r="AU304" i="7"/>
  <c r="AU303" i="7"/>
  <c r="AU302" i="7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U280" i="7"/>
  <c r="AU279" i="7"/>
  <c r="AU278" i="7"/>
  <c r="AU277" i="7"/>
  <c r="AU276" i="7"/>
  <c r="AU275" i="7"/>
  <c r="AU274" i="7"/>
  <c r="AU273" i="7"/>
  <c r="AU272" i="7"/>
  <c r="AU271" i="7"/>
  <c r="AU270" i="7"/>
  <c r="AU269" i="7"/>
  <c r="AU268" i="7"/>
  <c r="AU267" i="7"/>
  <c r="AU266" i="7"/>
  <c r="AU265" i="7"/>
  <c r="AU264" i="7"/>
  <c r="AU263" i="7"/>
  <c r="AU262" i="7"/>
  <c r="AU261" i="7"/>
  <c r="AU260" i="7"/>
  <c r="AU259" i="7"/>
  <c r="AU258" i="7"/>
  <c r="AU257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20" i="7"/>
  <c r="AU219" i="7"/>
  <c r="AU218" i="7"/>
  <c r="AU217" i="7"/>
  <c r="AU216" i="7"/>
  <c r="AU215" i="7"/>
  <c r="AU214" i="7"/>
  <c r="AU213" i="7"/>
  <c r="AU212" i="7"/>
  <c r="AU211" i="7"/>
  <c r="AU210" i="7"/>
  <c r="AU209" i="7"/>
  <c r="AU208" i="7"/>
  <c r="AU207" i="7"/>
  <c r="AU206" i="7"/>
  <c r="AU205" i="7"/>
  <c r="AU204" i="7"/>
  <c r="AU203" i="7"/>
  <c r="AU202" i="7"/>
  <c r="AU201" i="7"/>
  <c r="AU200" i="7"/>
  <c r="AU199" i="7"/>
  <c r="AU198" i="7"/>
  <c r="AU197" i="7"/>
  <c r="AU196" i="7"/>
  <c r="AU195" i="7"/>
  <c r="AU194" i="7"/>
  <c r="AU193" i="7"/>
  <c r="AU192" i="7"/>
  <c r="AU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7" i="7"/>
  <c r="AU176" i="7"/>
  <c r="AU175" i="7"/>
  <c r="AU174" i="7"/>
  <c r="AU173" i="7"/>
  <c r="AU172" i="7"/>
  <c r="AU171" i="7"/>
  <c r="AU170" i="7"/>
  <c r="AU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U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4" i="7"/>
  <c r="AU93" i="7"/>
  <c r="AU92" i="7"/>
  <c r="AU91" i="7"/>
  <c r="AU90" i="7"/>
  <c r="AU89" i="7"/>
  <c r="AU88" i="7"/>
  <c r="AU87" i="7"/>
  <c r="AU86" i="7"/>
  <c r="AU85" i="7"/>
  <c r="AU84" i="7"/>
  <c r="AU83" i="7"/>
  <c r="AU82" i="7"/>
  <c r="AU81" i="7"/>
  <c r="AU80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U4" i="7"/>
  <c r="AU3" i="7"/>
  <c r="AU2" i="7"/>
  <c r="AG1500" i="6"/>
  <c r="AH1500" i="6" s="1"/>
  <c r="AF1500" i="6"/>
  <c r="AE1500" i="6"/>
  <c r="AG1499" i="6"/>
  <c r="AH1499" i="6" s="1"/>
  <c r="AF1499" i="6"/>
  <c r="AE1499" i="6"/>
  <c r="AG1498" i="6"/>
  <c r="AH1498" i="6" s="1"/>
  <c r="AF1498" i="6"/>
  <c r="AE1498" i="6"/>
  <c r="AG1497" i="6"/>
  <c r="AH1497" i="6" s="1"/>
  <c r="AF1497" i="6"/>
  <c r="AE1497" i="6"/>
  <c r="AG1496" i="6"/>
  <c r="AH1496" i="6" s="1"/>
  <c r="AF1496" i="6"/>
  <c r="AE1496" i="6"/>
  <c r="AG1495" i="6"/>
  <c r="AH1495" i="6" s="1"/>
  <c r="AF1495" i="6"/>
  <c r="AE1495" i="6"/>
  <c r="AG1494" i="6"/>
  <c r="AH1494" i="6" s="1"/>
  <c r="AF1494" i="6"/>
  <c r="AE1494" i="6"/>
  <c r="AG1493" i="6"/>
  <c r="AH1493" i="6" s="1"/>
  <c r="AF1493" i="6"/>
  <c r="AE1493" i="6"/>
  <c r="AG1492" i="6"/>
  <c r="AH1492" i="6" s="1"/>
  <c r="AF1492" i="6"/>
  <c r="AE1492" i="6"/>
  <c r="AG1491" i="6"/>
  <c r="AH1491" i="6" s="1"/>
  <c r="AF1491" i="6"/>
  <c r="AE1491" i="6"/>
  <c r="AG1490" i="6"/>
  <c r="AH1490" i="6" s="1"/>
  <c r="AF1490" i="6"/>
  <c r="AE1490" i="6"/>
  <c r="AG1489" i="6"/>
  <c r="AH1489" i="6" s="1"/>
  <c r="AF1489" i="6"/>
  <c r="AE1489" i="6"/>
  <c r="AG1488" i="6"/>
  <c r="AH1488" i="6" s="1"/>
  <c r="AF1488" i="6"/>
  <c r="AE1488" i="6"/>
  <c r="AG1487" i="6"/>
  <c r="AH1487" i="6" s="1"/>
  <c r="AF1487" i="6"/>
  <c r="AE1487" i="6"/>
  <c r="AG1486" i="6"/>
  <c r="AH1486" i="6" s="1"/>
  <c r="AF1486" i="6"/>
  <c r="AE1486" i="6"/>
  <c r="AG1485" i="6"/>
  <c r="AH1485" i="6" s="1"/>
  <c r="AF1485" i="6"/>
  <c r="AE1485" i="6"/>
  <c r="AG1484" i="6"/>
  <c r="AH1484" i="6" s="1"/>
  <c r="AF1484" i="6"/>
  <c r="AE1484" i="6"/>
  <c r="AG1483" i="6"/>
  <c r="AH1483" i="6" s="1"/>
  <c r="AF1483" i="6"/>
  <c r="AE1483" i="6"/>
  <c r="AG1482" i="6"/>
  <c r="AH1482" i="6" s="1"/>
  <c r="AF1482" i="6"/>
  <c r="AE1482" i="6"/>
  <c r="AG1481" i="6"/>
  <c r="AH1481" i="6" s="1"/>
  <c r="AF1481" i="6"/>
  <c r="AE1481" i="6"/>
  <c r="AG1480" i="6"/>
  <c r="AH1480" i="6" s="1"/>
  <c r="AF1480" i="6"/>
  <c r="AE1480" i="6"/>
  <c r="AG1479" i="6"/>
  <c r="AH1479" i="6" s="1"/>
  <c r="AF1479" i="6"/>
  <c r="AE1479" i="6"/>
  <c r="AG1478" i="6"/>
  <c r="AH1478" i="6" s="1"/>
  <c r="AF1478" i="6"/>
  <c r="AE1478" i="6"/>
  <c r="AG1477" i="6"/>
  <c r="AH1477" i="6" s="1"/>
  <c r="AF1477" i="6"/>
  <c r="AE1477" i="6"/>
  <c r="AG1476" i="6"/>
  <c r="AH1476" i="6" s="1"/>
  <c r="AF1476" i="6"/>
  <c r="AE1476" i="6"/>
  <c r="AG1475" i="6"/>
  <c r="AH1475" i="6" s="1"/>
  <c r="AF1475" i="6"/>
  <c r="AE1475" i="6"/>
  <c r="AG1474" i="6"/>
  <c r="AH1474" i="6" s="1"/>
  <c r="AF1474" i="6"/>
  <c r="AE1474" i="6"/>
  <c r="AG1473" i="6"/>
  <c r="AH1473" i="6" s="1"/>
  <c r="AF1473" i="6"/>
  <c r="AE1473" i="6"/>
  <c r="AG1472" i="6"/>
  <c r="AH1472" i="6" s="1"/>
  <c r="AF1472" i="6"/>
  <c r="AE1472" i="6"/>
  <c r="AG1471" i="6"/>
  <c r="AH1471" i="6" s="1"/>
  <c r="AF1471" i="6"/>
  <c r="AE1471" i="6"/>
  <c r="AG1470" i="6"/>
  <c r="AH1470" i="6" s="1"/>
  <c r="AF1470" i="6"/>
  <c r="AE1470" i="6"/>
  <c r="AG1469" i="6"/>
  <c r="AH1469" i="6" s="1"/>
  <c r="AF1469" i="6"/>
  <c r="AE1469" i="6"/>
  <c r="AG1468" i="6"/>
  <c r="AH1468" i="6" s="1"/>
  <c r="AF1468" i="6"/>
  <c r="AE1468" i="6"/>
  <c r="AG1467" i="6"/>
  <c r="AH1467" i="6" s="1"/>
  <c r="AF1467" i="6"/>
  <c r="AE1467" i="6"/>
  <c r="AG1466" i="6"/>
  <c r="AH1466" i="6" s="1"/>
  <c r="AF1466" i="6"/>
  <c r="AE1466" i="6"/>
  <c r="AG1465" i="6"/>
  <c r="AH1465" i="6" s="1"/>
  <c r="AF1465" i="6"/>
  <c r="AE1465" i="6"/>
  <c r="AG1464" i="6"/>
  <c r="AH1464" i="6" s="1"/>
  <c r="AF1464" i="6"/>
  <c r="AE1464" i="6"/>
  <c r="AG1463" i="6"/>
  <c r="AH1463" i="6" s="1"/>
  <c r="AF1463" i="6"/>
  <c r="AE1463" i="6"/>
  <c r="AG1462" i="6"/>
  <c r="AH1462" i="6" s="1"/>
  <c r="AF1462" i="6"/>
  <c r="AE1462" i="6"/>
  <c r="AG1461" i="6"/>
  <c r="AH1461" i="6" s="1"/>
  <c r="AF1461" i="6"/>
  <c r="AE1461" i="6"/>
  <c r="AG1460" i="6"/>
  <c r="AH1460" i="6" s="1"/>
  <c r="AF1460" i="6"/>
  <c r="AE1460" i="6"/>
  <c r="AG1459" i="6"/>
  <c r="AH1459" i="6" s="1"/>
  <c r="AF1459" i="6"/>
  <c r="AE1459" i="6"/>
  <c r="AG1458" i="6"/>
  <c r="AH1458" i="6" s="1"/>
  <c r="AF1458" i="6"/>
  <c r="AE1458" i="6"/>
  <c r="AG1457" i="6"/>
  <c r="AH1457" i="6" s="1"/>
  <c r="AF1457" i="6"/>
  <c r="AE1457" i="6"/>
  <c r="AG1456" i="6"/>
  <c r="AH1456" i="6" s="1"/>
  <c r="AF1456" i="6"/>
  <c r="AE1456" i="6"/>
  <c r="AG1455" i="6"/>
  <c r="AH1455" i="6" s="1"/>
  <c r="AF1455" i="6"/>
  <c r="AE1455" i="6"/>
  <c r="AG1454" i="6"/>
  <c r="AH1454" i="6" s="1"/>
  <c r="AF1454" i="6"/>
  <c r="AE1454" i="6"/>
  <c r="AG1453" i="6"/>
  <c r="AH1453" i="6" s="1"/>
  <c r="AF1453" i="6"/>
  <c r="AE1453" i="6"/>
  <c r="AG1452" i="6"/>
  <c r="AH1452" i="6" s="1"/>
  <c r="AF1452" i="6"/>
  <c r="AE1452" i="6"/>
  <c r="AG1451" i="6"/>
  <c r="AH1451" i="6" s="1"/>
  <c r="AF1451" i="6"/>
  <c r="AE1451" i="6"/>
  <c r="AG1450" i="6"/>
  <c r="AH1450" i="6" s="1"/>
  <c r="AF1450" i="6"/>
  <c r="AE1450" i="6"/>
  <c r="AG1449" i="6"/>
  <c r="AH1449" i="6" s="1"/>
  <c r="AF1449" i="6"/>
  <c r="AE1449" i="6"/>
  <c r="AG1448" i="6"/>
  <c r="AH1448" i="6" s="1"/>
  <c r="AF1448" i="6"/>
  <c r="AE1448" i="6"/>
  <c r="AG1447" i="6"/>
  <c r="AH1447" i="6" s="1"/>
  <c r="AF1447" i="6"/>
  <c r="AE1447" i="6"/>
  <c r="AG1446" i="6"/>
  <c r="AH1446" i="6" s="1"/>
  <c r="AF1446" i="6"/>
  <c r="AE1446" i="6"/>
  <c r="AG1445" i="6"/>
  <c r="AH1445" i="6" s="1"/>
  <c r="AF1445" i="6"/>
  <c r="AE1445" i="6"/>
  <c r="AG1444" i="6"/>
  <c r="AH1444" i="6" s="1"/>
  <c r="AF1444" i="6"/>
  <c r="AE1444" i="6"/>
  <c r="AG1443" i="6"/>
  <c r="AH1443" i="6" s="1"/>
  <c r="AF1443" i="6"/>
  <c r="AE1443" i="6"/>
  <c r="AG1442" i="6"/>
  <c r="AH1442" i="6" s="1"/>
  <c r="AF1442" i="6"/>
  <c r="AE1442" i="6"/>
  <c r="AG1441" i="6"/>
  <c r="AH1441" i="6" s="1"/>
  <c r="AF1441" i="6"/>
  <c r="AE1441" i="6"/>
  <c r="AG1440" i="6"/>
  <c r="AH1440" i="6" s="1"/>
  <c r="AF1440" i="6"/>
  <c r="AE1440" i="6"/>
  <c r="AG1439" i="6"/>
  <c r="AH1439" i="6" s="1"/>
  <c r="AF1439" i="6"/>
  <c r="AE1439" i="6"/>
  <c r="AG1438" i="6"/>
  <c r="AH1438" i="6" s="1"/>
  <c r="AF1438" i="6"/>
  <c r="AE1438" i="6"/>
  <c r="AG1437" i="6"/>
  <c r="AH1437" i="6" s="1"/>
  <c r="AF1437" i="6"/>
  <c r="AE1437" i="6"/>
  <c r="AG1436" i="6"/>
  <c r="AH1436" i="6" s="1"/>
  <c r="AF1436" i="6"/>
  <c r="AE1436" i="6"/>
  <c r="AG1435" i="6"/>
  <c r="AH1435" i="6" s="1"/>
  <c r="AF1435" i="6"/>
  <c r="AE1435" i="6"/>
  <c r="AG1434" i="6"/>
  <c r="AH1434" i="6" s="1"/>
  <c r="AF1434" i="6"/>
  <c r="AE1434" i="6"/>
  <c r="AG1433" i="6"/>
  <c r="AH1433" i="6" s="1"/>
  <c r="AF1433" i="6"/>
  <c r="AE1433" i="6"/>
  <c r="AG1432" i="6"/>
  <c r="AH1432" i="6" s="1"/>
  <c r="AF1432" i="6"/>
  <c r="AE1432" i="6"/>
  <c r="AG1431" i="6"/>
  <c r="AH1431" i="6" s="1"/>
  <c r="AF1431" i="6"/>
  <c r="AE1431" i="6"/>
  <c r="AG1430" i="6"/>
  <c r="AH1430" i="6" s="1"/>
  <c r="AF1430" i="6"/>
  <c r="AE1430" i="6"/>
  <c r="AG1429" i="6"/>
  <c r="AH1429" i="6" s="1"/>
  <c r="AF1429" i="6"/>
  <c r="AE1429" i="6"/>
  <c r="AG1428" i="6"/>
  <c r="AH1428" i="6" s="1"/>
  <c r="AF1428" i="6"/>
  <c r="AE1428" i="6"/>
  <c r="AG1427" i="6"/>
  <c r="AH1427" i="6" s="1"/>
  <c r="AF1427" i="6"/>
  <c r="AE1427" i="6"/>
  <c r="AG1426" i="6"/>
  <c r="AH1426" i="6" s="1"/>
  <c r="AF1426" i="6"/>
  <c r="AE1426" i="6"/>
  <c r="AG1425" i="6"/>
  <c r="AH1425" i="6" s="1"/>
  <c r="AF1425" i="6"/>
  <c r="AE1425" i="6"/>
  <c r="AG1424" i="6"/>
  <c r="AH1424" i="6" s="1"/>
  <c r="AF1424" i="6"/>
  <c r="AE1424" i="6"/>
  <c r="AG1423" i="6"/>
  <c r="AH1423" i="6" s="1"/>
  <c r="AF1423" i="6"/>
  <c r="AE1423" i="6"/>
  <c r="AG1422" i="6"/>
  <c r="AH1422" i="6" s="1"/>
  <c r="AF1422" i="6"/>
  <c r="AE1422" i="6"/>
  <c r="AG1421" i="6"/>
  <c r="AH1421" i="6" s="1"/>
  <c r="AF1421" i="6"/>
  <c r="AE1421" i="6"/>
  <c r="AG1420" i="6"/>
  <c r="AH1420" i="6" s="1"/>
  <c r="AF1420" i="6"/>
  <c r="AE1420" i="6"/>
  <c r="AG1419" i="6"/>
  <c r="AH1419" i="6" s="1"/>
  <c r="AF1419" i="6"/>
  <c r="AE1419" i="6"/>
  <c r="AG1418" i="6"/>
  <c r="AH1418" i="6" s="1"/>
  <c r="AF1418" i="6"/>
  <c r="AE1418" i="6"/>
  <c r="AG1417" i="6"/>
  <c r="AH1417" i="6" s="1"/>
  <c r="AF1417" i="6"/>
  <c r="AE1417" i="6"/>
  <c r="AG1416" i="6"/>
  <c r="AH1416" i="6" s="1"/>
  <c r="AF1416" i="6"/>
  <c r="AE1416" i="6"/>
  <c r="AG1415" i="6"/>
  <c r="AH1415" i="6" s="1"/>
  <c r="AF1415" i="6"/>
  <c r="AE1415" i="6"/>
  <c r="AG1414" i="6"/>
  <c r="AH1414" i="6" s="1"/>
  <c r="AF1414" i="6"/>
  <c r="AE1414" i="6"/>
  <c r="AG1413" i="6"/>
  <c r="AH1413" i="6" s="1"/>
  <c r="AF1413" i="6"/>
  <c r="AE1413" i="6"/>
  <c r="AG1412" i="6"/>
  <c r="AH1412" i="6" s="1"/>
  <c r="AF1412" i="6"/>
  <c r="AE1412" i="6"/>
  <c r="AG1411" i="6"/>
  <c r="AH1411" i="6" s="1"/>
  <c r="AF1411" i="6"/>
  <c r="AE1411" i="6"/>
  <c r="AG1410" i="6"/>
  <c r="AH1410" i="6" s="1"/>
  <c r="AF1410" i="6"/>
  <c r="AE1410" i="6"/>
  <c r="AG1409" i="6"/>
  <c r="AH1409" i="6" s="1"/>
  <c r="AF1409" i="6"/>
  <c r="AE1409" i="6"/>
  <c r="AG1408" i="6"/>
  <c r="AH1408" i="6" s="1"/>
  <c r="AF1408" i="6"/>
  <c r="AE1408" i="6"/>
  <c r="AG1407" i="6"/>
  <c r="AH1407" i="6" s="1"/>
  <c r="AF1407" i="6"/>
  <c r="AE1407" i="6"/>
  <c r="AG1406" i="6"/>
  <c r="AH1406" i="6" s="1"/>
  <c r="AF1406" i="6"/>
  <c r="AE1406" i="6"/>
  <c r="AG1405" i="6"/>
  <c r="AH1405" i="6" s="1"/>
  <c r="AF1405" i="6"/>
  <c r="AE1405" i="6"/>
  <c r="AG1404" i="6"/>
  <c r="AH1404" i="6" s="1"/>
  <c r="AF1404" i="6"/>
  <c r="AE1404" i="6"/>
  <c r="AG1403" i="6"/>
  <c r="AH1403" i="6" s="1"/>
  <c r="AF1403" i="6"/>
  <c r="AE1403" i="6"/>
  <c r="AG1402" i="6"/>
  <c r="AH1402" i="6" s="1"/>
  <c r="AF1402" i="6"/>
  <c r="AE1402" i="6"/>
  <c r="AG1401" i="6"/>
  <c r="AH1401" i="6" s="1"/>
  <c r="AF1401" i="6"/>
  <c r="AE1401" i="6"/>
  <c r="AG1400" i="6"/>
  <c r="AH1400" i="6" s="1"/>
  <c r="AF1400" i="6"/>
  <c r="AE1400" i="6"/>
  <c r="AG1399" i="6"/>
  <c r="AH1399" i="6" s="1"/>
  <c r="AF1399" i="6"/>
  <c r="AE1399" i="6"/>
  <c r="AG1398" i="6"/>
  <c r="AH1398" i="6" s="1"/>
  <c r="AF1398" i="6"/>
  <c r="AE1398" i="6"/>
  <c r="AG1397" i="6"/>
  <c r="AH1397" i="6" s="1"/>
  <c r="AF1397" i="6"/>
  <c r="AE1397" i="6"/>
  <c r="AG1396" i="6"/>
  <c r="AH1396" i="6" s="1"/>
  <c r="AF1396" i="6"/>
  <c r="AE1396" i="6"/>
  <c r="AG1395" i="6"/>
  <c r="AH1395" i="6" s="1"/>
  <c r="AF1395" i="6"/>
  <c r="AE1395" i="6"/>
  <c r="AG1394" i="6"/>
  <c r="AH1394" i="6" s="1"/>
  <c r="AF1394" i="6"/>
  <c r="AE1394" i="6"/>
  <c r="AG1393" i="6"/>
  <c r="AH1393" i="6" s="1"/>
  <c r="AF1393" i="6"/>
  <c r="AE1393" i="6"/>
  <c r="AG1392" i="6"/>
  <c r="AH1392" i="6" s="1"/>
  <c r="AF1392" i="6"/>
  <c r="AE1392" i="6"/>
  <c r="AG1391" i="6"/>
  <c r="AH1391" i="6" s="1"/>
  <c r="AF1391" i="6"/>
  <c r="AE1391" i="6"/>
  <c r="AG1390" i="6"/>
  <c r="AH1390" i="6" s="1"/>
  <c r="AF1390" i="6"/>
  <c r="AE1390" i="6"/>
  <c r="AG1389" i="6"/>
  <c r="AH1389" i="6" s="1"/>
  <c r="AF1389" i="6"/>
  <c r="AE1389" i="6"/>
  <c r="AG1388" i="6"/>
  <c r="AH1388" i="6" s="1"/>
  <c r="AF1388" i="6"/>
  <c r="AE1388" i="6"/>
  <c r="AG1387" i="6"/>
  <c r="AH1387" i="6" s="1"/>
  <c r="AF1387" i="6"/>
  <c r="AE1387" i="6"/>
  <c r="AG1386" i="6"/>
  <c r="AH1386" i="6" s="1"/>
  <c r="AF1386" i="6"/>
  <c r="AE1386" i="6"/>
  <c r="AG1385" i="6"/>
  <c r="AH1385" i="6" s="1"/>
  <c r="AF1385" i="6"/>
  <c r="AE1385" i="6"/>
  <c r="AG1384" i="6"/>
  <c r="AH1384" i="6" s="1"/>
  <c r="AF1384" i="6"/>
  <c r="AE1384" i="6"/>
  <c r="AG1383" i="6"/>
  <c r="AH1383" i="6" s="1"/>
  <c r="AF1383" i="6"/>
  <c r="AE1383" i="6"/>
  <c r="AG1382" i="6"/>
  <c r="AH1382" i="6" s="1"/>
  <c r="AF1382" i="6"/>
  <c r="AE1382" i="6"/>
  <c r="AG1381" i="6"/>
  <c r="AH1381" i="6" s="1"/>
  <c r="AF1381" i="6"/>
  <c r="AE1381" i="6"/>
  <c r="AG1380" i="6"/>
  <c r="AH1380" i="6" s="1"/>
  <c r="AF1380" i="6"/>
  <c r="AE1380" i="6"/>
  <c r="AG1379" i="6"/>
  <c r="AH1379" i="6" s="1"/>
  <c r="AF1379" i="6"/>
  <c r="AE1379" i="6"/>
  <c r="AG1378" i="6"/>
  <c r="AH1378" i="6" s="1"/>
  <c r="AF1378" i="6"/>
  <c r="AE1378" i="6"/>
  <c r="AG1377" i="6"/>
  <c r="AH1377" i="6" s="1"/>
  <c r="AF1377" i="6"/>
  <c r="AE1377" i="6"/>
  <c r="AG1376" i="6"/>
  <c r="AH1376" i="6" s="1"/>
  <c r="AF1376" i="6"/>
  <c r="AE1376" i="6"/>
  <c r="AG1375" i="6"/>
  <c r="AH1375" i="6" s="1"/>
  <c r="AF1375" i="6"/>
  <c r="AE1375" i="6"/>
  <c r="AG1374" i="6"/>
  <c r="AH1374" i="6" s="1"/>
  <c r="AF1374" i="6"/>
  <c r="AE1374" i="6"/>
  <c r="AG1373" i="6"/>
  <c r="AH1373" i="6" s="1"/>
  <c r="AF1373" i="6"/>
  <c r="AE1373" i="6"/>
  <c r="AG1372" i="6"/>
  <c r="AH1372" i="6" s="1"/>
  <c r="AF1372" i="6"/>
  <c r="AE1372" i="6"/>
  <c r="AG1371" i="6"/>
  <c r="AH1371" i="6" s="1"/>
  <c r="AF1371" i="6"/>
  <c r="AE1371" i="6"/>
  <c r="AG1370" i="6"/>
  <c r="AH1370" i="6" s="1"/>
  <c r="AF1370" i="6"/>
  <c r="AE1370" i="6"/>
  <c r="AG1369" i="6"/>
  <c r="AH1369" i="6" s="1"/>
  <c r="AF1369" i="6"/>
  <c r="AE1369" i="6"/>
  <c r="AG1368" i="6"/>
  <c r="AH1368" i="6" s="1"/>
  <c r="AF1368" i="6"/>
  <c r="AE1368" i="6"/>
  <c r="AG1367" i="6"/>
  <c r="AH1367" i="6" s="1"/>
  <c r="AF1367" i="6"/>
  <c r="AE1367" i="6"/>
  <c r="AG1366" i="6"/>
  <c r="AH1366" i="6" s="1"/>
  <c r="AF1366" i="6"/>
  <c r="AE1366" i="6"/>
  <c r="AG1365" i="6"/>
  <c r="AH1365" i="6" s="1"/>
  <c r="AF1365" i="6"/>
  <c r="AE1365" i="6"/>
  <c r="AG1364" i="6"/>
  <c r="AH1364" i="6" s="1"/>
  <c r="AF1364" i="6"/>
  <c r="AE1364" i="6"/>
  <c r="AG1363" i="6"/>
  <c r="AH1363" i="6" s="1"/>
  <c r="AF1363" i="6"/>
  <c r="AE1363" i="6"/>
  <c r="AG1362" i="6"/>
  <c r="AH1362" i="6" s="1"/>
  <c r="AF1362" i="6"/>
  <c r="AE1362" i="6"/>
  <c r="AG1361" i="6"/>
  <c r="AH1361" i="6" s="1"/>
  <c r="AF1361" i="6"/>
  <c r="AE1361" i="6"/>
  <c r="AG1360" i="6"/>
  <c r="AH1360" i="6" s="1"/>
  <c r="AF1360" i="6"/>
  <c r="AE1360" i="6"/>
  <c r="AG1359" i="6"/>
  <c r="AH1359" i="6" s="1"/>
  <c r="AF1359" i="6"/>
  <c r="AE1359" i="6"/>
  <c r="AG1358" i="6"/>
  <c r="AH1358" i="6" s="1"/>
  <c r="AF1358" i="6"/>
  <c r="AE1358" i="6"/>
  <c r="AG1357" i="6"/>
  <c r="AH1357" i="6" s="1"/>
  <c r="AF1357" i="6"/>
  <c r="AE1357" i="6"/>
  <c r="AG1356" i="6"/>
  <c r="AH1356" i="6" s="1"/>
  <c r="AF1356" i="6"/>
  <c r="AE1356" i="6"/>
  <c r="AG1355" i="6"/>
  <c r="AH1355" i="6" s="1"/>
  <c r="AF1355" i="6"/>
  <c r="AE1355" i="6"/>
  <c r="AG1354" i="6"/>
  <c r="AH1354" i="6" s="1"/>
  <c r="AF1354" i="6"/>
  <c r="AE1354" i="6"/>
  <c r="AG1353" i="6"/>
  <c r="AH1353" i="6" s="1"/>
  <c r="AF1353" i="6"/>
  <c r="AE1353" i="6"/>
  <c r="AG1352" i="6"/>
  <c r="AH1352" i="6" s="1"/>
  <c r="AF1352" i="6"/>
  <c r="AE1352" i="6"/>
  <c r="AG1351" i="6"/>
  <c r="AH1351" i="6" s="1"/>
  <c r="AF1351" i="6"/>
  <c r="AE1351" i="6"/>
  <c r="AG1350" i="6"/>
  <c r="AH1350" i="6" s="1"/>
  <c r="AF1350" i="6"/>
  <c r="AE1350" i="6"/>
  <c r="AG1349" i="6"/>
  <c r="AH1349" i="6" s="1"/>
  <c r="AF1349" i="6"/>
  <c r="AE1349" i="6"/>
  <c r="AG1348" i="6"/>
  <c r="AH1348" i="6" s="1"/>
  <c r="AF1348" i="6"/>
  <c r="AE1348" i="6"/>
  <c r="AG1347" i="6"/>
  <c r="AH1347" i="6" s="1"/>
  <c r="AF1347" i="6"/>
  <c r="AE1347" i="6"/>
  <c r="AG1346" i="6"/>
  <c r="AH1346" i="6" s="1"/>
  <c r="AF1346" i="6"/>
  <c r="AE1346" i="6"/>
  <c r="AG1345" i="6"/>
  <c r="AH1345" i="6" s="1"/>
  <c r="AF1345" i="6"/>
  <c r="AE1345" i="6"/>
  <c r="AG1344" i="6"/>
  <c r="AH1344" i="6" s="1"/>
  <c r="AF1344" i="6"/>
  <c r="AE1344" i="6"/>
  <c r="AG1343" i="6"/>
  <c r="AH1343" i="6" s="1"/>
  <c r="AF1343" i="6"/>
  <c r="AE1343" i="6"/>
  <c r="AG1342" i="6"/>
  <c r="AH1342" i="6" s="1"/>
  <c r="AF1342" i="6"/>
  <c r="AE1342" i="6"/>
  <c r="AG1341" i="6"/>
  <c r="AH1341" i="6" s="1"/>
  <c r="AF1341" i="6"/>
  <c r="AE1341" i="6"/>
  <c r="AG1340" i="6"/>
  <c r="AH1340" i="6" s="1"/>
  <c r="AF1340" i="6"/>
  <c r="AE1340" i="6"/>
  <c r="AG1339" i="6"/>
  <c r="AH1339" i="6" s="1"/>
  <c r="AF1339" i="6"/>
  <c r="AE1339" i="6"/>
  <c r="AG1338" i="6"/>
  <c r="AH1338" i="6" s="1"/>
  <c r="AF1338" i="6"/>
  <c r="AE1338" i="6"/>
  <c r="AG1337" i="6"/>
  <c r="AH1337" i="6" s="1"/>
  <c r="AF1337" i="6"/>
  <c r="AE1337" i="6"/>
  <c r="AG1336" i="6"/>
  <c r="AH1336" i="6" s="1"/>
  <c r="AF1336" i="6"/>
  <c r="AE1336" i="6"/>
  <c r="AG1335" i="6"/>
  <c r="AH1335" i="6" s="1"/>
  <c r="AF1335" i="6"/>
  <c r="AE1335" i="6"/>
  <c r="AG1334" i="6"/>
  <c r="AH1334" i="6" s="1"/>
  <c r="AF1334" i="6"/>
  <c r="AE1334" i="6"/>
  <c r="AG1333" i="6"/>
  <c r="AH1333" i="6" s="1"/>
  <c r="AF1333" i="6"/>
  <c r="AE1333" i="6"/>
  <c r="AG1332" i="6"/>
  <c r="AH1332" i="6" s="1"/>
  <c r="AF1332" i="6"/>
  <c r="AE1332" i="6"/>
  <c r="AG1331" i="6"/>
  <c r="AH1331" i="6" s="1"/>
  <c r="AF1331" i="6"/>
  <c r="AE1331" i="6"/>
  <c r="AG1330" i="6"/>
  <c r="AH1330" i="6" s="1"/>
  <c r="AF1330" i="6"/>
  <c r="AE1330" i="6"/>
  <c r="AG1329" i="6"/>
  <c r="AH1329" i="6" s="1"/>
  <c r="AF1329" i="6"/>
  <c r="AE1329" i="6"/>
  <c r="AG1328" i="6"/>
  <c r="AH1328" i="6" s="1"/>
  <c r="AF1328" i="6"/>
  <c r="AE1328" i="6"/>
  <c r="AG1327" i="6"/>
  <c r="AH1327" i="6" s="1"/>
  <c r="AF1327" i="6"/>
  <c r="AE1327" i="6"/>
  <c r="AG1326" i="6"/>
  <c r="AH1326" i="6" s="1"/>
  <c r="AF1326" i="6"/>
  <c r="AE1326" i="6"/>
  <c r="AG1325" i="6"/>
  <c r="AH1325" i="6" s="1"/>
  <c r="AF1325" i="6"/>
  <c r="AE1325" i="6"/>
  <c r="AG1324" i="6"/>
  <c r="AH1324" i="6" s="1"/>
  <c r="AF1324" i="6"/>
  <c r="AE1324" i="6"/>
  <c r="AG1323" i="6"/>
  <c r="AH1323" i="6" s="1"/>
  <c r="AF1323" i="6"/>
  <c r="AE1323" i="6"/>
  <c r="AG1322" i="6"/>
  <c r="AH1322" i="6" s="1"/>
  <c r="AF1322" i="6"/>
  <c r="AE1322" i="6"/>
  <c r="AG1321" i="6"/>
  <c r="AH1321" i="6" s="1"/>
  <c r="AF1321" i="6"/>
  <c r="AE1321" i="6"/>
  <c r="AG1320" i="6"/>
  <c r="AH1320" i="6" s="1"/>
  <c r="AF1320" i="6"/>
  <c r="AE1320" i="6"/>
  <c r="AG1319" i="6"/>
  <c r="AH1319" i="6" s="1"/>
  <c r="AF1319" i="6"/>
  <c r="AE1319" i="6"/>
  <c r="AG1318" i="6"/>
  <c r="AH1318" i="6" s="1"/>
  <c r="AF1318" i="6"/>
  <c r="AE1318" i="6"/>
  <c r="AG1317" i="6"/>
  <c r="AH1317" i="6" s="1"/>
  <c r="AF1317" i="6"/>
  <c r="AE1317" i="6"/>
  <c r="AG1316" i="6"/>
  <c r="AH1316" i="6" s="1"/>
  <c r="AF1316" i="6"/>
  <c r="AE1316" i="6"/>
  <c r="AG1315" i="6"/>
  <c r="AH1315" i="6" s="1"/>
  <c r="AF1315" i="6"/>
  <c r="AE1315" i="6"/>
  <c r="AG1314" i="6"/>
  <c r="AH1314" i="6" s="1"/>
  <c r="AF1314" i="6"/>
  <c r="AE1314" i="6"/>
  <c r="AG1313" i="6"/>
  <c r="AH1313" i="6" s="1"/>
  <c r="AF1313" i="6"/>
  <c r="AE1313" i="6"/>
  <c r="AG1312" i="6"/>
  <c r="AH1312" i="6" s="1"/>
  <c r="AF1312" i="6"/>
  <c r="AE1312" i="6"/>
  <c r="AG1311" i="6"/>
  <c r="AH1311" i="6" s="1"/>
  <c r="AF1311" i="6"/>
  <c r="AE1311" i="6"/>
  <c r="AG1310" i="6"/>
  <c r="AH1310" i="6" s="1"/>
  <c r="AF1310" i="6"/>
  <c r="AE1310" i="6"/>
  <c r="AG1309" i="6"/>
  <c r="AH1309" i="6" s="1"/>
  <c r="AF1309" i="6"/>
  <c r="AE1309" i="6"/>
  <c r="AG1308" i="6"/>
  <c r="AH1308" i="6" s="1"/>
  <c r="AF1308" i="6"/>
  <c r="AE1308" i="6"/>
  <c r="AG1307" i="6"/>
  <c r="AH1307" i="6" s="1"/>
  <c r="AF1307" i="6"/>
  <c r="AE1307" i="6"/>
  <c r="AG1306" i="6"/>
  <c r="AH1306" i="6" s="1"/>
  <c r="AF1306" i="6"/>
  <c r="AE1306" i="6"/>
  <c r="AG1305" i="6"/>
  <c r="AH1305" i="6" s="1"/>
  <c r="AF1305" i="6"/>
  <c r="AE1305" i="6"/>
  <c r="AG1304" i="6"/>
  <c r="AH1304" i="6" s="1"/>
  <c r="AF1304" i="6"/>
  <c r="AE1304" i="6"/>
  <c r="AG1303" i="6"/>
  <c r="AH1303" i="6" s="1"/>
  <c r="AF1303" i="6"/>
  <c r="AE1303" i="6"/>
  <c r="AG1302" i="6"/>
  <c r="AH1302" i="6" s="1"/>
  <c r="AF1302" i="6"/>
  <c r="AE1302" i="6"/>
  <c r="AG1301" i="6"/>
  <c r="AH1301" i="6" s="1"/>
  <c r="AF1301" i="6"/>
  <c r="AE1301" i="6"/>
  <c r="AG1300" i="6"/>
  <c r="AH1300" i="6" s="1"/>
  <c r="AF1300" i="6"/>
  <c r="AE1300" i="6"/>
  <c r="AG1299" i="6"/>
  <c r="AH1299" i="6" s="1"/>
  <c r="AF1299" i="6"/>
  <c r="AE1299" i="6"/>
  <c r="AG1298" i="6"/>
  <c r="AH1298" i="6" s="1"/>
  <c r="AF1298" i="6"/>
  <c r="AE1298" i="6"/>
  <c r="AG1297" i="6"/>
  <c r="AH1297" i="6" s="1"/>
  <c r="AF1297" i="6"/>
  <c r="AE1297" i="6"/>
  <c r="AG1296" i="6"/>
  <c r="AH1296" i="6" s="1"/>
  <c r="AF1296" i="6"/>
  <c r="AE1296" i="6"/>
  <c r="AG1295" i="6"/>
  <c r="AH1295" i="6" s="1"/>
  <c r="AF1295" i="6"/>
  <c r="AE1295" i="6"/>
  <c r="AG1294" i="6"/>
  <c r="AH1294" i="6" s="1"/>
  <c r="AF1294" i="6"/>
  <c r="AE1294" i="6"/>
  <c r="AG1293" i="6"/>
  <c r="AH1293" i="6" s="1"/>
  <c r="AF1293" i="6"/>
  <c r="AE1293" i="6"/>
  <c r="AG1292" i="6"/>
  <c r="AH1292" i="6" s="1"/>
  <c r="AF1292" i="6"/>
  <c r="AE1292" i="6"/>
  <c r="AG1291" i="6"/>
  <c r="AH1291" i="6" s="1"/>
  <c r="AF1291" i="6"/>
  <c r="AE1291" i="6"/>
  <c r="AG1290" i="6"/>
  <c r="AH1290" i="6" s="1"/>
  <c r="AF1290" i="6"/>
  <c r="AE1290" i="6"/>
  <c r="AG1289" i="6"/>
  <c r="AH1289" i="6" s="1"/>
  <c r="AF1289" i="6"/>
  <c r="AE1289" i="6"/>
  <c r="AG1288" i="6"/>
  <c r="AH1288" i="6" s="1"/>
  <c r="AF1288" i="6"/>
  <c r="AE1288" i="6"/>
  <c r="AG1287" i="6"/>
  <c r="AH1287" i="6" s="1"/>
  <c r="AF1287" i="6"/>
  <c r="AE1287" i="6"/>
  <c r="AG1286" i="6"/>
  <c r="AH1286" i="6" s="1"/>
  <c r="AF1286" i="6"/>
  <c r="AE1286" i="6"/>
  <c r="AG1285" i="6"/>
  <c r="AH1285" i="6" s="1"/>
  <c r="AF1285" i="6"/>
  <c r="AE1285" i="6"/>
  <c r="AG1284" i="6"/>
  <c r="AH1284" i="6" s="1"/>
  <c r="AF1284" i="6"/>
  <c r="AE1284" i="6"/>
  <c r="AG1283" i="6"/>
  <c r="AH1283" i="6" s="1"/>
  <c r="AF1283" i="6"/>
  <c r="AE1283" i="6"/>
  <c r="AG1282" i="6"/>
  <c r="AH1282" i="6" s="1"/>
  <c r="AF1282" i="6"/>
  <c r="AE1282" i="6"/>
  <c r="AG1281" i="6"/>
  <c r="AH1281" i="6" s="1"/>
  <c r="AF1281" i="6"/>
  <c r="AE1281" i="6"/>
  <c r="AG1280" i="6"/>
  <c r="AH1280" i="6" s="1"/>
  <c r="AF1280" i="6"/>
  <c r="AE1280" i="6"/>
  <c r="AG1279" i="6"/>
  <c r="AH1279" i="6" s="1"/>
  <c r="AF1279" i="6"/>
  <c r="AE1279" i="6"/>
  <c r="AG1278" i="6"/>
  <c r="AH1278" i="6" s="1"/>
  <c r="AF1278" i="6"/>
  <c r="AE1278" i="6"/>
  <c r="AG1277" i="6"/>
  <c r="AH1277" i="6" s="1"/>
  <c r="AF1277" i="6"/>
  <c r="AE1277" i="6"/>
  <c r="AG1276" i="6"/>
  <c r="AH1276" i="6" s="1"/>
  <c r="AF1276" i="6"/>
  <c r="AE1276" i="6"/>
  <c r="AG1275" i="6"/>
  <c r="AH1275" i="6" s="1"/>
  <c r="AF1275" i="6"/>
  <c r="AE1275" i="6"/>
  <c r="AG1274" i="6"/>
  <c r="AH1274" i="6" s="1"/>
  <c r="AF1274" i="6"/>
  <c r="AE1274" i="6"/>
  <c r="AG1273" i="6"/>
  <c r="AH1273" i="6" s="1"/>
  <c r="AF1273" i="6"/>
  <c r="AE1273" i="6"/>
  <c r="AG1272" i="6"/>
  <c r="AH1272" i="6" s="1"/>
  <c r="AF1272" i="6"/>
  <c r="AE1272" i="6"/>
  <c r="AG1271" i="6"/>
  <c r="AH1271" i="6" s="1"/>
  <c r="AF1271" i="6"/>
  <c r="AE1271" i="6"/>
  <c r="AG1270" i="6"/>
  <c r="AH1270" i="6" s="1"/>
  <c r="AF1270" i="6"/>
  <c r="AE1270" i="6"/>
  <c r="AG1269" i="6"/>
  <c r="AH1269" i="6" s="1"/>
  <c r="AF1269" i="6"/>
  <c r="AE1269" i="6"/>
  <c r="AG1268" i="6"/>
  <c r="AH1268" i="6" s="1"/>
  <c r="AF1268" i="6"/>
  <c r="AE1268" i="6"/>
  <c r="AG1267" i="6"/>
  <c r="AH1267" i="6" s="1"/>
  <c r="AF1267" i="6"/>
  <c r="AE1267" i="6"/>
  <c r="AG1266" i="6"/>
  <c r="AH1266" i="6" s="1"/>
  <c r="AF1266" i="6"/>
  <c r="AE1266" i="6"/>
  <c r="AG1265" i="6"/>
  <c r="AH1265" i="6" s="1"/>
  <c r="AF1265" i="6"/>
  <c r="AE1265" i="6"/>
  <c r="AG1264" i="6"/>
  <c r="AH1264" i="6" s="1"/>
  <c r="AF1264" i="6"/>
  <c r="AE1264" i="6"/>
  <c r="AG1263" i="6"/>
  <c r="AH1263" i="6" s="1"/>
  <c r="AF1263" i="6"/>
  <c r="AE1263" i="6"/>
  <c r="AG1262" i="6"/>
  <c r="AH1262" i="6" s="1"/>
  <c r="AF1262" i="6"/>
  <c r="AE1262" i="6"/>
  <c r="AG1261" i="6"/>
  <c r="AH1261" i="6" s="1"/>
  <c r="AF1261" i="6"/>
  <c r="AE1261" i="6"/>
  <c r="AG1260" i="6"/>
  <c r="AH1260" i="6" s="1"/>
  <c r="AF1260" i="6"/>
  <c r="AE1260" i="6"/>
  <c r="AG1259" i="6"/>
  <c r="AH1259" i="6" s="1"/>
  <c r="AF1259" i="6"/>
  <c r="AE1259" i="6"/>
  <c r="AG1258" i="6"/>
  <c r="AH1258" i="6" s="1"/>
  <c r="AF1258" i="6"/>
  <c r="AE1258" i="6"/>
  <c r="AG1257" i="6"/>
  <c r="AH1257" i="6" s="1"/>
  <c r="AF1257" i="6"/>
  <c r="AE1257" i="6"/>
  <c r="AG1256" i="6"/>
  <c r="AH1256" i="6" s="1"/>
  <c r="AF1256" i="6"/>
  <c r="AE1256" i="6"/>
  <c r="AG1255" i="6"/>
  <c r="AH1255" i="6" s="1"/>
  <c r="AF1255" i="6"/>
  <c r="AE1255" i="6"/>
  <c r="AG1254" i="6"/>
  <c r="AH1254" i="6" s="1"/>
  <c r="AF1254" i="6"/>
  <c r="AE1254" i="6"/>
  <c r="AG1253" i="6"/>
  <c r="AH1253" i="6" s="1"/>
  <c r="AF1253" i="6"/>
  <c r="AE1253" i="6"/>
  <c r="AG1252" i="6"/>
  <c r="AH1252" i="6" s="1"/>
  <c r="AF1252" i="6"/>
  <c r="AE1252" i="6"/>
  <c r="AG1251" i="6"/>
  <c r="AH1251" i="6" s="1"/>
  <c r="AF1251" i="6"/>
  <c r="AE1251" i="6"/>
  <c r="AG1250" i="6"/>
  <c r="AH1250" i="6" s="1"/>
  <c r="AF1250" i="6"/>
  <c r="AE1250" i="6"/>
  <c r="AG1249" i="6"/>
  <c r="AH1249" i="6" s="1"/>
  <c r="AF1249" i="6"/>
  <c r="AE1249" i="6"/>
  <c r="AG1248" i="6"/>
  <c r="AH1248" i="6" s="1"/>
  <c r="AF1248" i="6"/>
  <c r="AE1248" i="6"/>
  <c r="AG1247" i="6"/>
  <c r="AH1247" i="6" s="1"/>
  <c r="AF1247" i="6"/>
  <c r="AE1247" i="6"/>
  <c r="AG1246" i="6"/>
  <c r="AH1246" i="6" s="1"/>
  <c r="AF1246" i="6"/>
  <c r="AE1246" i="6"/>
  <c r="AG1245" i="6"/>
  <c r="AH1245" i="6" s="1"/>
  <c r="AF1245" i="6"/>
  <c r="AE1245" i="6"/>
  <c r="AG1244" i="6"/>
  <c r="AH1244" i="6" s="1"/>
  <c r="AF1244" i="6"/>
  <c r="AE1244" i="6"/>
  <c r="AG1243" i="6"/>
  <c r="AH1243" i="6" s="1"/>
  <c r="AF1243" i="6"/>
  <c r="AE1243" i="6"/>
  <c r="AG1242" i="6"/>
  <c r="AH1242" i="6" s="1"/>
  <c r="AF1242" i="6"/>
  <c r="AE1242" i="6"/>
  <c r="AG1241" i="6"/>
  <c r="AH1241" i="6" s="1"/>
  <c r="AF1241" i="6"/>
  <c r="AE1241" i="6"/>
  <c r="AG1240" i="6"/>
  <c r="AH1240" i="6" s="1"/>
  <c r="AF1240" i="6"/>
  <c r="AE1240" i="6"/>
  <c r="AG1239" i="6"/>
  <c r="AH1239" i="6" s="1"/>
  <c r="AF1239" i="6"/>
  <c r="AE1239" i="6"/>
  <c r="AG1238" i="6"/>
  <c r="AH1238" i="6" s="1"/>
  <c r="AF1238" i="6"/>
  <c r="AE1238" i="6"/>
  <c r="AG1237" i="6"/>
  <c r="AH1237" i="6" s="1"/>
  <c r="AF1237" i="6"/>
  <c r="AE1237" i="6"/>
  <c r="AG1236" i="6"/>
  <c r="AH1236" i="6" s="1"/>
  <c r="AF1236" i="6"/>
  <c r="AE1236" i="6"/>
  <c r="AG1235" i="6"/>
  <c r="AH1235" i="6" s="1"/>
  <c r="AF1235" i="6"/>
  <c r="AE1235" i="6"/>
  <c r="AG1234" i="6"/>
  <c r="AH1234" i="6" s="1"/>
  <c r="AF1234" i="6"/>
  <c r="AE1234" i="6"/>
  <c r="AG1233" i="6"/>
  <c r="AH1233" i="6" s="1"/>
  <c r="AF1233" i="6"/>
  <c r="AE1233" i="6"/>
  <c r="AG1232" i="6"/>
  <c r="AH1232" i="6" s="1"/>
  <c r="AF1232" i="6"/>
  <c r="AE1232" i="6"/>
  <c r="AG1231" i="6"/>
  <c r="AH1231" i="6" s="1"/>
  <c r="AF1231" i="6"/>
  <c r="AE1231" i="6"/>
  <c r="AG1230" i="6"/>
  <c r="AH1230" i="6" s="1"/>
  <c r="AF1230" i="6"/>
  <c r="AE1230" i="6"/>
  <c r="AG1229" i="6"/>
  <c r="AH1229" i="6" s="1"/>
  <c r="AF1229" i="6"/>
  <c r="AE1229" i="6"/>
  <c r="AG1228" i="6"/>
  <c r="AH1228" i="6" s="1"/>
  <c r="AF1228" i="6"/>
  <c r="AE1228" i="6"/>
  <c r="AG1227" i="6"/>
  <c r="AH1227" i="6" s="1"/>
  <c r="AF1227" i="6"/>
  <c r="AE1227" i="6"/>
  <c r="AG1226" i="6"/>
  <c r="AH1226" i="6" s="1"/>
  <c r="AF1226" i="6"/>
  <c r="AE1226" i="6"/>
  <c r="AG1225" i="6"/>
  <c r="AH1225" i="6" s="1"/>
  <c r="AF1225" i="6"/>
  <c r="AE1225" i="6"/>
  <c r="AG1224" i="6"/>
  <c r="AH1224" i="6" s="1"/>
  <c r="AF1224" i="6"/>
  <c r="AE1224" i="6"/>
  <c r="AG1223" i="6"/>
  <c r="AH1223" i="6" s="1"/>
  <c r="AF1223" i="6"/>
  <c r="AE1223" i="6"/>
  <c r="AG1222" i="6"/>
  <c r="AH1222" i="6" s="1"/>
  <c r="AF1222" i="6"/>
  <c r="AE1222" i="6"/>
  <c r="AG1221" i="6"/>
  <c r="AH1221" i="6" s="1"/>
  <c r="AF1221" i="6"/>
  <c r="AE1221" i="6"/>
  <c r="AG1220" i="6"/>
  <c r="AH1220" i="6" s="1"/>
  <c r="AF1220" i="6"/>
  <c r="AE1220" i="6"/>
  <c r="AG1219" i="6"/>
  <c r="AH1219" i="6" s="1"/>
  <c r="AF1219" i="6"/>
  <c r="AE1219" i="6"/>
  <c r="AG1218" i="6"/>
  <c r="AH1218" i="6" s="1"/>
  <c r="AF1218" i="6"/>
  <c r="AE1218" i="6"/>
  <c r="AG1217" i="6"/>
  <c r="AH1217" i="6" s="1"/>
  <c r="AF1217" i="6"/>
  <c r="AE1217" i="6"/>
  <c r="AG1216" i="6"/>
  <c r="AH1216" i="6" s="1"/>
  <c r="AF1216" i="6"/>
  <c r="AE1216" i="6"/>
  <c r="AG1215" i="6"/>
  <c r="AH1215" i="6" s="1"/>
  <c r="AF1215" i="6"/>
  <c r="AE1215" i="6"/>
  <c r="AG1214" i="6"/>
  <c r="AH1214" i="6" s="1"/>
  <c r="AF1214" i="6"/>
  <c r="AE1214" i="6"/>
  <c r="AG1213" i="6"/>
  <c r="AH1213" i="6" s="1"/>
  <c r="AF1213" i="6"/>
  <c r="AE1213" i="6"/>
  <c r="AG1212" i="6"/>
  <c r="AH1212" i="6" s="1"/>
  <c r="AF1212" i="6"/>
  <c r="AE1212" i="6"/>
  <c r="AG1211" i="6"/>
  <c r="AH1211" i="6" s="1"/>
  <c r="AF1211" i="6"/>
  <c r="AE1211" i="6"/>
  <c r="AG1210" i="6"/>
  <c r="AH1210" i="6" s="1"/>
  <c r="AF1210" i="6"/>
  <c r="AE1210" i="6"/>
  <c r="AG1209" i="6"/>
  <c r="AH1209" i="6" s="1"/>
  <c r="AF1209" i="6"/>
  <c r="AE1209" i="6"/>
  <c r="AG1208" i="6"/>
  <c r="AH1208" i="6" s="1"/>
  <c r="AF1208" i="6"/>
  <c r="AE1208" i="6"/>
  <c r="AG1207" i="6"/>
  <c r="AH1207" i="6" s="1"/>
  <c r="AF1207" i="6"/>
  <c r="AE1207" i="6"/>
  <c r="AG1206" i="6"/>
  <c r="AH1206" i="6" s="1"/>
  <c r="AF1206" i="6"/>
  <c r="AE1206" i="6"/>
  <c r="AG1205" i="6"/>
  <c r="AH1205" i="6" s="1"/>
  <c r="AF1205" i="6"/>
  <c r="AE1205" i="6"/>
  <c r="AG1204" i="6"/>
  <c r="AH1204" i="6" s="1"/>
  <c r="AF1204" i="6"/>
  <c r="AE1204" i="6"/>
  <c r="AG1203" i="6"/>
  <c r="AH1203" i="6" s="1"/>
  <c r="AF1203" i="6"/>
  <c r="AE1203" i="6"/>
  <c r="AG1202" i="6"/>
  <c r="AH1202" i="6" s="1"/>
  <c r="AF1202" i="6"/>
  <c r="AE1202" i="6"/>
  <c r="AG1201" i="6"/>
  <c r="AH1201" i="6" s="1"/>
  <c r="AF1201" i="6"/>
  <c r="AE1201" i="6"/>
  <c r="AG1200" i="6"/>
  <c r="AH1200" i="6" s="1"/>
  <c r="AF1200" i="6"/>
  <c r="AE1200" i="6"/>
  <c r="AG1199" i="6"/>
  <c r="AH1199" i="6" s="1"/>
  <c r="AF1199" i="6"/>
  <c r="AE1199" i="6"/>
  <c r="AG1198" i="6"/>
  <c r="AH1198" i="6" s="1"/>
  <c r="AF1198" i="6"/>
  <c r="AE1198" i="6"/>
  <c r="AG1197" i="6"/>
  <c r="AH1197" i="6" s="1"/>
  <c r="AF1197" i="6"/>
  <c r="AE1197" i="6"/>
  <c r="AG1196" i="6"/>
  <c r="AH1196" i="6" s="1"/>
  <c r="AF1196" i="6"/>
  <c r="AE1196" i="6"/>
  <c r="AG1195" i="6"/>
  <c r="AH1195" i="6" s="1"/>
  <c r="AF1195" i="6"/>
  <c r="AE1195" i="6"/>
  <c r="AG1194" i="6"/>
  <c r="AH1194" i="6" s="1"/>
  <c r="AF1194" i="6"/>
  <c r="AE1194" i="6"/>
  <c r="AG1193" i="6"/>
  <c r="AH1193" i="6" s="1"/>
  <c r="AF1193" i="6"/>
  <c r="AE1193" i="6"/>
  <c r="AG1192" i="6"/>
  <c r="AH1192" i="6" s="1"/>
  <c r="AF1192" i="6"/>
  <c r="AE1192" i="6"/>
  <c r="AG1191" i="6"/>
  <c r="AH1191" i="6" s="1"/>
  <c r="AF1191" i="6"/>
  <c r="AE1191" i="6"/>
  <c r="AG1190" i="6"/>
  <c r="AH1190" i="6" s="1"/>
  <c r="AF1190" i="6"/>
  <c r="AE1190" i="6"/>
  <c r="AG1189" i="6"/>
  <c r="AH1189" i="6" s="1"/>
  <c r="AF1189" i="6"/>
  <c r="AE1189" i="6"/>
  <c r="AG1188" i="6"/>
  <c r="AH1188" i="6" s="1"/>
  <c r="AF1188" i="6"/>
  <c r="AE1188" i="6"/>
  <c r="AG1187" i="6"/>
  <c r="AH1187" i="6" s="1"/>
  <c r="AF1187" i="6"/>
  <c r="AE1187" i="6"/>
  <c r="AG1186" i="6"/>
  <c r="AH1186" i="6" s="1"/>
  <c r="AF1186" i="6"/>
  <c r="AE1186" i="6"/>
  <c r="AG1185" i="6"/>
  <c r="AH1185" i="6" s="1"/>
  <c r="AF1185" i="6"/>
  <c r="AE1185" i="6"/>
  <c r="AG1184" i="6"/>
  <c r="AH1184" i="6" s="1"/>
  <c r="AF1184" i="6"/>
  <c r="AE1184" i="6"/>
  <c r="AG1183" i="6"/>
  <c r="AH1183" i="6" s="1"/>
  <c r="AF1183" i="6"/>
  <c r="AE1183" i="6"/>
  <c r="AG1182" i="6"/>
  <c r="AH1182" i="6" s="1"/>
  <c r="AF1182" i="6"/>
  <c r="AE1182" i="6"/>
  <c r="AG1181" i="6"/>
  <c r="AH1181" i="6" s="1"/>
  <c r="AF1181" i="6"/>
  <c r="AE1181" i="6"/>
  <c r="AG1180" i="6"/>
  <c r="AH1180" i="6" s="1"/>
  <c r="AF1180" i="6"/>
  <c r="AE1180" i="6"/>
  <c r="AG1179" i="6"/>
  <c r="AH1179" i="6" s="1"/>
  <c r="AF1179" i="6"/>
  <c r="AE1179" i="6"/>
  <c r="AG1178" i="6"/>
  <c r="AH1178" i="6" s="1"/>
  <c r="AF1178" i="6"/>
  <c r="AE1178" i="6"/>
  <c r="AG1177" i="6"/>
  <c r="AH1177" i="6" s="1"/>
  <c r="AF1177" i="6"/>
  <c r="AE1177" i="6"/>
  <c r="AG1176" i="6"/>
  <c r="AH1176" i="6" s="1"/>
  <c r="AF1176" i="6"/>
  <c r="AE1176" i="6"/>
  <c r="AG1175" i="6"/>
  <c r="AH1175" i="6" s="1"/>
  <c r="AF1175" i="6"/>
  <c r="AE1175" i="6"/>
  <c r="AG1174" i="6"/>
  <c r="AH1174" i="6" s="1"/>
  <c r="AF1174" i="6"/>
  <c r="AE1174" i="6"/>
  <c r="AG1173" i="6"/>
  <c r="AH1173" i="6" s="1"/>
  <c r="AF1173" i="6"/>
  <c r="AE1173" i="6"/>
  <c r="AG1172" i="6"/>
  <c r="AH1172" i="6" s="1"/>
  <c r="AF1172" i="6"/>
  <c r="AE1172" i="6"/>
  <c r="AG1171" i="6"/>
  <c r="AH1171" i="6" s="1"/>
  <c r="AF1171" i="6"/>
  <c r="AE1171" i="6"/>
  <c r="AG1170" i="6"/>
  <c r="AH1170" i="6" s="1"/>
  <c r="AF1170" i="6"/>
  <c r="AE1170" i="6"/>
  <c r="AG1169" i="6"/>
  <c r="AH1169" i="6" s="1"/>
  <c r="AF1169" i="6"/>
  <c r="AE1169" i="6"/>
  <c r="AG1168" i="6"/>
  <c r="AH1168" i="6" s="1"/>
  <c r="AF1168" i="6"/>
  <c r="AE1168" i="6"/>
  <c r="AG1167" i="6"/>
  <c r="AH1167" i="6" s="1"/>
  <c r="AF1167" i="6"/>
  <c r="AE1167" i="6"/>
  <c r="AG1166" i="6"/>
  <c r="AH1166" i="6" s="1"/>
  <c r="AF1166" i="6"/>
  <c r="AE1166" i="6"/>
  <c r="AG1165" i="6"/>
  <c r="AH1165" i="6" s="1"/>
  <c r="AF1165" i="6"/>
  <c r="AE1165" i="6"/>
  <c r="AG1164" i="6"/>
  <c r="AH1164" i="6" s="1"/>
  <c r="AF1164" i="6"/>
  <c r="AE1164" i="6"/>
  <c r="AG1163" i="6"/>
  <c r="AH1163" i="6" s="1"/>
  <c r="AF1163" i="6"/>
  <c r="AE1163" i="6"/>
  <c r="AG1162" i="6"/>
  <c r="AH1162" i="6" s="1"/>
  <c r="AF1162" i="6"/>
  <c r="AE1162" i="6"/>
  <c r="AG1161" i="6"/>
  <c r="AH1161" i="6" s="1"/>
  <c r="AF1161" i="6"/>
  <c r="AE1161" i="6"/>
  <c r="AG1160" i="6"/>
  <c r="AH1160" i="6" s="1"/>
  <c r="AF1160" i="6"/>
  <c r="AE1160" i="6"/>
  <c r="AG1159" i="6"/>
  <c r="AH1159" i="6" s="1"/>
  <c r="AF1159" i="6"/>
  <c r="AE1159" i="6"/>
  <c r="AG1158" i="6"/>
  <c r="AH1158" i="6" s="1"/>
  <c r="AF1158" i="6"/>
  <c r="AE1158" i="6"/>
  <c r="AG1157" i="6"/>
  <c r="AH1157" i="6" s="1"/>
  <c r="AF1157" i="6"/>
  <c r="AE1157" i="6"/>
  <c r="AG1156" i="6"/>
  <c r="AH1156" i="6" s="1"/>
  <c r="AF1156" i="6"/>
  <c r="AE1156" i="6"/>
  <c r="AG1155" i="6"/>
  <c r="AH1155" i="6" s="1"/>
  <c r="AF1155" i="6"/>
  <c r="AE1155" i="6"/>
  <c r="AG1154" i="6"/>
  <c r="AH1154" i="6" s="1"/>
  <c r="AF1154" i="6"/>
  <c r="AE1154" i="6"/>
  <c r="AG1153" i="6"/>
  <c r="AH1153" i="6" s="1"/>
  <c r="AF1153" i="6"/>
  <c r="AE1153" i="6"/>
  <c r="AG1152" i="6"/>
  <c r="AH1152" i="6" s="1"/>
  <c r="AF1152" i="6"/>
  <c r="AE1152" i="6"/>
  <c r="AG1151" i="6"/>
  <c r="AH1151" i="6" s="1"/>
  <c r="AF1151" i="6"/>
  <c r="AE1151" i="6"/>
  <c r="AG1150" i="6"/>
  <c r="AH1150" i="6" s="1"/>
  <c r="AF1150" i="6"/>
  <c r="AE1150" i="6"/>
  <c r="AG1149" i="6"/>
  <c r="AH1149" i="6" s="1"/>
  <c r="AF1149" i="6"/>
  <c r="AE1149" i="6"/>
  <c r="AG1148" i="6"/>
  <c r="AH1148" i="6" s="1"/>
  <c r="AF1148" i="6"/>
  <c r="AE1148" i="6"/>
  <c r="AG1147" i="6"/>
  <c r="AH1147" i="6" s="1"/>
  <c r="AF1147" i="6"/>
  <c r="AE1147" i="6"/>
  <c r="AG1146" i="6"/>
  <c r="AH1146" i="6" s="1"/>
  <c r="AF1146" i="6"/>
  <c r="AE1146" i="6"/>
  <c r="AG1145" i="6"/>
  <c r="AH1145" i="6" s="1"/>
  <c r="AF1145" i="6"/>
  <c r="AE1145" i="6"/>
  <c r="AG1144" i="6"/>
  <c r="AH1144" i="6" s="1"/>
  <c r="AF1144" i="6"/>
  <c r="AE1144" i="6"/>
  <c r="AG1143" i="6"/>
  <c r="AH1143" i="6" s="1"/>
  <c r="AF1143" i="6"/>
  <c r="AE1143" i="6"/>
  <c r="AG1142" i="6"/>
  <c r="AH1142" i="6" s="1"/>
  <c r="AF1142" i="6"/>
  <c r="AE1142" i="6"/>
  <c r="AG1141" i="6"/>
  <c r="AH1141" i="6" s="1"/>
  <c r="AF1141" i="6"/>
  <c r="AE1141" i="6"/>
  <c r="AG1140" i="6"/>
  <c r="AH1140" i="6" s="1"/>
  <c r="AF1140" i="6"/>
  <c r="AE1140" i="6"/>
  <c r="AG1139" i="6"/>
  <c r="AH1139" i="6" s="1"/>
  <c r="AF1139" i="6"/>
  <c r="AE1139" i="6"/>
  <c r="AG1138" i="6"/>
  <c r="AH1138" i="6" s="1"/>
  <c r="AF1138" i="6"/>
  <c r="AE1138" i="6"/>
  <c r="AG1137" i="6"/>
  <c r="AH1137" i="6" s="1"/>
  <c r="AF1137" i="6"/>
  <c r="AE1137" i="6"/>
  <c r="AG1136" i="6"/>
  <c r="AH1136" i="6" s="1"/>
  <c r="AF1136" i="6"/>
  <c r="AE1136" i="6"/>
  <c r="AG1135" i="6"/>
  <c r="AH1135" i="6" s="1"/>
  <c r="AF1135" i="6"/>
  <c r="AE1135" i="6"/>
  <c r="AG1134" i="6"/>
  <c r="AH1134" i="6" s="1"/>
  <c r="AF1134" i="6"/>
  <c r="AE1134" i="6"/>
  <c r="AG1133" i="6"/>
  <c r="AH1133" i="6" s="1"/>
  <c r="AF1133" i="6"/>
  <c r="AE1133" i="6"/>
  <c r="AG1132" i="6"/>
  <c r="AH1132" i="6" s="1"/>
  <c r="AF1132" i="6"/>
  <c r="AE1132" i="6"/>
  <c r="AG1131" i="6"/>
  <c r="AH1131" i="6" s="1"/>
  <c r="AF1131" i="6"/>
  <c r="AE1131" i="6"/>
  <c r="AG1130" i="6"/>
  <c r="AH1130" i="6" s="1"/>
  <c r="AF1130" i="6"/>
  <c r="AE1130" i="6"/>
  <c r="AG1129" i="6"/>
  <c r="AH1129" i="6" s="1"/>
  <c r="AF1129" i="6"/>
  <c r="AE1129" i="6"/>
  <c r="AG1128" i="6"/>
  <c r="AH1128" i="6" s="1"/>
  <c r="AF1128" i="6"/>
  <c r="AE1128" i="6"/>
  <c r="AG1127" i="6"/>
  <c r="AH1127" i="6" s="1"/>
  <c r="AF1127" i="6"/>
  <c r="AE1127" i="6"/>
  <c r="AG1126" i="6"/>
  <c r="AH1126" i="6" s="1"/>
  <c r="AF1126" i="6"/>
  <c r="AE1126" i="6"/>
  <c r="AG1125" i="6"/>
  <c r="AH1125" i="6" s="1"/>
  <c r="AF1125" i="6"/>
  <c r="AE1125" i="6"/>
  <c r="AG1124" i="6"/>
  <c r="AH1124" i="6" s="1"/>
  <c r="AF1124" i="6"/>
  <c r="AE1124" i="6"/>
  <c r="AG1123" i="6"/>
  <c r="AH1123" i="6" s="1"/>
  <c r="AF1123" i="6"/>
  <c r="AE1123" i="6"/>
  <c r="AG1122" i="6"/>
  <c r="AH1122" i="6" s="1"/>
  <c r="AF1122" i="6"/>
  <c r="AE1122" i="6"/>
  <c r="AG1121" i="6"/>
  <c r="AH1121" i="6" s="1"/>
  <c r="AF1121" i="6"/>
  <c r="AE1121" i="6"/>
  <c r="AG1120" i="6"/>
  <c r="AH1120" i="6" s="1"/>
  <c r="AF1120" i="6"/>
  <c r="AE1120" i="6"/>
  <c r="AG1119" i="6"/>
  <c r="AH1119" i="6" s="1"/>
  <c r="AF1119" i="6"/>
  <c r="AE1119" i="6"/>
  <c r="AG1118" i="6"/>
  <c r="AH1118" i="6" s="1"/>
  <c r="AF1118" i="6"/>
  <c r="AE1118" i="6"/>
  <c r="AG1117" i="6"/>
  <c r="AH1117" i="6" s="1"/>
  <c r="AF1117" i="6"/>
  <c r="AE1117" i="6"/>
  <c r="AG1116" i="6"/>
  <c r="AH1116" i="6" s="1"/>
  <c r="AF1116" i="6"/>
  <c r="AE1116" i="6"/>
  <c r="AG1115" i="6"/>
  <c r="AH1115" i="6" s="1"/>
  <c r="AF1115" i="6"/>
  <c r="AE1115" i="6"/>
  <c r="AG1114" i="6"/>
  <c r="AH1114" i="6" s="1"/>
  <c r="AF1114" i="6"/>
  <c r="AE1114" i="6"/>
  <c r="AG1113" i="6"/>
  <c r="AH1113" i="6" s="1"/>
  <c r="AF1113" i="6"/>
  <c r="AE1113" i="6"/>
  <c r="AG1112" i="6"/>
  <c r="AH1112" i="6" s="1"/>
  <c r="AF1112" i="6"/>
  <c r="AE1112" i="6"/>
  <c r="AG1111" i="6"/>
  <c r="AH1111" i="6" s="1"/>
  <c r="AF1111" i="6"/>
  <c r="AE1111" i="6"/>
  <c r="AG1110" i="6"/>
  <c r="AH1110" i="6" s="1"/>
  <c r="AF1110" i="6"/>
  <c r="AE1110" i="6"/>
  <c r="AG1109" i="6"/>
  <c r="AH1109" i="6" s="1"/>
  <c r="AF1109" i="6"/>
  <c r="AE1109" i="6"/>
  <c r="AG1108" i="6"/>
  <c r="AH1108" i="6" s="1"/>
  <c r="AF1108" i="6"/>
  <c r="AE1108" i="6"/>
  <c r="AG1107" i="6"/>
  <c r="AH1107" i="6" s="1"/>
  <c r="AF1107" i="6"/>
  <c r="AE1107" i="6"/>
  <c r="AG1106" i="6"/>
  <c r="AH1106" i="6" s="1"/>
  <c r="AF1106" i="6"/>
  <c r="AE1106" i="6"/>
  <c r="AG1105" i="6"/>
  <c r="AH1105" i="6" s="1"/>
  <c r="AF1105" i="6"/>
  <c r="AE1105" i="6"/>
  <c r="AG1104" i="6"/>
  <c r="AH1104" i="6" s="1"/>
  <c r="AF1104" i="6"/>
  <c r="AE1104" i="6"/>
  <c r="AG1103" i="6"/>
  <c r="AH1103" i="6" s="1"/>
  <c r="AF1103" i="6"/>
  <c r="AE1103" i="6"/>
  <c r="AG1102" i="6"/>
  <c r="AH1102" i="6" s="1"/>
  <c r="AF1102" i="6"/>
  <c r="AE1102" i="6"/>
  <c r="AG1101" i="6"/>
  <c r="AH1101" i="6" s="1"/>
  <c r="AF1101" i="6"/>
  <c r="AE1101" i="6"/>
  <c r="AG1100" i="6"/>
  <c r="AH1100" i="6" s="1"/>
  <c r="AF1100" i="6"/>
  <c r="AE1100" i="6"/>
  <c r="AG1099" i="6"/>
  <c r="AH1099" i="6" s="1"/>
  <c r="AF1099" i="6"/>
  <c r="AE1099" i="6"/>
  <c r="AG1098" i="6"/>
  <c r="AH1098" i="6" s="1"/>
  <c r="AF1098" i="6"/>
  <c r="AE1098" i="6"/>
  <c r="AG1097" i="6"/>
  <c r="AH1097" i="6" s="1"/>
  <c r="AF1097" i="6"/>
  <c r="AE1097" i="6"/>
  <c r="AG1096" i="6"/>
  <c r="AH1096" i="6" s="1"/>
  <c r="AF1096" i="6"/>
  <c r="AE1096" i="6"/>
  <c r="AG1095" i="6"/>
  <c r="AH1095" i="6" s="1"/>
  <c r="AF1095" i="6"/>
  <c r="AE1095" i="6"/>
  <c r="AG1094" i="6"/>
  <c r="AH1094" i="6" s="1"/>
  <c r="AF1094" i="6"/>
  <c r="AE1094" i="6"/>
  <c r="AG1093" i="6"/>
  <c r="AH1093" i="6" s="1"/>
  <c r="AF1093" i="6"/>
  <c r="AE1093" i="6"/>
  <c r="AG1092" i="6"/>
  <c r="AH1092" i="6" s="1"/>
  <c r="AF1092" i="6"/>
  <c r="AE1092" i="6"/>
  <c r="AG1091" i="6"/>
  <c r="AH1091" i="6" s="1"/>
  <c r="AF1091" i="6"/>
  <c r="AE1091" i="6"/>
  <c r="AG1090" i="6"/>
  <c r="AH1090" i="6" s="1"/>
  <c r="AF1090" i="6"/>
  <c r="AE1090" i="6"/>
  <c r="AG1089" i="6"/>
  <c r="AH1089" i="6" s="1"/>
  <c r="AF1089" i="6"/>
  <c r="AE1089" i="6"/>
  <c r="AG1088" i="6"/>
  <c r="AH1088" i="6" s="1"/>
  <c r="AF1088" i="6"/>
  <c r="AE1088" i="6"/>
  <c r="AG1087" i="6"/>
  <c r="AH1087" i="6" s="1"/>
  <c r="AF1087" i="6"/>
  <c r="AE1087" i="6"/>
  <c r="AG1086" i="6"/>
  <c r="AH1086" i="6" s="1"/>
  <c r="AF1086" i="6"/>
  <c r="AE1086" i="6"/>
  <c r="AG1085" i="6"/>
  <c r="AH1085" i="6" s="1"/>
  <c r="AF1085" i="6"/>
  <c r="AE1085" i="6"/>
  <c r="AG1084" i="6"/>
  <c r="AH1084" i="6" s="1"/>
  <c r="AF1084" i="6"/>
  <c r="AE1084" i="6"/>
  <c r="AG1083" i="6"/>
  <c r="AH1083" i="6" s="1"/>
  <c r="AF1083" i="6"/>
  <c r="AE1083" i="6"/>
  <c r="AG1082" i="6"/>
  <c r="AH1082" i="6" s="1"/>
  <c r="AF1082" i="6"/>
  <c r="AE1082" i="6"/>
  <c r="AG1081" i="6"/>
  <c r="AH1081" i="6" s="1"/>
  <c r="AF1081" i="6"/>
  <c r="AE1081" i="6"/>
  <c r="AG1080" i="6"/>
  <c r="AH1080" i="6" s="1"/>
  <c r="AF1080" i="6"/>
  <c r="AE1080" i="6"/>
  <c r="AG1079" i="6"/>
  <c r="AH1079" i="6" s="1"/>
  <c r="AF1079" i="6"/>
  <c r="AE1079" i="6"/>
  <c r="AG1078" i="6"/>
  <c r="AH1078" i="6" s="1"/>
  <c r="AF1078" i="6"/>
  <c r="AE1078" i="6"/>
  <c r="AG1077" i="6"/>
  <c r="AH1077" i="6" s="1"/>
  <c r="AF1077" i="6"/>
  <c r="AE1077" i="6"/>
  <c r="AG1076" i="6"/>
  <c r="AH1076" i="6" s="1"/>
  <c r="AF1076" i="6"/>
  <c r="AE1076" i="6"/>
  <c r="AG1075" i="6"/>
  <c r="AH1075" i="6" s="1"/>
  <c r="AF1075" i="6"/>
  <c r="AE1075" i="6"/>
  <c r="AG1074" i="6"/>
  <c r="AH1074" i="6" s="1"/>
  <c r="AF1074" i="6"/>
  <c r="AE1074" i="6"/>
  <c r="AG1073" i="6"/>
  <c r="AH1073" i="6" s="1"/>
  <c r="AF1073" i="6"/>
  <c r="AE1073" i="6"/>
  <c r="AG1072" i="6"/>
  <c r="AH1072" i="6" s="1"/>
  <c r="AF1072" i="6"/>
  <c r="AE1072" i="6"/>
  <c r="AG1071" i="6"/>
  <c r="AH1071" i="6" s="1"/>
  <c r="AF1071" i="6"/>
  <c r="AE1071" i="6"/>
  <c r="AG1070" i="6"/>
  <c r="AH1070" i="6" s="1"/>
  <c r="AF1070" i="6"/>
  <c r="AE1070" i="6"/>
  <c r="AG1069" i="6"/>
  <c r="AH1069" i="6" s="1"/>
  <c r="AF1069" i="6"/>
  <c r="AE1069" i="6"/>
  <c r="AG1068" i="6"/>
  <c r="AH1068" i="6" s="1"/>
  <c r="AF1068" i="6"/>
  <c r="AE1068" i="6"/>
  <c r="AG1067" i="6"/>
  <c r="AH1067" i="6" s="1"/>
  <c r="AF1067" i="6"/>
  <c r="AE1067" i="6"/>
  <c r="AG1066" i="6"/>
  <c r="AH1066" i="6" s="1"/>
  <c r="AF1066" i="6"/>
  <c r="AE1066" i="6"/>
  <c r="AG1065" i="6"/>
  <c r="AH1065" i="6" s="1"/>
  <c r="AF1065" i="6"/>
  <c r="AE1065" i="6"/>
  <c r="AG1064" i="6"/>
  <c r="AH1064" i="6" s="1"/>
  <c r="AF1064" i="6"/>
  <c r="AE1064" i="6"/>
  <c r="AG1063" i="6"/>
  <c r="AH1063" i="6" s="1"/>
  <c r="AF1063" i="6"/>
  <c r="AE1063" i="6"/>
  <c r="AG1062" i="6"/>
  <c r="AH1062" i="6" s="1"/>
  <c r="AF1062" i="6"/>
  <c r="AE1062" i="6"/>
  <c r="AG1061" i="6"/>
  <c r="AH1061" i="6" s="1"/>
  <c r="AF1061" i="6"/>
  <c r="AE1061" i="6"/>
  <c r="AG1060" i="6"/>
  <c r="AH1060" i="6" s="1"/>
  <c r="AF1060" i="6"/>
  <c r="AE1060" i="6"/>
  <c r="AG1059" i="6"/>
  <c r="AH1059" i="6" s="1"/>
  <c r="AF1059" i="6"/>
  <c r="AE1059" i="6"/>
  <c r="AG1058" i="6"/>
  <c r="AH1058" i="6" s="1"/>
  <c r="AF1058" i="6"/>
  <c r="AE1058" i="6"/>
  <c r="AG1057" i="6"/>
  <c r="AH1057" i="6" s="1"/>
  <c r="AF1057" i="6"/>
  <c r="AE1057" i="6"/>
  <c r="AG1056" i="6"/>
  <c r="AH1056" i="6" s="1"/>
  <c r="AF1056" i="6"/>
  <c r="AE1056" i="6"/>
  <c r="AG1055" i="6"/>
  <c r="AH1055" i="6" s="1"/>
  <c r="AF1055" i="6"/>
  <c r="AE1055" i="6"/>
  <c r="AG1054" i="6"/>
  <c r="AH1054" i="6" s="1"/>
  <c r="AF1054" i="6"/>
  <c r="AE1054" i="6"/>
  <c r="AG1053" i="6"/>
  <c r="AH1053" i="6" s="1"/>
  <c r="AF1053" i="6"/>
  <c r="AE1053" i="6"/>
  <c r="AG1052" i="6"/>
  <c r="AH1052" i="6" s="1"/>
  <c r="AF1052" i="6"/>
  <c r="AE1052" i="6"/>
  <c r="AG1051" i="6"/>
  <c r="AH1051" i="6" s="1"/>
  <c r="AF1051" i="6"/>
  <c r="AE1051" i="6"/>
  <c r="AG1050" i="6"/>
  <c r="AH1050" i="6" s="1"/>
  <c r="AF1050" i="6"/>
  <c r="AE1050" i="6"/>
  <c r="AG1049" i="6"/>
  <c r="AH1049" i="6" s="1"/>
  <c r="AF1049" i="6"/>
  <c r="AE1049" i="6"/>
  <c r="AG1048" i="6"/>
  <c r="AH1048" i="6" s="1"/>
  <c r="AF1048" i="6"/>
  <c r="AE1048" i="6"/>
  <c r="AG1047" i="6"/>
  <c r="AH1047" i="6" s="1"/>
  <c r="AF1047" i="6"/>
  <c r="AE1047" i="6"/>
  <c r="AG1046" i="6"/>
  <c r="AH1046" i="6" s="1"/>
  <c r="AF1046" i="6"/>
  <c r="AE1046" i="6"/>
  <c r="AG1045" i="6"/>
  <c r="AH1045" i="6" s="1"/>
  <c r="AF1045" i="6"/>
  <c r="AE1045" i="6"/>
  <c r="AG1044" i="6"/>
  <c r="AH1044" i="6" s="1"/>
  <c r="AF1044" i="6"/>
  <c r="AE1044" i="6"/>
  <c r="AG1043" i="6"/>
  <c r="AH1043" i="6" s="1"/>
  <c r="AF1043" i="6"/>
  <c r="AE1043" i="6"/>
  <c r="AG1042" i="6"/>
  <c r="AH1042" i="6" s="1"/>
  <c r="AF1042" i="6"/>
  <c r="AE1042" i="6"/>
  <c r="AG1041" i="6"/>
  <c r="AH1041" i="6" s="1"/>
  <c r="AF1041" i="6"/>
  <c r="AE1041" i="6"/>
  <c r="AG1040" i="6"/>
  <c r="AH1040" i="6" s="1"/>
  <c r="AF1040" i="6"/>
  <c r="AE1040" i="6"/>
  <c r="AG1039" i="6"/>
  <c r="AH1039" i="6" s="1"/>
  <c r="AF1039" i="6"/>
  <c r="AE1039" i="6"/>
  <c r="AG1038" i="6"/>
  <c r="AH1038" i="6" s="1"/>
  <c r="AF1038" i="6"/>
  <c r="AE1038" i="6"/>
  <c r="AG1037" i="6"/>
  <c r="AH1037" i="6" s="1"/>
  <c r="AF1037" i="6"/>
  <c r="AE1037" i="6"/>
  <c r="AG1036" i="6"/>
  <c r="AH1036" i="6" s="1"/>
  <c r="AF1036" i="6"/>
  <c r="AE1036" i="6"/>
  <c r="AG1035" i="6"/>
  <c r="AH1035" i="6" s="1"/>
  <c r="AF1035" i="6"/>
  <c r="AE1035" i="6"/>
  <c r="AG1034" i="6"/>
  <c r="AH1034" i="6" s="1"/>
  <c r="AF1034" i="6"/>
  <c r="AE1034" i="6"/>
  <c r="AG1033" i="6"/>
  <c r="AH1033" i="6" s="1"/>
  <c r="AF1033" i="6"/>
  <c r="AE1033" i="6"/>
  <c r="AG1032" i="6"/>
  <c r="AH1032" i="6" s="1"/>
  <c r="AF1032" i="6"/>
  <c r="AE1032" i="6"/>
  <c r="AG1031" i="6"/>
  <c r="AH1031" i="6" s="1"/>
  <c r="AF1031" i="6"/>
  <c r="AE1031" i="6"/>
  <c r="AG1030" i="6"/>
  <c r="AH1030" i="6" s="1"/>
  <c r="AF1030" i="6"/>
  <c r="AE1030" i="6"/>
  <c r="AG1029" i="6"/>
  <c r="AH1029" i="6" s="1"/>
  <c r="AF1029" i="6"/>
  <c r="AE1029" i="6"/>
  <c r="AG1028" i="6"/>
  <c r="AH1028" i="6" s="1"/>
  <c r="AF1028" i="6"/>
  <c r="AE1028" i="6"/>
  <c r="AG1027" i="6"/>
  <c r="AH1027" i="6" s="1"/>
  <c r="AF1027" i="6"/>
  <c r="AE1027" i="6"/>
  <c r="AG1026" i="6"/>
  <c r="AH1026" i="6" s="1"/>
  <c r="AF1026" i="6"/>
  <c r="AE1026" i="6"/>
  <c r="AG1025" i="6"/>
  <c r="AH1025" i="6" s="1"/>
  <c r="AF1025" i="6"/>
  <c r="AE1025" i="6"/>
  <c r="AG1024" i="6"/>
  <c r="AH1024" i="6" s="1"/>
  <c r="AF1024" i="6"/>
  <c r="AE1024" i="6"/>
  <c r="AG1023" i="6"/>
  <c r="AH1023" i="6" s="1"/>
  <c r="AF1023" i="6"/>
  <c r="AE1023" i="6"/>
  <c r="AG1022" i="6"/>
  <c r="AH1022" i="6" s="1"/>
  <c r="AF1022" i="6"/>
  <c r="AE1022" i="6"/>
  <c r="AG1021" i="6"/>
  <c r="AH1021" i="6" s="1"/>
  <c r="AF1021" i="6"/>
  <c r="AE1021" i="6"/>
  <c r="AG1020" i="6"/>
  <c r="AH1020" i="6" s="1"/>
  <c r="AF1020" i="6"/>
  <c r="AE1020" i="6"/>
  <c r="AG1019" i="6"/>
  <c r="AH1019" i="6" s="1"/>
  <c r="AF1019" i="6"/>
  <c r="AE1019" i="6"/>
  <c r="AG1018" i="6"/>
  <c r="AH1018" i="6" s="1"/>
  <c r="AF1018" i="6"/>
  <c r="AE1018" i="6"/>
  <c r="AG1017" i="6"/>
  <c r="AH1017" i="6" s="1"/>
  <c r="AF1017" i="6"/>
  <c r="AE1017" i="6"/>
  <c r="AG1016" i="6"/>
  <c r="AH1016" i="6" s="1"/>
  <c r="AF1016" i="6"/>
  <c r="AE1016" i="6"/>
  <c r="AG1015" i="6"/>
  <c r="AH1015" i="6" s="1"/>
  <c r="AF1015" i="6"/>
  <c r="AE1015" i="6"/>
  <c r="AG1014" i="6"/>
  <c r="AH1014" i="6" s="1"/>
  <c r="AF1014" i="6"/>
  <c r="AE1014" i="6"/>
  <c r="AG1013" i="6"/>
  <c r="AH1013" i="6" s="1"/>
  <c r="AF1013" i="6"/>
  <c r="AE1013" i="6"/>
  <c r="AG1012" i="6"/>
  <c r="AH1012" i="6" s="1"/>
  <c r="AF1012" i="6"/>
  <c r="AE1012" i="6"/>
  <c r="AG1011" i="6"/>
  <c r="AH1011" i="6" s="1"/>
  <c r="AF1011" i="6"/>
  <c r="AE1011" i="6"/>
  <c r="AG1010" i="6"/>
  <c r="AH1010" i="6" s="1"/>
  <c r="AF1010" i="6"/>
  <c r="AE1010" i="6"/>
  <c r="AG1009" i="6"/>
  <c r="AH1009" i="6" s="1"/>
  <c r="AF1009" i="6"/>
  <c r="AE1009" i="6"/>
  <c r="AG1008" i="6"/>
  <c r="AH1008" i="6" s="1"/>
  <c r="AF1008" i="6"/>
  <c r="AE1008" i="6"/>
  <c r="AG1007" i="6"/>
  <c r="AH1007" i="6" s="1"/>
  <c r="AF1007" i="6"/>
  <c r="AE1007" i="6"/>
  <c r="AG1006" i="6"/>
  <c r="AH1006" i="6" s="1"/>
  <c r="AF1006" i="6"/>
  <c r="AE1006" i="6"/>
  <c r="AG1005" i="6"/>
  <c r="AH1005" i="6" s="1"/>
  <c r="AF1005" i="6"/>
  <c r="AE1005" i="6"/>
  <c r="AG1004" i="6"/>
  <c r="AH1004" i="6" s="1"/>
  <c r="AF1004" i="6"/>
  <c r="AE1004" i="6"/>
  <c r="AG1003" i="6"/>
  <c r="AH1003" i="6" s="1"/>
  <c r="AF1003" i="6"/>
  <c r="AE1003" i="6"/>
  <c r="AG1002" i="6"/>
  <c r="AH1002" i="6" s="1"/>
  <c r="AF1002" i="6"/>
  <c r="AE1002" i="6"/>
  <c r="AG1001" i="6"/>
  <c r="AH1001" i="6" s="1"/>
  <c r="AF1001" i="6"/>
  <c r="AE1001" i="6"/>
  <c r="AG1000" i="6"/>
  <c r="AH1000" i="6" s="1"/>
  <c r="AF1000" i="6"/>
  <c r="AE1000" i="6"/>
  <c r="AG999" i="6"/>
  <c r="AH999" i="6" s="1"/>
  <c r="AF999" i="6"/>
  <c r="AE999" i="6"/>
  <c r="AG998" i="6"/>
  <c r="AH998" i="6" s="1"/>
  <c r="AF998" i="6"/>
  <c r="AE998" i="6"/>
  <c r="AG997" i="6"/>
  <c r="AH997" i="6" s="1"/>
  <c r="AF997" i="6"/>
  <c r="AE997" i="6"/>
  <c r="AG996" i="6"/>
  <c r="AH996" i="6" s="1"/>
  <c r="AF996" i="6"/>
  <c r="AE996" i="6"/>
  <c r="AG995" i="6"/>
  <c r="AH995" i="6" s="1"/>
  <c r="AF995" i="6"/>
  <c r="AE995" i="6"/>
  <c r="AG994" i="6"/>
  <c r="AH994" i="6" s="1"/>
  <c r="AF994" i="6"/>
  <c r="AE994" i="6"/>
  <c r="AG993" i="6"/>
  <c r="AH993" i="6" s="1"/>
  <c r="AF993" i="6"/>
  <c r="AE993" i="6"/>
  <c r="AG992" i="6"/>
  <c r="AH992" i="6" s="1"/>
  <c r="AF992" i="6"/>
  <c r="AE992" i="6"/>
  <c r="AG991" i="6"/>
  <c r="AH991" i="6" s="1"/>
  <c r="AF991" i="6"/>
  <c r="AE991" i="6"/>
  <c r="AG990" i="6"/>
  <c r="AH990" i="6" s="1"/>
  <c r="AF990" i="6"/>
  <c r="AE990" i="6"/>
  <c r="AG989" i="6"/>
  <c r="AH989" i="6" s="1"/>
  <c r="AF989" i="6"/>
  <c r="AE989" i="6"/>
  <c r="AG988" i="6"/>
  <c r="AH988" i="6" s="1"/>
  <c r="AF988" i="6"/>
  <c r="AE988" i="6"/>
  <c r="AG987" i="6"/>
  <c r="AH987" i="6" s="1"/>
  <c r="AF987" i="6"/>
  <c r="AE987" i="6"/>
  <c r="AG986" i="6"/>
  <c r="AH986" i="6" s="1"/>
  <c r="AF986" i="6"/>
  <c r="AE986" i="6"/>
  <c r="AG985" i="6"/>
  <c r="AH985" i="6" s="1"/>
  <c r="AF985" i="6"/>
  <c r="AE985" i="6"/>
  <c r="AG984" i="6"/>
  <c r="AH984" i="6" s="1"/>
  <c r="AF984" i="6"/>
  <c r="AE984" i="6"/>
  <c r="AG983" i="6"/>
  <c r="AH983" i="6" s="1"/>
  <c r="AF983" i="6"/>
  <c r="AE983" i="6"/>
  <c r="AG982" i="6"/>
  <c r="AH982" i="6" s="1"/>
  <c r="AF982" i="6"/>
  <c r="AE982" i="6"/>
  <c r="AG981" i="6"/>
  <c r="AH981" i="6" s="1"/>
  <c r="AF981" i="6"/>
  <c r="AE981" i="6"/>
  <c r="AG980" i="6"/>
  <c r="AH980" i="6" s="1"/>
  <c r="AF980" i="6"/>
  <c r="AE980" i="6"/>
  <c r="AG979" i="6"/>
  <c r="AH979" i="6" s="1"/>
  <c r="AF979" i="6"/>
  <c r="AE979" i="6"/>
  <c r="AG978" i="6"/>
  <c r="AH978" i="6" s="1"/>
  <c r="AF978" i="6"/>
  <c r="AE978" i="6"/>
  <c r="AG977" i="6"/>
  <c r="AH977" i="6" s="1"/>
  <c r="AF977" i="6"/>
  <c r="AE977" i="6"/>
  <c r="AG976" i="6"/>
  <c r="AH976" i="6" s="1"/>
  <c r="AF976" i="6"/>
  <c r="AE976" i="6"/>
  <c r="AG975" i="6"/>
  <c r="AH975" i="6" s="1"/>
  <c r="AF975" i="6"/>
  <c r="AE975" i="6"/>
  <c r="AG974" i="6"/>
  <c r="AH974" i="6" s="1"/>
  <c r="AF974" i="6"/>
  <c r="AE974" i="6"/>
  <c r="AG973" i="6"/>
  <c r="AH973" i="6" s="1"/>
  <c r="AF973" i="6"/>
  <c r="AE973" i="6"/>
  <c r="AG972" i="6"/>
  <c r="AH972" i="6" s="1"/>
  <c r="AF972" i="6"/>
  <c r="AE972" i="6"/>
  <c r="AG971" i="6"/>
  <c r="AH971" i="6" s="1"/>
  <c r="AF971" i="6"/>
  <c r="AE971" i="6"/>
  <c r="AG970" i="6"/>
  <c r="AH970" i="6" s="1"/>
  <c r="AF970" i="6"/>
  <c r="AE970" i="6"/>
  <c r="AG969" i="6"/>
  <c r="AH969" i="6" s="1"/>
  <c r="AF969" i="6"/>
  <c r="AE969" i="6"/>
  <c r="AG968" i="6"/>
  <c r="AH968" i="6" s="1"/>
  <c r="AF968" i="6"/>
  <c r="AE968" i="6"/>
  <c r="AG967" i="6"/>
  <c r="AH967" i="6" s="1"/>
  <c r="AF967" i="6"/>
  <c r="AE967" i="6"/>
  <c r="AG966" i="6"/>
  <c r="AH966" i="6" s="1"/>
  <c r="AF966" i="6"/>
  <c r="AE966" i="6"/>
  <c r="AG965" i="6"/>
  <c r="AH965" i="6" s="1"/>
  <c r="AF965" i="6"/>
  <c r="AE965" i="6"/>
  <c r="AG964" i="6"/>
  <c r="AH964" i="6" s="1"/>
  <c r="AF964" i="6"/>
  <c r="AE964" i="6"/>
  <c r="AG963" i="6"/>
  <c r="AH963" i="6" s="1"/>
  <c r="AF963" i="6"/>
  <c r="AE963" i="6"/>
  <c r="AG962" i="6"/>
  <c r="AH962" i="6" s="1"/>
  <c r="AF962" i="6"/>
  <c r="AE962" i="6"/>
  <c r="AG961" i="6"/>
  <c r="AH961" i="6" s="1"/>
  <c r="AF961" i="6"/>
  <c r="AE961" i="6"/>
  <c r="AG960" i="6"/>
  <c r="AH960" i="6" s="1"/>
  <c r="AF960" i="6"/>
  <c r="AE960" i="6"/>
  <c r="AG959" i="6"/>
  <c r="AH959" i="6" s="1"/>
  <c r="AF959" i="6"/>
  <c r="AE959" i="6"/>
  <c r="AG958" i="6"/>
  <c r="AH958" i="6" s="1"/>
  <c r="AF958" i="6"/>
  <c r="AE958" i="6"/>
  <c r="AG957" i="6"/>
  <c r="AH957" i="6" s="1"/>
  <c r="AF957" i="6"/>
  <c r="AE957" i="6"/>
  <c r="AG956" i="6"/>
  <c r="AH956" i="6" s="1"/>
  <c r="AF956" i="6"/>
  <c r="AE956" i="6"/>
  <c r="AG955" i="6"/>
  <c r="AH955" i="6" s="1"/>
  <c r="AF955" i="6"/>
  <c r="AE955" i="6"/>
  <c r="AG954" i="6"/>
  <c r="AH954" i="6" s="1"/>
  <c r="AF954" i="6"/>
  <c r="AE954" i="6"/>
  <c r="AG953" i="6"/>
  <c r="AH953" i="6" s="1"/>
  <c r="AF953" i="6"/>
  <c r="AE953" i="6"/>
  <c r="AG952" i="6"/>
  <c r="AH952" i="6" s="1"/>
  <c r="AF952" i="6"/>
  <c r="AE952" i="6"/>
  <c r="AG951" i="6"/>
  <c r="AH951" i="6" s="1"/>
  <c r="AF951" i="6"/>
  <c r="AE951" i="6"/>
  <c r="AG950" i="6"/>
  <c r="AH950" i="6" s="1"/>
  <c r="AF950" i="6"/>
  <c r="AE950" i="6"/>
  <c r="AG949" i="6"/>
  <c r="AH949" i="6" s="1"/>
  <c r="AF949" i="6"/>
  <c r="AE949" i="6"/>
  <c r="AG948" i="6"/>
  <c r="AH948" i="6" s="1"/>
  <c r="AF948" i="6"/>
  <c r="AE948" i="6"/>
  <c r="AG947" i="6"/>
  <c r="AH947" i="6" s="1"/>
  <c r="AF947" i="6"/>
  <c r="AE947" i="6"/>
  <c r="AG946" i="6"/>
  <c r="AH946" i="6" s="1"/>
  <c r="AF946" i="6"/>
  <c r="AE946" i="6"/>
  <c r="AG945" i="6"/>
  <c r="AH945" i="6" s="1"/>
  <c r="AF945" i="6"/>
  <c r="AE945" i="6"/>
  <c r="AG944" i="6"/>
  <c r="AH944" i="6" s="1"/>
  <c r="AF944" i="6"/>
  <c r="AE944" i="6"/>
  <c r="AG943" i="6"/>
  <c r="AH943" i="6" s="1"/>
  <c r="AF943" i="6"/>
  <c r="AE943" i="6"/>
  <c r="AG942" i="6"/>
  <c r="AH942" i="6" s="1"/>
  <c r="AF942" i="6"/>
  <c r="AE942" i="6"/>
  <c r="AG941" i="6"/>
  <c r="AH941" i="6" s="1"/>
  <c r="AF941" i="6"/>
  <c r="AE941" i="6"/>
  <c r="AG940" i="6"/>
  <c r="AH940" i="6" s="1"/>
  <c r="AF940" i="6"/>
  <c r="AE940" i="6"/>
  <c r="AG939" i="6"/>
  <c r="AH939" i="6" s="1"/>
  <c r="AF939" i="6"/>
  <c r="AE939" i="6"/>
  <c r="AG938" i="6"/>
  <c r="AH938" i="6" s="1"/>
  <c r="AF938" i="6"/>
  <c r="AE938" i="6"/>
  <c r="AG937" i="6"/>
  <c r="AH937" i="6" s="1"/>
  <c r="AF937" i="6"/>
  <c r="AE937" i="6"/>
  <c r="AG936" i="6"/>
  <c r="AH936" i="6" s="1"/>
  <c r="AF936" i="6"/>
  <c r="AE936" i="6"/>
  <c r="AG935" i="6"/>
  <c r="AH935" i="6" s="1"/>
  <c r="AF935" i="6"/>
  <c r="AE935" i="6"/>
  <c r="AG934" i="6"/>
  <c r="AH934" i="6" s="1"/>
  <c r="AF934" i="6"/>
  <c r="AE934" i="6"/>
  <c r="AG933" i="6"/>
  <c r="AH933" i="6" s="1"/>
  <c r="AF933" i="6"/>
  <c r="AE933" i="6"/>
  <c r="AG932" i="6"/>
  <c r="AH932" i="6" s="1"/>
  <c r="AF932" i="6"/>
  <c r="AE932" i="6"/>
  <c r="AG931" i="6"/>
  <c r="AH931" i="6" s="1"/>
  <c r="AF931" i="6"/>
  <c r="AE931" i="6"/>
  <c r="AG930" i="6"/>
  <c r="AH930" i="6" s="1"/>
  <c r="AF930" i="6"/>
  <c r="AE930" i="6"/>
  <c r="AG929" i="6"/>
  <c r="AH929" i="6" s="1"/>
  <c r="AF929" i="6"/>
  <c r="AE929" i="6"/>
  <c r="AG928" i="6"/>
  <c r="AH928" i="6" s="1"/>
  <c r="AF928" i="6"/>
  <c r="AE928" i="6"/>
  <c r="AG927" i="6"/>
  <c r="AH927" i="6" s="1"/>
  <c r="AF927" i="6"/>
  <c r="AE927" i="6"/>
  <c r="AG926" i="6"/>
  <c r="AH926" i="6" s="1"/>
  <c r="AF926" i="6"/>
  <c r="AE926" i="6"/>
  <c r="AG925" i="6"/>
  <c r="AH925" i="6" s="1"/>
  <c r="AF925" i="6"/>
  <c r="AE925" i="6"/>
  <c r="AG924" i="6"/>
  <c r="AH924" i="6" s="1"/>
  <c r="AF924" i="6"/>
  <c r="AE924" i="6"/>
  <c r="AG923" i="6"/>
  <c r="AH923" i="6" s="1"/>
  <c r="AF923" i="6"/>
  <c r="AE923" i="6"/>
  <c r="AG922" i="6"/>
  <c r="AH922" i="6" s="1"/>
  <c r="AF922" i="6"/>
  <c r="AE922" i="6"/>
  <c r="AG921" i="6"/>
  <c r="AH921" i="6" s="1"/>
  <c r="AF921" i="6"/>
  <c r="AE921" i="6"/>
  <c r="AG920" i="6"/>
  <c r="AH920" i="6" s="1"/>
  <c r="AF920" i="6"/>
  <c r="AE920" i="6"/>
  <c r="AG919" i="6"/>
  <c r="AH919" i="6" s="1"/>
  <c r="AF919" i="6"/>
  <c r="AE919" i="6"/>
  <c r="AG918" i="6"/>
  <c r="AH918" i="6" s="1"/>
  <c r="AF918" i="6"/>
  <c r="AE918" i="6"/>
  <c r="AG917" i="6"/>
  <c r="AH917" i="6" s="1"/>
  <c r="AF917" i="6"/>
  <c r="AE917" i="6"/>
  <c r="AG916" i="6"/>
  <c r="AH916" i="6" s="1"/>
  <c r="AF916" i="6"/>
  <c r="AE916" i="6"/>
  <c r="AG915" i="6"/>
  <c r="AH915" i="6" s="1"/>
  <c r="AF915" i="6"/>
  <c r="AE915" i="6"/>
  <c r="AG914" i="6"/>
  <c r="AH914" i="6" s="1"/>
  <c r="AF914" i="6"/>
  <c r="AE914" i="6"/>
  <c r="AG913" i="6"/>
  <c r="AH913" i="6" s="1"/>
  <c r="AF913" i="6"/>
  <c r="AE913" i="6"/>
  <c r="AG912" i="6"/>
  <c r="AH912" i="6" s="1"/>
  <c r="AF912" i="6"/>
  <c r="AE912" i="6"/>
  <c r="AG911" i="6"/>
  <c r="AH911" i="6" s="1"/>
  <c r="AF911" i="6"/>
  <c r="AE911" i="6"/>
  <c r="AG910" i="6"/>
  <c r="AH910" i="6" s="1"/>
  <c r="AF910" i="6"/>
  <c r="AE910" i="6"/>
  <c r="AG909" i="6"/>
  <c r="AH909" i="6" s="1"/>
  <c r="AF909" i="6"/>
  <c r="AE909" i="6"/>
  <c r="AG908" i="6"/>
  <c r="AH908" i="6" s="1"/>
  <c r="AF908" i="6"/>
  <c r="AE908" i="6"/>
  <c r="AG907" i="6"/>
  <c r="AH907" i="6" s="1"/>
  <c r="AF907" i="6"/>
  <c r="AE907" i="6"/>
  <c r="AG906" i="6"/>
  <c r="AH906" i="6" s="1"/>
  <c r="AF906" i="6"/>
  <c r="AE906" i="6"/>
  <c r="AG905" i="6"/>
  <c r="AH905" i="6" s="1"/>
  <c r="AF905" i="6"/>
  <c r="AE905" i="6"/>
  <c r="AG904" i="6"/>
  <c r="AH904" i="6" s="1"/>
  <c r="AF904" i="6"/>
  <c r="AE904" i="6"/>
  <c r="AG903" i="6"/>
  <c r="AH903" i="6" s="1"/>
  <c r="AF903" i="6"/>
  <c r="AE903" i="6"/>
  <c r="AG902" i="6"/>
  <c r="AH902" i="6" s="1"/>
  <c r="AF902" i="6"/>
  <c r="AE902" i="6"/>
  <c r="AG901" i="6"/>
  <c r="AH901" i="6" s="1"/>
  <c r="AF901" i="6"/>
  <c r="AE901" i="6"/>
  <c r="AG900" i="6"/>
  <c r="AH900" i="6" s="1"/>
  <c r="AF900" i="6"/>
  <c r="AE900" i="6"/>
  <c r="AG899" i="6"/>
  <c r="AH899" i="6" s="1"/>
  <c r="AF899" i="6"/>
  <c r="AE899" i="6"/>
  <c r="AG898" i="6"/>
  <c r="AH898" i="6" s="1"/>
  <c r="AF898" i="6"/>
  <c r="AE898" i="6"/>
  <c r="AG897" i="6"/>
  <c r="AH897" i="6" s="1"/>
  <c r="AF897" i="6"/>
  <c r="AE897" i="6"/>
  <c r="AG896" i="6"/>
  <c r="AH896" i="6" s="1"/>
  <c r="AF896" i="6"/>
  <c r="AE896" i="6"/>
  <c r="AG895" i="6"/>
  <c r="AH895" i="6" s="1"/>
  <c r="AF895" i="6"/>
  <c r="AE895" i="6"/>
  <c r="AG894" i="6"/>
  <c r="AH894" i="6" s="1"/>
  <c r="AF894" i="6"/>
  <c r="AE894" i="6"/>
  <c r="AG893" i="6"/>
  <c r="AH893" i="6" s="1"/>
  <c r="AF893" i="6"/>
  <c r="AE893" i="6"/>
  <c r="AG892" i="6"/>
  <c r="AH892" i="6" s="1"/>
  <c r="AF892" i="6"/>
  <c r="AE892" i="6"/>
  <c r="AG891" i="6"/>
  <c r="AH891" i="6" s="1"/>
  <c r="AF891" i="6"/>
  <c r="AE891" i="6"/>
  <c r="AG890" i="6"/>
  <c r="AH890" i="6" s="1"/>
  <c r="AF890" i="6"/>
  <c r="AE890" i="6"/>
  <c r="AG889" i="6"/>
  <c r="AH889" i="6" s="1"/>
  <c r="AF889" i="6"/>
  <c r="AE889" i="6"/>
  <c r="AG888" i="6"/>
  <c r="AH888" i="6" s="1"/>
  <c r="AF888" i="6"/>
  <c r="AE888" i="6"/>
  <c r="AG887" i="6"/>
  <c r="AH887" i="6" s="1"/>
  <c r="AF887" i="6"/>
  <c r="AE887" i="6"/>
  <c r="AG886" i="6"/>
  <c r="AH886" i="6" s="1"/>
  <c r="AF886" i="6"/>
  <c r="AE886" i="6"/>
  <c r="AG885" i="6"/>
  <c r="AH885" i="6" s="1"/>
  <c r="AF885" i="6"/>
  <c r="AE885" i="6"/>
  <c r="AG884" i="6"/>
  <c r="AH884" i="6" s="1"/>
  <c r="AF884" i="6"/>
  <c r="AE884" i="6"/>
  <c r="AG883" i="6"/>
  <c r="AH883" i="6" s="1"/>
  <c r="AF883" i="6"/>
  <c r="AE883" i="6"/>
  <c r="AG882" i="6"/>
  <c r="AH882" i="6" s="1"/>
  <c r="AF882" i="6"/>
  <c r="AE882" i="6"/>
  <c r="AG881" i="6"/>
  <c r="AH881" i="6" s="1"/>
  <c r="AF881" i="6"/>
  <c r="AE881" i="6"/>
  <c r="AG880" i="6"/>
  <c r="AH880" i="6" s="1"/>
  <c r="AF880" i="6"/>
  <c r="AE880" i="6"/>
  <c r="AG879" i="6"/>
  <c r="AH879" i="6" s="1"/>
  <c r="AF879" i="6"/>
  <c r="AE879" i="6"/>
  <c r="AG878" i="6"/>
  <c r="AH878" i="6" s="1"/>
  <c r="AF878" i="6"/>
  <c r="AE878" i="6"/>
  <c r="AG877" i="6"/>
  <c r="AH877" i="6" s="1"/>
  <c r="AF877" i="6"/>
  <c r="AE877" i="6"/>
  <c r="AG876" i="6"/>
  <c r="AH876" i="6" s="1"/>
  <c r="AF876" i="6"/>
  <c r="AE876" i="6"/>
  <c r="AG875" i="6"/>
  <c r="AH875" i="6" s="1"/>
  <c r="AF875" i="6"/>
  <c r="AE875" i="6"/>
  <c r="AG874" i="6"/>
  <c r="AH874" i="6" s="1"/>
  <c r="AF874" i="6"/>
  <c r="AE874" i="6"/>
  <c r="AG873" i="6"/>
  <c r="AH873" i="6" s="1"/>
  <c r="AF873" i="6"/>
  <c r="AE873" i="6"/>
  <c r="AG872" i="6"/>
  <c r="AH872" i="6" s="1"/>
  <c r="AF872" i="6"/>
  <c r="AE872" i="6"/>
  <c r="AG871" i="6"/>
  <c r="AH871" i="6" s="1"/>
  <c r="AF871" i="6"/>
  <c r="AE871" i="6"/>
  <c r="AG870" i="6"/>
  <c r="AH870" i="6" s="1"/>
  <c r="AF870" i="6"/>
  <c r="AE870" i="6"/>
  <c r="AG869" i="6"/>
  <c r="AH869" i="6" s="1"/>
  <c r="AF869" i="6"/>
  <c r="AE869" i="6"/>
  <c r="AG868" i="6"/>
  <c r="AH868" i="6" s="1"/>
  <c r="AF868" i="6"/>
  <c r="AE868" i="6"/>
  <c r="AG867" i="6"/>
  <c r="AH867" i="6" s="1"/>
  <c r="AF867" i="6"/>
  <c r="AE867" i="6"/>
  <c r="AG866" i="6"/>
  <c r="AH866" i="6" s="1"/>
  <c r="AF866" i="6"/>
  <c r="AE866" i="6"/>
  <c r="AG865" i="6"/>
  <c r="AH865" i="6" s="1"/>
  <c r="AF865" i="6"/>
  <c r="AE865" i="6"/>
  <c r="AG864" i="6"/>
  <c r="AH864" i="6" s="1"/>
  <c r="AF864" i="6"/>
  <c r="AE864" i="6"/>
  <c r="AG863" i="6"/>
  <c r="AH863" i="6" s="1"/>
  <c r="AF863" i="6"/>
  <c r="AE863" i="6"/>
  <c r="AG862" i="6"/>
  <c r="AH862" i="6" s="1"/>
  <c r="AF862" i="6"/>
  <c r="AE862" i="6"/>
  <c r="AG861" i="6"/>
  <c r="AH861" i="6" s="1"/>
  <c r="AF861" i="6"/>
  <c r="AE861" i="6"/>
  <c r="AG860" i="6"/>
  <c r="AH860" i="6" s="1"/>
  <c r="AF860" i="6"/>
  <c r="AE860" i="6"/>
  <c r="AG859" i="6"/>
  <c r="AH859" i="6" s="1"/>
  <c r="AF859" i="6"/>
  <c r="AE859" i="6"/>
  <c r="AG858" i="6"/>
  <c r="AH858" i="6" s="1"/>
  <c r="AF858" i="6"/>
  <c r="AE858" i="6"/>
  <c r="AG857" i="6"/>
  <c r="AH857" i="6" s="1"/>
  <c r="AF857" i="6"/>
  <c r="AE857" i="6"/>
  <c r="AG856" i="6"/>
  <c r="AH856" i="6" s="1"/>
  <c r="AF856" i="6"/>
  <c r="AE856" i="6"/>
  <c r="AG855" i="6"/>
  <c r="AH855" i="6" s="1"/>
  <c r="AF855" i="6"/>
  <c r="AE855" i="6"/>
  <c r="AG854" i="6"/>
  <c r="AH854" i="6" s="1"/>
  <c r="AF854" i="6"/>
  <c r="AE854" i="6"/>
  <c r="AG853" i="6"/>
  <c r="AH853" i="6" s="1"/>
  <c r="AF853" i="6"/>
  <c r="AE853" i="6"/>
  <c r="AG852" i="6"/>
  <c r="AH852" i="6" s="1"/>
  <c r="AF852" i="6"/>
  <c r="AE852" i="6"/>
  <c r="AG851" i="6"/>
  <c r="AH851" i="6" s="1"/>
  <c r="AF851" i="6"/>
  <c r="AE851" i="6"/>
  <c r="AG850" i="6"/>
  <c r="AH850" i="6" s="1"/>
  <c r="AF850" i="6"/>
  <c r="AE850" i="6"/>
  <c r="AG849" i="6"/>
  <c r="AH849" i="6" s="1"/>
  <c r="AF849" i="6"/>
  <c r="AE849" i="6"/>
  <c r="AG848" i="6"/>
  <c r="AH848" i="6" s="1"/>
  <c r="AF848" i="6"/>
  <c r="AE848" i="6"/>
  <c r="AG847" i="6"/>
  <c r="AH847" i="6" s="1"/>
  <c r="AF847" i="6"/>
  <c r="AE847" i="6"/>
  <c r="AG846" i="6"/>
  <c r="AH846" i="6" s="1"/>
  <c r="AF846" i="6"/>
  <c r="AE846" i="6"/>
  <c r="AG845" i="6"/>
  <c r="AH845" i="6" s="1"/>
  <c r="AF845" i="6"/>
  <c r="AE845" i="6"/>
  <c r="AG844" i="6"/>
  <c r="AH844" i="6" s="1"/>
  <c r="AF844" i="6"/>
  <c r="AE844" i="6"/>
  <c r="AG843" i="6"/>
  <c r="AH843" i="6" s="1"/>
  <c r="AF843" i="6"/>
  <c r="AE843" i="6"/>
  <c r="AG842" i="6"/>
  <c r="AH842" i="6" s="1"/>
  <c r="AF842" i="6"/>
  <c r="AE842" i="6"/>
  <c r="AG841" i="6"/>
  <c r="AH841" i="6" s="1"/>
  <c r="AF841" i="6"/>
  <c r="AE841" i="6"/>
  <c r="AG840" i="6"/>
  <c r="AH840" i="6" s="1"/>
  <c r="AF840" i="6"/>
  <c r="AE840" i="6"/>
  <c r="AG839" i="6"/>
  <c r="AH839" i="6" s="1"/>
  <c r="AF839" i="6"/>
  <c r="AE839" i="6"/>
  <c r="AG838" i="6"/>
  <c r="AH838" i="6" s="1"/>
  <c r="AF838" i="6"/>
  <c r="AE838" i="6"/>
  <c r="AG837" i="6"/>
  <c r="AH837" i="6" s="1"/>
  <c r="AF837" i="6"/>
  <c r="AE837" i="6"/>
  <c r="AG836" i="6"/>
  <c r="AH836" i="6" s="1"/>
  <c r="AF836" i="6"/>
  <c r="AE836" i="6"/>
  <c r="AG835" i="6"/>
  <c r="AH835" i="6" s="1"/>
  <c r="AF835" i="6"/>
  <c r="AE835" i="6"/>
  <c r="AG834" i="6"/>
  <c r="AH834" i="6" s="1"/>
  <c r="AF834" i="6"/>
  <c r="AE834" i="6"/>
  <c r="AG833" i="6"/>
  <c r="AH833" i="6" s="1"/>
  <c r="AF833" i="6"/>
  <c r="AE833" i="6"/>
  <c r="AG832" i="6"/>
  <c r="AH832" i="6" s="1"/>
  <c r="AF832" i="6"/>
  <c r="AE832" i="6"/>
  <c r="AG831" i="6"/>
  <c r="AH831" i="6" s="1"/>
  <c r="AF831" i="6"/>
  <c r="AE831" i="6"/>
  <c r="AG830" i="6"/>
  <c r="AH830" i="6" s="1"/>
  <c r="AF830" i="6"/>
  <c r="AE830" i="6"/>
  <c r="AG829" i="6"/>
  <c r="AH829" i="6" s="1"/>
  <c r="AF829" i="6"/>
  <c r="AE829" i="6"/>
  <c r="AG828" i="6"/>
  <c r="AH828" i="6" s="1"/>
  <c r="AF828" i="6"/>
  <c r="AE828" i="6"/>
  <c r="AG827" i="6"/>
  <c r="AH827" i="6" s="1"/>
  <c r="AF827" i="6"/>
  <c r="AE827" i="6"/>
  <c r="AG826" i="6"/>
  <c r="AH826" i="6" s="1"/>
  <c r="AF826" i="6"/>
  <c r="AE826" i="6"/>
  <c r="AG825" i="6"/>
  <c r="AH825" i="6" s="1"/>
  <c r="AF825" i="6"/>
  <c r="AE825" i="6"/>
  <c r="AG824" i="6"/>
  <c r="AH824" i="6" s="1"/>
  <c r="AF824" i="6"/>
  <c r="AE824" i="6"/>
  <c r="AG823" i="6"/>
  <c r="AH823" i="6" s="1"/>
  <c r="AF823" i="6"/>
  <c r="AE823" i="6"/>
  <c r="AG822" i="6"/>
  <c r="AH822" i="6" s="1"/>
  <c r="AF822" i="6"/>
  <c r="AE822" i="6"/>
  <c r="AG821" i="6"/>
  <c r="AH821" i="6" s="1"/>
  <c r="AF821" i="6"/>
  <c r="AE821" i="6"/>
  <c r="AG820" i="6"/>
  <c r="AH820" i="6" s="1"/>
  <c r="AF820" i="6"/>
  <c r="AE820" i="6"/>
  <c r="AG819" i="6"/>
  <c r="AH819" i="6" s="1"/>
  <c r="AF819" i="6"/>
  <c r="AE819" i="6"/>
  <c r="AG818" i="6"/>
  <c r="AH818" i="6" s="1"/>
  <c r="AF818" i="6"/>
  <c r="AE818" i="6"/>
  <c r="AG817" i="6"/>
  <c r="AH817" i="6" s="1"/>
  <c r="AF817" i="6"/>
  <c r="AE817" i="6"/>
  <c r="AG816" i="6"/>
  <c r="AH816" i="6" s="1"/>
  <c r="AF816" i="6"/>
  <c r="AE816" i="6"/>
  <c r="AG815" i="6"/>
  <c r="AH815" i="6" s="1"/>
  <c r="AF815" i="6"/>
  <c r="AE815" i="6"/>
  <c r="AG814" i="6"/>
  <c r="AH814" i="6" s="1"/>
  <c r="AF814" i="6"/>
  <c r="AE814" i="6"/>
  <c r="AG813" i="6"/>
  <c r="AH813" i="6" s="1"/>
  <c r="AF813" i="6"/>
  <c r="AE813" i="6"/>
  <c r="AG812" i="6"/>
  <c r="AH812" i="6" s="1"/>
  <c r="AF812" i="6"/>
  <c r="AE812" i="6"/>
  <c r="AG811" i="6"/>
  <c r="AH811" i="6" s="1"/>
  <c r="AF811" i="6"/>
  <c r="AE811" i="6"/>
  <c r="AG810" i="6"/>
  <c r="AH810" i="6" s="1"/>
  <c r="AF810" i="6"/>
  <c r="AE810" i="6"/>
  <c r="AG809" i="6"/>
  <c r="AH809" i="6" s="1"/>
  <c r="AF809" i="6"/>
  <c r="AE809" i="6"/>
  <c r="AG808" i="6"/>
  <c r="AH808" i="6" s="1"/>
  <c r="AF808" i="6"/>
  <c r="AE808" i="6"/>
  <c r="AG807" i="6"/>
  <c r="AH807" i="6" s="1"/>
  <c r="AF807" i="6"/>
  <c r="AE807" i="6"/>
  <c r="AG806" i="6"/>
  <c r="AH806" i="6" s="1"/>
  <c r="AF806" i="6"/>
  <c r="AE806" i="6"/>
  <c r="AG805" i="6"/>
  <c r="AH805" i="6" s="1"/>
  <c r="AF805" i="6"/>
  <c r="AE805" i="6"/>
  <c r="AG804" i="6"/>
  <c r="AH804" i="6" s="1"/>
  <c r="AF804" i="6"/>
  <c r="AE804" i="6"/>
  <c r="AG803" i="6"/>
  <c r="AH803" i="6" s="1"/>
  <c r="AF803" i="6"/>
  <c r="AE803" i="6"/>
  <c r="AG802" i="6"/>
  <c r="AH802" i="6" s="1"/>
  <c r="AF802" i="6"/>
  <c r="AE802" i="6"/>
  <c r="AG801" i="6"/>
  <c r="AH801" i="6" s="1"/>
  <c r="AF801" i="6"/>
  <c r="AE801" i="6"/>
  <c r="AG800" i="6"/>
  <c r="AH800" i="6" s="1"/>
  <c r="AF800" i="6"/>
  <c r="AE800" i="6"/>
  <c r="AG799" i="6"/>
  <c r="AH799" i="6" s="1"/>
  <c r="AF799" i="6"/>
  <c r="AE799" i="6"/>
  <c r="AG798" i="6"/>
  <c r="AH798" i="6" s="1"/>
  <c r="AF798" i="6"/>
  <c r="AE798" i="6"/>
  <c r="AG797" i="6"/>
  <c r="AH797" i="6" s="1"/>
  <c r="AF797" i="6"/>
  <c r="AE797" i="6"/>
  <c r="AG796" i="6"/>
  <c r="AH796" i="6" s="1"/>
  <c r="AF796" i="6"/>
  <c r="AE796" i="6"/>
  <c r="AG795" i="6"/>
  <c r="AH795" i="6" s="1"/>
  <c r="AF795" i="6"/>
  <c r="AE795" i="6"/>
  <c r="AG794" i="6"/>
  <c r="AH794" i="6" s="1"/>
  <c r="AF794" i="6"/>
  <c r="AE794" i="6"/>
  <c r="AG793" i="6"/>
  <c r="AH793" i="6" s="1"/>
  <c r="AF793" i="6"/>
  <c r="AE793" i="6"/>
  <c r="AG792" i="6"/>
  <c r="AH792" i="6" s="1"/>
  <c r="AF792" i="6"/>
  <c r="AE792" i="6"/>
  <c r="AG791" i="6"/>
  <c r="AH791" i="6" s="1"/>
  <c r="AF791" i="6"/>
  <c r="AE791" i="6"/>
  <c r="AG790" i="6"/>
  <c r="AH790" i="6" s="1"/>
  <c r="AF790" i="6"/>
  <c r="AE790" i="6"/>
  <c r="AG789" i="6"/>
  <c r="AH789" i="6" s="1"/>
  <c r="AF789" i="6"/>
  <c r="AE789" i="6"/>
  <c r="AG788" i="6"/>
  <c r="AH788" i="6" s="1"/>
  <c r="AF788" i="6"/>
  <c r="AE788" i="6"/>
  <c r="AG787" i="6"/>
  <c r="AH787" i="6" s="1"/>
  <c r="AF787" i="6"/>
  <c r="AE787" i="6"/>
  <c r="AG786" i="6"/>
  <c r="AH786" i="6" s="1"/>
  <c r="AF786" i="6"/>
  <c r="AE786" i="6"/>
  <c r="AG785" i="6"/>
  <c r="AH785" i="6" s="1"/>
  <c r="AF785" i="6"/>
  <c r="AE785" i="6"/>
  <c r="AG784" i="6"/>
  <c r="AH784" i="6" s="1"/>
  <c r="AF784" i="6"/>
  <c r="AE784" i="6"/>
  <c r="AG783" i="6"/>
  <c r="AH783" i="6" s="1"/>
  <c r="AF783" i="6"/>
  <c r="AE783" i="6"/>
  <c r="AG782" i="6"/>
  <c r="AH782" i="6" s="1"/>
  <c r="AF782" i="6"/>
  <c r="AE782" i="6"/>
  <c r="AG781" i="6"/>
  <c r="AH781" i="6" s="1"/>
  <c r="AF781" i="6"/>
  <c r="AE781" i="6"/>
  <c r="AG780" i="6"/>
  <c r="AH780" i="6" s="1"/>
  <c r="AF780" i="6"/>
  <c r="AE780" i="6"/>
  <c r="AG779" i="6"/>
  <c r="AH779" i="6" s="1"/>
  <c r="AF779" i="6"/>
  <c r="AE779" i="6"/>
  <c r="AG778" i="6"/>
  <c r="AH778" i="6" s="1"/>
  <c r="AF778" i="6"/>
  <c r="AE778" i="6"/>
  <c r="AG777" i="6"/>
  <c r="AH777" i="6" s="1"/>
  <c r="AF777" i="6"/>
  <c r="AE777" i="6"/>
  <c r="AG776" i="6"/>
  <c r="AH776" i="6" s="1"/>
  <c r="AF776" i="6"/>
  <c r="AE776" i="6"/>
  <c r="AG775" i="6"/>
  <c r="AH775" i="6" s="1"/>
  <c r="AF775" i="6"/>
  <c r="AE775" i="6"/>
  <c r="AG774" i="6"/>
  <c r="AH774" i="6" s="1"/>
  <c r="AF774" i="6"/>
  <c r="AE774" i="6"/>
  <c r="AG773" i="6"/>
  <c r="AH773" i="6" s="1"/>
  <c r="AF773" i="6"/>
  <c r="AE773" i="6"/>
  <c r="AG772" i="6"/>
  <c r="AH772" i="6" s="1"/>
  <c r="AF772" i="6"/>
  <c r="AE772" i="6"/>
  <c r="AG771" i="6"/>
  <c r="AH771" i="6" s="1"/>
  <c r="AF771" i="6"/>
  <c r="AE771" i="6"/>
  <c r="AG770" i="6"/>
  <c r="AH770" i="6" s="1"/>
  <c r="AF770" i="6"/>
  <c r="AE770" i="6"/>
  <c r="AG769" i="6"/>
  <c r="AH769" i="6" s="1"/>
  <c r="AF769" i="6"/>
  <c r="AE769" i="6"/>
  <c r="AG768" i="6"/>
  <c r="AH768" i="6" s="1"/>
  <c r="AF768" i="6"/>
  <c r="AE768" i="6"/>
  <c r="AG767" i="6"/>
  <c r="AH767" i="6" s="1"/>
  <c r="AF767" i="6"/>
  <c r="AE767" i="6"/>
  <c r="AG766" i="6"/>
  <c r="AH766" i="6" s="1"/>
  <c r="AF766" i="6"/>
  <c r="AE766" i="6"/>
  <c r="AG765" i="6"/>
  <c r="AH765" i="6" s="1"/>
  <c r="AF765" i="6"/>
  <c r="AE765" i="6"/>
  <c r="AG764" i="6"/>
  <c r="AH764" i="6" s="1"/>
  <c r="AF764" i="6"/>
  <c r="AE764" i="6"/>
  <c r="AG763" i="6"/>
  <c r="AH763" i="6" s="1"/>
  <c r="AF763" i="6"/>
  <c r="AE763" i="6"/>
  <c r="AG762" i="6"/>
  <c r="AH762" i="6" s="1"/>
  <c r="AF762" i="6"/>
  <c r="AE762" i="6"/>
  <c r="AG761" i="6"/>
  <c r="AH761" i="6" s="1"/>
  <c r="AF761" i="6"/>
  <c r="AE761" i="6"/>
  <c r="AG760" i="6"/>
  <c r="AH760" i="6" s="1"/>
  <c r="AF760" i="6"/>
  <c r="AE760" i="6"/>
  <c r="AG759" i="6"/>
  <c r="AH759" i="6" s="1"/>
  <c r="AF759" i="6"/>
  <c r="AE759" i="6"/>
  <c r="AG758" i="6"/>
  <c r="AH758" i="6" s="1"/>
  <c r="AF758" i="6"/>
  <c r="AE758" i="6"/>
  <c r="AG757" i="6"/>
  <c r="AH757" i="6" s="1"/>
  <c r="AF757" i="6"/>
  <c r="AE757" i="6"/>
  <c r="AG756" i="6"/>
  <c r="AH756" i="6" s="1"/>
  <c r="AF756" i="6"/>
  <c r="AE756" i="6"/>
  <c r="AG755" i="6"/>
  <c r="AH755" i="6" s="1"/>
  <c r="AF755" i="6"/>
  <c r="AE755" i="6"/>
  <c r="AG754" i="6"/>
  <c r="AH754" i="6" s="1"/>
  <c r="AF754" i="6"/>
  <c r="AE754" i="6"/>
  <c r="AG753" i="6"/>
  <c r="AH753" i="6" s="1"/>
  <c r="AF753" i="6"/>
  <c r="AE753" i="6"/>
  <c r="AG752" i="6"/>
  <c r="AH752" i="6" s="1"/>
  <c r="AF752" i="6"/>
  <c r="AE752" i="6"/>
  <c r="AG751" i="6"/>
  <c r="AH751" i="6" s="1"/>
  <c r="AF751" i="6"/>
  <c r="AE751" i="6"/>
  <c r="AG750" i="6"/>
  <c r="AH750" i="6" s="1"/>
  <c r="AF750" i="6"/>
  <c r="AE750" i="6"/>
  <c r="AG749" i="6"/>
  <c r="AH749" i="6" s="1"/>
  <c r="AF749" i="6"/>
  <c r="AE749" i="6"/>
  <c r="AG748" i="6"/>
  <c r="AH748" i="6" s="1"/>
  <c r="AF748" i="6"/>
  <c r="AE748" i="6"/>
  <c r="AG747" i="6"/>
  <c r="AH747" i="6" s="1"/>
  <c r="AF747" i="6"/>
  <c r="AE747" i="6"/>
  <c r="AG746" i="6"/>
  <c r="AH746" i="6" s="1"/>
  <c r="AF746" i="6"/>
  <c r="AE746" i="6"/>
  <c r="AG745" i="6"/>
  <c r="AH745" i="6" s="1"/>
  <c r="AF745" i="6"/>
  <c r="AE745" i="6"/>
  <c r="AG744" i="6"/>
  <c r="AH744" i="6" s="1"/>
  <c r="AF744" i="6"/>
  <c r="AE744" i="6"/>
  <c r="AG743" i="6"/>
  <c r="AH743" i="6" s="1"/>
  <c r="AF743" i="6"/>
  <c r="AE743" i="6"/>
  <c r="AG742" i="6"/>
  <c r="AH742" i="6" s="1"/>
  <c r="AF742" i="6"/>
  <c r="AE742" i="6"/>
  <c r="AG741" i="6"/>
  <c r="AH741" i="6" s="1"/>
  <c r="AF741" i="6"/>
  <c r="AE741" i="6"/>
  <c r="AG740" i="6"/>
  <c r="AH740" i="6" s="1"/>
  <c r="AF740" i="6"/>
  <c r="AE740" i="6"/>
  <c r="AG739" i="6"/>
  <c r="AH739" i="6" s="1"/>
  <c r="AF739" i="6"/>
  <c r="AE739" i="6"/>
  <c r="AG738" i="6"/>
  <c r="AH738" i="6" s="1"/>
  <c r="AF738" i="6"/>
  <c r="AE738" i="6"/>
  <c r="AG737" i="6"/>
  <c r="AH737" i="6" s="1"/>
  <c r="AF737" i="6"/>
  <c r="AE737" i="6"/>
  <c r="AG736" i="6"/>
  <c r="AH736" i="6" s="1"/>
  <c r="AF736" i="6"/>
  <c r="AE736" i="6"/>
  <c r="AG735" i="6"/>
  <c r="AH735" i="6" s="1"/>
  <c r="AF735" i="6"/>
  <c r="AE735" i="6"/>
  <c r="AG734" i="6"/>
  <c r="AH734" i="6" s="1"/>
  <c r="AF734" i="6"/>
  <c r="AE734" i="6"/>
  <c r="AG733" i="6"/>
  <c r="AH733" i="6" s="1"/>
  <c r="AF733" i="6"/>
  <c r="AE733" i="6"/>
  <c r="AG732" i="6"/>
  <c r="AH732" i="6" s="1"/>
  <c r="AF732" i="6"/>
  <c r="AE732" i="6"/>
  <c r="AG731" i="6"/>
  <c r="AH731" i="6" s="1"/>
  <c r="AF731" i="6"/>
  <c r="AE731" i="6"/>
  <c r="AG730" i="6"/>
  <c r="AH730" i="6" s="1"/>
  <c r="AF730" i="6"/>
  <c r="AE730" i="6"/>
  <c r="AG729" i="6"/>
  <c r="AH729" i="6" s="1"/>
  <c r="AF729" i="6"/>
  <c r="AE729" i="6"/>
  <c r="AG728" i="6"/>
  <c r="AH728" i="6" s="1"/>
  <c r="AF728" i="6"/>
  <c r="AE728" i="6"/>
  <c r="AG727" i="6"/>
  <c r="AH727" i="6" s="1"/>
  <c r="AF727" i="6"/>
  <c r="AE727" i="6"/>
  <c r="AG726" i="6"/>
  <c r="AH726" i="6" s="1"/>
  <c r="AF726" i="6"/>
  <c r="AE726" i="6"/>
  <c r="AG725" i="6"/>
  <c r="AH725" i="6" s="1"/>
  <c r="AF725" i="6"/>
  <c r="AE725" i="6"/>
  <c r="AG724" i="6"/>
  <c r="AH724" i="6" s="1"/>
  <c r="AF724" i="6"/>
  <c r="AE724" i="6"/>
  <c r="AG723" i="6"/>
  <c r="AH723" i="6" s="1"/>
  <c r="AF723" i="6"/>
  <c r="AE723" i="6"/>
  <c r="AG722" i="6"/>
  <c r="AH722" i="6" s="1"/>
  <c r="AF722" i="6"/>
  <c r="AE722" i="6"/>
  <c r="AG721" i="6"/>
  <c r="AH721" i="6" s="1"/>
  <c r="AF721" i="6"/>
  <c r="AE721" i="6"/>
  <c r="AG720" i="6"/>
  <c r="AH720" i="6" s="1"/>
  <c r="AF720" i="6"/>
  <c r="AE720" i="6"/>
  <c r="AG719" i="6"/>
  <c r="AH719" i="6" s="1"/>
  <c r="AF719" i="6"/>
  <c r="AE719" i="6"/>
  <c r="AG718" i="6"/>
  <c r="AH718" i="6" s="1"/>
  <c r="AF718" i="6"/>
  <c r="AE718" i="6"/>
  <c r="AG717" i="6"/>
  <c r="AH717" i="6" s="1"/>
  <c r="AF717" i="6"/>
  <c r="AE717" i="6"/>
  <c r="AG716" i="6"/>
  <c r="AH716" i="6" s="1"/>
  <c r="AF716" i="6"/>
  <c r="AE716" i="6"/>
  <c r="AG715" i="6"/>
  <c r="AH715" i="6" s="1"/>
  <c r="AF715" i="6"/>
  <c r="AE715" i="6"/>
  <c r="AG714" i="6"/>
  <c r="AH714" i="6" s="1"/>
  <c r="AF714" i="6"/>
  <c r="AE714" i="6"/>
  <c r="AG713" i="6"/>
  <c r="AH713" i="6" s="1"/>
  <c r="AF713" i="6"/>
  <c r="AE713" i="6"/>
  <c r="AG712" i="6"/>
  <c r="AH712" i="6" s="1"/>
  <c r="AF712" i="6"/>
  <c r="AE712" i="6"/>
  <c r="AG711" i="6"/>
  <c r="AH711" i="6" s="1"/>
  <c r="AF711" i="6"/>
  <c r="AE711" i="6"/>
  <c r="AG710" i="6"/>
  <c r="AH710" i="6" s="1"/>
  <c r="AF710" i="6"/>
  <c r="AE710" i="6"/>
  <c r="AG709" i="6"/>
  <c r="AH709" i="6" s="1"/>
  <c r="AF709" i="6"/>
  <c r="AE709" i="6"/>
  <c r="AG708" i="6"/>
  <c r="AH708" i="6" s="1"/>
  <c r="AF708" i="6"/>
  <c r="AE708" i="6"/>
  <c r="AG707" i="6"/>
  <c r="AH707" i="6" s="1"/>
  <c r="AF707" i="6"/>
  <c r="AE707" i="6"/>
  <c r="AG706" i="6"/>
  <c r="AH706" i="6" s="1"/>
  <c r="AF706" i="6"/>
  <c r="AE706" i="6"/>
  <c r="AG705" i="6"/>
  <c r="AH705" i="6" s="1"/>
  <c r="AF705" i="6"/>
  <c r="AE705" i="6"/>
  <c r="AG704" i="6"/>
  <c r="AH704" i="6" s="1"/>
  <c r="AF704" i="6"/>
  <c r="AE704" i="6"/>
  <c r="AG703" i="6"/>
  <c r="AH703" i="6" s="1"/>
  <c r="AF703" i="6"/>
  <c r="AE703" i="6"/>
  <c r="AG702" i="6"/>
  <c r="AH702" i="6" s="1"/>
  <c r="AF702" i="6"/>
  <c r="AE702" i="6"/>
  <c r="AG701" i="6"/>
  <c r="AH701" i="6" s="1"/>
  <c r="AF701" i="6"/>
  <c r="AE701" i="6"/>
  <c r="AG700" i="6"/>
  <c r="AH700" i="6" s="1"/>
  <c r="AF700" i="6"/>
  <c r="AE700" i="6"/>
  <c r="AG699" i="6"/>
  <c r="AH699" i="6" s="1"/>
  <c r="AF699" i="6"/>
  <c r="AE699" i="6"/>
  <c r="AG698" i="6"/>
  <c r="AH698" i="6" s="1"/>
  <c r="AF698" i="6"/>
  <c r="AE698" i="6"/>
  <c r="AG697" i="6"/>
  <c r="AH697" i="6" s="1"/>
  <c r="AF697" i="6"/>
  <c r="AE697" i="6"/>
  <c r="AG696" i="6"/>
  <c r="AH696" i="6" s="1"/>
  <c r="AF696" i="6"/>
  <c r="AE696" i="6"/>
  <c r="AG695" i="6"/>
  <c r="AH695" i="6" s="1"/>
  <c r="AF695" i="6"/>
  <c r="AE695" i="6"/>
  <c r="AG694" i="6"/>
  <c r="AH694" i="6" s="1"/>
  <c r="AF694" i="6"/>
  <c r="AE694" i="6"/>
  <c r="AG693" i="6"/>
  <c r="AH693" i="6" s="1"/>
  <c r="AF693" i="6"/>
  <c r="AE693" i="6"/>
  <c r="AG692" i="6"/>
  <c r="AH692" i="6" s="1"/>
  <c r="AF692" i="6"/>
  <c r="AE692" i="6"/>
  <c r="AG691" i="6"/>
  <c r="AH691" i="6" s="1"/>
  <c r="AF691" i="6"/>
  <c r="AE691" i="6"/>
  <c r="AG690" i="6"/>
  <c r="AH690" i="6" s="1"/>
  <c r="AF690" i="6"/>
  <c r="AE690" i="6"/>
  <c r="AG689" i="6"/>
  <c r="AH689" i="6" s="1"/>
  <c r="AF689" i="6"/>
  <c r="AE689" i="6"/>
  <c r="AG688" i="6"/>
  <c r="AH688" i="6" s="1"/>
  <c r="AF688" i="6"/>
  <c r="AE688" i="6"/>
  <c r="AG687" i="6"/>
  <c r="AH687" i="6" s="1"/>
  <c r="AF687" i="6"/>
  <c r="AE687" i="6"/>
  <c r="AG686" i="6"/>
  <c r="AH686" i="6" s="1"/>
  <c r="AF686" i="6"/>
  <c r="AE686" i="6"/>
  <c r="AG685" i="6"/>
  <c r="AH685" i="6" s="1"/>
  <c r="AF685" i="6"/>
  <c r="AE685" i="6"/>
  <c r="AG684" i="6"/>
  <c r="AH684" i="6" s="1"/>
  <c r="AF684" i="6"/>
  <c r="AE684" i="6"/>
  <c r="AG683" i="6"/>
  <c r="AH683" i="6" s="1"/>
  <c r="AF683" i="6"/>
  <c r="AE683" i="6"/>
  <c r="AG682" i="6"/>
  <c r="AH682" i="6" s="1"/>
  <c r="AF682" i="6"/>
  <c r="AE682" i="6"/>
  <c r="AG681" i="6"/>
  <c r="AH681" i="6" s="1"/>
  <c r="AF681" i="6"/>
  <c r="AE681" i="6"/>
  <c r="AG680" i="6"/>
  <c r="AH680" i="6" s="1"/>
  <c r="AF680" i="6"/>
  <c r="AE680" i="6"/>
  <c r="AG679" i="6"/>
  <c r="AH679" i="6" s="1"/>
  <c r="AF679" i="6"/>
  <c r="AE679" i="6"/>
  <c r="AG678" i="6"/>
  <c r="AH678" i="6" s="1"/>
  <c r="AF678" i="6"/>
  <c r="AE678" i="6"/>
  <c r="AG677" i="6"/>
  <c r="AH677" i="6" s="1"/>
  <c r="AF677" i="6"/>
  <c r="AE677" i="6"/>
  <c r="AG676" i="6"/>
  <c r="AH676" i="6" s="1"/>
  <c r="AF676" i="6"/>
  <c r="AE676" i="6"/>
  <c r="AG675" i="6"/>
  <c r="AH675" i="6" s="1"/>
  <c r="AF675" i="6"/>
  <c r="AE675" i="6"/>
  <c r="AG674" i="6"/>
  <c r="AH674" i="6" s="1"/>
  <c r="AF674" i="6"/>
  <c r="AE674" i="6"/>
  <c r="AG673" i="6"/>
  <c r="AH673" i="6" s="1"/>
  <c r="AF673" i="6"/>
  <c r="AE673" i="6"/>
  <c r="AG672" i="6"/>
  <c r="AH672" i="6" s="1"/>
  <c r="AF672" i="6"/>
  <c r="AE672" i="6"/>
  <c r="AG671" i="6"/>
  <c r="AH671" i="6" s="1"/>
  <c r="AF671" i="6"/>
  <c r="AE671" i="6"/>
  <c r="AG670" i="6"/>
  <c r="AH670" i="6" s="1"/>
  <c r="AF670" i="6"/>
  <c r="AE670" i="6"/>
  <c r="AG669" i="6"/>
  <c r="AH669" i="6" s="1"/>
  <c r="AF669" i="6"/>
  <c r="AE669" i="6"/>
  <c r="AG668" i="6"/>
  <c r="AH668" i="6" s="1"/>
  <c r="AF668" i="6"/>
  <c r="AE668" i="6"/>
  <c r="AG667" i="6"/>
  <c r="AH667" i="6" s="1"/>
  <c r="AF667" i="6"/>
  <c r="AE667" i="6"/>
  <c r="AG666" i="6"/>
  <c r="AH666" i="6" s="1"/>
  <c r="AF666" i="6"/>
  <c r="AE666" i="6"/>
  <c r="AG665" i="6"/>
  <c r="AH665" i="6" s="1"/>
  <c r="AF665" i="6"/>
  <c r="AE665" i="6"/>
  <c r="AG664" i="6"/>
  <c r="AH664" i="6" s="1"/>
  <c r="AF664" i="6"/>
  <c r="AE664" i="6"/>
  <c r="AG663" i="6"/>
  <c r="AH663" i="6" s="1"/>
  <c r="AF663" i="6"/>
  <c r="AE663" i="6"/>
  <c r="AG662" i="6"/>
  <c r="AH662" i="6" s="1"/>
  <c r="AF662" i="6"/>
  <c r="AE662" i="6"/>
  <c r="AG661" i="6"/>
  <c r="AH661" i="6" s="1"/>
  <c r="AF661" i="6"/>
  <c r="AE661" i="6"/>
  <c r="AG660" i="6"/>
  <c r="AH660" i="6" s="1"/>
  <c r="AF660" i="6"/>
  <c r="AE660" i="6"/>
  <c r="AG659" i="6"/>
  <c r="AH659" i="6" s="1"/>
  <c r="AF659" i="6"/>
  <c r="AE659" i="6"/>
  <c r="AG658" i="6"/>
  <c r="AH658" i="6" s="1"/>
  <c r="AF658" i="6"/>
  <c r="AE658" i="6"/>
  <c r="AG657" i="6"/>
  <c r="AH657" i="6" s="1"/>
  <c r="AF657" i="6"/>
  <c r="AE657" i="6"/>
  <c r="AG656" i="6"/>
  <c r="AH656" i="6" s="1"/>
  <c r="AF656" i="6"/>
  <c r="AE656" i="6"/>
  <c r="AG655" i="6"/>
  <c r="AH655" i="6" s="1"/>
  <c r="AF655" i="6"/>
  <c r="AE655" i="6"/>
  <c r="AG654" i="6"/>
  <c r="AH654" i="6" s="1"/>
  <c r="AF654" i="6"/>
  <c r="AE654" i="6"/>
  <c r="AG653" i="6"/>
  <c r="AH653" i="6" s="1"/>
  <c r="AF653" i="6"/>
  <c r="AE653" i="6"/>
  <c r="AG652" i="6"/>
  <c r="AH652" i="6" s="1"/>
  <c r="AF652" i="6"/>
  <c r="AE652" i="6"/>
  <c r="AG651" i="6"/>
  <c r="AH651" i="6" s="1"/>
  <c r="AF651" i="6"/>
  <c r="AE651" i="6"/>
  <c r="AG650" i="6"/>
  <c r="AH650" i="6" s="1"/>
  <c r="AF650" i="6"/>
  <c r="AE650" i="6"/>
  <c r="AG649" i="6"/>
  <c r="AH649" i="6" s="1"/>
  <c r="AF649" i="6"/>
  <c r="AE649" i="6"/>
  <c r="AG648" i="6"/>
  <c r="AH648" i="6" s="1"/>
  <c r="AF648" i="6"/>
  <c r="AE648" i="6"/>
  <c r="AG647" i="6"/>
  <c r="AH647" i="6" s="1"/>
  <c r="AF647" i="6"/>
  <c r="AE647" i="6"/>
  <c r="AG646" i="6"/>
  <c r="AH646" i="6" s="1"/>
  <c r="AF646" i="6"/>
  <c r="AE646" i="6"/>
  <c r="AG645" i="6"/>
  <c r="AH645" i="6" s="1"/>
  <c r="AF645" i="6"/>
  <c r="AE645" i="6"/>
  <c r="AG644" i="6"/>
  <c r="AH644" i="6" s="1"/>
  <c r="AF644" i="6"/>
  <c r="AE644" i="6"/>
  <c r="AG643" i="6"/>
  <c r="AH643" i="6" s="1"/>
  <c r="AF643" i="6"/>
  <c r="AE643" i="6"/>
  <c r="AG642" i="6"/>
  <c r="AH642" i="6" s="1"/>
  <c r="AF642" i="6"/>
  <c r="AE642" i="6"/>
  <c r="AG641" i="6"/>
  <c r="AH641" i="6" s="1"/>
  <c r="AF641" i="6"/>
  <c r="AE641" i="6"/>
  <c r="AG640" i="6"/>
  <c r="AH640" i="6" s="1"/>
  <c r="AF640" i="6"/>
  <c r="AE640" i="6"/>
  <c r="AG639" i="6"/>
  <c r="AH639" i="6" s="1"/>
  <c r="AF639" i="6"/>
  <c r="AE639" i="6"/>
  <c r="AG638" i="6"/>
  <c r="AH638" i="6" s="1"/>
  <c r="AF638" i="6"/>
  <c r="AE638" i="6"/>
  <c r="AG637" i="6"/>
  <c r="AH637" i="6" s="1"/>
  <c r="AF637" i="6"/>
  <c r="AE637" i="6"/>
  <c r="AG636" i="6"/>
  <c r="AH636" i="6" s="1"/>
  <c r="AF636" i="6"/>
  <c r="AE636" i="6"/>
  <c r="AG635" i="6"/>
  <c r="AH635" i="6" s="1"/>
  <c r="AF635" i="6"/>
  <c r="AE635" i="6"/>
  <c r="AG634" i="6"/>
  <c r="AH634" i="6" s="1"/>
  <c r="AF634" i="6"/>
  <c r="AE634" i="6"/>
  <c r="AG633" i="6"/>
  <c r="AH633" i="6" s="1"/>
  <c r="AF633" i="6"/>
  <c r="AE633" i="6"/>
  <c r="AG632" i="6"/>
  <c r="AH632" i="6" s="1"/>
  <c r="AF632" i="6"/>
  <c r="AE632" i="6"/>
  <c r="AG631" i="6"/>
  <c r="AH631" i="6" s="1"/>
  <c r="AF631" i="6"/>
  <c r="AE631" i="6"/>
  <c r="AG630" i="6"/>
  <c r="AH630" i="6" s="1"/>
  <c r="AF630" i="6"/>
  <c r="AE630" i="6"/>
  <c r="AG629" i="6"/>
  <c r="AH629" i="6" s="1"/>
  <c r="AF629" i="6"/>
  <c r="AE629" i="6"/>
  <c r="AG628" i="6"/>
  <c r="AH628" i="6" s="1"/>
  <c r="AF628" i="6"/>
  <c r="AE628" i="6"/>
  <c r="AG627" i="6"/>
  <c r="AH627" i="6" s="1"/>
  <c r="AF627" i="6"/>
  <c r="AE627" i="6"/>
  <c r="AG626" i="6"/>
  <c r="AH626" i="6" s="1"/>
  <c r="AF626" i="6"/>
  <c r="AE626" i="6"/>
  <c r="AG625" i="6"/>
  <c r="AH625" i="6" s="1"/>
  <c r="AF625" i="6"/>
  <c r="AE625" i="6"/>
  <c r="AG624" i="6"/>
  <c r="AH624" i="6" s="1"/>
  <c r="AF624" i="6"/>
  <c r="AE624" i="6"/>
  <c r="AG623" i="6"/>
  <c r="AH623" i="6" s="1"/>
  <c r="AF623" i="6"/>
  <c r="AE623" i="6"/>
  <c r="AG622" i="6"/>
  <c r="AH622" i="6" s="1"/>
  <c r="AF622" i="6"/>
  <c r="AE622" i="6"/>
  <c r="AG621" i="6"/>
  <c r="AH621" i="6" s="1"/>
  <c r="AF621" i="6"/>
  <c r="AE621" i="6"/>
  <c r="AG620" i="6"/>
  <c r="AH620" i="6" s="1"/>
  <c r="AF620" i="6"/>
  <c r="AE620" i="6"/>
  <c r="AG619" i="6"/>
  <c r="AH619" i="6" s="1"/>
  <c r="AF619" i="6"/>
  <c r="AE619" i="6"/>
  <c r="AG618" i="6"/>
  <c r="AH618" i="6" s="1"/>
  <c r="AF618" i="6"/>
  <c r="AE618" i="6"/>
  <c r="AG617" i="6"/>
  <c r="AH617" i="6" s="1"/>
  <c r="AF617" i="6"/>
  <c r="AE617" i="6"/>
  <c r="AG616" i="6"/>
  <c r="AH616" i="6" s="1"/>
  <c r="AF616" i="6"/>
  <c r="AE616" i="6"/>
  <c r="AG615" i="6"/>
  <c r="AH615" i="6" s="1"/>
  <c r="AF615" i="6"/>
  <c r="AE615" i="6"/>
  <c r="AG614" i="6"/>
  <c r="AH614" i="6" s="1"/>
  <c r="AF614" i="6"/>
  <c r="AE614" i="6"/>
  <c r="AG613" i="6"/>
  <c r="AH613" i="6" s="1"/>
  <c r="AF613" i="6"/>
  <c r="AE613" i="6"/>
  <c r="AG612" i="6"/>
  <c r="AH612" i="6" s="1"/>
  <c r="AF612" i="6"/>
  <c r="AE612" i="6"/>
  <c r="AG611" i="6"/>
  <c r="AH611" i="6" s="1"/>
  <c r="AF611" i="6"/>
  <c r="AE611" i="6"/>
  <c r="AG610" i="6"/>
  <c r="AH610" i="6" s="1"/>
  <c r="AF610" i="6"/>
  <c r="AE610" i="6"/>
  <c r="AG609" i="6"/>
  <c r="AH609" i="6" s="1"/>
  <c r="AF609" i="6"/>
  <c r="AE609" i="6"/>
  <c r="AG608" i="6"/>
  <c r="AH608" i="6" s="1"/>
  <c r="AF608" i="6"/>
  <c r="AE608" i="6"/>
  <c r="AG607" i="6"/>
  <c r="AH607" i="6" s="1"/>
  <c r="AF607" i="6"/>
  <c r="AE607" i="6"/>
  <c r="AG606" i="6"/>
  <c r="AH606" i="6" s="1"/>
  <c r="AF606" i="6"/>
  <c r="AE606" i="6"/>
  <c r="AG605" i="6"/>
  <c r="AH605" i="6" s="1"/>
  <c r="AF605" i="6"/>
  <c r="AE605" i="6"/>
  <c r="AG604" i="6"/>
  <c r="AH604" i="6" s="1"/>
  <c r="AF604" i="6"/>
  <c r="AE604" i="6"/>
  <c r="AG603" i="6"/>
  <c r="AH603" i="6" s="1"/>
  <c r="AF603" i="6"/>
  <c r="AE603" i="6"/>
  <c r="AG602" i="6"/>
  <c r="AH602" i="6" s="1"/>
  <c r="AF602" i="6"/>
  <c r="AE602" i="6"/>
  <c r="AG601" i="6"/>
  <c r="AH601" i="6" s="1"/>
  <c r="AF601" i="6"/>
  <c r="AE601" i="6"/>
  <c r="AG600" i="6"/>
  <c r="AH600" i="6" s="1"/>
  <c r="AF600" i="6"/>
  <c r="AE600" i="6"/>
  <c r="AG599" i="6"/>
  <c r="AH599" i="6" s="1"/>
  <c r="AF599" i="6"/>
  <c r="AE599" i="6"/>
  <c r="AG598" i="6"/>
  <c r="AH598" i="6" s="1"/>
  <c r="AF598" i="6"/>
  <c r="AE598" i="6"/>
  <c r="AG597" i="6"/>
  <c r="AH597" i="6" s="1"/>
  <c r="AF597" i="6"/>
  <c r="AE597" i="6"/>
  <c r="AG596" i="6"/>
  <c r="AH596" i="6" s="1"/>
  <c r="AF596" i="6"/>
  <c r="AE596" i="6"/>
  <c r="AG595" i="6"/>
  <c r="AH595" i="6" s="1"/>
  <c r="AF595" i="6"/>
  <c r="AE595" i="6"/>
  <c r="AG594" i="6"/>
  <c r="AH594" i="6" s="1"/>
  <c r="AF594" i="6"/>
  <c r="AE594" i="6"/>
  <c r="AG593" i="6"/>
  <c r="AH593" i="6" s="1"/>
  <c r="AF593" i="6"/>
  <c r="AE593" i="6"/>
  <c r="AG592" i="6"/>
  <c r="AH592" i="6" s="1"/>
  <c r="AF592" i="6"/>
  <c r="AE592" i="6"/>
  <c r="AG591" i="6"/>
  <c r="AH591" i="6" s="1"/>
  <c r="AF591" i="6"/>
  <c r="AE591" i="6"/>
  <c r="AG590" i="6"/>
  <c r="AH590" i="6" s="1"/>
  <c r="AF590" i="6"/>
  <c r="AE590" i="6"/>
  <c r="AG589" i="6"/>
  <c r="AH589" i="6" s="1"/>
  <c r="AF589" i="6"/>
  <c r="AE589" i="6"/>
  <c r="AG588" i="6"/>
  <c r="AH588" i="6" s="1"/>
  <c r="AF588" i="6"/>
  <c r="AE588" i="6"/>
  <c r="AG587" i="6"/>
  <c r="AH587" i="6" s="1"/>
  <c r="AF587" i="6"/>
  <c r="AE587" i="6"/>
  <c r="AG586" i="6"/>
  <c r="AH586" i="6" s="1"/>
  <c r="AF586" i="6"/>
  <c r="AE586" i="6"/>
  <c r="AG585" i="6"/>
  <c r="AH585" i="6" s="1"/>
  <c r="AF585" i="6"/>
  <c r="AE585" i="6"/>
  <c r="AG584" i="6"/>
  <c r="AH584" i="6" s="1"/>
  <c r="AF584" i="6"/>
  <c r="AE584" i="6"/>
  <c r="AG583" i="6"/>
  <c r="AH583" i="6" s="1"/>
  <c r="AF583" i="6"/>
  <c r="AE583" i="6"/>
  <c r="AG582" i="6"/>
  <c r="AH582" i="6" s="1"/>
  <c r="AF582" i="6"/>
  <c r="AE582" i="6"/>
  <c r="AG581" i="6"/>
  <c r="AH581" i="6" s="1"/>
  <c r="AF581" i="6"/>
  <c r="AE581" i="6"/>
  <c r="AG580" i="6"/>
  <c r="AH580" i="6" s="1"/>
  <c r="AF580" i="6"/>
  <c r="AE580" i="6"/>
  <c r="AG579" i="6"/>
  <c r="AH579" i="6" s="1"/>
  <c r="AF579" i="6"/>
  <c r="AE579" i="6"/>
  <c r="AG578" i="6"/>
  <c r="AH578" i="6" s="1"/>
  <c r="AF578" i="6"/>
  <c r="AE578" i="6"/>
  <c r="AG577" i="6"/>
  <c r="AH577" i="6" s="1"/>
  <c r="AF577" i="6"/>
  <c r="AE577" i="6"/>
  <c r="AG576" i="6"/>
  <c r="AH576" i="6" s="1"/>
  <c r="AF576" i="6"/>
  <c r="AE576" i="6"/>
  <c r="AG575" i="6"/>
  <c r="AH575" i="6" s="1"/>
  <c r="AF575" i="6"/>
  <c r="AE575" i="6"/>
  <c r="AG574" i="6"/>
  <c r="AH574" i="6" s="1"/>
  <c r="AF574" i="6"/>
  <c r="AE574" i="6"/>
  <c r="AG573" i="6"/>
  <c r="AH573" i="6" s="1"/>
  <c r="AF573" i="6"/>
  <c r="AE573" i="6"/>
  <c r="AG572" i="6"/>
  <c r="AH572" i="6" s="1"/>
  <c r="AF572" i="6"/>
  <c r="AE572" i="6"/>
  <c r="AG571" i="6"/>
  <c r="AH571" i="6" s="1"/>
  <c r="AF571" i="6"/>
  <c r="AE571" i="6"/>
  <c r="AG570" i="6"/>
  <c r="AH570" i="6" s="1"/>
  <c r="AF570" i="6"/>
  <c r="AE570" i="6"/>
  <c r="AG569" i="6"/>
  <c r="AH569" i="6" s="1"/>
  <c r="AF569" i="6"/>
  <c r="AE569" i="6"/>
  <c r="AG568" i="6"/>
  <c r="AH568" i="6" s="1"/>
  <c r="AF568" i="6"/>
  <c r="AE568" i="6"/>
  <c r="AG567" i="6"/>
  <c r="AH567" i="6" s="1"/>
  <c r="AF567" i="6"/>
  <c r="AE567" i="6"/>
  <c r="AG566" i="6"/>
  <c r="AH566" i="6" s="1"/>
  <c r="AF566" i="6"/>
  <c r="AE566" i="6"/>
  <c r="AG565" i="6"/>
  <c r="AH565" i="6" s="1"/>
  <c r="AF565" i="6"/>
  <c r="AE565" i="6"/>
  <c r="AG564" i="6"/>
  <c r="AH564" i="6" s="1"/>
  <c r="AF564" i="6"/>
  <c r="AE564" i="6"/>
  <c r="AG563" i="6"/>
  <c r="AH563" i="6" s="1"/>
  <c r="AF563" i="6"/>
  <c r="AE563" i="6"/>
  <c r="AG562" i="6"/>
  <c r="AH562" i="6" s="1"/>
  <c r="AF562" i="6"/>
  <c r="AE562" i="6"/>
  <c r="AG561" i="6"/>
  <c r="AH561" i="6" s="1"/>
  <c r="AF561" i="6"/>
  <c r="AE561" i="6"/>
  <c r="AG560" i="6"/>
  <c r="AH560" i="6" s="1"/>
  <c r="AF560" i="6"/>
  <c r="AE560" i="6"/>
  <c r="AG559" i="6"/>
  <c r="AH559" i="6" s="1"/>
  <c r="AF559" i="6"/>
  <c r="AE559" i="6"/>
  <c r="AG558" i="6"/>
  <c r="AH558" i="6" s="1"/>
  <c r="AF558" i="6"/>
  <c r="AE558" i="6"/>
  <c r="AG557" i="6"/>
  <c r="AH557" i="6" s="1"/>
  <c r="AF557" i="6"/>
  <c r="AE557" i="6"/>
  <c r="AG556" i="6"/>
  <c r="AH556" i="6" s="1"/>
  <c r="AF556" i="6"/>
  <c r="AE556" i="6"/>
  <c r="AG555" i="6"/>
  <c r="AH555" i="6" s="1"/>
  <c r="AF555" i="6"/>
  <c r="AE555" i="6"/>
  <c r="AG554" i="6"/>
  <c r="AH554" i="6" s="1"/>
  <c r="AF554" i="6"/>
  <c r="AE554" i="6"/>
  <c r="AG553" i="6"/>
  <c r="AH553" i="6" s="1"/>
  <c r="AF553" i="6"/>
  <c r="AE553" i="6"/>
  <c r="AG552" i="6"/>
  <c r="AH552" i="6" s="1"/>
  <c r="AF552" i="6"/>
  <c r="AE552" i="6"/>
  <c r="AG551" i="6"/>
  <c r="AH551" i="6" s="1"/>
  <c r="AF551" i="6"/>
  <c r="AE551" i="6"/>
  <c r="AG550" i="6"/>
  <c r="AH550" i="6" s="1"/>
  <c r="AF550" i="6"/>
  <c r="AE550" i="6"/>
  <c r="AG549" i="6"/>
  <c r="AH549" i="6" s="1"/>
  <c r="AF549" i="6"/>
  <c r="AE549" i="6"/>
  <c r="AG548" i="6"/>
  <c r="AH548" i="6" s="1"/>
  <c r="AF548" i="6"/>
  <c r="AE548" i="6"/>
  <c r="AG547" i="6"/>
  <c r="AH547" i="6" s="1"/>
  <c r="AF547" i="6"/>
  <c r="AE547" i="6"/>
  <c r="AG546" i="6"/>
  <c r="AH546" i="6" s="1"/>
  <c r="AF546" i="6"/>
  <c r="AE546" i="6"/>
  <c r="AG545" i="6"/>
  <c r="AH545" i="6" s="1"/>
  <c r="AF545" i="6"/>
  <c r="AE545" i="6"/>
  <c r="AG544" i="6"/>
  <c r="AH544" i="6" s="1"/>
  <c r="AF544" i="6"/>
  <c r="AE544" i="6"/>
  <c r="AG543" i="6"/>
  <c r="AH543" i="6" s="1"/>
  <c r="AF543" i="6"/>
  <c r="AE543" i="6"/>
  <c r="AG542" i="6"/>
  <c r="AH542" i="6" s="1"/>
  <c r="AF542" i="6"/>
  <c r="AE542" i="6"/>
  <c r="AG541" i="6"/>
  <c r="AH541" i="6" s="1"/>
  <c r="AF541" i="6"/>
  <c r="AE541" i="6"/>
  <c r="AG540" i="6"/>
  <c r="AH540" i="6" s="1"/>
  <c r="AF540" i="6"/>
  <c r="AE540" i="6"/>
  <c r="AG539" i="6"/>
  <c r="AH539" i="6" s="1"/>
  <c r="AF539" i="6"/>
  <c r="AE539" i="6"/>
  <c r="AG538" i="6"/>
  <c r="AH538" i="6" s="1"/>
  <c r="AF538" i="6"/>
  <c r="AE538" i="6"/>
  <c r="AG537" i="6"/>
  <c r="AH537" i="6" s="1"/>
  <c r="AF537" i="6"/>
  <c r="AE537" i="6"/>
  <c r="AG536" i="6"/>
  <c r="AH536" i="6" s="1"/>
  <c r="AF536" i="6"/>
  <c r="AE536" i="6"/>
  <c r="AG535" i="6"/>
  <c r="AH535" i="6" s="1"/>
  <c r="AF535" i="6"/>
  <c r="AE535" i="6"/>
  <c r="AG534" i="6"/>
  <c r="AH534" i="6" s="1"/>
  <c r="AF534" i="6"/>
  <c r="AE534" i="6"/>
  <c r="AG533" i="6"/>
  <c r="AH533" i="6" s="1"/>
  <c r="AF533" i="6"/>
  <c r="AE533" i="6"/>
  <c r="AG532" i="6"/>
  <c r="AH532" i="6" s="1"/>
  <c r="AF532" i="6"/>
  <c r="AE532" i="6"/>
  <c r="AG531" i="6"/>
  <c r="AH531" i="6" s="1"/>
  <c r="AF531" i="6"/>
  <c r="AE531" i="6"/>
  <c r="AG530" i="6"/>
  <c r="AH530" i="6" s="1"/>
  <c r="AF530" i="6"/>
  <c r="AE530" i="6"/>
  <c r="AG529" i="6"/>
  <c r="AH529" i="6" s="1"/>
  <c r="AF529" i="6"/>
  <c r="AE529" i="6"/>
  <c r="AG528" i="6"/>
  <c r="AH528" i="6" s="1"/>
  <c r="AF528" i="6"/>
  <c r="AE528" i="6"/>
  <c r="AG527" i="6"/>
  <c r="AH527" i="6" s="1"/>
  <c r="AF527" i="6"/>
  <c r="AE527" i="6"/>
  <c r="AG526" i="6"/>
  <c r="AH526" i="6" s="1"/>
  <c r="AF526" i="6"/>
  <c r="AE526" i="6"/>
  <c r="AG525" i="6"/>
  <c r="AH525" i="6" s="1"/>
  <c r="AF525" i="6"/>
  <c r="AE525" i="6"/>
  <c r="AG524" i="6"/>
  <c r="AH524" i="6" s="1"/>
  <c r="AF524" i="6"/>
  <c r="AE524" i="6"/>
  <c r="AG523" i="6"/>
  <c r="AH523" i="6" s="1"/>
  <c r="AF523" i="6"/>
  <c r="AE523" i="6"/>
  <c r="AG522" i="6"/>
  <c r="AH522" i="6" s="1"/>
  <c r="AF522" i="6"/>
  <c r="AE522" i="6"/>
  <c r="AG521" i="6"/>
  <c r="AH521" i="6" s="1"/>
  <c r="AF521" i="6"/>
  <c r="AE521" i="6"/>
  <c r="AG520" i="6"/>
  <c r="AH520" i="6" s="1"/>
  <c r="AF520" i="6"/>
  <c r="AE520" i="6"/>
  <c r="AG519" i="6"/>
  <c r="AH519" i="6" s="1"/>
  <c r="AF519" i="6"/>
  <c r="AE519" i="6"/>
  <c r="AG518" i="6"/>
  <c r="AH518" i="6" s="1"/>
  <c r="AF518" i="6"/>
  <c r="AE518" i="6"/>
  <c r="AG517" i="6"/>
  <c r="AH517" i="6" s="1"/>
  <c r="AF517" i="6"/>
  <c r="AE517" i="6"/>
  <c r="AG516" i="6"/>
  <c r="AH516" i="6" s="1"/>
  <c r="AF516" i="6"/>
  <c r="AE516" i="6"/>
  <c r="AG515" i="6"/>
  <c r="AH515" i="6" s="1"/>
  <c r="AF515" i="6"/>
  <c r="AE515" i="6"/>
  <c r="AG514" i="6"/>
  <c r="AH514" i="6" s="1"/>
  <c r="AF514" i="6"/>
  <c r="AE514" i="6"/>
  <c r="AG513" i="6"/>
  <c r="AH513" i="6" s="1"/>
  <c r="AF513" i="6"/>
  <c r="AE513" i="6"/>
  <c r="AG512" i="6"/>
  <c r="AH512" i="6" s="1"/>
  <c r="AF512" i="6"/>
  <c r="AE512" i="6"/>
  <c r="AG511" i="6"/>
  <c r="AH511" i="6" s="1"/>
  <c r="AF511" i="6"/>
  <c r="AE511" i="6"/>
  <c r="AG510" i="6"/>
  <c r="AH510" i="6" s="1"/>
  <c r="AF510" i="6"/>
  <c r="AE510" i="6"/>
  <c r="AG509" i="6"/>
  <c r="AH509" i="6" s="1"/>
  <c r="AF509" i="6"/>
  <c r="AE509" i="6"/>
  <c r="AG508" i="6"/>
  <c r="AH508" i="6" s="1"/>
  <c r="AF508" i="6"/>
  <c r="AE508" i="6"/>
  <c r="AG507" i="6"/>
  <c r="AH507" i="6" s="1"/>
  <c r="AF507" i="6"/>
  <c r="AE507" i="6"/>
  <c r="AG506" i="6"/>
  <c r="AH506" i="6" s="1"/>
  <c r="AF506" i="6"/>
  <c r="AE506" i="6"/>
  <c r="AG505" i="6"/>
  <c r="AH505" i="6" s="1"/>
  <c r="AF505" i="6"/>
  <c r="AE505" i="6"/>
  <c r="AG504" i="6"/>
  <c r="AH504" i="6" s="1"/>
  <c r="AF504" i="6"/>
  <c r="AE504" i="6"/>
  <c r="AG503" i="6"/>
  <c r="AH503" i="6" s="1"/>
  <c r="AF503" i="6"/>
  <c r="AE503" i="6"/>
  <c r="AG502" i="6"/>
  <c r="AH502" i="6" s="1"/>
  <c r="AF502" i="6"/>
  <c r="AE502" i="6"/>
  <c r="AG501" i="6"/>
  <c r="AH501" i="6" s="1"/>
  <c r="AF501" i="6"/>
  <c r="AE501" i="6"/>
  <c r="AG500" i="6"/>
  <c r="AH500" i="6" s="1"/>
  <c r="AF500" i="6"/>
  <c r="AE500" i="6"/>
  <c r="AG499" i="6"/>
  <c r="AH499" i="6" s="1"/>
  <c r="AF499" i="6"/>
  <c r="AE499" i="6"/>
  <c r="AG498" i="6"/>
  <c r="AH498" i="6" s="1"/>
  <c r="AF498" i="6"/>
  <c r="AE498" i="6"/>
  <c r="AG497" i="6"/>
  <c r="AH497" i="6" s="1"/>
  <c r="AF497" i="6"/>
  <c r="AE497" i="6"/>
  <c r="AG496" i="6"/>
  <c r="AH496" i="6" s="1"/>
  <c r="AF496" i="6"/>
  <c r="AE496" i="6"/>
  <c r="AG495" i="6"/>
  <c r="AH495" i="6" s="1"/>
  <c r="AF495" i="6"/>
  <c r="AE495" i="6"/>
  <c r="AG494" i="6"/>
  <c r="AH494" i="6" s="1"/>
  <c r="AF494" i="6"/>
  <c r="AE494" i="6"/>
  <c r="AG493" i="6"/>
  <c r="AH493" i="6" s="1"/>
  <c r="AF493" i="6"/>
  <c r="AE493" i="6"/>
  <c r="AG492" i="6"/>
  <c r="AH492" i="6" s="1"/>
  <c r="AF492" i="6"/>
  <c r="AE492" i="6"/>
  <c r="AG491" i="6"/>
  <c r="AH491" i="6" s="1"/>
  <c r="AF491" i="6"/>
  <c r="AE491" i="6"/>
  <c r="AG490" i="6"/>
  <c r="AH490" i="6" s="1"/>
  <c r="AF490" i="6"/>
  <c r="AE490" i="6"/>
  <c r="AG489" i="6"/>
  <c r="AH489" i="6" s="1"/>
  <c r="AF489" i="6"/>
  <c r="AE489" i="6"/>
  <c r="AG488" i="6"/>
  <c r="AH488" i="6" s="1"/>
  <c r="AF488" i="6"/>
  <c r="AE488" i="6"/>
  <c r="AG487" i="6"/>
  <c r="AH487" i="6" s="1"/>
  <c r="AF487" i="6"/>
  <c r="AE487" i="6"/>
  <c r="AG486" i="6"/>
  <c r="AH486" i="6" s="1"/>
  <c r="AF486" i="6"/>
  <c r="AE486" i="6"/>
  <c r="AG485" i="6"/>
  <c r="AH485" i="6" s="1"/>
  <c r="AF485" i="6"/>
  <c r="AE485" i="6"/>
  <c r="AG484" i="6"/>
  <c r="AH484" i="6" s="1"/>
  <c r="AF484" i="6"/>
  <c r="AE484" i="6"/>
  <c r="AG483" i="6"/>
  <c r="AH483" i="6" s="1"/>
  <c r="AF483" i="6"/>
  <c r="AE483" i="6"/>
  <c r="AG482" i="6"/>
  <c r="AH482" i="6" s="1"/>
  <c r="AF482" i="6"/>
  <c r="AE482" i="6"/>
  <c r="AG481" i="6"/>
  <c r="AH481" i="6" s="1"/>
  <c r="AF481" i="6"/>
  <c r="AE481" i="6"/>
  <c r="AG480" i="6"/>
  <c r="AH480" i="6" s="1"/>
  <c r="AF480" i="6"/>
  <c r="AE480" i="6"/>
  <c r="AG479" i="6"/>
  <c r="AH479" i="6" s="1"/>
  <c r="AF479" i="6"/>
  <c r="AE479" i="6"/>
  <c r="AG478" i="6"/>
  <c r="AH478" i="6" s="1"/>
  <c r="AF478" i="6"/>
  <c r="AE478" i="6"/>
  <c r="AG477" i="6"/>
  <c r="AH477" i="6" s="1"/>
  <c r="AF477" i="6"/>
  <c r="AE477" i="6"/>
  <c r="AG476" i="6"/>
  <c r="AH476" i="6" s="1"/>
  <c r="AF476" i="6"/>
  <c r="AE476" i="6"/>
  <c r="AG475" i="6"/>
  <c r="AH475" i="6" s="1"/>
  <c r="AF475" i="6"/>
  <c r="AE475" i="6"/>
  <c r="AG474" i="6"/>
  <c r="AH474" i="6" s="1"/>
  <c r="AF474" i="6"/>
  <c r="AE474" i="6"/>
  <c r="AG473" i="6"/>
  <c r="AH473" i="6" s="1"/>
  <c r="AF473" i="6"/>
  <c r="AE473" i="6"/>
  <c r="AG472" i="6"/>
  <c r="AH472" i="6" s="1"/>
  <c r="AF472" i="6"/>
  <c r="AE472" i="6"/>
  <c r="AG471" i="6"/>
  <c r="AH471" i="6" s="1"/>
  <c r="AF471" i="6"/>
  <c r="AE471" i="6"/>
  <c r="AG470" i="6"/>
  <c r="AH470" i="6" s="1"/>
  <c r="AF470" i="6"/>
  <c r="AE470" i="6"/>
  <c r="AG469" i="6"/>
  <c r="AH469" i="6" s="1"/>
  <c r="AF469" i="6"/>
  <c r="AE469" i="6"/>
  <c r="AG468" i="6"/>
  <c r="AH468" i="6" s="1"/>
  <c r="AF468" i="6"/>
  <c r="AE468" i="6"/>
  <c r="AG467" i="6"/>
  <c r="AH467" i="6" s="1"/>
  <c r="AF467" i="6"/>
  <c r="AE467" i="6"/>
  <c r="AG466" i="6"/>
  <c r="AH466" i="6" s="1"/>
  <c r="AF466" i="6"/>
  <c r="AE466" i="6"/>
  <c r="AG465" i="6"/>
  <c r="AH465" i="6" s="1"/>
  <c r="AF465" i="6"/>
  <c r="AE465" i="6"/>
  <c r="AG464" i="6"/>
  <c r="AH464" i="6" s="1"/>
  <c r="AF464" i="6"/>
  <c r="AE464" i="6"/>
  <c r="AG463" i="6"/>
  <c r="AH463" i="6" s="1"/>
  <c r="AF463" i="6"/>
  <c r="AE463" i="6"/>
  <c r="AG462" i="6"/>
  <c r="AH462" i="6" s="1"/>
  <c r="AF462" i="6"/>
  <c r="AE462" i="6"/>
  <c r="AG461" i="6"/>
  <c r="AH461" i="6" s="1"/>
  <c r="AF461" i="6"/>
  <c r="AE461" i="6"/>
  <c r="AG460" i="6"/>
  <c r="AH460" i="6" s="1"/>
  <c r="AF460" i="6"/>
  <c r="AE460" i="6"/>
  <c r="AG459" i="6"/>
  <c r="AH459" i="6" s="1"/>
  <c r="AF459" i="6"/>
  <c r="AE459" i="6"/>
  <c r="AG458" i="6"/>
  <c r="AH458" i="6" s="1"/>
  <c r="AF458" i="6"/>
  <c r="AE458" i="6"/>
  <c r="AG457" i="6"/>
  <c r="AH457" i="6" s="1"/>
  <c r="AF457" i="6"/>
  <c r="AE457" i="6"/>
  <c r="AG456" i="6"/>
  <c r="AH456" i="6" s="1"/>
  <c r="AF456" i="6"/>
  <c r="AE456" i="6"/>
  <c r="AG455" i="6"/>
  <c r="AH455" i="6" s="1"/>
  <c r="AF455" i="6"/>
  <c r="AE455" i="6"/>
  <c r="AG454" i="6"/>
  <c r="AH454" i="6" s="1"/>
  <c r="AF454" i="6"/>
  <c r="AE454" i="6"/>
  <c r="AG453" i="6"/>
  <c r="AH453" i="6" s="1"/>
  <c r="AF453" i="6"/>
  <c r="AE453" i="6"/>
  <c r="AG452" i="6"/>
  <c r="AH452" i="6" s="1"/>
  <c r="AF452" i="6"/>
  <c r="AE452" i="6"/>
  <c r="AG451" i="6"/>
  <c r="AH451" i="6" s="1"/>
  <c r="AF451" i="6"/>
  <c r="AE451" i="6"/>
  <c r="AG450" i="6"/>
  <c r="AH450" i="6" s="1"/>
  <c r="AF450" i="6"/>
  <c r="AE450" i="6"/>
  <c r="AG449" i="6"/>
  <c r="AH449" i="6" s="1"/>
  <c r="AF449" i="6"/>
  <c r="AE449" i="6"/>
  <c r="AG448" i="6"/>
  <c r="AH448" i="6" s="1"/>
  <c r="AF448" i="6"/>
  <c r="AE448" i="6"/>
  <c r="AG447" i="6"/>
  <c r="AH447" i="6" s="1"/>
  <c r="AF447" i="6"/>
  <c r="AE447" i="6"/>
  <c r="AG446" i="6"/>
  <c r="AH446" i="6" s="1"/>
  <c r="AF446" i="6"/>
  <c r="AE446" i="6"/>
  <c r="AG445" i="6"/>
  <c r="AH445" i="6" s="1"/>
  <c r="AF445" i="6"/>
  <c r="AE445" i="6"/>
  <c r="AG444" i="6"/>
  <c r="AH444" i="6" s="1"/>
  <c r="AF444" i="6"/>
  <c r="AE444" i="6"/>
  <c r="AG443" i="6"/>
  <c r="AH443" i="6" s="1"/>
  <c r="AF443" i="6"/>
  <c r="AE443" i="6"/>
  <c r="AG442" i="6"/>
  <c r="AH442" i="6" s="1"/>
  <c r="AF442" i="6"/>
  <c r="AE442" i="6"/>
  <c r="AG441" i="6"/>
  <c r="AH441" i="6" s="1"/>
  <c r="AF441" i="6"/>
  <c r="AE441" i="6"/>
  <c r="AG440" i="6"/>
  <c r="AH440" i="6" s="1"/>
  <c r="AF440" i="6"/>
  <c r="AE440" i="6"/>
  <c r="AG439" i="6"/>
  <c r="AH439" i="6" s="1"/>
  <c r="AF439" i="6"/>
  <c r="AE439" i="6"/>
  <c r="AG438" i="6"/>
  <c r="AH438" i="6" s="1"/>
  <c r="AF438" i="6"/>
  <c r="AE438" i="6"/>
  <c r="AG437" i="6"/>
  <c r="AH437" i="6" s="1"/>
  <c r="AF437" i="6"/>
  <c r="AE437" i="6"/>
  <c r="AG436" i="6"/>
  <c r="AH436" i="6" s="1"/>
  <c r="AF436" i="6"/>
  <c r="AE436" i="6"/>
  <c r="AG435" i="6"/>
  <c r="AH435" i="6" s="1"/>
  <c r="AF435" i="6"/>
  <c r="AE435" i="6"/>
  <c r="AG434" i="6"/>
  <c r="AH434" i="6" s="1"/>
  <c r="AF434" i="6"/>
  <c r="AE434" i="6"/>
  <c r="AG433" i="6"/>
  <c r="AH433" i="6" s="1"/>
  <c r="AF433" i="6"/>
  <c r="AE433" i="6"/>
  <c r="AG432" i="6"/>
  <c r="AH432" i="6" s="1"/>
  <c r="AF432" i="6"/>
  <c r="AE432" i="6"/>
  <c r="AG431" i="6"/>
  <c r="AH431" i="6" s="1"/>
  <c r="AF431" i="6"/>
  <c r="AE431" i="6"/>
  <c r="AG430" i="6"/>
  <c r="AH430" i="6" s="1"/>
  <c r="AF430" i="6"/>
  <c r="AE430" i="6"/>
  <c r="AG429" i="6"/>
  <c r="AH429" i="6" s="1"/>
  <c r="AF429" i="6"/>
  <c r="AE429" i="6"/>
  <c r="AG428" i="6"/>
  <c r="AH428" i="6" s="1"/>
  <c r="AF428" i="6"/>
  <c r="AE428" i="6"/>
  <c r="AG427" i="6"/>
  <c r="AH427" i="6" s="1"/>
  <c r="AF427" i="6"/>
  <c r="AE427" i="6"/>
  <c r="AG426" i="6"/>
  <c r="AH426" i="6" s="1"/>
  <c r="AF426" i="6"/>
  <c r="AE426" i="6"/>
  <c r="AG425" i="6"/>
  <c r="AH425" i="6" s="1"/>
  <c r="AF425" i="6"/>
  <c r="AE425" i="6"/>
  <c r="AG424" i="6"/>
  <c r="AH424" i="6" s="1"/>
  <c r="AF424" i="6"/>
  <c r="AE424" i="6"/>
  <c r="AG423" i="6"/>
  <c r="AH423" i="6" s="1"/>
  <c r="AF423" i="6"/>
  <c r="AE423" i="6"/>
  <c r="AG422" i="6"/>
  <c r="AH422" i="6" s="1"/>
  <c r="AF422" i="6"/>
  <c r="AE422" i="6"/>
  <c r="AG421" i="6"/>
  <c r="AH421" i="6" s="1"/>
  <c r="AF421" i="6"/>
  <c r="AE421" i="6"/>
  <c r="AG420" i="6"/>
  <c r="AH420" i="6" s="1"/>
  <c r="AF420" i="6"/>
  <c r="AE420" i="6"/>
  <c r="AG419" i="6"/>
  <c r="AH419" i="6" s="1"/>
  <c r="AF419" i="6"/>
  <c r="AE419" i="6"/>
  <c r="AG418" i="6"/>
  <c r="AH418" i="6" s="1"/>
  <c r="AF418" i="6"/>
  <c r="AE418" i="6"/>
  <c r="AG417" i="6"/>
  <c r="AH417" i="6" s="1"/>
  <c r="AF417" i="6"/>
  <c r="AE417" i="6"/>
  <c r="AG416" i="6"/>
  <c r="AH416" i="6" s="1"/>
  <c r="AF416" i="6"/>
  <c r="AE416" i="6"/>
  <c r="AG415" i="6"/>
  <c r="AH415" i="6" s="1"/>
  <c r="AF415" i="6"/>
  <c r="AE415" i="6"/>
  <c r="AG414" i="6"/>
  <c r="AH414" i="6" s="1"/>
  <c r="AF414" i="6"/>
  <c r="AE414" i="6"/>
  <c r="AG413" i="6"/>
  <c r="AH413" i="6" s="1"/>
  <c r="AF413" i="6"/>
  <c r="AE413" i="6"/>
  <c r="AG412" i="6"/>
  <c r="AH412" i="6" s="1"/>
  <c r="AF412" i="6"/>
  <c r="AE412" i="6"/>
  <c r="AG411" i="6"/>
  <c r="AH411" i="6" s="1"/>
  <c r="AF411" i="6"/>
  <c r="AE411" i="6"/>
  <c r="AG410" i="6"/>
  <c r="AH410" i="6" s="1"/>
  <c r="AF410" i="6"/>
  <c r="AE410" i="6"/>
  <c r="AG409" i="6"/>
  <c r="AH409" i="6" s="1"/>
  <c r="AF409" i="6"/>
  <c r="AE409" i="6"/>
  <c r="AG408" i="6"/>
  <c r="AH408" i="6" s="1"/>
  <c r="AF408" i="6"/>
  <c r="AE408" i="6"/>
  <c r="AG407" i="6"/>
  <c r="AH407" i="6" s="1"/>
  <c r="AF407" i="6"/>
  <c r="AE407" i="6"/>
  <c r="AG406" i="6"/>
  <c r="AH406" i="6" s="1"/>
  <c r="AF406" i="6"/>
  <c r="AE406" i="6"/>
  <c r="AG405" i="6"/>
  <c r="AH405" i="6" s="1"/>
  <c r="AF405" i="6"/>
  <c r="AE405" i="6"/>
  <c r="AG404" i="6"/>
  <c r="AH404" i="6" s="1"/>
  <c r="AF404" i="6"/>
  <c r="AE404" i="6"/>
  <c r="AG403" i="6"/>
  <c r="AH403" i="6" s="1"/>
  <c r="AF403" i="6"/>
  <c r="AE403" i="6"/>
  <c r="AG402" i="6"/>
  <c r="AH402" i="6" s="1"/>
  <c r="AF402" i="6"/>
  <c r="AE402" i="6"/>
  <c r="AG401" i="6"/>
  <c r="AH401" i="6" s="1"/>
  <c r="AF401" i="6"/>
  <c r="AE401" i="6"/>
  <c r="AG400" i="6"/>
  <c r="AH400" i="6" s="1"/>
  <c r="AF400" i="6"/>
  <c r="AE400" i="6"/>
  <c r="AG399" i="6"/>
  <c r="AH399" i="6" s="1"/>
  <c r="AF399" i="6"/>
  <c r="AE399" i="6"/>
  <c r="AG398" i="6"/>
  <c r="AH398" i="6" s="1"/>
  <c r="AF398" i="6"/>
  <c r="AE398" i="6"/>
  <c r="AG397" i="6"/>
  <c r="AH397" i="6" s="1"/>
  <c r="AF397" i="6"/>
  <c r="AE397" i="6"/>
  <c r="AG396" i="6"/>
  <c r="AH396" i="6" s="1"/>
  <c r="AF396" i="6"/>
  <c r="AE396" i="6"/>
  <c r="AG395" i="6"/>
  <c r="AH395" i="6" s="1"/>
  <c r="AF395" i="6"/>
  <c r="AE395" i="6"/>
  <c r="AG394" i="6"/>
  <c r="AH394" i="6" s="1"/>
  <c r="AF394" i="6"/>
  <c r="AE394" i="6"/>
  <c r="AG393" i="6"/>
  <c r="AH393" i="6" s="1"/>
  <c r="AF393" i="6"/>
  <c r="AE393" i="6"/>
  <c r="AG392" i="6"/>
  <c r="AH392" i="6" s="1"/>
  <c r="AF392" i="6"/>
  <c r="AE392" i="6"/>
  <c r="AG391" i="6"/>
  <c r="AH391" i="6" s="1"/>
  <c r="AF391" i="6"/>
  <c r="AE391" i="6"/>
  <c r="AG390" i="6"/>
  <c r="AH390" i="6" s="1"/>
  <c r="AF390" i="6"/>
  <c r="AE390" i="6"/>
  <c r="AG389" i="6"/>
  <c r="AH389" i="6" s="1"/>
  <c r="AF389" i="6"/>
  <c r="AE389" i="6"/>
  <c r="AG388" i="6"/>
  <c r="AH388" i="6" s="1"/>
  <c r="AF388" i="6"/>
  <c r="AE388" i="6"/>
  <c r="AG387" i="6"/>
  <c r="AH387" i="6" s="1"/>
  <c r="AF387" i="6"/>
  <c r="AE387" i="6"/>
  <c r="AG386" i="6"/>
  <c r="AH386" i="6" s="1"/>
  <c r="AF386" i="6"/>
  <c r="AE386" i="6"/>
  <c r="AG385" i="6"/>
  <c r="AH385" i="6" s="1"/>
  <c r="AF385" i="6"/>
  <c r="AE385" i="6"/>
  <c r="AG384" i="6"/>
  <c r="AH384" i="6" s="1"/>
  <c r="AF384" i="6"/>
  <c r="AE384" i="6"/>
  <c r="AG383" i="6"/>
  <c r="AH383" i="6" s="1"/>
  <c r="AF383" i="6"/>
  <c r="AE383" i="6"/>
  <c r="AG382" i="6"/>
  <c r="AH382" i="6" s="1"/>
  <c r="AF382" i="6"/>
  <c r="AE382" i="6"/>
  <c r="AG381" i="6"/>
  <c r="AH381" i="6" s="1"/>
  <c r="AF381" i="6"/>
  <c r="AE381" i="6"/>
  <c r="AG380" i="6"/>
  <c r="AH380" i="6" s="1"/>
  <c r="AF380" i="6"/>
  <c r="AE380" i="6"/>
  <c r="AG379" i="6"/>
  <c r="AH379" i="6" s="1"/>
  <c r="AF379" i="6"/>
  <c r="AE379" i="6"/>
  <c r="AG378" i="6"/>
  <c r="AH378" i="6" s="1"/>
  <c r="AF378" i="6"/>
  <c r="AE378" i="6"/>
  <c r="AG377" i="6"/>
  <c r="AH377" i="6" s="1"/>
  <c r="AF377" i="6"/>
  <c r="AE377" i="6"/>
  <c r="AG376" i="6"/>
  <c r="AH376" i="6" s="1"/>
  <c r="AF376" i="6"/>
  <c r="AE376" i="6"/>
  <c r="AG375" i="6"/>
  <c r="AH375" i="6" s="1"/>
  <c r="AF375" i="6"/>
  <c r="AE375" i="6"/>
  <c r="AG374" i="6"/>
  <c r="AH374" i="6" s="1"/>
  <c r="AF374" i="6"/>
  <c r="AE374" i="6"/>
  <c r="AG373" i="6"/>
  <c r="AH373" i="6" s="1"/>
  <c r="AF373" i="6"/>
  <c r="AE373" i="6"/>
  <c r="AG372" i="6"/>
  <c r="AH372" i="6" s="1"/>
  <c r="AF372" i="6"/>
  <c r="AE372" i="6"/>
  <c r="AG371" i="6"/>
  <c r="AH371" i="6" s="1"/>
  <c r="AF371" i="6"/>
  <c r="AE371" i="6"/>
  <c r="AG370" i="6"/>
  <c r="AH370" i="6" s="1"/>
  <c r="AF370" i="6"/>
  <c r="AE370" i="6"/>
  <c r="AG369" i="6"/>
  <c r="AH369" i="6" s="1"/>
  <c r="AF369" i="6"/>
  <c r="AE369" i="6"/>
  <c r="AG368" i="6"/>
  <c r="AH368" i="6" s="1"/>
  <c r="AF368" i="6"/>
  <c r="AE368" i="6"/>
  <c r="AG367" i="6"/>
  <c r="AH367" i="6" s="1"/>
  <c r="AF367" i="6"/>
  <c r="AE367" i="6"/>
  <c r="AG366" i="6"/>
  <c r="AH366" i="6" s="1"/>
  <c r="AF366" i="6"/>
  <c r="AE366" i="6"/>
  <c r="AG365" i="6"/>
  <c r="AH365" i="6" s="1"/>
  <c r="AF365" i="6"/>
  <c r="AE365" i="6"/>
  <c r="AG364" i="6"/>
  <c r="AH364" i="6" s="1"/>
  <c r="AF364" i="6"/>
  <c r="AE364" i="6"/>
  <c r="AG363" i="6"/>
  <c r="AH363" i="6" s="1"/>
  <c r="AF363" i="6"/>
  <c r="AE363" i="6"/>
  <c r="AG362" i="6"/>
  <c r="AH362" i="6" s="1"/>
  <c r="AF362" i="6"/>
  <c r="AE362" i="6"/>
  <c r="AG361" i="6"/>
  <c r="AH361" i="6" s="1"/>
  <c r="AF361" i="6"/>
  <c r="AE361" i="6"/>
  <c r="AG360" i="6"/>
  <c r="AH360" i="6" s="1"/>
  <c r="AF360" i="6"/>
  <c r="AE360" i="6"/>
  <c r="AG359" i="6"/>
  <c r="AH359" i="6" s="1"/>
  <c r="AF359" i="6"/>
  <c r="AE359" i="6"/>
  <c r="AG358" i="6"/>
  <c r="AH358" i="6" s="1"/>
  <c r="AF358" i="6"/>
  <c r="AE358" i="6"/>
  <c r="AG357" i="6"/>
  <c r="AH357" i="6" s="1"/>
  <c r="AF357" i="6"/>
  <c r="AE357" i="6"/>
  <c r="AG356" i="6"/>
  <c r="AH356" i="6" s="1"/>
  <c r="AF356" i="6"/>
  <c r="AE356" i="6"/>
  <c r="AG355" i="6"/>
  <c r="AH355" i="6" s="1"/>
  <c r="AF355" i="6"/>
  <c r="AE355" i="6"/>
  <c r="AG354" i="6"/>
  <c r="AH354" i="6" s="1"/>
  <c r="AF354" i="6"/>
  <c r="AE354" i="6"/>
  <c r="AG353" i="6"/>
  <c r="AH353" i="6" s="1"/>
  <c r="AF353" i="6"/>
  <c r="AE353" i="6"/>
  <c r="AG352" i="6"/>
  <c r="AH352" i="6" s="1"/>
  <c r="AF352" i="6"/>
  <c r="AE352" i="6"/>
  <c r="AG351" i="6"/>
  <c r="AH351" i="6" s="1"/>
  <c r="AF351" i="6"/>
  <c r="AE351" i="6"/>
  <c r="AG350" i="6"/>
  <c r="AH350" i="6" s="1"/>
  <c r="AF350" i="6"/>
  <c r="AE350" i="6"/>
  <c r="AG349" i="6"/>
  <c r="AH349" i="6" s="1"/>
  <c r="AF349" i="6"/>
  <c r="AE349" i="6"/>
  <c r="AG348" i="6"/>
  <c r="AH348" i="6" s="1"/>
  <c r="AF348" i="6"/>
  <c r="AE348" i="6"/>
  <c r="AG347" i="6"/>
  <c r="AH347" i="6" s="1"/>
  <c r="AF347" i="6"/>
  <c r="AE347" i="6"/>
  <c r="AG346" i="6"/>
  <c r="AH346" i="6" s="1"/>
  <c r="AF346" i="6"/>
  <c r="AE346" i="6"/>
  <c r="AG345" i="6"/>
  <c r="AH345" i="6" s="1"/>
  <c r="AF345" i="6"/>
  <c r="AE345" i="6"/>
  <c r="AG344" i="6"/>
  <c r="AH344" i="6" s="1"/>
  <c r="AF344" i="6"/>
  <c r="AE344" i="6"/>
  <c r="AG343" i="6"/>
  <c r="AH343" i="6" s="1"/>
  <c r="AF343" i="6"/>
  <c r="AE343" i="6"/>
  <c r="AG342" i="6"/>
  <c r="AH342" i="6" s="1"/>
  <c r="AF342" i="6"/>
  <c r="AE342" i="6"/>
  <c r="AG341" i="6"/>
  <c r="AH341" i="6" s="1"/>
  <c r="AF341" i="6"/>
  <c r="AE341" i="6"/>
  <c r="AG340" i="6"/>
  <c r="AH340" i="6" s="1"/>
  <c r="AF340" i="6"/>
  <c r="AE340" i="6"/>
  <c r="AG339" i="6"/>
  <c r="AH339" i="6" s="1"/>
  <c r="AF339" i="6"/>
  <c r="AE339" i="6"/>
  <c r="AG338" i="6"/>
  <c r="AH338" i="6" s="1"/>
  <c r="AF338" i="6"/>
  <c r="AE338" i="6"/>
  <c r="AG337" i="6"/>
  <c r="AH337" i="6" s="1"/>
  <c r="AF337" i="6"/>
  <c r="AE337" i="6"/>
  <c r="AG336" i="6"/>
  <c r="AH336" i="6" s="1"/>
  <c r="AF336" i="6"/>
  <c r="AE336" i="6"/>
  <c r="AG335" i="6"/>
  <c r="AH335" i="6" s="1"/>
  <c r="AF335" i="6"/>
  <c r="AE335" i="6"/>
  <c r="AG334" i="6"/>
  <c r="AH334" i="6" s="1"/>
  <c r="AF334" i="6"/>
  <c r="AE334" i="6"/>
  <c r="AG333" i="6"/>
  <c r="AH333" i="6" s="1"/>
  <c r="AF333" i="6"/>
  <c r="AE333" i="6"/>
  <c r="AG332" i="6"/>
  <c r="AH332" i="6" s="1"/>
  <c r="AF332" i="6"/>
  <c r="AE332" i="6"/>
  <c r="AG331" i="6"/>
  <c r="AH331" i="6" s="1"/>
  <c r="AF331" i="6"/>
  <c r="AE331" i="6"/>
  <c r="AG330" i="6"/>
  <c r="AH330" i="6" s="1"/>
  <c r="AF330" i="6"/>
  <c r="AE330" i="6"/>
  <c r="AG329" i="6"/>
  <c r="AH329" i="6" s="1"/>
  <c r="AF329" i="6"/>
  <c r="AE329" i="6"/>
  <c r="AG328" i="6"/>
  <c r="AH328" i="6" s="1"/>
  <c r="AF328" i="6"/>
  <c r="AE328" i="6"/>
  <c r="AG327" i="6"/>
  <c r="AH327" i="6" s="1"/>
  <c r="AF327" i="6"/>
  <c r="AE327" i="6"/>
  <c r="AG326" i="6"/>
  <c r="AH326" i="6" s="1"/>
  <c r="AF326" i="6"/>
  <c r="AE326" i="6"/>
  <c r="AG325" i="6"/>
  <c r="AH325" i="6" s="1"/>
  <c r="AF325" i="6"/>
  <c r="AE325" i="6"/>
  <c r="AG324" i="6"/>
  <c r="AH324" i="6" s="1"/>
  <c r="AF324" i="6"/>
  <c r="AE324" i="6"/>
  <c r="AG323" i="6"/>
  <c r="AH323" i="6" s="1"/>
  <c r="AF323" i="6"/>
  <c r="AE323" i="6"/>
  <c r="AG322" i="6"/>
  <c r="AH322" i="6" s="1"/>
  <c r="AF322" i="6"/>
  <c r="AE322" i="6"/>
  <c r="AG321" i="6"/>
  <c r="AH321" i="6" s="1"/>
  <c r="AF321" i="6"/>
  <c r="AE321" i="6"/>
  <c r="AG320" i="6"/>
  <c r="AH320" i="6" s="1"/>
  <c r="AF320" i="6"/>
  <c r="AE320" i="6"/>
  <c r="AG319" i="6"/>
  <c r="AH319" i="6" s="1"/>
  <c r="AF319" i="6"/>
  <c r="AE319" i="6"/>
  <c r="AG318" i="6"/>
  <c r="AH318" i="6" s="1"/>
  <c r="AF318" i="6"/>
  <c r="AE318" i="6"/>
  <c r="AG317" i="6"/>
  <c r="AH317" i="6" s="1"/>
  <c r="AF317" i="6"/>
  <c r="AE317" i="6"/>
  <c r="AG316" i="6"/>
  <c r="AH316" i="6" s="1"/>
  <c r="AF316" i="6"/>
  <c r="AE316" i="6"/>
  <c r="AG315" i="6"/>
  <c r="AH315" i="6" s="1"/>
  <c r="AF315" i="6"/>
  <c r="AE315" i="6"/>
  <c r="AG314" i="6"/>
  <c r="AH314" i="6" s="1"/>
  <c r="AF314" i="6"/>
  <c r="AE314" i="6"/>
  <c r="AG313" i="6"/>
  <c r="AH313" i="6" s="1"/>
  <c r="AF313" i="6"/>
  <c r="AE313" i="6"/>
  <c r="AG312" i="6"/>
  <c r="AH312" i="6" s="1"/>
  <c r="AF312" i="6"/>
  <c r="AE312" i="6"/>
  <c r="AG311" i="6"/>
  <c r="AH311" i="6" s="1"/>
  <c r="AF311" i="6"/>
  <c r="AE311" i="6"/>
  <c r="AG310" i="6"/>
  <c r="AH310" i="6" s="1"/>
  <c r="AF310" i="6"/>
  <c r="AE310" i="6"/>
  <c r="AG309" i="6"/>
  <c r="AH309" i="6" s="1"/>
  <c r="AF309" i="6"/>
  <c r="AE309" i="6"/>
  <c r="AG308" i="6"/>
  <c r="AH308" i="6" s="1"/>
  <c r="AF308" i="6"/>
  <c r="AE308" i="6"/>
  <c r="AG307" i="6"/>
  <c r="AH307" i="6" s="1"/>
  <c r="AF307" i="6"/>
  <c r="AE307" i="6"/>
  <c r="AG306" i="6"/>
  <c r="AH306" i="6" s="1"/>
  <c r="AF306" i="6"/>
  <c r="AE306" i="6"/>
  <c r="AG305" i="6"/>
  <c r="AH305" i="6" s="1"/>
  <c r="AF305" i="6"/>
  <c r="AE305" i="6"/>
  <c r="AG304" i="6"/>
  <c r="AH304" i="6" s="1"/>
  <c r="AF304" i="6"/>
  <c r="AE304" i="6"/>
  <c r="AG303" i="6"/>
  <c r="AH303" i="6" s="1"/>
  <c r="AF303" i="6"/>
  <c r="AE303" i="6"/>
  <c r="AG302" i="6"/>
  <c r="AH302" i="6" s="1"/>
  <c r="AF302" i="6"/>
  <c r="AE302" i="6"/>
  <c r="AG301" i="6"/>
  <c r="AH301" i="6" s="1"/>
  <c r="AF301" i="6"/>
  <c r="AE301" i="6"/>
  <c r="AG300" i="6"/>
  <c r="AH300" i="6" s="1"/>
  <c r="AF300" i="6"/>
  <c r="AE300" i="6"/>
  <c r="AG299" i="6"/>
  <c r="AH299" i="6" s="1"/>
  <c r="AF299" i="6"/>
  <c r="AE299" i="6"/>
  <c r="AG298" i="6"/>
  <c r="AH298" i="6" s="1"/>
  <c r="AF298" i="6"/>
  <c r="AE298" i="6"/>
  <c r="AG297" i="6"/>
  <c r="AH297" i="6" s="1"/>
  <c r="AF297" i="6"/>
  <c r="AE297" i="6"/>
  <c r="AG296" i="6"/>
  <c r="AH296" i="6" s="1"/>
  <c r="AF296" i="6"/>
  <c r="AE296" i="6"/>
  <c r="AG295" i="6"/>
  <c r="AH295" i="6" s="1"/>
  <c r="AF295" i="6"/>
  <c r="AE295" i="6"/>
  <c r="AG294" i="6"/>
  <c r="AH294" i="6" s="1"/>
  <c r="AF294" i="6"/>
  <c r="AE294" i="6"/>
  <c r="AG293" i="6"/>
  <c r="AH293" i="6" s="1"/>
  <c r="AF293" i="6"/>
  <c r="AE293" i="6"/>
  <c r="AG292" i="6"/>
  <c r="AH292" i="6" s="1"/>
  <c r="AF292" i="6"/>
  <c r="AE292" i="6"/>
  <c r="AG291" i="6"/>
  <c r="AH291" i="6" s="1"/>
  <c r="AF291" i="6"/>
  <c r="AE291" i="6"/>
  <c r="AG290" i="6"/>
  <c r="AH290" i="6" s="1"/>
  <c r="AF290" i="6"/>
  <c r="AE290" i="6"/>
  <c r="AG289" i="6"/>
  <c r="AH289" i="6" s="1"/>
  <c r="AF289" i="6"/>
  <c r="AE289" i="6"/>
  <c r="AG288" i="6"/>
  <c r="AH288" i="6" s="1"/>
  <c r="AF288" i="6"/>
  <c r="AE288" i="6"/>
  <c r="AG287" i="6"/>
  <c r="AH287" i="6" s="1"/>
  <c r="AF287" i="6"/>
  <c r="AE287" i="6"/>
  <c r="AG286" i="6"/>
  <c r="AH286" i="6" s="1"/>
  <c r="AF286" i="6"/>
  <c r="AE286" i="6"/>
  <c r="AG285" i="6"/>
  <c r="AH285" i="6" s="1"/>
  <c r="AF285" i="6"/>
  <c r="AE285" i="6"/>
  <c r="AG284" i="6"/>
  <c r="AH284" i="6" s="1"/>
  <c r="AF284" i="6"/>
  <c r="AE284" i="6"/>
  <c r="AG283" i="6"/>
  <c r="AH283" i="6" s="1"/>
  <c r="AF283" i="6"/>
  <c r="AE283" i="6"/>
  <c r="AG282" i="6"/>
  <c r="AH282" i="6" s="1"/>
  <c r="AF282" i="6"/>
  <c r="AE282" i="6"/>
  <c r="AG281" i="6"/>
  <c r="AH281" i="6" s="1"/>
  <c r="AF281" i="6"/>
  <c r="AE281" i="6"/>
  <c r="AG280" i="6"/>
  <c r="AH280" i="6" s="1"/>
  <c r="AF280" i="6"/>
  <c r="AE280" i="6"/>
  <c r="AG279" i="6"/>
  <c r="AH279" i="6" s="1"/>
  <c r="AF279" i="6"/>
  <c r="AE279" i="6"/>
  <c r="AG278" i="6"/>
  <c r="AH278" i="6" s="1"/>
  <c r="AF278" i="6"/>
  <c r="AE278" i="6"/>
  <c r="AG277" i="6"/>
  <c r="AH277" i="6" s="1"/>
  <c r="AF277" i="6"/>
  <c r="AE277" i="6"/>
  <c r="AG276" i="6"/>
  <c r="AH276" i="6" s="1"/>
  <c r="AF276" i="6"/>
  <c r="AE276" i="6"/>
  <c r="AG275" i="6"/>
  <c r="AH275" i="6" s="1"/>
  <c r="AF275" i="6"/>
  <c r="AE275" i="6"/>
  <c r="AG274" i="6"/>
  <c r="AH274" i="6" s="1"/>
  <c r="AF274" i="6"/>
  <c r="AE274" i="6"/>
  <c r="AG273" i="6"/>
  <c r="AH273" i="6" s="1"/>
  <c r="AF273" i="6"/>
  <c r="AE273" i="6"/>
  <c r="AG272" i="6"/>
  <c r="AH272" i="6" s="1"/>
  <c r="AF272" i="6"/>
  <c r="AE272" i="6"/>
  <c r="AG271" i="6"/>
  <c r="AH271" i="6" s="1"/>
  <c r="AF271" i="6"/>
  <c r="AE271" i="6"/>
  <c r="AG270" i="6"/>
  <c r="AH270" i="6" s="1"/>
  <c r="AF270" i="6"/>
  <c r="AE270" i="6"/>
  <c r="AG269" i="6"/>
  <c r="AH269" i="6" s="1"/>
  <c r="AF269" i="6"/>
  <c r="AE269" i="6"/>
  <c r="AG268" i="6"/>
  <c r="AH268" i="6" s="1"/>
  <c r="AF268" i="6"/>
  <c r="AE268" i="6"/>
  <c r="AG267" i="6"/>
  <c r="AH267" i="6" s="1"/>
  <c r="AF267" i="6"/>
  <c r="AE267" i="6"/>
  <c r="AG266" i="6"/>
  <c r="AH266" i="6" s="1"/>
  <c r="AF266" i="6"/>
  <c r="AE266" i="6"/>
  <c r="AG265" i="6"/>
  <c r="AH265" i="6" s="1"/>
  <c r="AF265" i="6"/>
  <c r="AE265" i="6"/>
  <c r="AG264" i="6"/>
  <c r="AH264" i="6" s="1"/>
  <c r="AF264" i="6"/>
  <c r="AE264" i="6"/>
  <c r="AG263" i="6"/>
  <c r="AH263" i="6" s="1"/>
  <c r="AF263" i="6"/>
  <c r="AE263" i="6"/>
  <c r="AG262" i="6"/>
  <c r="AH262" i="6" s="1"/>
  <c r="AF262" i="6"/>
  <c r="AE262" i="6"/>
  <c r="AG261" i="6"/>
  <c r="AH261" i="6" s="1"/>
  <c r="AF261" i="6"/>
  <c r="AE261" i="6"/>
  <c r="AG260" i="6"/>
  <c r="AH260" i="6" s="1"/>
  <c r="AF260" i="6"/>
  <c r="AE260" i="6"/>
  <c r="AG259" i="6"/>
  <c r="AH259" i="6" s="1"/>
  <c r="AF259" i="6"/>
  <c r="AE259" i="6"/>
  <c r="AG258" i="6"/>
  <c r="AH258" i="6" s="1"/>
  <c r="AF258" i="6"/>
  <c r="AE258" i="6"/>
  <c r="AG257" i="6"/>
  <c r="AH257" i="6" s="1"/>
  <c r="AF257" i="6"/>
  <c r="AE257" i="6"/>
  <c r="AG256" i="6"/>
  <c r="AH256" i="6" s="1"/>
  <c r="AF256" i="6"/>
  <c r="AE256" i="6"/>
  <c r="AG255" i="6"/>
  <c r="AH255" i="6" s="1"/>
  <c r="AF255" i="6"/>
  <c r="AE255" i="6"/>
  <c r="AG254" i="6"/>
  <c r="AH254" i="6" s="1"/>
  <c r="AF254" i="6"/>
  <c r="AE254" i="6"/>
  <c r="AG253" i="6"/>
  <c r="AH253" i="6" s="1"/>
  <c r="AF253" i="6"/>
  <c r="AE253" i="6"/>
  <c r="AG252" i="6"/>
  <c r="AH252" i="6" s="1"/>
  <c r="AF252" i="6"/>
  <c r="AE252" i="6"/>
  <c r="AG251" i="6"/>
  <c r="AH251" i="6" s="1"/>
  <c r="AF251" i="6"/>
  <c r="AE251" i="6"/>
  <c r="AG250" i="6"/>
  <c r="AH250" i="6" s="1"/>
  <c r="AF250" i="6"/>
  <c r="AE250" i="6"/>
  <c r="AG249" i="6"/>
  <c r="AH249" i="6" s="1"/>
  <c r="AF249" i="6"/>
  <c r="AE249" i="6"/>
  <c r="AG248" i="6"/>
  <c r="AH248" i="6" s="1"/>
  <c r="AF248" i="6"/>
  <c r="AE248" i="6"/>
  <c r="AG247" i="6"/>
  <c r="AH247" i="6" s="1"/>
  <c r="AF247" i="6"/>
  <c r="AE247" i="6"/>
  <c r="AG246" i="6"/>
  <c r="AH246" i="6" s="1"/>
  <c r="AF246" i="6"/>
  <c r="AE246" i="6"/>
  <c r="AG245" i="6"/>
  <c r="AH245" i="6" s="1"/>
  <c r="AF245" i="6"/>
  <c r="AE245" i="6"/>
  <c r="AG244" i="6"/>
  <c r="AH244" i="6" s="1"/>
  <c r="AF244" i="6"/>
  <c r="AE244" i="6"/>
  <c r="AG243" i="6"/>
  <c r="AH243" i="6" s="1"/>
  <c r="AF243" i="6"/>
  <c r="AE243" i="6"/>
  <c r="AG242" i="6"/>
  <c r="AH242" i="6" s="1"/>
  <c r="AF242" i="6"/>
  <c r="AE242" i="6"/>
  <c r="AG241" i="6"/>
  <c r="AH241" i="6" s="1"/>
  <c r="AF241" i="6"/>
  <c r="AE241" i="6"/>
  <c r="AG240" i="6"/>
  <c r="AH240" i="6" s="1"/>
  <c r="AF240" i="6"/>
  <c r="AE240" i="6"/>
  <c r="AG239" i="6"/>
  <c r="AH239" i="6" s="1"/>
  <c r="AF239" i="6"/>
  <c r="AE239" i="6"/>
  <c r="AG238" i="6"/>
  <c r="AH238" i="6" s="1"/>
  <c r="AF238" i="6"/>
  <c r="AE238" i="6"/>
  <c r="AG237" i="6"/>
  <c r="AH237" i="6" s="1"/>
  <c r="AF237" i="6"/>
  <c r="AE237" i="6"/>
  <c r="AG236" i="6"/>
  <c r="AH236" i="6" s="1"/>
  <c r="AF236" i="6"/>
  <c r="AE236" i="6"/>
  <c r="AG235" i="6"/>
  <c r="AH235" i="6" s="1"/>
  <c r="AF235" i="6"/>
  <c r="AE235" i="6"/>
  <c r="AG234" i="6"/>
  <c r="AH234" i="6" s="1"/>
  <c r="AF234" i="6"/>
  <c r="AE234" i="6"/>
  <c r="AG233" i="6"/>
  <c r="AH233" i="6" s="1"/>
  <c r="AF233" i="6"/>
  <c r="AE233" i="6"/>
  <c r="AG232" i="6"/>
  <c r="AH232" i="6" s="1"/>
  <c r="AF232" i="6"/>
  <c r="AE232" i="6"/>
  <c r="AG231" i="6"/>
  <c r="AH231" i="6" s="1"/>
  <c r="AF231" i="6"/>
  <c r="AE231" i="6"/>
  <c r="AG230" i="6"/>
  <c r="AH230" i="6" s="1"/>
  <c r="AF230" i="6"/>
  <c r="AE230" i="6"/>
  <c r="AG229" i="6"/>
  <c r="AH229" i="6" s="1"/>
  <c r="AF229" i="6"/>
  <c r="AE229" i="6"/>
  <c r="AG228" i="6"/>
  <c r="AH228" i="6" s="1"/>
  <c r="AF228" i="6"/>
  <c r="AE228" i="6"/>
  <c r="AG227" i="6"/>
  <c r="AH227" i="6" s="1"/>
  <c r="AF227" i="6"/>
  <c r="AE227" i="6"/>
  <c r="AG226" i="6"/>
  <c r="AH226" i="6" s="1"/>
  <c r="AF226" i="6"/>
  <c r="AE226" i="6"/>
  <c r="AG225" i="6"/>
  <c r="AH225" i="6" s="1"/>
  <c r="AF225" i="6"/>
  <c r="AE225" i="6"/>
  <c r="AG224" i="6"/>
  <c r="AH224" i="6" s="1"/>
  <c r="AF224" i="6"/>
  <c r="AE224" i="6"/>
  <c r="AG223" i="6"/>
  <c r="AH223" i="6" s="1"/>
  <c r="AF223" i="6"/>
  <c r="AE223" i="6"/>
  <c r="AG222" i="6"/>
  <c r="AH222" i="6" s="1"/>
  <c r="AF222" i="6"/>
  <c r="AE222" i="6"/>
  <c r="AG221" i="6"/>
  <c r="AH221" i="6" s="1"/>
  <c r="AF221" i="6"/>
  <c r="AE221" i="6"/>
  <c r="AG220" i="6"/>
  <c r="AH220" i="6" s="1"/>
  <c r="AF220" i="6"/>
  <c r="AE220" i="6"/>
  <c r="AG219" i="6"/>
  <c r="AH219" i="6" s="1"/>
  <c r="AF219" i="6"/>
  <c r="AE219" i="6"/>
  <c r="AG218" i="6"/>
  <c r="AH218" i="6" s="1"/>
  <c r="AF218" i="6"/>
  <c r="AE218" i="6"/>
  <c r="AG217" i="6"/>
  <c r="AH217" i="6" s="1"/>
  <c r="AF217" i="6"/>
  <c r="AE217" i="6"/>
  <c r="AG216" i="6"/>
  <c r="AH216" i="6" s="1"/>
  <c r="AF216" i="6"/>
  <c r="AE216" i="6"/>
  <c r="AG215" i="6"/>
  <c r="AH215" i="6" s="1"/>
  <c r="AF215" i="6"/>
  <c r="AE215" i="6"/>
  <c r="AG214" i="6"/>
  <c r="AH214" i="6" s="1"/>
  <c r="AF214" i="6"/>
  <c r="AE214" i="6"/>
  <c r="AG213" i="6"/>
  <c r="AH213" i="6" s="1"/>
  <c r="AF213" i="6"/>
  <c r="AE213" i="6"/>
  <c r="AG212" i="6"/>
  <c r="AH212" i="6" s="1"/>
  <c r="AF212" i="6"/>
  <c r="AE212" i="6"/>
  <c r="AG211" i="6"/>
  <c r="AH211" i="6" s="1"/>
  <c r="AF211" i="6"/>
  <c r="AE211" i="6"/>
  <c r="AG210" i="6"/>
  <c r="AH210" i="6" s="1"/>
  <c r="AF210" i="6"/>
  <c r="AE210" i="6"/>
  <c r="AG209" i="6"/>
  <c r="AH209" i="6" s="1"/>
  <c r="AF209" i="6"/>
  <c r="AE209" i="6"/>
  <c r="AG208" i="6"/>
  <c r="AH208" i="6" s="1"/>
  <c r="AF208" i="6"/>
  <c r="AE208" i="6"/>
  <c r="AG207" i="6"/>
  <c r="AH207" i="6" s="1"/>
  <c r="AF207" i="6"/>
  <c r="AE207" i="6"/>
  <c r="AG206" i="6"/>
  <c r="AH206" i="6" s="1"/>
  <c r="AF206" i="6"/>
  <c r="AE206" i="6"/>
  <c r="AG205" i="6"/>
  <c r="AH205" i="6" s="1"/>
  <c r="AF205" i="6"/>
  <c r="AE205" i="6"/>
  <c r="AG204" i="6"/>
  <c r="AH204" i="6" s="1"/>
  <c r="AF204" i="6"/>
  <c r="AE204" i="6"/>
  <c r="AG203" i="6"/>
  <c r="AH203" i="6" s="1"/>
  <c r="AF203" i="6"/>
  <c r="AE203" i="6"/>
  <c r="AG202" i="6"/>
  <c r="AH202" i="6" s="1"/>
  <c r="AF202" i="6"/>
  <c r="AE202" i="6"/>
  <c r="AG201" i="6"/>
  <c r="AH201" i="6" s="1"/>
  <c r="AF201" i="6"/>
  <c r="AE201" i="6"/>
  <c r="AG200" i="6"/>
  <c r="AH200" i="6" s="1"/>
  <c r="AF200" i="6"/>
  <c r="AE200" i="6"/>
  <c r="AG199" i="6"/>
  <c r="AH199" i="6" s="1"/>
  <c r="AF199" i="6"/>
  <c r="AE199" i="6"/>
  <c r="AG198" i="6"/>
  <c r="AH198" i="6" s="1"/>
  <c r="AF198" i="6"/>
  <c r="AE198" i="6"/>
  <c r="AG197" i="6"/>
  <c r="AH197" i="6" s="1"/>
  <c r="AF197" i="6"/>
  <c r="AE197" i="6"/>
  <c r="AG196" i="6"/>
  <c r="AH196" i="6" s="1"/>
  <c r="AF196" i="6"/>
  <c r="AE196" i="6"/>
  <c r="AG195" i="6"/>
  <c r="AH195" i="6" s="1"/>
  <c r="AF195" i="6"/>
  <c r="AE195" i="6"/>
  <c r="AG194" i="6"/>
  <c r="AH194" i="6" s="1"/>
  <c r="AF194" i="6"/>
  <c r="AE194" i="6"/>
  <c r="AG193" i="6"/>
  <c r="AH193" i="6" s="1"/>
  <c r="AF193" i="6"/>
  <c r="AE193" i="6"/>
  <c r="AG192" i="6"/>
  <c r="AH192" i="6" s="1"/>
  <c r="AF192" i="6"/>
  <c r="AE192" i="6"/>
  <c r="AG191" i="6"/>
  <c r="AH191" i="6" s="1"/>
  <c r="AF191" i="6"/>
  <c r="AE191" i="6"/>
  <c r="AG190" i="6"/>
  <c r="AH190" i="6" s="1"/>
  <c r="AF190" i="6"/>
  <c r="AE190" i="6"/>
  <c r="AG189" i="6"/>
  <c r="AH189" i="6" s="1"/>
  <c r="AF189" i="6"/>
  <c r="AE189" i="6"/>
  <c r="AG188" i="6"/>
  <c r="AH188" i="6" s="1"/>
  <c r="AF188" i="6"/>
  <c r="AE188" i="6"/>
  <c r="AG187" i="6"/>
  <c r="AH187" i="6" s="1"/>
  <c r="AF187" i="6"/>
  <c r="AE187" i="6"/>
  <c r="AG186" i="6"/>
  <c r="AH186" i="6" s="1"/>
  <c r="AF186" i="6"/>
  <c r="AE186" i="6"/>
  <c r="AG185" i="6"/>
  <c r="AH185" i="6" s="1"/>
  <c r="AF185" i="6"/>
  <c r="AE185" i="6"/>
  <c r="AG184" i="6"/>
  <c r="AH184" i="6" s="1"/>
  <c r="AF184" i="6"/>
  <c r="AE184" i="6"/>
  <c r="AG183" i="6"/>
  <c r="AH183" i="6" s="1"/>
  <c r="AF183" i="6"/>
  <c r="AE183" i="6"/>
  <c r="AG182" i="6"/>
  <c r="AH182" i="6" s="1"/>
  <c r="AF182" i="6"/>
  <c r="AE182" i="6"/>
  <c r="AG181" i="6"/>
  <c r="AH181" i="6" s="1"/>
  <c r="AF181" i="6"/>
  <c r="AE181" i="6"/>
  <c r="AG180" i="6"/>
  <c r="AH180" i="6" s="1"/>
  <c r="AF180" i="6"/>
  <c r="AE180" i="6"/>
  <c r="AG179" i="6"/>
  <c r="AH179" i="6" s="1"/>
  <c r="AF179" i="6"/>
  <c r="AE179" i="6"/>
  <c r="AG178" i="6"/>
  <c r="AH178" i="6" s="1"/>
  <c r="AF178" i="6"/>
  <c r="AE178" i="6"/>
  <c r="AG177" i="6"/>
  <c r="AH177" i="6" s="1"/>
  <c r="AF177" i="6"/>
  <c r="AE177" i="6"/>
  <c r="AG176" i="6"/>
  <c r="AH176" i="6" s="1"/>
  <c r="AF176" i="6"/>
  <c r="AE176" i="6"/>
  <c r="AG175" i="6"/>
  <c r="AH175" i="6" s="1"/>
  <c r="AF175" i="6"/>
  <c r="AE175" i="6"/>
  <c r="AG174" i="6"/>
  <c r="AH174" i="6" s="1"/>
  <c r="AF174" i="6"/>
  <c r="AE174" i="6"/>
  <c r="AG173" i="6"/>
  <c r="AH173" i="6" s="1"/>
  <c r="AF173" i="6"/>
  <c r="AE173" i="6"/>
  <c r="AG172" i="6"/>
  <c r="AH172" i="6" s="1"/>
  <c r="AF172" i="6"/>
  <c r="AE172" i="6"/>
  <c r="AG171" i="6"/>
  <c r="AH171" i="6" s="1"/>
  <c r="AF171" i="6"/>
  <c r="AE171" i="6"/>
  <c r="AG170" i="6"/>
  <c r="AH170" i="6" s="1"/>
  <c r="AF170" i="6"/>
  <c r="AE170" i="6"/>
  <c r="AG169" i="6"/>
  <c r="AH169" i="6" s="1"/>
  <c r="AF169" i="6"/>
  <c r="AE169" i="6"/>
  <c r="AG168" i="6"/>
  <c r="AH168" i="6" s="1"/>
  <c r="AF168" i="6"/>
  <c r="AE168" i="6"/>
  <c r="AG167" i="6"/>
  <c r="AH167" i="6" s="1"/>
  <c r="AF167" i="6"/>
  <c r="AE167" i="6"/>
  <c r="AG166" i="6"/>
  <c r="AH166" i="6" s="1"/>
  <c r="AF166" i="6"/>
  <c r="AE166" i="6"/>
  <c r="AG165" i="6"/>
  <c r="AH165" i="6" s="1"/>
  <c r="AF165" i="6"/>
  <c r="AE165" i="6"/>
  <c r="AG164" i="6"/>
  <c r="AH164" i="6" s="1"/>
  <c r="AF164" i="6"/>
  <c r="AE164" i="6"/>
  <c r="AG163" i="6"/>
  <c r="AH163" i="6" s="1"/>
  <c r="AF163" i="6"/>
  <c r="AE163" i="6"/>
  <c r="AG162" i="6"/>
  <c r="AH162" i="6" s="1"/>
  <c r="AF162" i="6"/>
  <c r="AE162" i="6"/>
  <c r="AG161" i="6"/>
  <c r="AH161" i="6" s="1"/>
  <c r="AF161" i="6"/>
  <c r="AE161" i="6"/>
  <c r="AG160" i="6"/>
  <c r="AH160" i="6" s="1"/>
  <c r="AF160" i="6"/>
  <c r="AE160" i="6"/>
  <c r="AG159" i="6"/>
  <c r="AH159" i="6" s="1"/>
  <c r="AF159" i="6"/>
  <c r="AE159" i="6"/>
  <c r="AG158" i="6"/>
  <c r="AH158" i="6" s="1"/>
  <c r="AF158" i="6"/>
  <c r="AE158" i="6"/>
  <c r="AG157" i="6"/>
  <c r="AH157" i="6" s="1"/>
  <c r="AF157" i="6"/>
  <c r="AE157" i="6"/>
  <c r="AG156" i="6"/>
  <c r="AH156" i="6" s="1"/>
  <c r="AF156" i="6"/>
  <c r="AE156" i="6"/>
  <c r="AG155" i="6"/>
  <c r="AH155" i="6" s="1"/>
  <c r="AF155" i="6"/>
  <c r="AE155" i="6"/>
  <c r="AG154" i="6"/>
  <c r="AH154" i="6" s="1"/>
  <c r="AF154" i="6"/>
  <c r="AE154" i="6"/>
  <c r="AG153" i="6"/>
  <c r="AH153" i="6" s="1"/>
  <c r="AF153" i="6"/>
  <c r="AE153" i="6"/>
  <c r="AG152" i="6"/>
  <c r="AH152" i="6" s="1"/>
  <c r="AF152" i="6"/>
  <c r="AE152" i="6"/>
  <c r="AG151" i="6"/>
  <c r="AH151" i="6" s="1"/>
  <c r="AF151" i="6"/>
  <c r="AE151" i="6"/>
  <c r="AG150" i="6"/>
  <c r="AH150" i="6" s="1"/>
  <c r="AF150" i="6"/>
  <c r="AE150" i="6"/>
  <c r="AG149" i="6"/>
  <c r="AH149" i="6" s="1"/>
  <c r="AF149" i="6"/>
  <c r="AE149" i="6"/>
  <c r="AG148" i="6"/>
  <c r="AH148" i="6" s="1"/>
  <c r="AF148" i="6"/>
  <c r="AE148" i="6"/>
  <c r="AG147" i="6"/>
  <c r="AH147" i="6" s="1"/>
  <c r="AF147" i="6"/>
  <c r="AE147" i="6"/>
  <c r="AG146" i="6"/>
  <c r="AH146" i="6" s="1"/>
  <c r="AF146" i="6"/>
  <c r="AE146" i="6"/>
  <c r="AG145" i="6"/>
  <c r="AH145" i="6" s="1"/>
  <c r="AF145" i="6"/>
  <c r="AE145" i="6"/>
  <c r="AG144" i="6"/>
  <c r="AH144" i="6" s="1"/>
  <c r="AF144" i="6"/>
  <c r="AE144" i="6"/>
  <c r="AG143" i="6"/>
  <c r="AH143" i="6" s="1"/>
  <c r="AF143" i="6"/>
  <c r="AE143" i="6"/>
  <c r="AG142" i="6"/>
  <c r="AH142" i="6" s="1"/>
  <c r="AF142" i="6"/>
  <c r="AE142" i="6"/>
  <c r="AG141" i="6"/>
  <c r="AH141" i="6" s="1"/>
  <c r="AF141" i="6"/>
  <c r="AE141" i="6"/>
  <c r="AG140" i="6"/>
  <c r="AH140" i="6" s="1"/>
  <c r="AF140" i="6"/>
  <c r="AE140" i="6"/>
  <c r="AG139" i="6"/>
  <c r="AH139" i="6" s="1"/>
  <c r="AF139" i="6"/>
  <c r="AE139" i="6"/>
  <c r="AG138" i="6"/>
  <c r="AH138" i="6" s="1"/>
  <c r="AF138" i="6"/>
  <c r="AE138" i="6"/>
  <c r="AG137" i="6"/>
  <c r="AH137" i="6" s="1"/>
  <c r="AF137" i="6"/>
  <c r="AE137" i="6"/>
  <c r="AG136" i="6"/>
  <c r="AH136" i="6" s="1"/>
  <c r="AF136" i="6"/>
  <c r="AE136" i="6"/>
  <c r="AG135" i="6"/>
  <c r="AH135" i="6" s="1"/>
  <c r="AF135" i="6"/>
  <c r="AE135" i="6"/>
  <c r="AG134" i="6"/>
  <c r="AH134" i="6" s="1"/>
  <c r="AF134" i="6"/>
  <c r="AE134" i="6"/>
  <c r="AG133" i="6"/>
  <c r="AH133" i="6" s="1"/>
  <c r="AF133" i="6"/>
  <c r="AE133" i="6"/>
  <c r="AG132" i="6"/>
  <c r="AH132" i="6" s="1"/>
  <c r="AF132" i="6"/>
  <c r="AE132" i="6"/>
  <c r="AG131" i="6"/>
  <c r="AH131" i="6" s="1"/>
  <c r="AF131" i="6"/>
  <c r="AE131" i="6"/>
  <c r="AG130" i="6"/>
  <c r="AH130" i="6" s="1"/>
  <c r="AF130" i="6"/>
  <c r="AE130" i="6"/>
  <c r="AG129" i="6"/>
  <c r="AH129" i="6" s="1"/>
  <c r="AF129" i="6"/>
  <c r="AE129" i="6"/>
  <c r="AG128" i="6"/>
  <c r="AH128" i="6" s="1"/>
  <c r="AF128" i="6"/>
  <c r="AE128" i="6"/>
  <c r="AG127" i="6"/>
  <c r="AH127" i="6" s="1"/>
  <c r="AF127" i="6"/>
  <c r="AE127" i="6"/>
  <c r="AG126" i="6"/>
  <c r="AH126" i="6" s="1"/>
  <c r="AF126" i="6"/>
  <c r="AE126" i="6"/>
  <c r="AG125" i="6"/>
  <c r="AH125" i="6" s="1"/>
  <c r="AF125" i="6"/>
  <c r="AE125" i="6"/>
  <c r="AG124" i="6"/>
  <c r="AH124" i="6" s="1"/>
  <c r="AF124" i="6"/>
  <c r="AE124" i="6"/>
  <c r="AG123" i="6"/>
  <c r="AH123" i="6" s="1"/>
  <c r="AF123" i="6"/>
  <c r="AE123" i="6"/>
  <c r="AG122" i="6"/>
  <c r="AH122" i="6" s="1"/>
  <c r="AF122" i="6"/>
  <c r="AE122" i="6"/>
  <c r="AG121" i="6"/>
  <c r="AH121" i="6" s="1"/>
  <c r="AF121" i="6"/>
  <c r="AE121" i="6"/>
  <c r="AG120" i="6"/>
  <c r="AH120" i="6" s="1"/>
  <c r="AF120" i="6"/>
  <c r="AE120" i="6"/>
  <c r="AG119" i="6"/>
  <c r="AH119" i="6" s="1"/>
  <c r="AF119" i="6"/>
  <c r="AE119" i="6"/>
  <c r="AG118" i="6"/>
  <c r="AH118" i="6" s="1"/>
  <c r="AF118" i="6"/>
  <c r="AE118" i="6"/>
  <c r="AG117" i="6"/>
  <c r="AH117" i="6" s="1"/>
  <c r="AF117" i="6"/>
  <c r="AE117" i="6"/>
  <c r="AG116" i="6"/>
  <c r="AH116" i="6" s="1"/>
  <c r="AF116" i="6"/>
  <c r="AE116" i="6"/>
  <c r="AG115" i="6"/>
  <c r="AH115" i="6" s="1"/>
  <c r="AF115" i="6"/>
  <c r="AE115" i="6"/>
  <c r="AG114" i="6"/>
  <c r="AH114" i="6" s="1"/>
  <c r="AF114" i="6"/>
  <c r="AE114" i="6"/>
  <c r="AG113" i="6"/>
  <c r="AH113" i="6" s="1"/>
  <c r="AF113" i="6"/>
  <c r="AE113" i="6"/>
  <c r="AG112" i="6"/>
  <c r="AH112" i="6" s="1"/>
  <c r="AF112" i="6"/>
  <c r="AE112" i="6"/>
  <c r="AG111" i="6"/>
  <c r="AH111" i="6" s="1"/>
  <c r="AF111" i="6"/>
  <c r="AE111" i="6"/>
  <c r="AG110" i="6"/>
  <c r="AH110" i="6" s="1"/>
  <c r="AF110" i="6"/>
  <c r="AE110" i="6"/>
  <c r="AG109" i="6"/>
  <c r="AH109" i="6" s="1"/>
  <c r="AF109" i="6"/>
  <c r="AE109" i="6"/>
  <c r="AG108" i="6"/>
  <c r="AH108" i="6" s="1"/>
  <c r="AF108" i="6"/>
  <c r="AE108" i="6"/>
  <c r="AG107" i="6"/>
  <c r="AH107" i="6" s="1"/>
  <c r="AF107" i="6"/>
  <c r="AE107" i="6"/>
  <c r="AG106" i="6"/>
  <c r="AH106" i="6" s="1"/>
  <c r="AF106" i="6"/>
  <c r="AE106" i="6"/>
  <c r="AG105" i="6"/>
  <c r="AH105" i="6" s="1"/>
  <c r="AF105" i="6"/>
  <c r="AE105" i="6"/>
  <c r="AG104" i="6"/>
  <c r="AH104" i="6" s="1"/>
  <c r="AF104" i="6"/>
  <c r="AE104" i="6"/>
  <c r="AG103" i="6"/>
  <c r="AH103" i="6" s="1"/>
  <c r="AF103" i="6"/>
  <c r="AE103" i="6"/>
  <c r="AG102" i="6"/>
  <c r="AH102" i="6" s="1"/>
  <c r="AF102" i="6"/>
  <c r="AE102" i="6"/>
  <c r="AG101" i="6"/>
  <c r="AH101" i="6" s="1"/>
  <c r="AF101" i="6"/>
  <c r="AE101" i="6"/>
  <c r="AG100" i="6"/>
  <c r="AH100" i="6" s="1"/>
  <c r="AF100" i="6"/>
  <c r="AE100" i="6"/>
  <c r="AG99" i="6"/>
  <c r="AH99" i="6" s="1"/>
  <c r="AF99" i="6"/>
  <c r="AE99" i="6"/>
  <c r="AG98" i="6"/>
  <c r="AH98" i="6" s="1"/>
  <c r="AF98" i="6"/>
  <c r="AE98" i="6"/>
  <c r="AG97" i="6"/>
  <c r="AH97" i="6" s="1"/>
  <c r="AF97" i="6"/>
  <c r="AE97" i="6"/>
  <c r="AG96" i="6"/>
  <c r="AH96" i="6" s="1"/>
  <c r="AF96" i="6"/>
  <c r="AE96" i="6"/>
  <c r="AG95" i="6"/>
  <c r="AH95" i="6" s="1"/>
  <c r="AF95" i="6"/>
  <c r="AE95" i="6"/>
  <c r="AG94" i="6"/>
  <c r="AH94" i="6" s="1"/>
  <c r="AF94" i="6"/>
  <c r="AE94" i="6"/>
  <c r="AG93" i="6"/>
  <c r="AH93" i="6" s="1"/>
  <c r="AF93" i="6"/>
  <c r="AE93" i="6"/>
  <c r="AG92" i="6"/>
  <c r="AH92" i="6" s="1"/>
  <c r="AF92" i="6"/>
  <c r="AE92" i="6"/>
  <c r="AG91" i="6"/>
  <c r="AH91" i="6" s="1"/>
  <c r="AF91" i="6"/>
  <c r="AE91" i="6"/>
  <c r="AG90" i="6"/>
  <c r="AH90" i="6" s="1"/>
  <c r="AF90" i="6"/>
  <c r="AE90" i="6"/>
  <c r="AG89" i="6"/>
  <c r="AH89" i="6" s="1"/>
  <c r="AF89" i="6"/>
  <c r="AE89" i="6"/>
  <c r="AG88" i="6"/>
  <c r="AH88" i="6" s="1"/>
  <c r="AF88" i="6"/>
  <c r="AE88" i="6"/>
  <c r="AG87" i="6"/>
  <c r="AH87" i="6" s="1"/>
  <c r="AF87" i="6"/>
  <c r="AE87" i="6"/>
  <c r="AG86" i="6"/>
  <c r="AH86" i="6" s="1"/>
  <c r="AF86" i="6"/>
  <c r="AE86" i="6"/>
  <c r="AG85" i="6"/>
  <c r="AH85" i="6" s="1"/>
  <c r="AF85" i="6"/>
  <c r="AE85" i="6"/>
  <c r="AG84" i="6"/>
  <c r="AH84" i="6" s="1"/>
  <c r="AF84" i="6"/>
  <c r="AE84" i="6"/>
  <c r="AG83" i="6"/>
  <c r="AH83" i="6" s="1"/>
  <c r="AF83" i="6"/>
  <c r="AE83" i="6"/>
  <c r="AG82" i="6"/>
  <c r="AH82" i="6" s="1"/>
  <c r="AF82" i="6"/>
  <c r="AE82" i="6"/>
  <c r="AG81" i="6"/>
  <c r="AH81" i="6" s="1"/>
  <c r="AF81" i="6"/>
  <c r="AE81" i="6"/>
  <c r="AG80" i="6"/>
  <c r="AH80" i="6" s="1"/>
  <c r="AF80" i="6"/>
  <c r="AE80" i="6"/>
  <c r="AG79" i="6"/>
  <c r="AH79" i="6" s="1"/>
  <c r="AF79" i="6"/>
  <c r="AE79" i="6"/>
  <c r="AG78" i="6"/>
  <c r="AH78" i="6" s="1"/>
  <c r="AF78" i="6"/>
  <c r="AE78" i="6"/>
  <c r="AG77" i="6"/>
  <c r="AH77" i="6" s="1"/>
  <c r="AF77" i="6"/>
  <c r="AE77" i="6"/>
  <c r="AG76" i="6"/>
  <c r="AH76" i="6" s="1"/>
  <c r="AF76" i="6"/>
  <c r="AE76" i="6"/>
  <c r="AG75" i="6"/>
  <c r="AH75" i="6" s="1"/>
  <c r="AF75" i="6"/>
  <c r="AE75" i="6"/>
  <c r="AG74" i="6"/>
  <c r="AH74" i="6" s="1"/>
  <c r="AF74" i="6"/>
  <c r="AE74" i="6"/>
  <c r="AG73" i="6"/>
  <c r="AH73" i="6" s="1"/>
  <c r="AF73" i="6"/>
  <c r="AE73" i="6"/>
  <c r="AG72" i="6"/>
  <c r="AH72" i="6" s="1"/>
  <c r="AF72" i="6"/>
  <c r="AE72" i="6"/>
  <c r="AG71" i="6"/>
  <c r="AH71" i="6" s="1"/>
  <c r="AF71" i="6"/>
  <c r="AE71" i="6"/>
  <c r="AG70" i="6"/>
  <c r="AH70" i="6" s="1"/>
  <c r="AF70" i="6"/>
  <c r="AE70" i="6"/>
  <c r="AG69" i="6"/>
  <c r="AH69" i="6" s="1"/>
  <c r="AF69" i="6"/>
  <c r="AE69" i="6"/>
  <c r="AG68" i="6"/>
  <c r="AH68" i="6" s="1"/>
  <c r="AF68" i="6"/>
  <c r="AE68" i="6"/>
  <c r="AG67" i="6"/>
  <c r="AH67" i="6" s="1"/>
  <c r="AF67" i="6"/>
  <c r="AE67" i="6"/>
  <c r="AG66" i="6"/>
  <c r="AH66" i="6" s="1"/>
  <c r="AF66" i="6"/>
  <c r="AE66" i="6"/>
  <c r="AG65" i="6"/>
  <c r="AH65" i="6" s="1"/>
  <c r="AF65" i="6"/>
  <c r="AE65" i="6"/>
  <c r="AG64" i="6"/>
  <c r="AH64" i="6" s="1"/>
  <c r="AF64" i="6"/>
  <c r="AE64" i="6"/>
  <c r="AG63" i="6"/>
  <c r="AH63" i="6" s="1"/>
  <c r="AF63" i="6"/>
  <c r="AE63" i="6"/>
  <c r="AG62" i="6"/>
  <c r="AH62" i="6" s="1"/>
  <c r="AF62" i="6"/>
  <c r="AE62" i="6"/>
  <c r="AG61" i="6"/>
  <c r="AH61" i="6" s="1"/>
  <c r="AF61" i="6"/>
  <c r="AE61" i="6"/>
  <c r="AG60" i="6"/>
  <c r="AH60" i="6" s="1"/>
  <c r="AF60" i="6"/>
  <c r="AE60" i="6"/>
  <c r="AG59" i="6"/>
  <c r="AH59" i="6" s="1"/>
  <c r="AF59" i="6"/>
  <c r="AE59" i="6"/>
  <c r="AG58" i="6"/>
  <c r="AH58" i="6" s="1"/>
  <c r="AF58" i="6"/>
  <c r="AE58" i="6"/>
  <c r="AG57" i="6"/>
  <c r="AH57" i="6" s="1"/>
  <c r="AF57" i="6"/>
  <c r="AE57" i="6"/>
  <c r="AG56" i="6"/>
  <c r="AH56" i="6" s="1"/>
  <c r="AF56" i="6"/>
  <c r="AE56" i="6"/>
  <c r="AG55" i="6"/>
  <c r="AH55" i="6" s="1"/>
  <c r="AF55" i="6"/>
  <c r="AE55" i="6"/>
  <c r="AG54" i="6"/>
  <c r="AH54" i="6" s="1"/>
  <c r="AF54" i="6"/>
  <c r="AE54" i="6"/>
  <c r="AG53" i="6"/>
  <c r="AH53" i="6" s="1"/>
  <c r="AF53" i="6"/>
  <c r="AE53" i="6"/>
  <c r="AG52" i="6"/>
  <c r="AH52" i="6" s="1"/>
  <c r="AF52" i="6"/>
  <c r="AE52" i="6"/>
  <c r="AG51" i="6"/>
  <c r="AH51" i="6" s="1"/>
  <c r="AF51" i="6"/>
  <c r="AE51" i="6"/>
  <c r="AG50" i="6"/>
  <c r="AH50" i="6" s="1"/>
  <c r="AF50" i="6"/>
  <c r="AE50" i="6"/>
  <c r="AG49" i="6"/>
  <c r="AH49" i="6" s="1"/>
  <c r="AF49" i="6"/>
  <c r="AE49" i="6"/>
  <c r="AG48" i="6"/>
  <c r="AH48" i="6" s="1"/>
  <c r="AF48" i="6"/>
  <c r="AE48" i="6"/>
  <c r="AG47" i="6"/>
  <c r="AH47" i="6" s="1"/>
  <c r="AF47" i="6"/>
  <c r="AE47" i="6"/>
  <c r="AG46" i="6"/>
  <c r="AH46" i="6" s="1"/>
  <c r="AF46" i="6"/>
  <c r="AE46" i="6"/>
  <c r="AG45" i="6"/>
  <c r="AH45" i="6" s="1"/>
  <c r="AF45" i="6"/>
  <c r="AE45" i="6"/>
  <c r="AG44" i="6"/>
  <c r="AH44" i="6" s="1"/>
  <c r="AF44" i="6"/>
  <c r="AE44" i="6"/>
  <c r="AG43" i="6"/>
  <c r="AH43" i="6" s="1"/>
  <c r="AF43" i="6"/>
  <c r="AE43" i="6"/>
  <c r="AG42" i="6"/>
  <c r="AH42" i="6" s="1"/>
  <c r="AF42" i="6"/>
  <c r="AE42" i="6"/>
  <c r="AG41" i="6"/>
  <c r="AH41" i="6" s="1"/>
  <c r="AF41" i="6"/>
  <c r="AE41" i="6"/>
  <c r="AG40" i="6"/>
  <c r="AH40" i="6" s="1"/>
  <c r="AF40" i="6"/>
  <c r="AE40" i="6"/>
  <c r="AG39" i="6"/>
  <c r="AH39" i="6" s="1"/>
  <c r="AF39" i="6"/>
  <c r="AE39" i="6"/>
  <c r="AG38" i="6"/>
  <c r="AH38" i="6" s="1"/>
  <c r="AF38" i="6"/>
  <c r="AE38" i="6"/>
  <c r="AG37" i="6"/>
  <c r="AH37" i="6" s="1"/>
  <c r="AF37" i="6"/>
  <c r="AE37" i="6"/>
  <c r="AG36" i="6"/>
  <c r="AH36" i="6" s="1"/>
  <c r="AF36" i="6"/>
  <c r="AE36" i="6"/>
  <c r="AG35" i="6"/>
  <c r="AH35" i="6" s="1"/>
  <c r="AF35" i="6"/>
  <c r="AE35" i="6"/>
  <c r="AG34" i="6"/>
  <c r="AH34" i="6" s="1"/>
  <c r="AF34" i="6"/>
  <c r="AE34" i="6"/>
  <c r="AG33" i="6"/>
  <c r="AH33" i="6" s="1"/>
  <c r="AF33" i="6"/>
  <c r="AE33" i="6"/>
  <c r="AG32" i="6"/>
  <c r="AH32" i="6" s="1"/>
  <c r="AF32" i="6"/>
  <c r="AE32" i="6"/>
  <c r="AG31" i="6"/>
  <c r="AH31" i="6" s="1"/>
  <c r="AF31" i="6"/>
  <c r="AE31" i="6"/>
  <c r="AG30" i="6"/>
  <c r="AH30" i="6" s="1"/>
  <c r="AF30" i="6"/>
  <c r="AE30" i="6"/>
  <c r="AG29" i="6"/>
  <c r="AH29" i="6" s="1"/>
  <c r="AF29" i="6"/>
  <c r="AE29" i="6"/>
  <c r="AG28" i="6"/>
  <c r="AH28" i="6" s="1"/>
  <c r="AF28" i="6"/>
  <c r="AE28" i="6"/>
  <c r="AG27" i="6"/>
  <c r="AH27" i="6" s="1"/>
  <c r="AF27" i="6"/>
  <c r="AE27" i="6"/>
  <c r="AG26" i="6"/>
  <c r="AH26" i="6" s="1"/>
  <c r="AF26" i="6"/>
  <c r="AE26" i="6"/>
  <c r="AG25" i="6"/>
  <c r="AH25" i="6" s="1"/>
  <c r="AF25" i="6"/>
  <c r="AE25" i="6"/>
  <c r="AG24" i="6"/>
  <c r="AH24" i="6" s="1"/>
  <c r="AF24" i="6"/>
  <c r="AE24" i="6"/>
  <c r="AG23" i="6"/>
  <c r="AH23" i="6" s="1"/>
  <c r="AF23" i="6"/>
  <c r="AE23" i="6"/>
  <c r="AG22" i="6"/>
  <c r="AH22" i="6" s="1"/>
  <c r="AF22" i="6"/>
  <c r="AE22" i="6"/>
  <c r="AG21" i="6"/>
  <c r="AH21" i="6" s="1"/>
  <c r="AF21" i="6"/>
  <c r="AE21" i="6"/>
  <c r="AG20" i="6"/>
  <c r="AH20" i="6" s="1"/>
  <c r="AF20" i="6"/>
  <c r="AE20" i="6"/>
  <c r="AG19" i="6"/>
  <c r="AH19" i="6" s="1"/>
  <c r="AF19" i="6"/>
  <c r="AE19" i="6"/>
  <c r="AG18" i="6"/>
  <c r="AH18" i="6" s="1"/>
  <c r="AF18" i="6"/>
  <c r="AE18" i="6"/>
  <c r="AG17" i="6"/>
  <c r="AH17" i="6" s="1"/>
  <c r="AF17" i="6"/>
  <c r="AE17" i="6"/>
  <c r="AG16" i="6"/>
  <c r="AH16" i="6" s="1"/>
  <c r="AF16" i="6"/>
  <c r="AE16" i="6"/>
  <c r="AG15" i="6"/>
  <c r="AH15" i="6" s="1"/>
  <c r="AF15" i="6"/>
  <c r="AE15" i="6"/>
  <c r="AG14" i="6"/>
  <c r="AH14" i="6" s="1"/>
  <c r="AF14" i="6"/>
  <c r="AE14" i="6"/>
  <c r="AG13" i="6"/>
  <c r="AH13" i="6" s="1"/>
  <c r="AF13" i="6"/>
  <c r="AE13" i="6"/>
  <c r="AG12" i="6"/>
  <c r="AH12" i="6" s="1"/>
  <c r="AF12" i="6"/>
  <c r="AE12" i="6"/>
  <c r="AG11" i="6"/>
  <c r="AH11" i="6" s="1"/>
  <c r="AF11" i="6"/>
  <c r="AE11" i="6"/>
  <c r="AG10" i="6"/>
  <c r="AH10" i="6" s="1"/>
  <c r="AF10" i="6"/>
  <c r="AE10" i="6"/>
  <c r="AG9" i="6"/>
  <c r="AH9" i="6" s="1"/>
  <c r="AF9" i="6"/>
  <c r="AE9" i="6"/>
  <c r="AG8" i="6"/>
  <c r="AH8" i="6" s="1"/>
  <c r="AF8" i="6"/>
  <c r="AE8" i="6"/>
  <c r="AG7" i="6"/>
  <c r="AH7" i="6" s="1"/>
  <c r="AF7" i="6"/>
  <c r="AE7" i="6"/>
  <c r="AG6" i="6"/>
  <c r="AH6" i="6" s="1"/>
  <c r="AF6" i="6"/>
  <c r="AE6" i="6"/>
  <c r="AG5" i="6"/>
  <c r="AH5" i="6" s="1"/>
  <c r="AF5" i="6"/>
  <c r="AE5" i="6"/>
  <c r="AG4" i="6"/>
  <c r="AH4" i="6" s="1"/>
  <c r="AF4" i="6"/>
  <c r="AE4" i="6"/>
  <c r="AG3" i="6"/>
  <c r="AH3" i="6" s="1"/>
  <c r="AF3" i="6"/>
  <c r="AE3" i="6"/>
  <c r="AG2" i="6"/>
  <c r="AH2" i="6" s="1"/>
  <c r="AF2" i="6"/>
  <c r="AE2" i="6"/>
  <c r="AU3000" i="5"/>
  <c r="AU2999" i="5"/>
  <c r="AU2998" i="5"/>
  <c r="AU2997" i="5"/>
  <c r="AU2996" i="5"/>
  <c r="AU2995" i="5"/>
  <c r="AU2994" i="5"/>
  <c r="AU2993" i="5"/>
  <c r="AU2992" i="5"/>
  <c r="AU2991" i="5"/>
  <c r="AU2990" i="5"/>
  <c r="AU2989" i="5"/>
  <c r="AU2988" i="5"/>
  <c r="AU2987" i="5"/>
  <c r="AU2986" i="5"/>
  <c r="AU2985" i="5"/>
  <c r="AU2984" i="5"/>
  <c r="AU2983" i="5"/>
  <c r="AU2982" i="5"/>
  <c r="AU2981" i="5"/>
  <c r="AU2980" i="5"/>
  <c r="AU2979" i="5"/>
  <c r="AU2978" i="5"/>
  <c r="AU2977" i="5"/>
  <c r="AU2976" i="5"/>
  <c r="AU2975" i="5"/>
  <c r="AU2974" i="5"/>
  <c r="AU2973" i="5"/>
  <c r="AU2972" i="5"/>
  <c r="AU2971" i="5"/>
  <c r="AU2970" i="5"/>
  <c r="AU2969" i="5"/>
  <c r="AU2968" i="5"/>
  <c r="AU2967" i="5"/>
  <c r="AU2966" i="5"/>
  <c r="AU2965" i="5"/>
  <c r="AU2964" i="5"/>
  <c r="AU2963" i="5"/>
  <c r="AU2962" i="5"/>
  <c r="AU2961" i="5"/>
  <c r="AU2960" i="5"/>
  <c r="AU2959" i="5"/>
  <c r="AU2958" i="5"/>
  <c r="AU2957" i="5"/>
  <c r="AU2956" i="5"/>
  <c r="AU2955" i="5"/>
  <c r="AU2954" i="5"/>
  <c r="AU2953" i="5"/>
  <c r="AU2952" i="5"/>
  <c r="AU2951" i="5"/>
  <c r="AU2950" i="5"/>
  <c r="AU2949" i="5"/>
  <c r="AU2948" i="5"/>
  <c r="AU2947" i="5"/>
  <c r="AU2946" i="5"/>
  <c r="AU2945" i="5"/>
  <c r="AU2944" i="5"/>
  <c r="AU2943" i="5"/>
  <c r="AU2942" i="5"/>
  <c r="AU2941" i="5"/>
  <c r="AU2940" i="5"/>
  <c r="AU2939" i="5"/>
  <c r="AU2938" i="5"/>
  <c r="AU2937" i="5"/>
  <c r="AU2936" i="5"/>
  <c r="AU2935" i="5"/>
  <c r="AU2934" i="5"/>
  <c r="AU2933" i="5"/>
  <c r="AU2932" i="5"/>
  <c r="AU2931" i="5"/>
  <c r="AU2930" i="5"/>
  <c r="AU2929" i="5"/>
  <c r="AU2928" i="5"/>
  <c r="AU2927" i="5"/>
  <c r="AU2926" i="5"/>
  <c r="AU2925" i="5"/>
  <c r="AU2924" i="5"/>
  <c r="AU2923" i="5"/>
  <c r="AU2922" i="5"/>
  <c r="AU2921" i="5"/>
  <c r="AU2920" i="5"/>
  <c r="AU2919" i="5"/>
  <c r="AU2918" i="5"/>
  <c r="AU2917" i="5"/>
  <c r="AU2916" i="5"/>
  <c r="AU2915" i="5"/>
  <c r="AU2914" i="5"/>
  <c r="AU2913" i="5"/>
  <c r="AU2912" i="5"/>
  <c r="AU2911" i="5"/>
  <c r="AU2910" i="5"/>
  <c r="AU2909" i="5"/>
  <c r="AU2908" i="5"/>
  <c r="AU2907" i="5"/>
  <c r="AU2906" i="5"/>
  <c r="AU2905" i="5"/>
  <c r="AU2904" i="5"/>
  <c r="AU2903" i="5"/>
  <c r="AU2902" i="5"/>
  <c r="AU2901" i="5"/>
  <c r="AU2900" i="5"/>
  <c r="AU2899" i="5"/>
  <c r="AU2898" i="5"/>
  <c r="AU2897" i="5"/>
  <c r="AU2896" i="5"/>
  <c r="AU2895" i="5"/>
  <c r="AU2894" i="5"/>
  <c r="AU2893" i="5"/>
  <c r="AU2892" i="5"/>
  <c r="AU2891" i="5"/>
  <c r="AU2890" i="5"/>
  <c r="AU2889" i="5"/>
  <c r="AU2888" i="5"/>
  <c r="AU2887" i="5"/>
  <c r="AU2886" i="5"/>
  <c r="AU2885" i="5"/>
  <c r="AU2884" i="5"/>
  <c r="AU2883" i="5"/>
  <c r="AU2882" i="5"/>
  <c r="AU2881" i="5"/>
  <c r="AU2880" i="5"/>
  <c r="AU2879" i="5"/>
  <c r="AU2878" i="5"/>
  <c r="AU2877" i="5"/>
  <c r="AU2876" i="5"/>
  <c r="AU2875" i="5"/>
  <c r="AU2874" i="5"/>
  <c r="AU2873" i="5"/>
  <c r="AU2872" i="5"/>
  <c r="AU2871" i="5"/>
  <c r="AU2870" i="5"/>
  <c r="AU2869" i="5"/>
  <c r="AU2868" i="5"/>
  <c r="AU2867" i="5"/>
  <c r="AU2866" i="5"/>
  <c r="AU2865" i="5"/>
  <c r="AU2864" i="5"/>
  <c r="AU2863" i="5"/>
  <c r="AU2862" i="5"/>
  <c r="AU2861" i="5"/>
  <c r="AU2860" i="5"/>
  <c r="AU2859" i="5"/>
  <c r="AU2858" i="5"/>
  <c r="AU2857" i="5"/>
  <c r="AU2856" i="5"/>
  <c r="AU2855" i="5"/>
  <c r="AU2854" i="5"/>
  <c r="AU2853" i="5"/>
  <c r="AU2852" i="5"/>
  <c r="AU2851" i="5"/>
  <c r="AU2850" i="5"/>
  <c r="AU2849" i="5"/>
  <c r="AU2848" i="5"/>
  <c r="AU2847" i="5"/>
  <c r="AU2846" i="5"/>
  <c r="AU2845" i="5"/>
  <c r="AU2844" i="5"/>
  <c r="AU2843" i="5"/>
  <c r="AU2842" i="5"/>
  <c r="AU2841" i="5"/>
  <c r="AU2840" i="5"/>
  <c r="AU2839" i="5"/>
  <c r="AU2838" i="5"/>
  <c r="AU2837" i="5"/>
  <c r="AU2836" i="5"/>
  <c r="AU2835" i="5"/>
  <c r="AU2834" i="5"/>
  <c r="AU2833" i="5"/>
  <c r="AU2832" i="5"/>
  <c r="AU2831" i="5"/>
  <c r="AU2830" i="5"/>
  <c r="AU2829" i="5"/>
  <c r="AU2828" i="5"/>
  <c r="AU2827" i="5"/>
  <c r="AU2826" i="5"/>
  <c r="AU2825" i="5"/>
  <c r="AU2824" i="5"/>
  <c r="AU2823" i="5"/>
  <c r="AU2822" i="5"/>
  <c r="AU2821" i="5"/>
  <c r="AU2820" i="5"/>
  <c r="AU2819" i="5"/>
  <c r="AU2818" i="5"/>
  <c r="AU2817" i="5"/>
  <c r="AU2816" i="5"/>
  <c r="AU2815" i="5"/>
  <c r="AU2814" i="5"/>
  <c r="AU2813" i="5"/>
  <c r="AU2812" i="5"/>
  <c r="AU2811" i="5"/>
  <c r="AU2810" i="5"/>
  <c r="AU2809" i="5"/>
  <c r="AU2808" i="5"/>
  <c r="AU2807" i="5"/>
  <c r="AU2806" i="5"/>
  <c r="AU2805" i="5"/>
  <c r="AU2804" i="5"/>
  <c r="AU2803" i="5"/>
  <c r="AU2802" i="5"/>
  <c r="AU2801" i="5"/>
  <c r="AU2800" i="5"/>
  <c r="AU2799" i="5"/>
  <c r="AU2798" i="5"/>
  <c r="AU2797" i="5"/>
  <c r="AU2796" i="5"/>
  <c r="AU2795" i="5"/>
  <c r="AU2794" i="5"/>
  <c r="AU2793" i="5"/>
  <c r="AU2792" i="5"/>
  <c r="AU2791" i="5"/>
  <c r="AU2790" i="5"/>
  <c r="AU2789" i="5"/>
  <c r="AU2788" i="5"/>
  <c r="AU2787" i="5"/>
  <c r="AU2786" i="5"/>
  <c r="AU2785" i="5"/>
  <c r="AU2784" i="5"/>
  <c r="AU2783" i="5"/>
  <c r="AU2782" i="5"/>
  <c r="AU2781" i="5"/>
  <c r="AU2780" i="5"/>
  <c r="AU2779" i="5"/>
  <c r="AU2778" i="5"/>
  <c r="AU2777" i="5"/>
  <c r="AU2776" i="5"/>
  <c r="AU2775" i="5"/>
  <c r="AU2774" i="5"/>
  <c r="AU2773" i="5"/>
  <c r="AU2772" i="5"/>
  <c r="AU2771" i="5"/>
  <c r="AU2770" i="5"/>
  <c r="AU2769" i="5"/>
  <c r="AU2768" i="5"/>
  <c r="AU2767" i="5"/>
  <c r="AU2766" i="5"/>
  <c r="AU2765" i="5"/>
  <c r="AU2764" i="5"/>
  <c r="AU2763" i="5"/>
  <c r="AU2762" i="5"/>
  <c r="AU2761" i="5"/>
  <c r="AU2760" i="5"/>
  <c r="AU2759" i="5"/>
  <c r="AU2758" i="5"/>
  <c r="AU2757" i="5"/>
  <c r="AU2756" i="5"/>
  <c r="AU2755" i="5"/>
  <c r="AU2754" i="5"/>
  <c r="AU2753" i="5"/>
  <c r="AU2752" i="5"/>
  <c r="AU2751" i="5"/>
  <c r="AU2750" i="5"/>
  <c r="AU2749" i="5"/>
  <c r="AU2748" i="5"/>
  <c r="AU2747" i="5"/>
  <c r="AU2746" i="5"/>
  <c r="AU2745" i="5"/>
  <c r="AU2744" i="5"/>
  <c r="AU2743" i="5"/>
  <c r="AU2742" i="5"/>
  <c r="AU2741" i="5"/>
  <c r="AU2740" i="5"/>
  <c r="AU2739" i="5"/>
  <c r="AU2738" i="5"/>
  <c r="AU2737" i="5"/>
  <c r="AU2736" i="5"/>
  <c r="AU2735" i="5"/>
  <c r="AU2734" i="5"/>
  <c r="AU2733" i="5"/>
  <c r="AU2732" i="5"/>
  <c r="AU2731" i="5"/>
  <c r="AU2730" i="5"/>
  <c r="AU2729" i="5"/>
  <c r="AU2728" i="5"/>
  <c r="AU2727" i="5"/>
  <c r="AU2726" i="5"/>
  <c r="AU2725" i="5"/>
  <c r="AU2724" i="5"/>
  <c r="AU2723" i="5"/>
  <c r="AU2722" i="5"/>
  <c r="AU2721" i="5"/>
  <c r="AU2720" i="5"/>
  <c r="AU2719" i="5"/>
  <c r="AU2718" i="5"/>
  <c r="AU2717" i="5"/>
  <c r="AU2716" i="5"/>
  <c r="AU2715" i="5"/>
  <c r="AU2714" i="5"/>
  <c r="AU2713" i="5"/>
  <c r="AU2712" i="5"/>
  <c r="AU2711" i="5"/>
  <c r="AU2710" i="5"/>
  <c r="AU2709" i="5"/>
  <c r="AU2708" i="5"/>
  <c r="AU2707" i="5"/>
  <c r="AU2706" i="5"/>
  <c r="AU2705" i="5"/>
  <c r="AU2704" i="5"/>
  <c r="AU2703" i="5"/>
  <c r="AU2702" i="5"/>
  <c r="AU2701" i="5"/>
  <c r="AU2700" i="5"/>
  <c r="AU2699" i="5"/>
  <c r="AU2698" i="5"/>
  <c r="AU2697" i="5"/>
  <c r="AU2696" i="5"/>
  <c r="AU2695" i="5"/>
  <c r="AU2694" i="5"/>
  <c r="AU2693" i="5"/>
  <c r="AU2692" i="5"/>
  <c r="AU2691" i="5"/>
  <c r="AU2690" i="5"/>
  <c r="AU2689" i="5"/>
  <c r="AU2688" i="5"/>
  <c r="AU2687" i="5"/>
  <c r="AU2686" i="5"/>
  <c r="AU2685" i="5"/>
  <c r="AU2684" i="5"/>
  <c r="AU2683" i="5"/>
  <c r="AU2682" i="5"/>
  <c r="AU2681" i="5"/>
  <c r="AU2680" i="5"/>
  <c r="AU2679" i="5"/>
  <c r="AU2678" i="5"/>
  <c r="AU2677" i="5"/>
  <c r="AU2676" i="5"/>
  <c r="AU2675" i="5"/>
  <c r="AU2674" i="5"/>
  <c r="AU2673" i="5"/>
  <c r="AU2672" i="5"/>
  <c r="AU2671" i="5"/>
  <c r="AU2670" i="5"/>
  <c r="AU2669" i="5"/>
  <c r="AU2668" i="5"/>
  <c r="AU2667" i="5"/>
  <c r="AU2666" i="5"/>
  <c r="AU2665" i="5"/>
  <c r="AU2664" i="5"/>
  <c r="AU2663" i="5"/>
  <c r="AU2662" i="5"/>
  <c r="AU2661" i="5"/>
  <c r="AU2660" i="5"/>
  <c r="AU2659" i="5"/>
  <c r="AU2658" i="5"/>
  <c r="AU2657" i="5"/>
  <c r="AU2656" i="5"/>
  <c r="AU2655" i="5"/>
  <c r="AU2654" i="5"/>
  <c r="AU2653" i="5"/>
  <c r="AU2652" i="5"/>
  <c r="AU2651" i="5"/>
  <c r="AU2650" i="5"/>
  <c r="AU2649" i="5"/>
  <c r="AU2648" i="5"/>
  <c r="AU2647" i="5"/>
  <c r="AU2646" i="5"/>
  <c r="AU2645" i="5"/>
  <c r="AU2644" i="5"/>
  <c r="AU2643" i="5"/>
  <c r="AU2642" i="5"/>
  <c r="AU2641" i="5"/>
  <c r="AU2640" i="5"/>
  <c r="AU2639" i="5"/>
  <c r="AU2638" i="5"/>
  <c r="AU2637" i="5"/>
  <c r="AU2636" i="5"/>
  <c r="AU2635" i="5"/>
  <c r="AU2634" i="5"/>
  <c r="AU2633" i="5"/>
  <c r="AU2632" i="5"/>
  <c r="AU2631" i="5"/>
  <c r="AU2630" i="5"/>
  <c r="AU2629" i="5"/>
  <c r="AU2628" i="5"/>
  <c r="AU2627" i="5"/>
  <c r="AU2626" i="5"/>
  <c r="AU2625" i="5"/>
  <c r="AU2624" i="5"/>
  <c r="AU2623" i="5"/>
  <c r="AU2622" i="5"/>
  <c r="AU2621" i="5"/>
  <c r="AU2620" i="5"/>
  <c r="AU2619" i="5"/>
  <c r="AU2618" i="5"/>
  <c r="AU2617" i="5"/>
  <c r="AU2616" i="5"/>
  <c r="AU2615" i="5"/>
  <c r="AU2614" i="5"/>
  <c r="AU2613" i="5"/>
  <c r="AU2612" i="5"/>
  <c r="AU2611" i="5"/>
  <c r="AU2610" i="5"/>
  <c r="AU2609" i="5"/>
  <c r="AU2608" i="5"/>
  <c r="AU2607" i="5"/>
  <c r="AU2606" i="5"/>
  <c r="AU2605" i="5"/>
  <c r="AU2604" i="5"/>
  <c r="AU2603" i="5"/>
  <c r="AU2602" i="5"/>
  <c r="AU2601" i="5"/>
  <c r="AU2600" i="5"/>
  <c r="AU2599" i="5"/>
  <c r="AU2598" i="5"/>
  <c r="AU2597" i="5"/>
  <c r="AU2596" i="5"/>
  <c r="AU2595" i="5"/>
  <c r="AU2594" i="5"/>
  <c r="AU2593" i="5"/>
  <c r="AU2592" i="5"/>
  <c r="AU2591" i="5"/>
  <c r="AU2590" i="5"/>
  <c r="AU2589" i="5"/>
  <c r="AU2588" i="5"/>
  <c r="AU2587" i="5"/>
  <c r="AU2586" i="5"/>
  <c r="AU2585" i="5"/>
  <c r="AU2584" i="5"/>
  <c r="AU2583" i="5"/>
  <c r="AU2582" i="5"/>
  <c r="AU2581" i="5"/>
  <c r="AU2580" i="5"/>
  <c r="AU2579" i="5"/>
  <c r="AU2578" i="5"/>
  <c r="AU2577" i="5"/>
  <c r="AU2576" i="5"/>
  <c r="AU2575" i="5"/>
  <c r="AU2574" i="5"/>
  <c r="AU2573" i="5"/>
  <c r="AU2572" i="5"/>
  <c r="AU2571" i="5"/>
  <c r="AU2570" i="5"/>
  <c r="AU2569" i="5"/>
  <c r="AU2568" i="5"/>
  <c r="AU2567" i="5"/>
  <c r="AU2566" i="5"/>
  <c r="AU2565" i="5"/>
  <c r="AU2564" i="5"/>
  <c r="AU2563" i="5"/>
  <c r="AU2562" i="5"/>
  <c r="AU2561" i="5"/>
  <c r="AU2560" i="5"/>
  <c r="AU2559" i="5"/>
  <c r="AU2558" i="5"/>
  <c r="AU2557" i="5"/>
  <c r="AU2556" i="5"/>
  <c r="AU2555" i="5"/>
  <c r="AU2554" i="5"/>
  <c r="AU2553" i="5"/>
  <c r="AU2552" i="5"/>
  <c r="AU2551" i="5"/>
  <c r="AU2550" i="5"/>
  <c r="AU2549" i="5"/>
  <c r="AU2548" i="5"/>
  <c r="AU2547" i="5"/>
  <c r="AU2546" i="5"/>
  <c r="AU2545" i="5"/>
  <c r="AU2544" i="5"/>
  <c r="AU2543" i="5"/>
  <c r="AU2542" i="5"/>
  <c r="AU2541" i="5"/>
  <c r="AU2540" i="5"/>
  <c r="AU2539" i="5"/>
  <c r="AU2538" i="5"/>
  <c r="AU2537" i="5"/>
  <c r="AU2536" i="5"/>
  <c r="AU2535" i="5"/>
  <c r="AU2534" i="5"/>
  <c r="AU2533" i="5"/>
  <c r="AU2532" i="5"/>
  <c r="AU2531" i="5"/>
  <c r="AU2530" i="5"/>
  <c r="AU2529" i="5"/>
  <c r="AU2528" i="5"/>
  <c r="AU2527" i="5"/>
  <c r="AU2526" i="5"/>
  <c r="AU2525" i="5"/>
  <c r="AU2524" i="5"/>
  <c r="AU2523" i="5"/>
  <c r="AU2522" i="5"/>
  <c r="AU2521" i="5"/>
  <c r="AU2520" i="5"/>
  <c r="AU2519" i="5"/>
  <c r="AU2518" i="5"/>
  <c r="AU2517" i="5"/>
  <c r="AU2516" i="5"/>
  <c r="AU2515" i="5"/>
  <c r="AU2514" i="5"/>
  <c r="AU2513" i="5"/>
  <c r="AU2512" i="5"/>
  <c r="AU2511" i="5"/>
  <c r="AU2510" i="5"/>
  <c r="AU2509" i="5"/>
  <c r="AU2508" i="5"/>
  <c r="AU2507" i="5"/>
  <c r="AU2506" i="5"/>
  <c r="AU2505" i="5"/>
  <c r="AU2504" i="5"/>
  <c r="AU2503" i="5"/>
  <c r="AU2502" i="5"/>
  <c r="AU2501" i="5"/>
  <c r="AU2500" i="5"/>
  <c r="AU2499" i="5"/>
  <c r="AU2498" i="5"/>
  <c r="AU2497" i="5"/>
  <c r="AU2496" i="5"/>
  <c r="AU2495" i="5"/>
  <c r="AU2494" i="5"/>
  <c r="AU2493" i="5"/>
  <c r="AU2492" i="5"/>
  <c r="AU2491" i="5"/>
  <c r="AU2490" i="5"/>
  <c r="AU2489" i="5"/>
  <c r="AU2488" i="5"/>
  <c r="AU2487" i="5"/>
  <c r="AU2486" i="5"/>
  <c r="AU2485" i="5"/>
  <c r="AU2484" i="5"/>
  <c r="AU2483" i="5"/>
  <c r="AU2482" i="5"/>
  <c r="AU2481" i="5"/>
  <c r="AU2480" i="5"/>
  <c r="AU2479" i="5"/>
  <c r="AU2478" i="5"/>
  <c r="AU2477" i="5"/>
  <c r="AU2476" i="5"/>
  <c r="AU2475" i="5"/>
  <c r="AU2474" i="5"/>
  <c r="AU2473" i="5"/>
  <c r="AU2472" i="5"/>
  <c r="AU2471" i="5"/>
  <c r="AU2470" i="5"/>
  <c r="AU2469" i="5"/>
  <c r="AU2468" i="5"/>
  <c r="AU2467" i="5"/>
  <c r="AU2466" i="5"/>
  <c r="AU2465" i="5"/>
  <c r="AU2464" i="5"/>
  <c r="AU2463" i="5"/>
  <c r="AU2462" i="5"/>
  <c r="AU2461" i="5"/>
  <c r="AU2460" i="5"/>
  <c r="AU2459" i="5"/>
  <c r="AU2458" i="5"/>
  <c r="AU2457" i="5"/>
  <c r="AU2456" i="5"/>
  <c r="AU2455" i="5"/>
  <c r="AU2454" i="5"/>
  <c r="AU2453" i="5"/>
  <c r="AU2452" i="5"/>
  <c r="AU2451" i="5"/>
  <c r="AU2450" i="5"/>
  <c r="AU2449" i="5"/>
  <c r="AU2448" i="5"/>
  <c r="AU2447" i="5"/>
  <c r="AU2446" i="5"/>
  <c r="AU2445" i="5"/>
  <c r="AU2444" i="5"/>
  <c r="AU2443" i="5"/>
  <c r="AU2442" i="5"/>
  <c r="AU2441" i="5"/>
  <c r="AU2440" i="5"/>
  <c r="AU2439" i="5"/>
  <c r="AU2438" i="5"/>
  <c r="AU2437" i="5"/>
  <c r="AU2436" i="5"/>
  <c r="AU2435" i="5"/>
  <c r="AU2434" i="5"/>
  <c r="AU2433" i="5"/>
  <c r="AU2432" i="5"/>
  <c r="AU2431" i="5"/>
  <c r="AU2430" i="5"/>
  <c r="AU2429" i="5"/>
  <c r="AU2428" i="5"/>
  <c r="AU2427" i="5"/>
  <c r="AU2426" i="5"/>
  <c r="AU2425" i="5"/>
  <c r="AU2424" i="5"/>
  <c r="AU2423" i="5"/>
  <c r="AU2422" i="5"/>
  <c r="AU2421" i="5"/>
  <c r="AU2420" i="5"/>
  <c r="AU2419" i="5"/>
  <c r="AU2418" i="5"/>
  <c r="AU2417" i="5"/>
  <c r="AU2416" i="5"/>
  <c r="AU2415" i="5"/>
  <c r="AU2414" i="5"/>
  <c r="AU2413" i="5"/>
  <c r="AU2412" i="5"/>
  <c r="AU2411" i="5"/>
  <c r="AU2410" i="5"/>
  <c r="AU2409" i="5"/>
  <c r="AU2408" i="5"/>
  <c r="AU2407" i="5"/>
  <c r="AU2406" i="5"/>
  <c r="AU2405" i="5"/>
  <c r="AU2404" i="5"/>
  <c r="AU2403" i="5"/>
  <c r="AU2402" i="5"/>
  <c r="AU2401" i="5"/>
  <c r="AU2400" i="5"/>
  <c r="AU2399" i="5"/>
  <c r="AU2398" i="5"/>
  <c r="AU2397" i="5"/>
  <c r="AU2396" i="5"/>
  <c r="AU2395" i="5"/>
  <c r="AU2394" i="5"/>
  <c r="AU2393" i="5"/>
  <c r="AU2392" i="5"/>
  <c r="AU2391" i="5"/>
  <c r="AU2390" i="5"/>
  <c r="AU2389" i="5"/>
  <c r="AU2388" i="5"/>
  <c r="AU2387" i="5"/>
  <c r="AU2386" i="5"/>
  <c r="AU2385" i="5"/>
  <c r="AU2384" i="5"/>
  <c r="AU2383" i="5"/>
  <c r="AU2382" i="5"/>
  <c r="AU2381" i="5"/>
  <c r="AU2380" i="5"/>
  <c r="AU2379" i="5"/>
  <c r="AU2378" i="5"/>
  <c r="AU2377" i="5"/>
  <c r="AU2376" i="5"/>
  <c r="AU2375" i="5"/>
  <c r="AU2374" i="5"/>
  <c r="AU2373" i="5"/>
  <c r="AU2372" i="5"/>
  <c r="AU2371" i="5"/>
  <c r="AU2370" i="5"/>
  <c r="AU2369" i="5"/>
  <c r="AU2368" i="5"/>
  <c r="AU2367" i="5"/>
  <c r="AU2366" i="5"/>
  <c r="AU2365" i="5"/>
  <c r="AU2364" i="5"/>
  <c r="AU2363" i="5"/>
  <c r="AU2362" i="5"/>
  <c r="AU2361" i="5"/>
  <c r="AU2360" i="5"/>
  <c r="AU2359" i="5"/>
  <c r="AU2358" i="5"/>
  <c r="AU2357" i="5"/>
  <c r="AU2356" i="5"/>
  <c r="AU2355" i="5"/>
  <c r="AU2354" i="5"/>
  <c r="AU2353" i="5"/>
  <c r="AU2352" i="5"/>
  <c r="AU2351" i="5"/>
  <c r="AU2350" i="5"/>
  <c r="AU2349" i="5"/>
  <c r="AU2348" i="5"/>
  <c r="AU2347" i="5"/>
  <c r="AU2346" i="5"/>
  <c r="AU2345" i="5"/>
  <c r="AU2344" i="5"/>
  <c r="AU2343" i="5"/>
  <c r="AU2342" i="5"/>
  <c r="AU2341" i="5"/>
  <c r="AU2340" i="5"/>
  <c r="AU2339" i="5"/>
  <c r="AU2338" i="5"/>
  <c r="AU2337" i="5"/>
  <c r="AU2336" i="5"/>
  <c r="AU2335" i="5"/>
  <c r="AU2334" i="5"/>
  <c r="AU2333" i="5"/>
  <c r="AU2332" i="5"/>
  <c r="AU2331" i="5"/>
  <c r="AU2330" i="5"/>
  <c r="AU2329" i="5"/>
  <c r="AU2328" i="5"/>
  <c r="AU2327" i="5"/>
  <c r="AU2326" i="5"/>
  <c r="AU2325" i="5"/>
  <c r="AU2324" i="5"/>
  <c r="AU2323" i="5"/>
  <c r="AU2322" i="5"/>
  <c r="AU2321" i="5"/>
  <c r="AU2320" i="5"/>
  <c r="AU2319" i="5"/>
  <c r="AU2318" i="5"/>
  <c r="AU2317" i="5"/>
  <c r="AU2316" i="5"/>
  <c r="AU2315" i="5"/>
  <c r="AU2314" i="5"/>
  <c r="AU2313" i="5"/>
  <c r="AU2312" i="5"/>
  <c r="AU2311" i="5"/>
  <c r="AU2310" i="5"/>
  <c r="AU2309" i="5"/>
  <c r="AU2308" i="5"/>
  <c r="AU2307" i="5"/>
  <c r="AU2306" i="5"/>
  <c r="AU2305" i="5"/>
  <c r="AU2304" i="5"/>
  <c r="AU2303" i="5"/>
  <c r="AU2302" i="5"/>
  <c r="AU2301" i="5"/>
  <c r="AU2300" i="5"/>
  <c r="AU2299" i="5"/>
  <c r="AU2298" i="5"/>
  <c r="AU2297" i="5"/>
  <c r="AU2296" i="5"/>
  <c r="AU2295" i="5"/>
  <c r="AU2294" i="5"/>
  <c r="AU2293" i="5"/>
  <c r="AU2292" i="5"/>
  <c r="AU2291" i="5"/>
  <c r="AU2290" i="5"/>
  <c r="AU2289" i="5"/>
  <c r="AU2288" i="5"/>
  <c r="AU2287" i="5"/>
  <c r="AU2286" i="5"/>
  <c r="AU2285" i="5"/>
  <c r="AU2284" i="5"/>
  <c r="AU2283" i="5"/>
  <c r="AU2282" i="5"/>
  <c r="AU2281" i="5"/>
  <c r="AU2280" i="5"/>
  <c r="AU2279" i="5"/>
  <c r="AU2278" i="5"/>
  <c r="AU2277" i="5"/>
  <c r="AU2276" i="5"/>
  <c r="AU2275" i="5"/>
  <c r="AU2274" i="5"/>
  <c r="AU2273" i="5"/>
  <c r="AU2272" i="5"/>
  <c r="AU2271" i="5"/>
  <c r="AU2270" i="5"/>
  <c r="AU2269" i="5"/>
  <c r="AU2268" i="5"/>
  <c r="AU2267" i="5"/>
  <c r="AU2266" i="5"/>
  <c r="AU2265" i="5"/>
  <c r="AU2264" i="5"/>
  <c r="AU2263" i="5"/>
  <c r="AU2262" i="5"/>
  <c r="AU2261" i="5"/>
  <c r="AU2260" i="5"/>
  <c r="AU2259" i="5"/>
  <c r="AU2258" i="5"/>
  <c r="AU2257" i="5"/>
  <c r="AU2256" i="5"/>
  <c r="AU2255" i="5"/>
  <c r="AU2254" i="5"/>
  <c r="AU2253" i="5"/>
  <c r="AU2252" i="5"/>
  <c r="AU2251" i="5"/>
  <c r="AU2250" i="5"/>
  <c r="AU2249" i="5"/>
  <c r="AU2248" i="5"/>
  <c r="AU2247" i="5"/>
  <c r="AU2246" i="5"/>
  <c r="AU2245" i="5"/>
  <c r="AU2244" i="5"/>
  <c r="AU2243" i="5"/>
  <c r="AU2242" i="5"/>
  <c r="AU2241" i="5"/>
  <c r="AU2240" i="5"/>
  <c r="AU2239" i="5"/>
  <c r="AU2238" i="5"/>
  <c r="AU2237" i="5"/>
  <c r="AU2236" i="5"/>
  <c r="AU2235" i="5"/>
  <c r="AU2234" i="5"/>
  <c r="AU2233" i="5"/>
  <c r="AU2232" i="5"/>
  <c r="AU2231" i="5"/>
  <c r="AU2230" i="5"/>
  <c r="AU2229" i="5"/>
  <c r="AU2228" i="5"/>
  <c r="AU2227" i="5"/>
  <c r="AU2226" i="5"/>
  <c r="AU2225" i="5"/>
  <c r="AU2224" i="5"/>
  <c r="AU2223" i="5"/>
  <c r="AU2222" i="5"/>
  <c r="AU2221" i="5"/>
  <c r="AU2220" i="5"/>
  <c r="AU2219" i="5"/>
  <c r="AU2218" i="5"/>
  <c r="AU2217" i="5"/>
  <c r="AU2216" i="5"/>
  <c r="AU2215" i="5"/>
  <c r="AU2214" i="5"/>
  <c r="AU2213" i="5"/>
  <c r="AU2212" i="5"/>
  <c r="AU2211" i="5"/>
  <c r="AU2210" i="5"/>
  <c r="AU2209" i="5"/>
  <c r="AU2208" i="5"/>
  <c r="AU2207" i="5"/>
  <c r="AU2206" i="5"/>
  <c r="AU2205" i="5"/>
  <c r="AU2204" i="5"/>
  <c r="AU2203" i="5"/>
  <c r="AU2202" i="5"/>
  <c r="AU2201" i="5"/>
  <c r="AU2200" i="5"/>
  <c r="AU2199" i="5"/>
  <c r="AU2198" i="5"/>
  <c r="AU2197" i="5"/>
  <c r="AU2196" i="5"/>
  <c r="AU2195" i="5"/>
  <c r="AU2194" i="5"/>
  <c r="AU2193" i="5"/>
  <c r="AU2192" i="5"/>
  <c r="AU2191" i="5"/>
  <c r="AU2190" i="5"/>
  <c r="AU2189" i="5"/>
  <c r="AU2188" i="5"/>
  <c r="AU2187" i="5"/>
  <c r="AU2186" i="5"/>
  <c r="AU2185" i="5"/>
  <c r="AU2184" i="5"/>
  <c r="AU2183" i="5"/>
  <c r="AU2182" i="5"/>
  <c r="AU2181" i="5"/>
  <c r="AU2180" i="5"/>
  <c r="AU2179" i="5"/>
  <c r="AU2178" i="5"/>
  <c r="AU2177" i="5"/>
  <c r="AU2176" i="5"/>
  <c r="AU2175" i="5"/>
  <c r="AU2174" i="5"/>
  <c r="AU2173" i="5"/>
  <c r="AU2172" i="5"/>
  <c r="AU2171" i="5"/>
  <c r="AU2170" i="5"/>
  <c r="AU2169" i="5"/>
  <c r="AU2168" i="5"/>
  <c r="AU2167" i="5"/>
  <c r="AU2166" i="5"/>
  <c r="AU2165" i="5"/>
  <c r="AU2164" i="5"/>
  <c r="AU2163" i="5"/>
  <c r="AU2162" i="5"/>
  <c r="AU2161" i="5"/>
  <c r="AU2160" i="5"/>
  <c r="AU2159" i="5"/>
  <c r="AU2158" i="5"/>
  <c r="AU2157" i="5"/>
  <c r="AU2156" i="5"/>
  <c r="AU2155" i="5"/>
  <c r="AU2154" i="5"/>
  <c r="AU2153" i="5"/>
  <c r="AU2152" i="5"/>
  <c r="AU2151" i="5"/>
  <c r="AU2150" i="5"/>
  <c r="AU2149" i="5"/>
  <c r="AU2148" i="5"/>
  <c r="AU2147" i="5"/>
  <c r="AU2146" i="5"/>
  <c r="AU2145" i="5"/>
  <c r="AU2144" i="5"/>
  <c r="AU2143" i="5"/>
  <c r="AU2142" i="5"/>
  <c r="AU2141" i="5"/>
  <c r="AU2140" i="5"/>
  <c r="AU2139" i="5"/>
  <c r="AU2138" i="5"/>
  <c r="AU2137" i="5"/>
  <c r="AU2136" i="5"/>
  <c r="AU2135" i="5"/>
  <c r="AU2134" i="5"/>
  <c r="AU2133" i="5"/>
  <c r="AU2132" i="5"/>
  <c r="AU2131" i="5"/>
  <c r="AU2130" i="5"/>
  <c r="AU2129" i="5"/>
  <c r="AU2128" i="5"/>
  <c r="AU2127" i="5"/>
  <c r="AU2126" i="5"/>
  <c r="AU2125" i="5"/>
  <c r="AU2124" i="5"/>
  <c r="AU2123" i="5"/>
  <c r="AU2122" i="5"/>
  <c r="AU2121" i="5"/>
  <c r="AU2120" i="5"/>
  <c r="AU2119" i="5"/>
  <c r="AU2118" i="5"/>
  <c r="AU2117" i="5"/>
  <c r="AU2116" i="5"/>
  <c r="AU2115" i="5"/>
  <c r="AU2114" i="5"/>
  <c r="AU2113" i="5"/>
  <c r="AU2112" i="5"/>
  <c r="AU2111" i="5"/>
  <c r="AU2110" i="5"/>
  <c r="AU2109" i="5"/>
  <c r="AU2108" i="5"/>
  <c r="AU2107" i="5"/>
  <c r="AU2106" i="5"/>
  <c r="AU2105" i="5"/>
  <c r="AU2104" i="5"/>
  <c r="AU2103" i="5"/>
  <c r="AU2102" i="5"/>
  <c r="AU2101" i="5"/>
  <c r="AU2100" i="5"/>
  <c r="AU2099" i="5"/>
  <c r="AU2098" i="5"/>
  <c r="AU2097" i="5"/>
  <c r="AU2096" i="5"/>
  <c r="AU2095" i="5"/>
  <c r="AU2094" i="5"/>
  <c r="AU2093" i="5"/>
  <c r="AU2092" i="5"/>
  <c r="AU2091" i="5"/>
  <c r="AU2090" i="5"/>
  <c r="AU2089" i="5"/>
  <c r="AU2088" i="5"/>
  <c r="AU2087" i="5"/>
  <c r="AU2086" i="5"/>
  <c r="AU2085" i="5"/>
  <c r="AU2084" i="5"/>
  <c r="AU2083" i="5"/>
  <c r="AU2082" i="5"/>
  <c r="AU2081" i="5"/>
  <c r="AU2080" i="5"/>
  <c r="AU2079" i="5"/>
  <c r="AU2078" i="5"/>
  <c r="AU2077" i="5"/>
  <c r="AU2076" i="5"/>
  <c r="AU2075" i="5"/>
  <c r="AU2074" i="5"/>
  <c r="AU2073" i="5"/>
  <c r="AU2072" i="5"/>
  <c r="AU2071" i="5"/>
  <c r="AU2070" i="5"/>
  <c r="AU2069" i="5"/>
  <c r="AU2068" i="5"/>
  <c r="AU2067" i="5"/>
  <c r="AU2066" i="5"/>
  <c r="AU2065" i="5"/>
  <c r="AU2064" i="5"/>
  <c r="AU2063" i="5"/>
  <c r="AU2062" i="5"/>
  <c r="AU2061" i="5"/>
  <c r="AU2060" i="5"/>
  <c r="AU2059" i="5"/>
  <c r="AU2058" i="5"/>
  <c r="AU2057" i="5"/>
  <c r="AU2056" i="5"/>
  <c r="AU2055" i="5"/>
  <c r="AU2054" i="5"/>
  <c r="AU2053" i="5"/>
  <c r="AU2052" i="5"/>
  <c r="AU2051" i="5"/>
  <c r="AU2050" i="5"/>
  <c r="AU2049" i="5"/>
  <c r="AU2048" i="5"/>
  <c r="AU2047" i="5"/>
  <c r="AU2046" i="5"/>
  <c r="AU2045" i="5"/>
  <c r="AU2044" i="5"/>
  <c r="AU2043" i="5"/>
  <c r="AU2042" i="5"/>
  <c r="AU2041" i="5"/>
  <c r="AU2040" i="5"/>
  <c r="AU2039" i="5"/>
  <c r="AU2038" i="5"/>
  <c r="AU2037" i="5"/>
  <c r="AU2036" i="5"/>
  <c r="AU2035" i="5"/>
  <c r="AU2034" i="5"/>
  <c r="AU2033" i="5"/>
  <c r="AU2032" i="5"/>
  <c r="AU2031" i="5"/>
  <c r="AU2030" i="5"/>
  <c r="AU2029" i="5"/>
  <c r="AU2028" i="5"/>
  <c r="AU2027" i="5"/>
  <c r="AU2026" i="5"/>
  <c r="AU2025" i="5"/>
  <c r="AU2024" i="5"/>
  <c r="AU2023" i="5"/>
  <c r="AU2022" i="5"/>
  <c r="AU2021" i="5"/>
  <c r="AU2020" i="5"/>
  <c r="AU2019" i="5"/>
  <c r="AU2018" i="5"/>
  <c r="AU2017" i="5"/>
  <c r="AU2016" i="5"/>
  <c r="AU2015" i="5"/>
  <c r="AU2014" i="5"/>
  <c r="AU2013" i="5"/>
  <c r="AU2012" i="5"/>
  <c r="AU2011" i="5"/>
  <c r="AU2010" i="5"/>
  <c r="AU2009" i="5"/>
  <c r="AU2008" i="5"/>
  <c r="AU2007" i="5"/>
  <c r="AU2006" i="5"/>
  <c r="AU2005" i="5"/>
  <c r="AU2004" i="5"/>
  <c r="AU2003" i="5"/>
  <c r="AU2002" i="5"/>
  <c r="AU2001" i="5"/>
  <c r="AU2000" i="5"/>
  <c r="AU1999" i="5"/>
  <c r="AU1998" i="5"/>
  <c r="AU1997" i="5"/>
  <c r="AU1996" i="5"/>
  <c r="AU1995" i="5"/>
  <c r="AU1994" i="5"/>
  <c r="AU1993" i="5"/>
  <c r="AU1992" i="5"/>
  <c r="AU1991" i="5"/>
  <c r="AU1990" i="5"/>
  <c r="AU1989" i="5"/>
  <c r="AU1988" i="5"/>
  <c r="AU1987" i="5"/>
  <c r="AU1986" i="5"/>
  <c r="AU1985" i="5"/>
  <c r="AU1984" i="5"/>
  <c r="AU1983" i="5"/>
  <c r="AU1982" i="5"/>
  <c r="AU1981" i="5"/>
  <c r="AU1980" i="5"/>
  <c r="AU1979" i="5"/>
  <c r="AU1978" i="5"/>
  <c r="AU1977" i="5"/>
  <c r="AU1976" i="5"/>
  <c r="AU1975" i="5"/>
  <c r="AU1974" i="5"/>
  <c r="AU1973" i="5"/>
  <c r="AU1972" i="5"/>
  <c r="AU1971" i="5"/>
  <c r="AU1970" i="5"/>
  <c r="AU1969" i="5"/>
  <c r="AU1968" i="5"/>
  <c r="AU1967" i="5"/>
  <c r="AU1966" i="5"/>
  <c r="AU1965" i="5"/>
  <c r="AU1964" i="5"/>
  <c r="AU1963" i="5"/>
  <c r="AU1962" i="5"/>
  <c r="AU1961" i="5"/>
  <c r="AU1960" i="5"/>
  <c r="AU1959" i="5"/>
  <c r="AU1958" i="5"/>
  <c r="AU1957" i="5"/>
  <c r="AU1956" i="5"/>
  <c r="AU1955" i="5"/>
  <c r="AU1954" i="5"/>
  <c r="AU1953" i="5"/>
  <c r="AU1952" i="5"/>
  <c r="AU1951" i="5"/>
  <c r="AU1950" i="5"/>
  <c r="AU1949" i="5"/>
  <c r="AU1948" i="5"/>
  <c r="AU1947" i="5"/>
  <c r="AU1946" i="5"/>
  <c r="AU1945" i="5"/>
  <c r="AU1944" i="5"/>
  <c r="AU1943" i="5"/>
  <c r="AU1942" i="5"/>
  <c r="AU1941" i="5"/>
  <c r="AU1940" i="5"/>
  <c r="AU1939" i="5"/>
  <c r="AU1938" i="5"/>
  <c r="AU1937" i="5"/>
  <c r="AU1936" i="5"/>
  <c r="AU1935" i="5"/>
  <c r="AU1934" i="5"/>
  <c r="AU1933" i="5"/>
  <c r="AU1932" i="5"/>
  <c r="AU1931" i="5"/>
  <c r="AU1930" i="5"/>
  <c r="AU1929" i="5"/>
  <c r="AU1928" i="5"/>
  <c r="AU1927" i="5"/>
  <c r="AU1926" i="5"/>
  <c r="AU1925" i="5"/>
  <c r="AU1924" i="5"/>
  <c r="AU1923" i="5"/>
  <c r="AU1922" i="5"/>
  <c r="AU1921" i="5"/>
  <c r="AU1920" i="5"/>
  <c r="AU1919" i="5"/>
  <c r="AU1918" i="5"/>
  <c r="AU1917" i="5"/>
  <c r="AU1916" i="5"/>
  <c r="AU1915" i="5"/>
  <c r="AU1914" i="5"/>
  <c r="AU1913" i="5"/>
  <c r="AU1912" i="5"/>
  <c r="AU1911" i="5"/>
  <c r="AU1910" i="5"/>
  <c r="AU1909" i="5"/>
  <c r="AU1908" i="5"/>
  <c r="AU1907" i="5"/>
  <c r="AU1906" i="5"/>
  <c r="AU1905" i="5"/>
  <c r="AU1904" i="5"/>
  <c r="AU1903" i="5"/>
  <c r="AU1902" i="5"/>
  <c r="AU1901" i="5"/>
  <c r="AU1900" i="5"/>
  <c r="AU1899" i="5"/>
  <c r="AU1898" i="5"/>
  <c r="AU1897" i="5"/>
  <c r="AU1896" i="5"/>
  <c r="AU1895" i="5"/>
  <c r="AU1894" i="5"/>
  <c r="AU1893" i="5"/>
  <c r="AU1892" i="5"/>
  <c r="AU1891" i="5"/>
  <c r="AU1890" i="5"/>
  <c r="AU1889" i="5"/>
  <c r="AU1888" i="5"/>
  <c r="AU1887" i="5"/>
  <c r="AU1886" i="5"/>
  <c r="AU1885" i="5"/>
  <c r="AU1884" i="5"/>
  <c r="AU1883" i="5"/>
  <c r="AU1882" i="5"/>
  <c r="AU1881" i="5"/>
  <c r="AU1880" i="5"/>
  <c r="AU1879" i="5"/>
  <c r="AU1878" i="5"/>
  <c r="AU1877" i="5"/>
  <c r="AU1876" i="5"/>
  <c r="AU1875" i="5"/>
  <c r="AU1874" i="5"/>
  <c r="AU1873" i="5"/>
  <c r="AU1872" i="5"/>
  <c r="AU1871" i="5"/>
  <c r="AU1870" i="5"/>
  <c r="AU1869" i="5"/>
  <c r="AU1868" i="5"/>
  <c r="AU1867" i="5"/>
  <c r="AU1866" i="5"/>
  <c r="AU1865" i="5"/>
  <c r="AU1864" i="5"/>
  <c r="AU1863" i="5"/>
  <c r="AU1862" i="5"/>
  <c r="AU1861" i="5"/>
  <c r="AU1860" i="5"/>
  <c r="AU1859" i="5"/>
  <c r="AU1858" i="5"/>
  <c r="AU1857" i="5"/>
  <c r="AU1856" i="5"/>
  <c r="AU1855" i="5"/>
  <c r="AU1854" i="5"/>
  <c r="AU1853" i="5"/>
  <c r="AU1852" i="5"/>
  <c r="AU1851" i="5"/>
  <c r="AU1850" i="5"/>
  <c r="AU1849" i="5"/>
  <c r="AU1848" i="5"/>
  <c r="AU1847" i="5"/>
  <c r="AU1846" i="5"/>
  <c r="AU1845" i="5"/>
  <c r="AU1844" i="5"/>
  <c r="AU1843" i="5"/>
  <c r="AU1842" i="5"/>
  <c r="AU1841" i="5"/>
  <c r="AU1840" i="5"/>
  <c r="AU1839" i="5"/>
  <c r="AU1838" i="5"/>
  <c r="AU1837" i="5"/>
  <c r="AU1836" i="5"/>
  <c r="AU1835" i="5"/>
  <c r="AU1834" i="5"/>
  <c r="AU1833" i="5"/>
  <c r="AU1832" i="5"/>
  <c r="AU1831" i="5"/>
  <c r="AU1830" i="5"/>
  <c r="AU1829" i="5"/>
  <c r="AU1828" i="5"/>
  <c r="AU1827" i="5"/>
  <c r="AU1826" i="5"/>
  <c r="AU1825" i="5"/>
  <c r="AU1824" i="5"/>
  <c r="AU1823" i="5"/>
  <c r="AU1822" i="5"/>
  <c r="AU1821" i="5"/>
  <c r="AU1820" i="5"/>
  <c r="AU1819" i="5"/>
  <c r="AU1818" i="5"/>
  <c r="AU1817" i="5"/>
  <c r="AU1816" i="5"/>
  <c r="AU1815" i="5"/>
  <c r="AU1814" i="5"/>
  <c r="AU1813" i="5"/>
  <c r="AU1812" i="5"/>
  <c r="AU1811" i="5"/>
  <c r="AU1810" i="5"/>
  <c r="AU1809" i="5"/>
  <c r="AU1808" i="5"/>
  <c r="AU1807" i="5"/>
  <c r="AU1806" i="5"/>
  <c r="AU1805" i="5"/>
  <c r="AU1804" i="5"/>
  <c r="AU1803" i="5"/>
  <c r="AU1802" i="5"/>
  <c r="AU1801" i="5"/>
  <c r="AU1800" i="5"/>
  <c r="AU1799" i="5"/>
  <c r="AU1798" i="5"/>
  <c r="AU1797" i="5"/>
  <c r="AU1796" i="5"/>
  <c r="AU1795" i="5"/>
  <c r="AU1794" i="5"/>
  <c r="AU1793" i="5"/>
  <c r="AU1792" i="5"/>
  <c r="AU1791" i="5"/>
  <c r="AU1790" i="5"/>
  <c r="AU1789" i="5"/>
  <c r="AU1788" i="5"/>
  <c r="AU1787" i="5"/>
  <c r="AU1786" i="5"/>
  <c r="AU1785" i="5"/>
  <c r="AU1784" i="5"/>
  <c r="AU1783" i="5"/>
  <c r="AU1782" i="5"/>
  <c r="AU1781" i="5"/>
  <c r="AU1780" i="5"/>
  <c r="AU1779" i="5"/>
  <c r="AU1778" i="5"/>
  <c r="AU1777" i="5"/>
  <c r="AU1776" i="5"/>
  <c r="AU1775" i="5"/>
  <c r="AU1774" i="5"/>
  <c r="AU1773" i="5"/>
  <c r="AU1772" i="5"/>
  <c r="AU1771" i="5"/>
  <c r="AU1770" i="5"/>
  <c r="AU1769" i="5"/>
  <c r="AU1768" i="5"/>
  <c r="AU1767" i="5"/>
  <c r="AU1766" i="5"/>
  <c r="AU1765" i="5"/>
  <c r="AU1764" i="5"/>
  <c r="AU1763" i="5"/>
  <c r="AU1762" i="5"/>
  <c r="AU1761" i="5"/>
  <c r="AU1760" i="5"/>
  <c r="AU1759" i="5"/>
  <c r="AU1758" i="5"/>
  <c r="AU1757" i="5"/>
  <c r="AU1756" i="5"/>
  <c r="AU1755" i="5"/>
  <c r="AU1754" i="5"/>
  <c r="AU1753" i="5"/>
  <c r="AU1752" i="5"/>
  <c r="AU1751" i="5"/>
  <c r="AU1750" i="5"/>
  <c r="AU1749" i="5"/>
  <c r="AU1748" i="5"/>
  <c r="AU1747" i="5"/>
  <c r="AU1746" i="5"/>
  <c r="AU1745" i="5"/>
  <c r="AU1744" i="5"/>
  <c r="AU1743" i="5"/>
  <c r="AU1742" i="5"/>
  <c r="AU1741" i="5"/>
  <c r="AU1740" i="5"/>
  <c r="AU1739" i="5"/>
  <c r="AU1738" i="5"/>
  <c r="AU1737" i="5"/>
  <c r="AU1736" i="5"/>
  <c r="AU1735" i="5"/>
  <c r="AU1734" i="5"/>
  <c r="AU1733" i="5"/>
  <c r="AU1732" i="5"/>
  <c r="AU1731" i="5"/>
  <c r="AU1730" i="5"/>
  <c r="AU1729" i="5"/>
  <c r="AU1728" i="5"/>
  <c r="AU1727" i="5"/>
  <c r="AU1726" i="5"/>
  <c r="AU1725" i="5"/>
  <c r="AU1724" i="5"/>
  <c r="AU1723" i="5"/>
  <c r="AU1722" i="5"/>
  <c r="AU1721" i="5"/>
  <c r="AU1720" i="5"/>
  <c r="AU1719" i="5"/>
  <c r="AU1718" i="5"/>
  <c r="AU1717" i="5"/>
  <c r="AU1716" i="5"/>
  <c r="AU1715" i="5"/>
  <c r="AU1714" i="5"/>
  <c r="AU1713" i="5"/>
  <c r="AU1712" i="5"/>
  <c r="AU1711" i="5"/>
  <c r="AU1710" i="5"/>
  <c r="AU1709" i="5"/>
  <c r="AU1708" i="5"/>
  <c r="AU1707" i="5"/>
  <c r="AU1706" i="5"/>
  <c r="AU1705" i="5"/>
  <c r="AU1704" i="5"/>
  <c r="AU1703" i="5"/>
  <c r="AU1702" i="5"/>
  <c r="AU1701" i="5"/>
  <c r="AU1700" i="5"/>
  <c r="AU1699" i="5"/>
  <c r="AU1698" i="5"/>
  <c r="AU1697" i="5"/>
  <c r="AU1696" i="5"/>
  <c r="AU1695" i="5"/>
  <c r="AU1694" i="5"/>
  <c r="AU1693" i="5"/>
  <c r="AU1692" i="5"/>
  <c r="AU1691" i="5"/>
  <c r="AU1690" i="5"/>
  <c r="AU1689" i="5"/>
  <c r="AU1688" i="5"/>
  <c r="AU1687" i="5"/>
  <c r="AU1686" i="5"/>
  <c r="AU1685" i="5"/>
  <c r="AU1684" i="5"/>
  <c r="AU1683" i="5"/>
  <c r="AU1682" i="5"/>
  <c r="AU1681" i="5"/>
  <c r="AU1680" i="5"/>
  <c r="AU1679" i="5"/>
  <c r="AU1678" i="5"/>
  <c r="AU1677" i="5"/>
  <c r="AU1676" i="5"/>
  <c r="AU1675" i="5"/>
  <c r="AU1674" i="5"/>
  <c r="AU1673" i="5"/>
  <c r="AU1672" i="5"/>
  <c r="AU1671" i="5"/>
  <c r="AU1670" i="5"/>
  <c r="AU1669" i="5"/>
  <c r="AU1668" i="5"/>
  <c r="AU1667" i="5"/>
  <c r="AU1666" i="5"/>
  <c r="AU1665" i="5"/>
  <c r="AU1664" i="5"/>
  <c r="AU1663" i="5"/>
  <c r="AU1662" i="5"/>
  <c r="AU1661" i="5"/>
  <c r="AU1660" i="5"/>
  <c r="AU1659" i="5"/>
  <c r="AU1658" i="5"/>
  <c r="AU1657" i="5"/>
  <c r="AU1656" i="5"/>
  <c r="AU1655" i="5"/>
  <c r="AU1654" i="5"/>
  <c r="AU1653" i="5"/>
  <c r="AU1652" i="5"/>
  <c r="AU1651" i="5"/>
  <c r="AU1650" i="5"/>
  <c r="AU1649" i="5"/>
  <c r="AU1648" i="5"/>
  <c r="AU1647" i="5"/>
  <c r="AU1646" i="5"/>
  <c r="AU1645" i="5"/>
  <c r="AU1644" i="5"/>
  <c r="AU1643" i="5"/>
  <c r="AU1642" i="5"/>
  <c r="AU1641" i="5"/>
  <c r="AU1640" i="5"/>
  <c r="AU1639" i="5"/>
  <c r="AU1638" i="5"/>
  <c r="AU1637" i="5"/>
  <c r="AU1636" i="5"/>
  <c r="AU1635" i="5"/>
  <c r="AU1634" i="5"/>
  <c r="AU1633" i="5"/>
  <c r="AU1632" i="5"/>
  <c r="AU1631" i="5"/>
  <c r="AU1630" i="5"/>
  <c r="AU1629" i="5"/>
  <c r="AU1628" i="5"/>
  <c r="AU1627" i="5"/>
  <c r="AU1626" i="5"/>
  <c r="AU1625" i="5"/>
  <c r="AU1624" i="5"/>
  <c r="AU1623" i="5"/>
  <c r="AU1622" i="5"/>
  <c r="AU1621" i="5"/>
  <c r="AU1620" i="5"/>
  <c r="AU1619" i="5"/>
  <c r="AU1618" i="5"/>
  <c r="AU1617" i="5"/>
  <c r="AU1616" i="5"/>
  <c r="AU1615" i="5"/>
  <c r="AU1614" i="5"/>
  <c r="AU1613" i="5"/>
  <c r="AU1612" i="5"/>
  <c r="AU1611" i="5"/>
  <c r="AU1610" i="5"/>
  <c r="AU1609" i="5"/>
  <c r="AU1608" i="5"/>
  <c r="AU1607" i="5"/>
  <c r="AU1606" i="5"/>
  <c r="AU1605" i="5"/>
  <c r="AU1604" i="5"/>
  <c r="AU1603" i="5"/>
  <c r="AU1602" i="5"/>
  <c r="AU1601" i="5"/>
  <c r="AU1600" i="5"/>
  <c r="AU1599" i="5"/>
  <c r="AU1598" i="5"/>
  <c r="AU1597" i="5"/>
  <c r="AU1596" i="5"/>
  <c r="AU1595" i="5"/>
  <c r="AU1594" i="5"/>
  <c r="AU1593" i="5"/>
  <c r="AU1592" i="5"/>
  <c r="AU1591" i="5"/>
  <c r="AU1590" i="5"/>
  <c r="AU1589" i="5"/>
  <c r="AU1588" i="5"/>
  <c r="AU1587" i="5"/>
  <c r="AU1586" i="5"/>
  <c r="AU1585" i="5"/>
  <c r="AU1584" i="5"/>
  <c r="AU1583" i="5"/>
  <c r="AU1582" i="5"/>
  <c r="AU1581" i="5"/>
  <c r="AU1580" i="5"/>
  <c r="AU1579" i="5"/>
  <c r="AU1578" i="5"/>
  <c r="AU1577" i="5"/>
  <c r="AU1576" i="5"/>
  <c r="AU1575" i="5"/>
  <c r="AU1574" i="5"/>
  <c r="AU1573" i="5"/>
  <c r="AU1572" i="5"/>
  <c r="AU1571" i="5"/>
  <c r="AU1570" i="5"/>
  <c r="AU1569" i="5"/>
  <c r="AU1568" i="5"/>
  <c r="AU1567" i="5"/>
  <c r="AU1566" i="5"/>
  <c r="AU1565" i="5"/>
  <c r="AU1564" i="5"/>
  <c r="AU1563" i="5"/>
  <c r="AU1562" i="5"/>
  <c r="AU1561" i="5"/>
  <c r="AU1560" i="5"/>
  <c r="AU1559" i="5"/>
  <c r="AU1558" i="5"/>
  <c r="AU1557" i="5"/>
  <c r="AU1556" i="5"/>
  <c r="AU1555" i="5"/>
  <c r="AU1554" i="5"/>
  <c r="AU1553" i="5"/>
  <c r="AU1552" i="5"/>
  <c r="AU1551" i="5"/>
  <c r="AU1550" i="5"/>
  <c r="AU1549" i="5"/>
  <c r="AU1548" i="5"/>
  <c r="AU1547" i="5"/>
  <c r="AU1546" i="5"/>
  <c r="AU1545" i="5"/>
  <c r="AU1544" i="5"/>
  <c r="AU1543" i="5"/>
  <c r="AU1542" i="5"/>
  <c r="AU1541" i="5"/>
  <c r="AU1540" i="5"/>
  <c r="AU1539" i="5"/>
  <c r="AU1538" i="5"/>
  <c r="AU1537" i="5"/>
  <c r="AU1536" i="5"/>
  <c r="AU1535" i="5"/>
  <c r="AU1534" i="5"/>
  <c r="AU1533" i="5"/>
  <c r="AU1532" i="5"/>
  <c r="AU1531" i="5"/>
  <c r="AU1530" i="5"/>
  <c r="AU1529" i="5"/>
  <c r="AU1528" i="5"/>
  <c r="AU1527" i="5"/>
  <c r="AU1526" i="5"/>
  <c r="AU1525" i="5"/>
  <c r="AU1524" i="5"/>
  <c r="AU1523" i="5"/>
  <c r="AU1522" i="5"/>
  <c r="AU1521" i="5"/>
  <c r="AU1520" i="5"/>
  <c r="AU1519" i="5"/>
  <c r="AU1518" i="5"/>
  <c r="AU1517" i="5"/>
  <c r="AU1516" i="5"/>
  <c r="AU1515" i="5"/>
  <c r="AU1514" i="5"/>
  <c r="AU1513" i="5"/>
  <c r="AU1512" i="5"/>
  <c r="AU1511" i="5"/>
  <c r="AU1510" i="5"/>
  <c r="AU1509" i="5"/>
  <c r="AU1508" i="5"/>
  <c r="AU1507" i="5"/>
  <c r="AU1506" i="5"/>
  <c r="AU1505" i="5"/>
  <c r="AU1504" i="5"/>
  <c r="AU1503" i="5"/>
  <c r="AU1502" i="5"/>
  <c r="AU1501" i="5"/>
  <c r="AU1500" i="5"/>
  <c r="AU1499" i="5"/>
  <c r="AU1498" i="5"/>
  <c r="AU1497" i="5"/>
  <c r="AU1496" i="5"/>
  <c r="AU1495" i="5"/>
  <c r="AU1494" i="5"/>
  <c r="AU1493" i="5"/>
  <c r="AU1492" i="5"/>
  <c r="AU1491" i="5"/>
  <c r="AU1490" i="5"/>
  <c r="AU1489" i="5"/>
  <c r="AU1488" i="5"/>
  <c r="AU1487" i="5"/>
  <c r="AU1486" i="5"/>
  <c r="AU1485" i="5"/>
  <c r="AU1484" i="5"/>
  <c r="AU1483" i="5"/>
  <c r="AU1482" i="5"/>
  <c r="AU1481" i="5"/>
  <c r="AU1480" i="5"/>
  <c r="AU1479" i="5"/>
  <c r="AU1478" i="5"/>
  <c r="AU1477" i="5"/>
  <c r="AU1476" i="5"/>
  <c r="AU1475" i="5"/>
  <c r="AU1474" i="5"/>
  <c r="AU1473" i="5"/>
  <c r="AU1472" i="5"/>
  <c r="AU1471" i="5"/>
  <c r="AU1470" i="5"/>
  <c r="AU1469" i="5"/>
  <c r="AU1468" i="5"/>
  <c r="AU1467" i="5"/>
  <c r="AU1466" i="5"/>
  <c r="AU1465" i="5"/>
  <c r="AU1464" i="5"/>
  <c r="AU1463" i="5"/>
  <c r="AU1462" i="5"/>
  <c r="AU1461" i="5"/>
  <c r="AU1460" i="5"/>
  <c r="AU1459" i="5"/>
  <c r="AU1458" i="5"/>
  <c r="AU1457" i="5"/>
  <c r="AU1456" i="5"/>
  <c r="AU1455" i="5"/>
  <c r="AU1454" i="5"/>
  <c r="AU1453" i="5"/>
  <c r="AU1452" i="5"/>
  <c r="AU1451" i="5"/>
  <c r="AU1450" i="5"/>
  <c r="AU1449" i="5"/>
  <c r="AU1448" i="5"/>
  <c r="AU1447" i="5"/>
  <c r="AU1446" i="5"/>
  <c r="AU1445" i="5"/>
  <c r="AU1444" i="5"/>
  <c r="AU1443" i="5"/>
  <c r="AU1442" i="5"/>
  <c r="AU1441" i="5"/>
  <c r="AU1440" i="5"/>
  <c r="AU1439" i="5"/>
  <c r="AU1438" i="5"/>
  <c r="AU1437" i="5"/>
  <c r="AU1436" i="5"/>
  <c r="AU1435" i="5"/>
  <c r="AU1434" i="5"/>
  <c r="AU1433" i="5"/>
  <c r="AU1432" i="5"/>
  <c r="AU1431" i="5"/>
  <c r="AU1430" i="5"/>
  <c r="AU1429" i="5"/>
  <c r="AU1428" i="5"/>
  <c r="AU1427" i="5"/>
  <c r="AU1426" i="5"/>
  <c r="AU1425" i="5"/>
  <c r="AU1424" i="5"/>
  <c r="AU1423" i="5"/>
  <c r="AU1422" i="5"/>
  <c r="AU1421" i="5"/>
  <c r="AU1420" i="5"/>
  <c r="AU1419" i="5"/>
  <c r="AU1418" i="5"/>
  <c r="AU1417" i="5"/>
  <c r="AU1416" i="5"/>
  <c r="AU1415" i="5"/>
  <c r="AU1414" i="5"/>
  <c r="AU1413" i="5"/>
  <c r="AU1412" i="5"/>
  <c r="AU1411" i="5"/>
  <c r="AU1410" i="5"/>
  <c r="AU1409" i="5"/>
  <c r="AU1408" i="5"/>
  <c r="AU1407" i="5"/>
  <c r="AU1406" i="5"/>
  <c r="AU1405" i="5"/>
  <c r="AU1404" i="5"/>
  <c r="AU1403" i="5"/>
  <c r="AU1402" i="5"/>
  <c r="AU1401" i="5"/>
  <c r="AU1400" i="5"/>
  <c r="AU1399" i="5"/>
  <c r="AU1398" i="5"/>
  <c r="AU1397" i="5"/>
  <c r="AU1396" i="5"/>
  <c r="AU1395" i="5"/>
  <c r="AU1394" i="5"/>
  <c r="AU1393" i="5"/>
  <c r="AU1392" i="5"/>
  <c r="AU1391" i="5"/>
  <c r="AU1390" i="5"/>
  <c r="AU1389" i="5"/>
  <c r="AU1388" i="5"/>
  <c r="AU1387" i="5"/>
  <c r="AU1386" i="5"/>
  <c r="AU1385" i="5"/>
  <c r="AU1384" i="5"/>
  <c r="AU1383" i="5"/>
  <c r="AU1382" i="5"/>
  <c r="AU1381" i="5"/>
  <c r="AU1380" i="5"/>
  <c r="AU1379" i="5"/>
  <c r="AU1378" i="5"/>
  <c r="AU1377" i="5"/>
  <c r="AU1376" i="5"/>
  <c r="AU1375" i="5"/>
  <c r="AU1374" i="5"/>
  <c r="AU1373" i="5"/>
  <c r="AU1372" i="5"/>
  <c r="AU1371" i="5"/>
  <c r="AU1370" i="5"/>
  <c r="AU1369" i="5"/>
  <c r="AU1368" i="5"/>
  <c r="AU1367" i="5"/>
  <c r="AU1366" i="5"/>
  <c r="AU1365" i="5"/>
  <c r="AU1364" i="5"/>
  <c r="AU1363" i="5"/>
  <c r="AU1362" i="5"/>
  <c r="AU1361" i="5"/>
  <c r="AU1360" i="5"/>
  <c r="AU1359" i="5"/>
  <c r="AU1358" i="5"/>
  <c r="AU1357" i="5"/>
  <c r="AU1356" i="5"/>
  <c r="AU1355" i="5"/>
  <c r="AU1354" i="5"/>
  <c r="AU1353" i="5"/>
  <c r="AU1352" i="5"/>
  <c r="AU1351" i="5"/>
  <c r="AU1350" i="5"/>
  <c r="AU1349" i="5"/>
  <c r="AU1348" i="5"/>
  <c r="AU1347" i="5"/>
  <c r="AU1346" i="5"/>
  <c r="AU1345" i="5"/>
  <c r="AU1344" i="5"/>
  <c r="AU1343" i="5"/>
  <c r="AU1342" i="5"/>
  <c r="AU1341" i="5"/>
  <c r="AU1340" i="5"/>
  <c r="AU1339" i="5"/>
  <c r="AU1338" i="5"/>
  <c r="AU1337" i="5"/>
  <c r="AU1336" i="5"/>
  <c r="AU1335" i="5"/>
  <c r="AU1334" i="5"/>
  <c r="AU1333" i="5"/>
  <c r="AU1332" i="5"/>
  <c r="AU1331" i="5"/>
  <c r="AU1330" i="5"/>
  <c r="AU1329" i="5"/>
  <c r="AU1328" i="5"/>
  <c r="AU1327" i="5"/>
  <c r="AU1326" i="5"/>
  <c r="AU1325" i="5"/>
  <c r="AU1324" i="5"/>
  <c r="AU1323" i="5"/>
  <c r="AU1322" i="5"/>
  <c r="AU1321" i="5"/>
  <c r="AU1320" i="5"/>
  <c r="AU1319" i="5"/>
  <c r="AU1318" i="5"/>
  <c r="AU1317" i="5"/>
  <c r="AU1316" i="5"/>
  <c r="AU1315" i="5"/>
  <c r="AU1314" i="5"/>
  <c r="AU1313" i="5"/>
  <c r="AU1312" i="5"/>
  <c r="AU1311" i="5"/>
  <c r="AU1310" i="5"/>
  <c r="AU1309" i="5"/>
  <c r="AU1308" i="5"/>
  <c r="AU1307" i="5"/>
  <c r="AU1306" i="5"/>
  <c r="AU1305" i="5"/>
  <c r="AU1304" i="5"/>
  <c r="AU1303" i="5"/>
  <c r="AU1302" i="5"/>
  <c r="AU1301" i="5"/>
  <c r="AU1300" i="5"/>
  <c r="AU1299" i="5"/>
  <c r="AU1298" i="5"/>
  <c r="AU1297" i="5"/>
  <c r="AU1296" i="5"/>
  <c r="AU1295" i="5"/>
  <c r="AU1294" i="5"/>
  <c r="AU1293" i="5"/>
  <c r="AU1292" i="5"/>
  <c r="AU1291" i="5"/>
  <c r="AU1290" i="5"/>
  <c r="AU1289" i="5"/>
  <c r="AU1288" i="5"/>
  <c r="AU1287" i="5"/>
  <c r="AU1286" i="5"/>
  <c r="AU1285" i="5"/>
  <c r="AU1284" i="5"/>
  <c r="AU1283" i="5"/>
  <c r="AU1282" i="5"/>
  <c r="AU1281" i="5"/>
  <c r="AU1280" i="5"/>
  <c r="AU1279" i="5"/>
  <c r="AU1278" i="5"/>
  <c r="AU1277" i="5"/>
  <c r="AU1276" i="5"/>
  <c r="AU1275" i="5"/>
  <c r="AU1274" i="5"/>
  <c r="AU1273" i="5"/>
  <c r="AU1272" i="5"/>
  <c r="AU1271" i="5"/>
  <c r="AU1270" i="5"/>
  <c r="AU1269" i="5"/>
  <c r="AU1268" i="5"/>
  <c r="AU1267" i="5"/>
  <c r="AU1266" i="5"/>
  <c r="AU1265" i="5"/>
  <c r="AU1264" i="5"/>
  <c r="AU1263" i="5"/>
  <c r="AU1262" i="5"/>
  <c r="AU1261" i="5"/>
  <c r="AU1260" i="5"/>
  <c r="AU1259" i="5"/>
  <c r="AU1258" i="5"/>
  <c r="AU1257" i="5"/>
  <c r="AU1256" i="5"/>
  <c r="AU1255" i="5"/>
  <c r="AU1254" i="5"/>
  <c r="AU1253" i="5"/>
  <c r="AU1252" i="5"/>
  <c r="AU1251" i="5"/>
  <c r="AU1250" i="5"/>
  <c r="AU1249" i="5"/>
  <c r="AU1248" i="5"/>
  <c r="AU1247" i="5"/>
  <c r="AU1246" i="5"/>
  <c r="AU1245" i="5"/>
  <c r="AU1244" i="5"/>
  <c r="AU1243" i="5"/>
  <c r="AU1242" i="5"/>
  <c r="AU1241" i="5"/>
  <c r="AU1240" i="5"/>
  <c r="AU1239" i="5"/>
  <c r="AU1238" i="5"/>
  <c r="AU1237" i="5"/>
  <c r="AU1236" i="5"/>
  <c r="AU1235" i="5"/>
  <c r="AU1234" i="5"/>
  <c r="AU1233" i="5"/>
  <c r="AU1232" i="5"/>
  <c r="AU1231" i="5"/>
  <c r="AU1230" i="5"/>
  <c r="AU1229" i="5"/>
  <c r="AU1228" i="5"/>
  <c r="AU1227" i="5"/>
  <c r="AU1226" i="5"/>
  <c r="AU1225" i="5"/>
  <c r="AU1224" i="5"/>
  <c r="AU1223" i="5"/>
  <c r="AU1222" i="5"/>
  <c r="AU1221" i="5"/>
  <c r="AU1220" i="5"/>
  <c r="AU1219" i="5"/>
  <c r="AU1218" i="5"/>
  <c r="AU1217" i="5"/>
  <c r="AU1216" i="5"/>
  <c r="AU1215" i="5"/>
  <c r="AU1214" i="5"/>
  <c r="AU1213" i="5"/>
  <c r="AU1212" i="5"/>
  <c r="AU1211" i="5"/>
  <c r="AU1210" i="5"/>
  <c r="AU1209" i="5"/>
  <c r="AU1208" i="5"/>
  <c r="AU1207" i="5"/>
  <c r="AU1206" i="5"/>
  <c r="AU1205" i="5"/>
  <c r="AU1204" i="5"/>
  <c r="AU1203" i="5"/>
  <c r="AU1202" i="5"/>
  <c r="AU1201" i="5"/>
  <c r="AU1200" i="5"/>
  <c r="AU1199" i="5"/>
  <c r="AU1198" i="5"/>
  <c r="AU1197" i="5"/>
  <c r="AU1196" i="5"/>
  <c r="AU1195" i="5"/>
  <c r="AU1194" i="5"/>
  <c r="AU1193" i="5"/>
  <c r="AU1192" i="5"/>
  <c r="AU1191" i="5"/>
  <c r="AU1190" i="5"/>
  <c r="AU1189" i="5"/>
  <c r="AU1188" i="5"/>
  <c r="AU1187" i="5"/>
  <c r="AU1186" i="5"/>
  <c r="AU1185" i="5"/>
  <c r="AU1184" i="5"/>
  <c r="AU1183" i="5"/>
  <c r="AU1182" i="5"/>
  <c r="AU1181" i="5"/>
  <c r="AU1180" i="5"/>
  <c r="AU1179" i="5"/>
  <c r="AU1178" i="5"/>
  <c r="AU1177" i="5"/>
  <c r="AU1176" i="5"/>
  <c r="AU1175" i="5"/>
  <c r="AU1174" i="5"/>
  <c r="AU1173" i="5"/>
  <c r="AU1172" i="5"/>
  <c r="AU1171" i="5"/>
  <c r="AU1170" i="5"/>
  <c r="AU1169" i="5"/>
  <c r="AU1168" i="5"/>
  <c r="AU1167" i="5"/>
  <c r="AU1166" i="5"/>
  <c r="AU1165" i="5"/>
  <c r="AU1164" i="5"/>
  <c r="AU1163" i="5"/>
  <c r="AU1162" i="5"/>
  <c r="AU1161" i="5"/>
  <c r="AU1160" i="5"/>
  <c r="AU1159" i="5"/>
  <c r="AU1158" i="5"/>
  <c r="AU1157" i="5"/>
  <c r="AU1156" i="5"/>
  <c r="AU1155" i="5"/>
  <c r="AU1154" i="5"/>
  <c r="AU1153" i="5"/>
  <c r="AU1152" i="5"/>
  <c r="AU1151" i="5"/>
  <c r="AU1150" i="5"/>
  <c r="AU1149" i="5"/>
  <c r="AU1148" i="5"/>
  <c r="AU1147" i="5"/>
  <c r="AU1146" i="5"/>
  <c r="AU1145" i="5"/>
  <c r="AU1144" i="5"/>
  <c r="AU1143" i="5"/>
  <c r="AU1142" i="5"/>
  <c r="AU1141" i="5"/>
  <c r="AU1140" i="5"/>
  <c r="AU1139" i="5"/>
  <c r="AU1138" i="5"/>
  <c r="AU1137" i="5"/>
  <c r="AU1136" i="5"/>
  <c r="AU1135" i="5"/>
  <c r="AU1134" i="5"/>
  <c r="AU1133" i="5"/>
  <c r="AU1132" i="5"/>
  <c r="AU1131" i="5"/>
  <c r="AU1130" i="5"/>
  <c r="AU1129" i="5"/>
  <c r="AU1128" i="5"/>
  <c r="AU1127" i="5"/>
  <c r="AU1126" i="5"/>
  <c r="AU1125" i="5"/>
  <c r="AU1124" i="5"/>
  <c r="AU1123" i="5"/>
  <c r="AU1122" i="5"/>
  <c r="AU1121" i="5"/>
  <c r="AU1120" i="5"/>
  <c r="AU1119" i="5"/>
  <c r="AU1118" i="5"/>
  <c r="AU1117" i="5"/>
  <c r="AU1116" i="5"/>
  <c r="AU1115" i="5"/>
  <c r="AU1114" i="5"/>
  <c r="AU1113" i="5"/>
  <c r="AU1112" i="5"/>
  <c r="AU1111" i="5"/>
  <c r="AU1110" i="5"/>
  <c r="AU1109" i="5"/>
  <c r="AU1108" i="5"/>
  <c r="AU1107" i="5"/>
  <c r="AU1106" i="5"/>
  <c r="AU1105" i="5"/>
  <c r="AU1104" i="5"/>
  <c r="AU1103" i="5"/>
  <c r="AU1102" i="5"/>
  <c r="AU1101" i="5"/>
  <c r="AU1100" i="5"/>
  <c r="AU1099" i="5"/>
  <c r="AU1098" i="5"/>
  <c r="AU1097" i="5"/>
  <c r="AU1096" i="5"/>
  <c r="AU1095" i="5"/>
  <c r="AU1094" i="5"/>
  <c r="AU1093" i="5"/>
  <c r="AU1092" i="5"/>
  <c r="AU1091" i="5"/>
  <c r="AU1090" i="5"/>
  <c r="AU1089" i="5"/>
  <c r="AU1088" i="5"/>
  <c r="AU1087" i="5"/>
  <c r="AU1086" i="5"/>
  <c r="AU1085" i="5"/>
  <c r="AU1084" i="5"/>
  <c r="AU1083" i="5"/>
  <c r="AU1082" i="5"/>
  <c r="AU1081" i="5"/>
  <c r="AU1080" i="5"/>
  <c r="AU1079" i="5"/>
  <c r="AU1078" i="5"/>
  <c r="AU1077" i="5"/>
  <c r="AU1076" i="5"/>
  <c r="AU1075" i="5"/>
  <c r="AU1074" i="5"/>
  <c r="AU1073" i="5"/>
  <c r="AU1072" i="5"/>
  <c r="AU1071" i="5"/>
  <c r="AU1070" i="5"/>
  <c r="AU1069" i="5"/>
  <c r="AU1068" i="5"/>
  <c r="AU1067" i="5"/>
  <c r="AU1066" i="5"/>
  <c r="AU1065" i="5"/>
  <c r="AU1064" i="5"/>
  <c r="AU1063" i="5"/>
  <c r="AU1062" i="5"/>
  <c r="AU1061" i="5"/>
  <c r="AU1060" i="5"/>
  <c r="AU1059" i="5"/>
  <c r="AU1058" i="5"/>
  <c r="AU1057" i="5"/>
  <c r="AU1056" i="5"/>
  <c r="AU1055" i="5"/>
  <c r="AU1054" i="5"/>
  <c r="AU1053" i="5"/>
  <c r="AU1052" i="5"/>
  <c r="AU1051" i="5"/>
  <c r="AU1050" i="5"/>
  <c r="AU1049" i="5"/>
  <c r="AU1048" i="5"/>
  <c r="AU1047" i="5"/>
  <c r="AU1046" i="5"/>
  <c r="AU1045" i="5"/>
  <c r="AU1044" i="5"/>
  <c r="AU1043" i="5"/>
  <c r="AU1042" i="5"/>
  <c r="AU1041" i="5"/>
  <c r="AU1040" i="5"/>
  <c r="AU1039" i="5"/>
  <c r="AU1038" i="5"/>
  <c r="AU1037" i="5"/>
  <c r="AU1036" i="5"/>
  <c r="AU1035" i="5"/>
  <c r="AU1034" i="5"/>
  <c r="AU1033" i="5"/>
  <c r="AU1032" i="5"/>
  <c r="AU1031" i="5"/>
  <c r="AU1030" i="5"/>
  <c r="AU1029" i="5"/>
  <c r="AU1028" i="5"/>
  <c r="AU1027" i="5"/>
  <c r="AU1026" i="5"/>
  <c r="AU1025" i="5"/>
  <c r="AU1024" i="5"/>
  <c r="AU1023" i="5"/>
  <c r="AU1022" i="5"/>
  <c r="AU1021" i="5"/>
  <c r="AU1020" i="5"/>
  <c r="AU1019" i="5"/>
  <c r="AU1018" i="5"/>
  <c r="AU1017" i="5"/>
  <c r="AU1016" i="5"/>
  <c r="AU1015" i="5"/>
  <c r="AU1014" i="5"/>
  <c r="AU1013" i="5"/>
  <c r="AU1012" i="5"/>
  <c r="AU1011" i="5"/>
  <c r="AU1010" i="5"/>
  <c r="AU1009" i="5"/>
  <c r="AU1008" i="5"/>
  <c r="AU1007" i="5"/>
  <c r="AU1006" i="5"/>
  <c r="AU1005" i="5"/>
  <c r="AU1004" i="5"/>
  <c r="AU1003" i="5"/>
  <c r="AU1002" i="5"/>
  <c r="AU1001" i="5"/>
  <c r="AU1000" i="5"/>
  <c r="AU999" i="5"/>
  <c r="AU998" i="5"/>
  <c r="AU997" i="5"/>
  <c r="AU996" i="5"/>
  <c r="AU995" i="5"/>
  <c r="AU994" i="5"/>
  <c r="AU993" i="5"/>
  <c r="AU992" i="5"/>
  <c r="AU991" i="5"/>
  <c r="AU990" i="5"/>
  <c r="AU989" i="5"/>
  <c r="AU988" i="5"/>
  <c r="AU987" i="5"/>
  <c r="AU986" i="5"/>
  <c r="AU985" i="5"/>
  <c r="AU984" i="5"/>
  <c r="AU983" i="5"/>
  <c r="AU982" i="5"/>
  <c r="AU981" i="5"/>
  <c r="AU980" i="5"/>
  <c r="AU979" i="5"/>
  <c r="AU978" i="5"/>
  <c r="AU977" i="5"/>
  <c r="AU976" i="5"/>
  <c r="AU975" i="5"/>
  <c r="AU974" i="5"/>
  <c r="AU973" i="5"/>
  <c r="AU972" i="5"/>
  <c r="AU971" i="5"/>
  <c r="AU970" i="5"/>
  <c r="AU969" i="5"/>
  <c r="AU968" i="5"/>
  <c r="AU967" i="5"/>
  <c r="AU966" i="5"/>
  <c r="AU965" i="5"/>
  <c r="AU964" i="5"/>
  <c r="AU963" i="5"/>
  <c r="AU962" i="5"/>
  <c r="AU961" i="5"/>
  <c r="AU960" i="5"/>
  <c r="AU959" i="5"/>
  <c r="AU958" i="5"/>
  <c r="AU957" i="5"/>
  <c r="AU956" i="5"/>
  <c r="AU955" i="5"/>
  <c r="AU954" i="5"/>
  <c r="AU953" i="5"/>
  <c r="AU952" i="5"/>
  <c r="AU951" i="5"/>
  <c r="AU950" i="5"/>
  <c r="AU949" i="5"/>
  <c r="AU948" i="5"/>
  <c r="AU947" i="5"/>
  <c r="AU946" i="5"/>
  <c r="AU945" i="5"/>
  <c r="AU944" i="5"/>
  <c r="AU943" i="5"/>
  <c r="AU942" i="5"/>
  <c r="AU941" i="5"/>
  <c r="AU940" i="5"/>
  <c r="AU939" i="5"/>
  <c r="AU938" i="5"/>
  <c r="AU937" i="5"/>
  <c r="AU936" i="5"/>
  <c r="AU935" i="5"/>
  <c r="AU934" i="5"/>
  <c r="AU933" i="5"/>
  <c r="AU932" i="5"/>
  <c r="AU931" i="5"/>
  <c r="AU930" i="5"/>
  <c r="AU929" i="5"/>
  <c r="AU928" i="5"/>
  <c r="AU927" i="5"/>
  <c r="AU926" i="5"/>
  <c r="AU925" i="5"/>
  <c r="AU924" i="5"/>
  <c r="AU923" i="5"/>
  <c r="AU922" i="5"/>
  <c r="AU921" i="5"/>
  <c r="AU920" i="5"/>
  <c r="AU919" i="5"/>
  <c r="AU918" i="5"/>
  <c r="AU917" i="5"/>
  <c r="AU916" i="5"/>
  <c r="AU915" i="5"/>
  <c r="AU914" i="5"/>
  <c r="AU913" i="5"/>
  <c r="AU912" i="5"/>
  <c r="AU911" i="5"/>
  <c r="AU910" i="5"/>
  <c r="AU909" i="5"/>
  <c r="AU908" i="5"/>
  <c r="AU907" i="5"/>
  <c r="AU906" i="5"/>
  <c r="AU905" i="5"/>
  <c r="AU904" i="5"/>
  <c r="AU903" i="5"/>
  <c r="AU902" i="5"/>
  <c r="AU901" i="5"/>
  <c r="AU900" i="5"/>
  <c r="AU899" i="5"/>
  <c r="AU898" i="5"/>
  <c r="AU897" i="5"/>
  <c r="AU896" i="5"/>
  <c r="AU895" i="5"/>
  <c r="AU894" i="5"/>
  <c r="AU893" i="5"/>
  <c r="AU892" i="5"/>
  <c r="AU891" i="5"/>
  <c r="AU890" i="5"/>
  <c r="AU889" i="5"/>
  <c r="AU888" i="5"/>
  <c r="AU887" i="5"/>
  <c r="AU886" i="5"/>
  <c r="AU885" i="5"/>
  <c r="AU884" i="5"/>
  <c r="AU883" i="5"/>
  <c r="AU882" i="5"/>
  <c r="AU881" i="5"/>
  <c r="AU880" i="5"/>
  <c r="AU879" i="5"/>
  <c r="AU878" i="5"/>
  <c r="AU877" i="5"/>
  <c r="AU876" i="5"/>
  <c r="AU875" i="5"/>
  <c r="AU874" i="5"/>
  <c r="AU873" i="5"/>
  <c r="AU872" i="5"/>
  <c r="AU871" i="5"/>
  <c r="AU870" i="5"/>
  <c r="AU869" i="5"/>
  <c r="AU868" i="5"/>
  <c r="AU867" i="5"/>
  <c r="AU866" i="5"/>
  <c r="AU865" i="5"/>
  <c r="AU864" i="5"/>
  <c r="AU863" i="5"/>
  <c r="AU862" i="5"/>
  <c r="AU861" i="5"/>
  <c r="AU860" i="5"/>
  <c r="AU859" i="5"/>
  <c r="AU858" i="5"/>
  <c r="AU857" i="5"/>
  <c r="AU856" i="5"/>
  <c r="AU855" i="5"/>
  <c r="AU854" i="5"/>
  <c r="AU853" i="5"/>
  <c r="AU852" i="5"/>
  <c r="AU851" i="5"/>
  <c r="AU850" i="5"/>
  <c r="AU849" i="5"/>
  <c r="AU848" i="5"/>
  <c r="AU847" i="5"/>
  <c r="AU846" i="5"/>
  <c r="AU845" i="5"/>
  <c r="AU844" i="5"/>
  <c r="AU843" i="5"/>
  <c r="AU842" i="5"/>
  <c r="AU841" i="5"/>
  <c r="AU840" i="5"/>
  <c r="AU839" i="5"/>
  <c r="AU838" i="5"/>
  <c r="AU837" i="5"/>
  <c r="AU836" i="5"/>
  <c r="AU835" i="5"/>
  <c r="AU834" i="5"/>
  <c r="AU833" i="5"/>
  <c r="AU832" i="5"/>
  <c r="AU831" i="5"/>
  <c r="AU830" i="5"/>
  <c r="AU829" i="5"/>
  <c r="AU828" i="5"/>
  <c r="AU827" i="5"/>
  <c r="AU826" i="5"/>
  <c r="AU825" i="5"/>
  <c r="AU824" i="5"/>
  <c r="AU823" i="5"/>
  <c r="AU822" i="5"/>
  <c r="AU821" i="5"/>
  <c r="AU820" i="5"/>
  <c r="AU819" i="5"/>
  <c r="AU818" i="5"/>
  <c r="AU817" i="5"/>
  <c r="AU816" i="5"/>
  <c r="AU815" i="5"/>
  <c r="AU814" i="5"/>
  <c r="AU813" i="5"/>
  <c r="AU812" i="5"/>
  <c r="AU811" i="5"/>
  <c r="AU810" i="5"/>
  <c r="AU809" i="5"/>
  <c r="AU808" i="5"/>
  <c r="AU807" i="5"/>
  <c r="AU806" i="5"/>
  <c r="AU805" i="5"/>
  <c r="AU804" i="5"/>
  <c r="AU803" i="5"/>
  <c r="AU802" i="5"/>
  <c r="AU801" i="5"/>
  <c r="AU800" i="5"/>
  <c r="AU799" i="5"/>
  <c r="AU798" i="5"/>
  <c r="AU797" i="5"/>
  <c r="AU796" i="5"/>
  <c r="AU795" i="5"/>
  <c r="AU794" i="5"/>
  <c r="AU793" i="5"/>
  <c r="AU792" i="5"/>
  <c r="AU791" i="5"/>
  <c r="AU790" i="5"/>
  <c r="AU789" i="5"/>
  <c r="AU788" i="5"/>
  <c r="AU787" i="5"/>
  <c r="AU786" i="5"/>
  <c r="AU785" i="5"/>
  <c r="AU784" i="5"/>
  <c r="AU783" i="5"/>
  <c r="AU782" i="5"/>
  <c r="AU781" i="5"/>
  <c r="AU780" i="5"/>
  <c r="AU779" i="5"/>
  <c r="AU778" i="5"/>
  <c r="AU777" i="5"/>
  <c r="AU776" i="5"/>
  <c r="AU775" i="5"/>
  <c r="AU774" i="5"/>
  <c r="AU773" i="5"/>
  <c r="AU772" i="5"/>
  <c r="AU771" i="5"/>
  <c r="AU770" i="5"/>
  <c r="AU769" i="5"/>
  <c r="AU768" i="5"/>
  <c r="AU767" i="5"/>
  <c r="AU766" i="5"/>
  <c r="AU765" i="5"/>
  <c r="AU764" i="5"/>
  <c r="AU763" i="5"/>
  <c r="AU762" i="5"/>
  <c r="AU761" i="5"/>
  <c r="AU760" i="5"/>
  <c r="AU759" i="5"/>
  <c r="AU758" i="5"/>
  <c r="AU757" i="5"/>
  <c r="AU756" i="5"/>
  <c r="AU755" i="5"/>
  <c r="AU754" i="5"/>
  <c r="AU753" i="5"/>
  <c r="AU752" i="5"/>
  <c r="AU751" i="5"/>
  <c r="AU750" i="5"/>
  <c r="AU749" i="5"/>
  <c r="AU748" i="5"/>
  <c r="AU747" i="5"/>
  <c r="AU746" i="5"/>
  <c r="AU745" i="5"/>
  <c r="AU744" i="5"/>
  <c r="AU743" i="5"/>
  <c r="AU742" i="5"/>
  <c r="AU741" i="5"/>
  <c r="AU740" i="5"/>
  <c r="AU739" i="5"/>
  <c r="AU738" i="5"/>
  <c r="AU737" i="5"/>
  <c r="AU736" i="5"/>
  <c r="AU735" i="5"/>
  <c r="AU734" i="5"/>
  <c r="AU733" i="5"/>
  <c r="AU732" i="5"/>
  <c r="AU731" i="5"/>
  <c r="AU730" i="5"/>
  <c r="AU729" i="5"/>
  <c r="AU728" i="5"/>
  <c r="AU727" i="5"/>
  <c r="AU726" i="5"/>
  <c r="AU725" i="5"/>
  <c r="AU724" i="5"/>
  <c r="AU723" i="5"/>
  <c r="AU722" i="5"/>
  <c r="AU721" i="5"/>
  <c r="AU720" i="5"/>
  <c r="AU719" i="5"/>
  <c r="AU718" i="5"/>
  <c r="AU717" i="5"/>
  <c r="AU716" i="5"/>
  <c r="AU715" i="5"/>
  <c r="AU714" i="5"/>
  <c r="AU713" i="5"/>
  <c r="AU712" i="5"/>
  <c r="AU711" i="5"/>
  <c r="AU710" i="5"/>
  <c r="AU709" i="5"/>
  <c r="AU708" i="5"/>
  <c r="AU707" i="5"/>
  <c r="AU706" i="5"/>
  <c r="AU705" i="5"/>
  <c r="AU704" i="5"/>
  <c r="AU703" i="5"/>
  <c r="AU702" i="5"/>
  <c r="AU701" i="5"/>
  <c r="AU700" i="5"/>
  <c r="AU699" i="5"/>
  <c r="AU698" i="5"/>
  <c r="AU697" i="5"/>
  <c r="AU696" i="5"/>
  <c r="AU695" i="5"/>
  <c r="AU694" i="5"/>
  <c r="AU693" i="5"/>
  <c r="AU692" i="5"/>
  <c r="AU691" i="5"/>
  <c r="AU690" i="5"/>
  <c r="AU689" i="5"/>
  <c r="AU688" i="5"/>
  <c r="AU687" i="5"/>
  <c r="AU686" i="5"/>
  <c r="AU685" i="5"/>
  <c r="AU684" i="5"/>
  <c r="AU683" i="5"/>
  <c r="AU682" i="5"/>
  <c r="AU681" i="5"/>
  <c r="AU680" i="5"/>
  <c r="AU679" i="5"/>
  <c r="AU678" i="5"/>
  <c r="AU677" i="5"/>
  <c r="AU676" i="5"/>
  <c r="AU675" i="5"/>
  <c r="AU674" i="5"/>
  <c r="AU673" i="5"/>
  <c r="AU672" i="5"/>
  <c r="AU671" i="5"/>
  <c r="AU670" i="5"/>
  <c r="AU669" i="5"/>
  <c r="AU668" i="5"/>
  <c r="AU667" i="5"/>
  <c r="AU666" i="5"/>
  <c r="AU665" i="5"/>
  <c r="AU664" i="5"/>
  <c r="AU663" i="5"/>
  <c r="AU662" i="5"/>
  <c r="AU661" i="5"/>
  <c r="AU660" i="5"/>
  <c r="AU659" i="5"/>
  <c r="AU658" i="5"/>
  <c r="AU657" i="5"/>
  <c r="AU656" i="5"/>
  <c r="AU655" i="5"/>
  <c r="AU654" i="5"/>
  <c r="AU653" i="5"/>
  <c r="AU652" i="5"/>
  <c r="AU651" i="5"/>
  <c r="AU650" i="5"/>
  <c r="AU649" i="5"/>
  <c r="AU648" i="5"/>
  <c r="AU647" i="5"/>
  <c r="AU646" i="5"/>
  <c r="AU645" i="5"/>
  <c r="AU644" i="5"/>
  <c r="AU643" i="5"/>
  <c r="AU642" i="5"/>
  <c r="AU641" i="5"/>
  <c r="AU640" i="5"/>
  <c r="AU639" i="5"/>
  <c r="AU638" i="5"/>
  <c r="AU637" i="5"/>
  <c r="AU636" i="5"/>
  <c r="AU635" i="5"/>
  <c r="AU634" i="5"/>
  <c r="AU633" i="5"/>
  <c r="AU632" i="5"/>
  <c r="AU631" i="5"/>
  <c r="AU630" i="5"/>
  <c r="AU629" i="5"/>
  <c r="AU628" i="5"/>
  <c r="AU627" i="5"/>
  <c r="AU626" i="5"/>
  <c r="AU625" i="5"/>
  <c r="AU624" i="5"/>
  <c r="AU623" i="5"/>
  <c r="AU622" i="5"/>
  <c r="AU621" i="5"/>
  <c r="AU620" i="5"/>
  <c r="AU619" i="5"/>
  <c r="AU618" i="5"/>
  <c r="AU617" i="5"/>
  <c r="AU616" i="5"/>
  <c r="AU615" i="5"/>
  <c r="AU614" i="5"/>
  <c r="AU613" i="5"/>
  <c r="AU612" i="5"/>
  <c r="AU611" i="5"/>
  <c r="AU610" i="5"/>
  <c r="AU609" i="5"/>
  <c r="AU608" i="5"/>
  <c r="AU607" i="5"/>
  <c r="AU606" i="5"/>
  <c r="AU605" i="5"/>
  <c r="AU604" i="5"/>
  <c r="AU603" i="5"/>
  <c r="AU602" i="5"/>
  <c r="AU601" i="5"/>
  <c r="AU600" i="5"/>
  <c r="AU599" i="5"/>
  <c r="AU598" i="5"/>
  <c r="AU597" i="5"/>
  <c r="AU596" i="5"/>
  <c r="AU595" i="5"/>
  <c r="AU594" i="5"/>
  <c r="AU593" i="5"/>
  <c r="AU592" i="5"/>
  <c r="AU591" i="5"/>
  <c r="AU590" i="5"/>
  <c r="AU589" i="5"/>
  <c r="AU588" i="5"/>
  <c r="AU587" i="5"/>
  <c r="AU586" i="5"/>
  <c r="AU585" i="5"/>
  <c r="AU584" i="5"/>
  <c r="AU583" i="5"/>
  <c r="AU582" i="5"/>
  <c r="AU581" i="5"/>
  <c r="AU580" i="5"/>
  <c r="AU579" i="5"/>
  <c r="AU578" i="5"/>
  <c r="AU577" i="5"/>
  <c r="AU576" i="5"/>
  <c r="AU575" i="5"/>
  <c r="AU574" i="5"/>
  <c r="AU573" i="5"/>
  <c r="AU572" i="5"/>
  <c r="AU571" i="5"/>
  <c r="AU570" i="5"/>
  <c r="AU569" i="5"/>
  <c r="AU568" i="5"/>
  <c r="AU567" i="5"/>
  <c r="AU566" i="5"/>
  <c r="AU565" i="5"/>
  <c r="AU564" i="5"/>
  <c r="AU563" i="5"/>
  <c r="AU562" i="5"/>
  <c r="AU561" i="5"/>
  <c r="AU560" i="5"/>
  <c r="AU559" i="5"/>
  <c r="AU558" i="5"/>
  <c r="AU557" i="5"/>
  <c r="AU556" i="5"/>
  <c r="AU555" i="5"/>
  <c r="AU554" i="5"/>
  <c r="AU553" i="5"/>
  <c r="AU552" i="5"/>
  <c r="AU551" i="5"/>
  <c r="AU550" i="5"/>
  <c r="AU549" i="5"/>
  <c r="AU548" i="5"/>
  <c r="AU547" i="5"/>
  <c r="AU546" i="5"/>
  <c r="AU545" i="5"/>
  <c r="AU544" i="5"/>
  <c r="AU543" i="5"/>
  <c r="AU542" i="5"/>
  <c r="AU541" i="5"/>
  <c r="AU540" i="5"/>
  <c r="AU539" i="5"/>
  <c r="AU538" i="5"/>
  <c r="AU537" i="5"/>
  <c r="AU536" i="5"/>
  <c r="AU535" i="5"/>
  <c r="AU534" i="5"/>
  <c r="AU533" i="5"/>
  <c r="AU532" i="5"/>
  <c r="AU531" i="5"/>
  <c r="AU530" i="5"/>
  <c r="AU529" i="5"/>
  <c r="AU528" i="5"/>
  <c r="AU527" i="5"/>
  <c r="AU526" i="5"/>
  <c r="AU525" i="5"/>
  <c r="AU524" i="5"/>
  <c r="AU523" i="5"/>
  <c r="AU522" i="5"/>
  <c r="AU521" i="5"/>
  <c r="AU520" i="5"/>
  <c r="AU519" i="5"/>
  <c r="AU518" i="5"/>
  <c r="AU517" i="5"/>
  <c r="AU516" i="5"/>
  <c r="AU515" i="5"/>
  <c r="AU514" i="5"/>
  <c r="AU513" i="5"/>
  <c r="AU512" i="5"/>
  <c r="AU511" i="5"/>
  <c r="AU510" i="5"/>
  <c r="AU509" i="5"/>
  <c r="AU508" i="5"/>
  <c r="AU507" i="5"/>
  <c r="AU506" i="5"/>
  <c r="AU505" i="5"/>
  <c r="AU504" i="5"/>
  <c r="AU503" i="5"/>
  <c r="AU502" i="5"/>
  <c r="AU501" i="5"/>
  <c r="AU500" i="5"/>
  <c r="AU499" i="5"/>
  <c r="AU498" i="5"/>
  <c r="AU497" i="5"/>
  <c r="AU496" i="5"/>
  <c r="AU495" i="5"/>
  <c r="AU494" i="5"/>
  <c r="AU493" i="5"/>
  <c r="AU492" i="5"/>
  <c r="AU491" i="5"/>
  <c r="AU490" i="5"/>
  <c r="AU489" i="5"/>
  <c r="AU488" i="5"/>
  <c r="AU487" i="5"/>
  <c r="AU486" i="5"/>
  <c r="AU485" i="5"/>
  <c r="AU484" i="5"/>
  <c r="AU483" i="5"/>
  <c r="AU482" i="5"/>
  <c r="AU481" i="5"/>
  <c r="AU480" i="5"/>
  <c r="AU479" i="5"/>
  <c r="AU478" i="5"/>
  <c r="AU477" i="5"/>
  <c r="AU476" i="5"/>
  <c r="AU475" i="5"/>
  <c r="AU474" i="5"/>
  <c r="AU473" i="5"/>
  <c r="AU472" i="5"/>
  <c r="AU471" i="5"/>
  <c r="AU470" i="5"/>
  <c r="AU469" i="5"/>
  <c r="AU468" i="5"/>
  <c r="AU467" i="5"/>
  <c r="AU466" i="5"/>
  <c r="AU465" i="5"/>
  <c r="AU464" i="5"/>
  <c r="AU463" i="5"/>
  <c r="AU462" i="5"/>
  <c r="AU461" i="5"/>
  <c r="AU460" i="5"/>
  <c r="AU459" i="5"/>
  <c r="AU458" i="5"/>
  <c r="AU457" i="5"/>
  <c r="AU456" i="5"/>
  <c r="AU455" i="5"/>
  <c r="AU454" i="5"/>
  <c r="AU453" i="5"/>
  <c r="AU452" i="5"/>
  <c r="AU451" i="5"/>
  <c r="AU450" i="5"/>
  <c r="AU449" i="5"/>
  <c r="AU448" i="5"/>
  <c r="AU447" i="5"/>
  <c r="AU446" i="5"/>
  <c r="AU445" i="5"/>
  <c r="AU444" i="5"/>
  <c r="AU443" i="5"/>
  <c r="AU442" i="5"/>
  <c r="AU441" i="5"/>
  <c r="AU440" i="5"/>
  <c r="AU439" i="5"/>
  <c r="AU438" i="5"/>
  <c r="AU437" i="5"/>
  <c r="AU436" i="5"/>
  <c r="AU435" i="5"/>
  <c r="AU434" i="5"/>
  <c r="AU433" i="5"/>
  <c r="AU432" i="5"/>
  <c r="AU431" i="5"/>
  <c r="AU430" i="5"/>
  <c r="AU429" i="5"/>
  <c r="AU428" i="5"/>
  <c r="AU427" i="5"/>
  <c r="AU426" i="5"/>
  <c r="AU425" i="5"/>
  <c r="AU424" i="5"/>
  <c r="AU423" i="5"/>
  <c r="AU422" i="5"/>
  <c r="AU421" i="5"/>
  <c r="AU420" i="5"/>
  <c r="AU419" i="5"/>
  <c r="AU418" i="5"/>
  <c r="AU417" i="5"/>
  <c r="AU416" i="5"/>
  <c r="AU415" i="5"/>
  <c r="AU414" i="5"/>
  <c r="AU413" i="5"/>
  <c r="AU412" i="5"/>
  <c r="AU411" i="5"/>
  <c r="AU410" i="5"/>
  <c r="AU409" i="5"/>
  <c r="AU408" i="5"/>
  <c r="AU407" i="5"/>
  <c r="AU406" i="5"/>
  <c r="AU405" i="5"/>
  <c r="AU404" i="5"/>
  <c r="AU403" i="5"/>
  <c r="AU402" i="5"/>
  <c r="AU401" i="5"/>
  <c r="AU400" i="5"/>
  <c r="AU399" i="5"/>
  <c r="AU398" i="5"/>
  <c r="AU397" i="5"/>
  <c r="AU396" i="5"/>
  <c r="AU395" i="5"/>
  <c r="AU394" i="5"/>
  <c r="AU393" i="5"/>
  <c r="AU392" i="5"/>
  <c r="AU391" i="5"/>
  <c r="AU390" i="5"/>
  <c r="AU389" i="5"/>
  <c r="AU388" i="5"/>
  <c r="AU387" i="5"/>
  <c r="AU386" i="5"/>
  <c r="AU385" i="5"/>
  <c r="AU384" i="5"/>
  <c r="AU383" i="5"/>
  <c r="AU382" i="5"/>
  <c r="AU381" i="5"/>
  <c r="AU380" i="5"/>
  <c r="AU379" i="5"/>
  <c r="AU378" i="5"/>
  <c r="AU377" i="5"/>
  <c r="AU376" i="5"/>
  <c r="AU375" i="5"/>
  <c r="AU374" i="5"/>
  <c r="AU373" i="5"/>
  <c r="AU372" i="5"/>
  <c r="AU371" i="5"/>
  <c r="AU370" i="5"/>
  <c r="AU369" i="5"/>
  <c r="AU368" i="5"/>
  <c r="AU367" i="5"/>
  <c r="AU366" i="5"/>
  <c r="AU365" i="5"/>
  <c r="AU364" i="5"/>
  <c r="AU363" i="5"/>
  <c r="AU362" i="5"/>
  <c r="AU361" i="5"/>
  <c r="AU360" i="5"/>
  <c r="AU359" i="5"/>
  <c r="AU358" i="5"/>
  <c r="AU357" i="5"/>
  <c r="AU356" i="5"/>
  <c r="AU355" i="5"/>
  <c r="AU354" i="5"/>
  <c r="AU353" i="5"/>
  <c r="AU352" i="5"/>
  <c r="AU351" i="5"/>
  <c r="AU350" i="5"/>
  <c r="AU349" i="5"/>
  <c r="AU348" i="5"/>
  <c r="AU347" i="5"/>
  <c r="AU346" i="5"/>
  <c r="AU345" i="5"/>
  <c r="AU344" i="5"/>
  <c r="AU343" i="5"/>
  <c r="AU342" i="5"/>
  <c r="AU341" i="5"/>
  <c r="AU340" i="5"/>
  <c r="AU339" i="5"/>
  <c r="AU338" i="5"/>
  <c r="AU337" i="5"/>
  <c r="AU336" i="5"/>
  <c r="AU335" i="5"/>
  <c r="AU334" i="5"/>
  <c r="AU333" i="5"/>
  <c r="AU332" i="5"/>
  <c r="AU331" i="5"/>
  <c r="AU330" i="5"/>
  <c r="AU329" i="5"/>
  <c r="AU328" i="5"/>
  <c r="AU327" i="5"/>
  <c r="AU326" i="5"/>
  <c r="AU325" i="5"/>
  <c r="AU324" i="5"/>
  <c r="AU323" i="5"/>
  <c r="AU322" i="5"/>
  <c r="AU321" i="5"/>
  <c r="AU320" i="5"/>
  <c r="AU319" i="5"/>
  <c r="AU318" i="5"/>
  <c r="AU317" i="5"/>
  <c r="AU316" i="5"/>
  <c r="AU315" i="5"/>
  <c r="AU314" i="5"/>
  <c r="AU313" i="5"/>
  <c r="AU312" i="5"/>
  <c r="AU311" i="5"/>
  <c r="AU310" i="5"/>
  <c r="AU309" i="5"/>
  <c r="AU308" i="5"/>
  <c r="AU307" i="5"/>
  <c r="AU306" i="5"/>
  <c r="AU305" i="5"/>
  <c r="AU304" i="5"/>
  <c r="AU303" i="5"/>
  <c r="AU302" i="5"/>
  <c r="AU301" i="5"/>
  <c r="AU300" i="5"/>
  <c r="AU299" i="5"/>
  <c r="AU298" i="5"/>
  <c r="AU297" i="5"/>
  <c r="AU296" i="5"/>
  <c r="AU295" i="5"/>
  <c r="AU294" i="5"/>
  <c r="AU293" i="5"/>
  <c r="AU292" i="5"/>
  <c r="AU291" i="5"/>
  <c r="AU290" i="5"/>
  <c r="AU289" i="5"/>
  <c r="AU288" i="5"/>
  <c r="AU287" i="5"/>
  <c r="AU286" i="5"/>
  <c r="AU285" i="5"/>
  <c r="AU284" i="5"/>
  <c r="AU283" i="5"/>
  <c r="AU282" i="5"/>
  <c r="AU281" i="5"/>
  <c r="AU280" i="5"/>
  <c r="AU279" i="5"/>
  <c r="AU278" i="5"/>
  <c r="AU277" i="5"/>
  <c r="AU276" i="5"/>
  <c r="AU275" i="5"/>
  <c r="AU274" i="5"/>
  <c r="AU273" i="5"/>
  <c r="AU272" i="5"/>
  <c r="AU271" i="5"/>
  <c r="AU270" i="5"/>
  <c r="AU269" i="5"/>
  <c r="AU268" i="5"/>
  <c r="AU267" i="5"/>
  <c r="AU266" i="5"/>
  <c r="AU265" i="5"/>
  <c r="AU264" i="5"/>
  <c r="AU263" i="5"/>
  <c r="AU262" i="5"/>
  <c r="AU261" i="5"/>
  <c r="AU260" i="5"/>
  <c r="AU259" i="5"/>
  <c r="AU258" i="5"/>
  <c r="AU257" i="5"/>
  <c r="AU256" i="5"/>
  <c r="AU255" i="5"/>
  <c r="AU254" i="5"/>
  <c r="AU253" i="5"/>
  <c r="AU252" i="5"/>
  <c r="AU251" i="5"/>
  <c r="AU250" i="5"/>
  <c r="AU249" i="5"/>
  <c r="AU248" i="5"/>
  <c r="AU247" i="5"/>
  <c r="AU246" i="5"/>
  <c r="AU245" i="5"/>
  <c r="AU244" i="5"/>
  <c r="AU243" i="5"/>
  <c r="AU242" i="5"/>
  <c r="AU241" i="5"/>
  <c r="AU240" i="5"/>
  <c r="AU239" i="5"/>
  <c r="AU238" i="5"/>
  <c r="AU237" i="5"/>
  <c r="AU236" i="5"/>
  <c r="AU235" i="5"/>
  <c r="AU234" i="5"/>
  <c r="AU233" i="5"/>
  <c r="AU232" i="5"/>
  <c r="AU231" i="5"/>
  <c r="AU230" i="5"/>
  <c r="AU229" i="5"/>
  <c r="AU228" i="5"/>
  <c r="AU227" i="5"/>
  <c r="AU226" i="5"/>
  <c r="AU225" i="5"/>
  <c r="AU224" i="5"/>
  <c r="AU223" i="5"/>
  <c r="AU222" i="5"/>
  <c r="AU221" i="5"/>
  <c r="AU220" i="5"/>
  <c r="AU219" i="5"/>
  <c r="AU218" i="5"/>
  <c r="AU217" i="5"/>
  <c r="AU216" i="5"/>
  <c r="AU215" i="5"/>
  <c r="AU214" i="5"/>
  <c r="AU213" i="5"/>
  <c r="AU212" i="5"/>
  <c r="AU211" i="5"/>
  <c r="AU210" i="5"/>
  <c r="AU209" i="5"/>
  <c r="AU208" i="5"/>
  <c r="AU207" i="5"/>
  <c r="AU206" i="5"/>
  <c r="AU205" i="5"/>
  <c r="AU204" i="5"/>
  <c r="AU203" i="5"/>
  <c r="AU202" i="5"/>
  <c r="AU201" i="5"/>
  <c r="AU200" i="5"/>
  <c r="AU199" i="5"/>
  <c r="AU198" i="5"/>
  <c r="AU197" i="5"/>
  <c r="AU196" i="5"/>
  <c r="AU195" i="5"/>
  <c r="AU194" i="5"/>
  <c r="AU193" i="5"/>
  <c r="AU192" i="5"/>
  <c r="AU191" i="5"/>
  <c r="AU190" i="5"/>
  <c r="AU189" i="5"/>
  <c r="AU188" i="5"/>
  <c r="AU187" i="5"/>
  <c r="AU186" i="5"/>
  <c r="AU185" i="5"/>
  <c r="AU184" i="5"/>
  <c r="AU183" i="5"/>
  <c r="AU182" i="5"/>
  <c r="AU181" i="5"/>
  <c r="AU180" i="5"/>
  <c r="AU179" i="5"/>
  <c r="AU178" i="5"/>
  <c r="AU177" i="5"/>
  <c r="AU176" i="5"/>
  <c r="AU175" i="5"/>
  <c r="AU174" i="5"/>
  <c r="AU173" i="5"/>
  <c r="AU172" i="5"/>
  <c r="AU171" i="5"/>
  <c r="AU170" i="5"/>
  <c r="AU169" i="5"/>
  <c r="AU168" i="5"/>
  <c r="AU167" i="5"/>
  <c r="AU166" i="5"/>
  <c r="AU165" i="5"/>
  <c r="AU164" i="5"/>
  <c r="AU163" i="5"/>
  <c r="AU162" i="5"/>
  <c r="AU161" i="5"/>
  <c r="AU160" i="5"/>
  <c r="AU159" i="5"/>
  <c r="AU158" i="5"/>
  <c r="AU157" i="5"/>
  <c r="AU156" i="5"/>
  <c r="AU155" i="5"/>
  <c r="AU154" i="5"/>
  <c r="AU153" i="5"/>
  <c r="AU152" i="5"/>
  <c r="AU151" i="5"/>
  <c r="AU150" i="5"/>
  <c r="AU149" i="5"/>
  <c r="AU148" i="5"/>
  <c r="AU147" i="5"/>
  <c r="AU146" i="5"/>
  <c r="AU145" i="5"/>
  <c r="AU144" i="5"/>
  <c r="AU143" i="5"/>
  <c r="AU142" i="5"/>
  <c r="AU141" i="5"/>
  <c r="AU140" i="5"/>
  <c r="AU139" i="5"/>
  <c r="AU138" i="5"/>
  <c r="AU137" i="5"/>
  <c r="AU136" i="5"/>
  <c r="AU135" i="5"/>
  <c r="AU134" i="5"/>
  <c r="AU133" i="5"/>
  <c r="AU132" i="5"/>
  <c r="AU131" i="5"/>
  <c r="AU130" i="5"/>
  <c r="AU129" i="5"/>
  <c r="AU128" i="5"/>
  <c r="AU127" i="5"/>
  <c r="AU126" i="5"/>
  <c r="AU125" i="5"/>
  <c r="AU124" i="5"/>
  <c r="AU123" i="5"/>
  <c r="AU122" i="5"/>
  <c r="AU121" i="5"/>
  <c r="AU120" i="5"/>
  <c r="AU119" i="5"/>
  <c r="AU118" i="5"/>
  <c r="AU117" i="5"/>
  <c r="AU116" i="5"/>
  <c r="AU115" i="5"/>
  <c r="AU114" i="5"/>
  <c r="AU113" i="5"/>
  <c r="AU112" i="5"/>
  <c r="AU111" i="5"/>
  <c r="AU110" i="5"/>
  <c r="AU109" i="5"/>
  <c r="AU108" i="5"/>
  <c r="AU107" i="5"/>
  <c r="AU106" i="5"/>
  <c r="AU105" i="5"/>
  <c r="AU104" i="5"/>
  <c r="AU103" i="5"/>
  <c r="AU102" i="5"/>
  <c r="AU101" i="5"/>
  <c r="AU100" i="5"/>
  <c r="AU99" i="5"/>
  <c r="AU98" i="5"/>
  <c r="AU97" i="5"/>
  <c r="AU96" i="5"/>
  <c r="AU95" i="5"/>
  <c r="AU94" i="5"/>
  <c r="AU93" i="5"/>
  <c r="AU92" i="5"/>
  <c r="AU91" i="5"/>
  <c r="AU90" i="5"/>
  <c r="AU89" i="5"/>
  <c r="AU88" i="5"/>
  <c r="AU87" i="5"/>
  <c r="AU86" i="5"/>
  <c r="AU85" i="5"/>
  <c r="AU84" i="5"/>
  <c r="AU83" i="5"/>
  <c r="AU82" i="5"/>
  <c r="AU81" i="5"/>
  <c r="AU80" i="5"/>
  <c r="AU79" i="5"/>
  <c r="AU78" i="5"/>
  <c r="AU77" i="5"/>
  <c r="AU76" i="5"/>
  <c r="AU75" i="5"/>
  <c r="AU74" i="5"/>
  <c r="AU73" i="5"/>
  <c r="AU72" i="5"/>
  <c r="AU71" i="5"/>
  <c r="AU70" i="5"/>
  <c r="AU69" i="5"/>
  <c r="AU68" i="5"/>
  <c r="AU67" i="5"/>
  <c r="AU66" i="5"/>
  <c r="AU65" i="5"/>
  <c r="AU64" i="5"/>
  <c r="AU63" i="5"/>
  <c r="AU62" i="5"/>
  <c r="AU61" i="5"/>
  <c r="AU60" i="5"/>
  <c r="AU59" i="5"/>
  <c r="AU58" i="5"/>
  <c r="AU57" i="5"/>
  <c r="AU56" i="5"/>
  <c r="AU55" i="5"/>
  <c r="AU54" i="5"/>
  <c r="AU53" i="5"/>
  <c r="AU52" i="5"/>
  <c r="AU51" i="5"/>
  <c r="AU50" i="5"/>
  <c r="AU49" i="5"/>
  <c r="AU48" i="5"/>
  <c r="AU47" i="5"/>
  <c r="AU46" i="5"/>
  <c r="AU45" i="5"/>
  <c r="AU44" i="5"/>
  <c r="AU43" i="5"/>
  <c r="AU42" i="5"/>
  <c r="AU41" i="5"/>
  <c r="AU40" i="5"/>
  <c r="AU39" i="5"/>
  <c r="AU38" i="5"/>
  <c r="AU37" i="5"/>
  <c r="AU36" i="5"/>
  <c r="AU35" i="5"/>
  <c r="AU34" i="5"/>
  <c r="AU33" i="5"/>
  <c r="AU32" i="5"/>
  <c r="AU31" i="5"/>
  <c r="AU30" i="5"/>
  <c r="AU29" i="5"/>
  <c r="AU28" i="5"/>
  <c r="AU27" i="5"/>
  <c r="AU26" i="5"/>
  <c r="AU25" i="5"/>
  <c r="AU24" i="5"/>
  <c r="AU23" i="5"/>
  <c r="AU22" i="5"/>
  <c r="AU21" i="5"/>
  <c r="AU20" i="5"/>
  <c r="AU19" i="5"/>
  <c r="AU18" i="5"/>
  <c r="AU17" i="5"/>
  <c r="AU16" i="5"/>
  <c r="AU15" i="5"/>
  <c r="AU14" i="5"/>
  <c r="AU13" i="5"/>
  <c r="AU12" i="5"/>
  <c r="AU11" i="5"/>
  <c r="AU10" i="5"/>
  <c r="AU9" i="5"/>
  <c r="AU8" i="5"/>
  <c r="AU7" i="5"/>
  <c r="AU6" i="5"/>
  <c r="AU5" i="5"/>
  <c r="AU4" i="5"/>
  <c r="AU3" i="5"/>
  <c r="AU2" i="5"/>
  <c r="AG1500" i="4"/>
  <c r="AH1500" i="4" s="1"/>
  <c r="AF1500" i="4"/>
  <c r="AE1500" i="4"/>
  <c r="AG1499" i="4"/>
  <c r="AH1499" i="4" s="1"/>
  <c r="AF1499" i="4"/>
  <c r="AE1499" i="4"/>
  <c r="AG1498" i="4"/>
  <c r="AH1498" i="4" s="1"/>
  <c r="AF1498" i="4"/>
  <c r="AE1498" i="4"/>
  <c r="AG1497" i="4"/>
  <c r="AH1497" i="4" s="1"/>
  <c r="AF1497" i="4"/>
  <c r="AE1497" i="4"/>
  <c r="AG1496" i="4"/>
  <c r="AH1496" i="4" s="1"/>
  <c r="AF1496" i="4"/>
  <c r="AE1496" i="4"/>
  <c r="AG1495" i="4"/>
  <c r="AH1495" i="4" s="1"/>
  <c r="AF1495" i="4"/>
  <c r="AE1495" i="4"/>
  <c r="AG1494" i="4"/>
  <c r="AH1494" i="4" s="1"/>
  <c r="AF1494" i="4"/>
  <c r="AE1494" i="4"/>
  <c r="AG1493" i="4"/>
  <c r="AH1493" i="4" s="1"/>
  <c r="AF1493" i="4"/>
  <c r="AE1493" i="4"/>
  <c r="AG1492" i="4"/>
  <c r="AH1492" i="4" s="1"/>
  <c r="AF1492" i="4"/>
  <c r="AE1492" i="4"/>
  <c r="AG1491" i="4"/>
  <c r="AH1491" i="4" s="1"/>
  <c r="AF1491" i="4"/>
  <c r="AE1491" i="4"/>
  <c r="AG1490" i="4"/>
  <c r="AH1490" i="4" s="1"/>
  <c r="AF1490" i="4"/>
  <c r="AE1490" i="4"/>
  <c r="AG1489" i="4"/>
  <c r="AH1489" i="4" s="1"/>
  <c r="AF1489" i="4"/>
  <c r="AE1489" i="4"/>
  <c r="AG1488" i="4"/>
  <c r="AH1488" i="4" s="1"/>
  <c r="AF1488" i="4"/>
  <c r="AE1488" i="4"/>
  <c r="AG1487" i="4"/>
  <c r="AH1487" i="4" s="1"/>
  <c r="AF1487" i="4"/>
  <c r="AE1487" i="4"/>
  <c r="AG1486" i="4"/>
  <c r="AH1486" i="4" s="1"/>
  <c r="AF1486" i="4"/>
  <c r="AE1486" i="4"/>
  <c r="AG1485" i="4"/>
  <c r="AH1485" i="4" s="1"/>
  <c r="AF1485" i="4"/>
  <c r="AE1485" i="4"/>
  <c r="AG1484" i="4"/>
  <c r="AH1484" i="4" s="1"/>
  <c r="AF1484" i="4"/>
  <c r="AE1484" i="4"/>
  <c r="AG1483" i="4"/>
  <c r="AH1483" i="4" s="1"/>
  <c r="AF1483" i="4"/>
  <c r="AE1483" i="4"/>
  <c r="AG1482" i="4"/>
  <c r="AH1482" i="4" s="1"/>
  <c r="AF1482" i="4"/>
  <c r="AE1482" i="4"/>
  <c r="AG1481" i="4"/>
  <c r="AH1481" i="4" s="1"/>
  <c r="AF1481" i="4"/>
  <c r="AE1481" i="4"/>
  <c r="AG1480" i="4"/>
  <c r="AH1480" i="4" s="1"/>
  <c r="AF1480" i="4"/>
  <c r="AE1480" i="4"/>
  <c r="AG1479" i="4"/>
  <c r="AH1479" i="4" s="1"/>
  <c r="AF1479" i="4"/>
  <c r="AE1479" i="4"/>
  <c r="AG1478" i="4"/>
  <c r="AH1478" i="4" s="1"/>
  <c r="AF1478" i="4"/>
  <c r="AE1478" i="4"/>
  <c r="AG1477" i="4"/>
  <c r="AH1477" i="4" s="1"/>
  <c r="AF1477" i="4"/>
  <c r="AE1477" i="4"/>
  <c r="AG1476" i="4"/>
  <c r="AH1476" i="4" s="1"/>
  <c r="AF1476" i="4"/>
  <c r="AE1476" i="4"/>
  <c r="AG1475" i="4"/>
  <c r="AH1475" i="4" s="1"/>
  <c r="AF1475" i="4"/>
  <c r="AE1475" i="4"/>
  <c r="AG1474" i="4"/>
  <c r="AH1474" i="4" s="1"/>
  <c r="AF1474" i="4"/>
  <c r="AE1474" i="4"/>
  <c r="AG1473" i="4"/>
  <c r="AH1473" i="4" s="1"/>
  <c r="AF1473" i="4"/>
  <c r="AE1473" i="4"/>
  <c r="AG1472" i="4"/>
  <c r="AH1472" i="4" s="1"/>
  <c r="AF1472" i="4"/>
  <c r="AE1472" i="4"/>
  <c r="AG1471" i="4"/>
  <c r="AH1471" i="4" s="1"/>
  <c r="AF1471" i="4"/>
  <c r="AE1471" i="4"/>
  <c r="AG1470" i="4"/>
  <c r="AH1470" i="4" s="1"/>
  <c r="AF1470" i="4"/>
  <c r="AE1470" i="4"/>
  <c r="AG1469" i="4"/>
  <c r="AH1469" i="4" s="1"/>
  <c r="AF1469" i="4"/>
  <c r="AE1469" i="4"/>
  <c r="AG1468" i="4"/>
  <c r="AH1468" i="4" s="1"/>
  <c r="AF1468" i="4"/>
  <c r="AE1468" i="4"/>
  <c r="AG1467" i="4"/>
  <c r="AH1467" i="4" s="1"/>
  <c r="AF1467" i="4"/>
  <c r="AE1467" i="4"/>
  <c r="AG1466" i="4"/>
  <c r="AH1466" i="4" s="1"/>
  <c r="AF1466" i="4"/>
  <c r="AE1466" i="4"/>
  <c r="AG1465" i="4"/>
  <c r="AH1465" i="4" s="1"/>
  <c r="AF1465" i="4"/>
  <c r="AE1465" i="4"/>
  <c r="AG1464" i="4"/>
  <c r="AH1464" i="4" s="1"/>
  <c r="AF1464" i="4"/>
  <c r="AE1464" i="4"/>
  <c r="AG1463" i="4"/>
  <c r="AH1463" i="4" s="1"/>
  <c r="AF1463" i="4"/>
  <c r="AE1463" i="4"/>
  <c r="AG1462" i="4"/>
  <c r="AH1462" i="4" s="1"/>
  <c r="AF1462" i="4"/>
  <c r="AE1462" i="4"/>
  <c r="AG1461" i="4"/>
  <c r="AH1461" i="4" s="1"/>
  <c r="AF1461" i="4"/>
  <c r="AE1461" i="4"/>
  <c r="AG1460" i="4"/>
  <c r="AH1460" i="4" s="1"/>
  <c r="AF1460" i="4"/>
  <c r="AE1460" i="4"/>
  <c r="AG1459" i="4"/>
  <c r="AH1459" i="4" s="1"/>
  <c r="AF1459" i="4"/>
  <c r="AE1459" i="4"/>
  <c r="AG1458" i="4"/>
  <c r="AH1458" i="4" s="1"/>
  <c r="AF1458" i="4"/>
  <c r="AE1458" i="4"/>
  <c r="AG1457" i="4"/>
  <c r="AH1457" i="4" s="1"/>
  <c r="AF1457" i="4"/>
  <c r="AE1457" i="4"/>
  <c r="AG1456" i="4"/>
  <c r="AH1456" i="4" s="1"/>
  <c r="AF1456" i="4"/>
  <c r="AE1456" i="4"/>
  <c r="AG1455" i="4"/>
  <c r="AH1455" i="4" s="1"/>
  <c r="AF1455" i="4"/>
  <c r="AE1455" i="4"/>
  <c r="AG1454" i="4"/>
  <c r="AH1454" i="4" s="1"/>
  <c r="AF1454" i="4"/>
  <c r="AE1454" i="4"/>
  <c r="AG1453" i="4"/>
  <c r="AH1453" i="4" s="1"/>
  <c r="AF1453" i="4"/>
  <c r="AE1453" i="4"/>
  <c r="AG1452" i="4"/>
  <c r="AH1452" i="4" s="1"/>
  <c r="AF1452" i="4"/>
  <c r="AE1452" i="4"/>
  <c r="AG1451" i="4"/>
  <c r="AH1451" i="4" s="1"/>
  <c r="AF1451" i="4"/>
  <c r="AE1451" i="4"/>
  <c r="AG1450" i="4"/>
  <c r="AH1450" i="4" s="1"/>
  <c r="AF1450" i="4"/>
  <c r="AE1450" i="4"/>
  <c r="AG1449" i="4"/>
  <c r="AH1449" i="4" s="1"/>
  <c r="AF1449" i="4"/>
  <c r="AE1449" i="4"/>
  <c r="AG1448" i="4"/>
  <c r="AH1448" i="4" s="1"/>
  <c r="AF1448" i="4"/>
  <c r="AE1448" i="4"/>
  <c r="AG1447" i="4"/>
  <c r="AH1447" i="4" s="1"/>
  <c r="AF1447" i="4"/>
  <c r="AE1447" i="4"/>
  <c r="AG1446" i="4"/>
  <c r="AH1446" i="4" s="1"/>
  <c r="AF1446" i="4"/>
  <c r="AE1446" i="4"/>
  <c r="AG1445" i="4"/>
  <c r="AH1445" i="4" s="1"/>
  <c r="AF1445" i="4"/>
  <c r="AE1445" i="4"/>
  <c r="AG1444" i="4"/>
  <c r="AH1444" i="4" s="1"/>
  <c r="AF1444" i="4"/>
  <c r="AE1444" i="4"/>
  <c r="AG1443" i="4"/>
  <c r="AH1443" i="4" s="1"/>
  <c r="AF1443" i="4"/>
  <c r="AE1443" i="4"/>
  <c r="AG1442" i="4"/>
  <c r="AH1442" i="4" s="1"/>
  <c r="AF1442" i="4"/>
  <c r="AE1442" i="4"/>
  <c r="AG1441" i="4"/>
  <c r="AH1441" i="4" s="1"/>
  <c r="AF1441" i="4"/>
  <c r="AE1441" i="4"/>
  <c r="AG1440" i="4"/>
  <c r="AH1440" i="4" s="1"/>
  <c r="AF1440" i="4"/>
  <c r="AE1440" i="4"/>
  <c r="AG1439" i="4"/>
  <c r="AH1439" i="4" s="1"/>
  <c r="AF1439" i="4"/>
  <c r="AE1439" i="4"/>
  <c r="AG1438" i="4"/>
  <c r="AH1438" i="4" s="1"/>
  <c r="AF1438" i="4"/>
  <c r="AE1438" i="4"/>
  <c r="AG1437" i="4"/>
  <c r="AH1437" i="4" s="1"/>
  <c r="AF1437" i="4"/>
  <c r="AE1437" i="4"/>
  <c r="AG1436" i="4"/>
  <c r="AH1436" i="4" s="1"/>
  <c r="AF1436" i="4"/>
  <c r="AE1436" i="4"/>
  <c r="AG1435" i="4"/>
  <c r="AH1435" i="4" s="1"/>
  <c r="AF1435" i="4"/>
  <c r="AE1435" i="4"/>
  <c r="AG1434" i="4"/>
  <c r="AH1434" i="4" s="1"/>
  <c r="AF1434" i="4"/>
  <c r="AE1434" i="4"/>
  <c r="AG1433" i="4"/>
  <c r="AH1433" i="4" s="1"/>
  <c r="AF1433" i="4"/>
  <c r="AE1433" i="4"/>
  <c r="AG1432" i="4"/>
  <c r="AH1432" i="4" s="1"/>
  <c r="AF1432" i="4"/>
  <c r="AE1432" i="4"/>
  <c r="AG1431" i="4"/>
  <c r="AH1431" i="4" s="1"/>
  <c r="AF1431" i="4"/>
  <c r="AE1431" i="4"/>
  <c r="AG1430" i="4"/>
  <c r="AH1430" i="4" s="1"/>
  <c r="AF1430" i="4"/>
  <c r="AE1430" i="4"/>
  <c r="AG1429" i="4"/>
  <c r="AH1429" i="4" s="1"/>
  <c r="AF1429" i="4"/>
  <c r="AE1429" i="4"/>
  <c r="AG1428" i="4"/>
  <c r="AH1428" i="4" s="1"/>
  <c r="AF1428" i="4"/>
  <c r="AE1428" i="4"/>
  <c r="AG1427" i="4"/>
  <c r="AH1427" i="4" s="1"/>
  <c r="AF1427" i="4"/>
  <c r="AE1427" i="4"/>
  <c r="AG1426" i="4"/>
  <c r="AH1426" i="4" s="1"/>
  <c r="AF1426" i="4"/>
  <c r="AE1426" i="4"/>
  <c r="AG1425" i="4"/>
  <c r="AH1425" i="4" s="1"/>
  <c r="AF1425" i="4"/>
  <c r="AE1425" i="4"/>
  <c r="AG1424" i="4"/>
  <c r="AH1424" i="4" s="1"/>
  <c r="AF1424" i="4"/>
  <c r="AE1424" i="4"/>
  <c r="AG1423" i="4"/>
  <c r="AH1423" i="4" s="1"/>
  <c r="AF1423" i="4"/>
  <c r="AE1423" i="4"/>
  <c r="AG1422" i="4"/>
  <c r="AH1422" i="4" s="1"/>
  <c r="AF1422" i="4"/>
  <c r="AE1422" i="4"/>
  <c r="AG1421" i="4"/>
  <c r="AH1421" i="4" s="1"/>
  <c r="AF1421" i="4"/>
  <c r="AE1421" i="4"/>
  <c r="AG1420" i="4"/>
  <c r="AH1420" i="4" s="1"/>
  <c r="AF1420" i="4"/>
  <c r="AE1420" i="4"/>
  <c r="AG1419" i="4"/>
  <c r="AH1419" i="4" s="1"/>
  <c r="AF1419" i="4"/>
  <c r="AE1419" i="4"/>
  <c r="AG1418" i="4"/>
  <c r="AH1418" i="4" s="1"/>
  <c r="AF1418" i="4"/>
  <c r="AE1418" i="4"/>
  <c r="AG1417" i="4"/>
  <c r="AH1417" i="4" s="1"/>
  <c r="AF1417" i="4"/>
  <c r="AE1417" i="4"/>
  <c r="AG1416" i="4"/>
  <c r="AH1416" i="4" s="1"/>
  <c r="AF1416" i="4"/>
  <c r="AE1416" i="4"/>
  <c r="AG1415" i="4"/>
  <c r="AH1415" i="4" s="1"/>
  <c r="AF1415" i="4"/>
  <c r="AE1415" i="4"/>
  <c r="AG1414" i="4"/>
  <c r="AH1414" i="4" s="1"/>
  <c r="AF1414" i="4"/>
  <c r="AE1414" i="4"/>
  <c r="AG1413" i="4"/>
  <c r="AH1413" i="4" s="1"/>
  <c r="AF1413" i="4"/>
  <c r="AE1413" i="4"/>
  <c r="AG1412" i="4"/>
  <c r="AH1412" i="4" s="1"/>
  <c r="AF1412" i="4"/>
  <c r="AE1412" i="4"/>
  <c r="AG1411" i="4"/>
  <c r="AH1411" i="4" s="1"/>
  <c r="AF1411" i="4"/>
  <c r="AE1411" i="4"/>
  <c r="AG1410" i="4"/>
  <c r="AH1410" i="4" s="1"/>
  <c r="AF1410" i="4"/>
  <c r="AE1410" i="4"/>
  <c r="AG1409" i="4"/>
  <c r="AH1409" i="4" s="1"/>
  <c r="AF1409" i="4"/>
  <c r="AE1409" i="4"/>
  <c r="AG1408" i="4"/>
  <c r="AH1408" i="4" s="1"/>
  <c r="AF1408" i="4"/>
  <c r="AE1408" i="4"/>
  <c r="AG1407" i="4"/>
  <c r="AH1407" i="4" s="1"/>
  <c r="AF1407" i="4"/>
  <c r="AE1407" i="4"/>
  <c r="AG1406" i="4"/>
  <c r="AH1406" i="4" s="1"/>
  <c r="AF1406" i="4"/>
  <c r="AE1406" i="4"/>
  <c r="AG1405" i="4"/>
  <c r="AH1405" i="4" s="1"/>
  <c r="AF1405" i="4"/>
  <c r="AE1405" i="4"/>
  <c r="AG1404" i="4"/>
  <c r="AH1404" i="4" s="1"/>
  <c r="AF1404" i="4"/>
  <c r="AE1404" i="4"/>
  <c r="AG1403" i="4"/>
  <c r="AH1403" i="4" s="1"/>
  <c r="AF1403" i="4"/>
  <c r="AE1403" i="4"/>
  <c r="AG1402" i="4"/>
  <c r="AH1402" i="4" s="1"/>
  <c r="AF1402" i="4"/>
  <c r="AE1402" i="4"/>
  <c r="AG1401" i="4"/>
  <c r="AH1401" i="4" s="1"/>
  <c r="AF1401" i="4"/>
  <c r="AE1401" i="4"/>
  <c r="AG1400" i="4"/>
  <c r="AH1400" i="4" s="1"/>
  <c r="AF1400" i="4"/>
  <c r="AE1400" i="4"/>
  <c r="AG1399" i="4"/>
  <c r="AH1399" i="4" s="1"/>
  <c r="AF1399" i="4"/>
  <c r="AE1399" i="4"/>
  <c r="AG1398" i="4"/>
  <c r="AH1398" i="4" s="1"/>
  <c r="AF1398" i="4"/>
  <c r="AE1398" i="4"/>
  <c r="AG1397" i="4"/>
  <c r="AH1397" i="4" s="1"/>
  <c r="AF1397" i="4"/>
  <c r="AE1397" i="4"/>
  <c r="AG1396" i="4"/>
  <c r="AH1396" i="4" s="1"/>
  <c r="AF1396" i="4"/>
  <c r="AE1396" i="4"/>
  <c r="AG1395" i="4"/>
  <c r="AH1395" i="4" s="1"/>
  <c r="AF1395" i="4"/>
  <c r="AE1395" i="4"/>
  <c r="AG1394" i="4"/>
  <c r="AH1394" i="4" s="1"/>
  <c r="AF1394" i="4"/>
  <c r="AE1394" i="4"/>
  <c r="AG1393" i="4"/>
  <c r="AH1393" i="4" s="1"/>
  <c r="AF1393" i="4"/>
  <c r="AE1393" i="4"/>
  <c r="AG1392" i="4"/>
  <c r="AH1392" i="4" s="1"/>
  <c r="AF1392" i="4"/>
  <c r="AE1392" i="4"/>
  <c r="AG1391" i="4"/>
  <c r="AH1391" i="4" s="1"/>
  <c r="AF1391" i="4"/>
  <c r="AE1391" i="4"/>
  <c r="AG1390" i="4"/>
  <c r="AH1390" i="4" s="1"/>
  <c r="AF1390" i="4"/>
  <c r="AE1390" i="4"/>
  <c r="AG1389" i="4"/>
  <c r="AH1389" i="4" s="1"/>
  <c r="AF1389" i="4"/>
  <c r="AE1389" i="4"/>
  <c r="AG1388" i="4"/>
  <c r="AH1388" i="4" s="1"/>
  <c r="AF1388" i="4"/>
  <c r="AE1388" i="4"/>
  <c r="AG1387" i="4"/>
  <c r="AH1387" i="4" s="1"/>
  <c r="AF1387" i="4"/>
  <c r="AE1387" i="4"/>
  <c r="AG1386" i="4"/>
  <c r="AH1386" i="4" s="1"/>
  <c r="AF1386" i="4"/>
  <c r="AE1386" i="4"/>
  <c r="AG1385" i="4"/>
  <c r="AH1385" i="4" s="1"/>
  <c r="AF1385" i="4"/>
  <c r="AE1385" i="4"/>
  <c r="AG1384" i="4"/>
  <c r="AH1384" i="4" s="1"/>
  <c r="AF1384" i="4"/>
  <c r="AE1384" i="4"/>
  <c r="AG1383" i="4"/>
  <c r="AH1383" i="4" s="1"/>
  <c r="AF1383" i="4"/>
  <c r="AE1383" i="4"/>
  <c r="AG1382" i="4"/>
  <c r="AH1382" i="4" s="1"/>
  <c r="AF1382" i="4"/>
  <c r="AE1382" i="4"/>
  <c r="AG1381" i="4"/>
  <c r="AH1381" i="4" s="1"/>
  <c r="AF1381" i="4"/>
  <c r="AE1381" i="4"/>
  <c r="AG1380" i="4"/>
  <c r="AH1380" i="4" s="1"/>
  <c r="AF1380" i="4"/>
  <c r="AE1380" i="4"/>
  <c r="AG1379" i="4"/>
  <c r="AH1379" i="4" s="1"/>
  <c r="AF1379" i="4"/>
  <c r="AE1379" i="4"/>
  <c r="AG1378" i="4"/>
  <c r="AH1378" i="4" s="1"/>
  <c r="AF1378" i="4"/>
  <c r="AE1378" i="4"/>
  <c r="AG1377" i="4"/>
  <c r="AH1377" i="4" s="1"/>
  <c r="AF1377" i="4"/>
  <c r="AE1377" i="4"/>
  <c r="AG1376" i="4"/>
  <c r="AH1376" i="4" s="1"/>
  <c r="AF1376" i="4"/>
  <c r="AE1376" i="4"/>
  <c r="AG1375" i="4"/>
  <c r="AH1375" i="4" s="1"/>
  <c r="AF1375" i="4"/>
  <c r="AE1375" i="4"/>
  <c r="AG1374" i="4"/>
  <c r="AH1374" i="4" s="1"/>
  <c r="AF1374" i="4"/>
  <c r="AE1374" i="4"/>
  <c r="AG1373" i="4"/>
  <c r="AH1373" i="4" s="1"/>
  <c r="AF1373" i="4"/>
  <c r="AE1373" i="4"/>
  <c r="AG1372" i="4"/>
  <c r="AH1372" i="4" s="1"/>
  <c r="AF1372" i="4"/>
  <c r="AE1372" i="4"/>
  <c r="AG1371" i="4"/>
  <c r="AH1371" i="4" s="1"/>
  <c r="AF1371" i="4"/>
  <c r="AE1371" i="4"/>
  <c r="AG1370" i="4"/>
  <c r="AH1370" i="4" s="1"/>
  <c r="AF1370" i="4"/>
  <c r="AE1370" i="4"/>
  <c r="AG1369" i="4"/>
  <c r="AH1369" i="4" s="1"/>
  <c r="AF1369" i="4"/>
  <c r="AE1369" i="4"/>
  <c r="AG1368" i="4"/>
  <c r="AH1368" i="4" s="1"/>
  <c r="AF1368" i="4"/>
  <c r="AE1368" i="4"/>
  <c r="AG1367" i="4"/>
  <c r="AH1367" i="4" s="1"/>
  <c r="AF1367" i="4"/>
  <c r="AE1367" i="4"/>
  <c r="AG1366" i="4"/>
  <c r="AH1366" i="4" s="1"/>
  <c r="AF1366" i="4"/>
  <c r="AE1366" i="4"/>
  <c r="AG1365" i="4"/>
  <c r="AH1365" i="4" s="1"/>
  <c r="AF1365" i="4"/>
  <c r="AE1365" i="4"/>
  <c r="AG1364" i="4"/>
  <c r="AH1364" i="4" s="1"/>
  <c r="AF1364" i="4"/>
  <c r="AE1364" i="4"/>
  <c r="AG1363" i="4"/>
  <c r="AH1363" i="4" s="1"/>
  <c r="AF1363" i="4"/>
  <c r="AE1363" i="4"/>
  <c r="AG1362" i="4"/>
  <c r="AH1362" i="4" s="1"/>
  <c r="AF1362" i="4"/>
  <c r="AE1362" i="4"/>
  <c r="AG1361" i="4"/>
  <c r="AH1361" i="4" s="1"/>
  <c r="AF1361" i="4"/>
  <c r="AE1361" i="4"/>
  <c r="AG1360" i="4"/>
  <c r="AH1360" i="4" s="1"/>
  <c r="AF1360" i="4"/>
  <c r="AE1360" i="4"/>
  <c r="AG1359" i="4"/>
  <c r="AH1359" i="4" s="1"/>
  <c r="AF1359" i="4"/>
  <c r="AE1359" i="4"/>
  <c r="AG1358" i="4"/>
  <c r="AH1358" i="4" s="1"/>
  <c r="AF1358" i="4"/>
  <c r="AE1358" i="4"/>
  <c r="AG1357" i="4"/>
  <c r="AH1357" i="4" s="1"/>
  <c r="AF1357" i="4"/>
  <c r="AE1357" i="4"/>
  <c r="AG1356" i="4"/>
  <c r="AH1356" i="4" s="1"/>
  <c r="AF1356" i="4"/>
  <c r="AE1356" i="4"/>
  <c r="AG1355" i="4"/>
  <c r="AH1355" i="4" s="1"/>
  <c r="AF1355" i="4"/>
  <c r="AE1355" i="4"/>
  <c r="AG1354" i="4"/>
  <c r="AH1354" i="4" s="1"/>
  <c r="AF1354" i="4"/>
  <c r="AE1354" i="4"/>
  <c r="AG1353" i="4"/>
  <c r="AH1353" i="4" s="1"/>
  <c r="AF1353" i="4"/>
  <c r="AE1353" i="4"/>
  <c r="AG1352" i="4"/>
  <c r="AH1352" i="4" s="1"/>
  <c r="AF1352" i="4"/>
  <c r="AE1352" i="4"/>
  <c r="AG1351" i="4"/>
  <c r="AH1351" i="4" s="1"/>
  <c r="AF1351" i="4"/>
  <c r="AE1351" i="4"/>
  <c r="AG1350" i="4"/>
  <c r="AH1350" i="4" s="1"/>
  <c r="AF1350" i="4"/>
  <c r="AE1350" i="4"/>
  <c r="AG1349" i="4"/>
  <c r="AH1349" i="4" s="1"/>
  <c r="AF1349" i="4"/>
  <c r="AE1349" i="4"/>
  <c r="AG1348" i="4"/>
  <c r="AH1348" i="4" s="1"/>
  <c r="AF1348" i="4"/>
  <c r="AE1348" i="4"/>
  <c r="AG1347" i="4"/>
  <c r="AH1347" i="4" s="1"/>
  <c r="AF1347" i="4"/>
  <c r="AE1347" i="4"/>
  <c r="AG1346" i="4"/>
  <c r="AH1346" i="4" s="1"/>
  <c r="AF1346" i="4"/>
  <c r="AE1346" i="4"/>
  <c r="AG1345" i="4"/>
  <c r="AH1345" i="4" s="1"/>
  <c r="AF1345" i="4"/>
  <c r="AE1345" i="4"/>
  <c r="AG1344" i="4"/>
  <c r="AH1344" i="4" s="1"/>
  <c r="AF1344" i="4"/>
  <c r="AE1344" i="4"/>
  <c r="AG1343" i="4"/>
  <c r="AH1343" i="4" s="1"/>
  <c r="AF1343" i="4"/>
  <c r="AE1343" i="4"/>
  <c r="AG1342" i="4"/>
  <c r="AH1342" i="4" s="1"/>
  <c r="AF1342" i="4"/>
  <c r="AE1342" i="4"/>
  <c r="AG1341" i="4"/>
  <c r="AH1341" i="4" s="1"/>
  <c r="AF1341" i="4"/>
  <c r="AE1341" i="4"/>
  <c r="AG1340" i="4"/>
  <c r="AH1340" i="4" s="1"/>
  <c r="AF1340" i="4"/>
  <c r="AE1340" i="4"/>
  <c r="AG1339" i="4"/>
  <c r="AH1339" i="4" s="1"/>
  <c r="AF1339" i="4"/>
  <c r="AE1339" i="4"/>
  <c r="AG1338" i="4"/>
  <c r="AH1338" i="4" s="1"/>
  <c r="AF1338" i="4"/>
  <c r="AE1338" i="4"/>
  <c r="AG1337" i="4"/>
  <c r="AH1337" i="4" s="1"/>
  <c r="AF1337" i="4"/>
  <c r="AE1337" i="4"/>
  <c r="AG1336" i="4"/>
  <c r="AH1336" i="4" s="1"/>
  <c r="AF1336" i="4"/>
  <c r="AE1336" i="4"/>
  <c r="AG1335" i="4"/>
  <c r="AH1335" i="4" s="1"/>
  <c r="AF1335" i="4"/>
  <c r="AE1335" i="4"/>
  <c r="AG1334" i="4"/>
  <c r="AH1334" i="4" s="1"/>
  <c r="AF1334" i="4"/>
  <c r="AE1334" i="4"/>
  <c r="AG1333" i="4"/>
  <c r="AH1333" i="4" s="1"/>
  <c r="AF1333" i="4"/>
  <c r="AE1333" i="4"/>
  <c r="AG1332" i="4"/>
  <c r="AH1332" i="4" s="1"/>
  <c r="AF1332" i="4"/>
  <c r="AE1332" i="4"/>
  <c r="AG1331" i="4"/>
  <c r="AH1331" i="4" s="1"/>
  <c r="AF1331" i="4"/>
  <c r="AE1331" i="4"/>
  <c r="AG1330" i="4"/>
  <c r="AH1330" i="4" s="1"/>
  <c r="AF1330" i="4"/>
  <c r="AE1330" i="4"/>
  <c r="AG1329" i="4"/>
  <c r="AH1329" i="4" s="1"/>
  <c r="AF1329" i="4"/>
  <c r="AE1329" i="4"/>
  <c r="AG1328" i="4"/>
  <c r="AH1328" i="4" s="1"/>
  <c r="AF1328" i="4"/>
  <c r="AE1328" i="4"/>
  <c r="AG1327" i="4"/>
  <c r="AH1327" i="4" s="1"/>
  <c r="AF1327" i="4"/>
  <c r="AE1327" i="4"/>
  <c r="AG1326" i="4"/>
  <c r="AH1326" i="4" s="1"/>
  <c r="AF1326" i="4"/>
  <c r="AE1326" i="4"/>
  <c r="AG1325" i="4"/>
  <c r="AH1325" i="4" s="1"/>
  <c r="AF1325" i="4"/>
  <c r="AE1325" i="4"/>
  <c r="AG1324" i="4"/>
  <c r="AH1324" i="4" s="1"/>
  <c r="AF1324" i="4"/>
  <c r="AE1324" i="4"/>
  <c r="AG1323" i="4"/>
  <c r="AH1323" i="4" s="1"/>
  <c r="AF1323" i="4"/>
  <c r="AE1323" i="4"/>
  <c r="AG1322" i="4"/>
  <c r="AH1322" i="4" s="1"/>
  <c r="AF1322" i="4"/>
  <c r="AE1322" i="4"/>
  <c r="AG1321" i="4"/>
  <c r="AH1321" i="4" s="1"/>
  <c r="AF1321" i="4"/>
  <c r="AE1321" i="4"/>
  <c r="AG1320" i="4"/>
  <c r="AH1320" i="4" s="1"/>
  <c r="AF1320" i="4"/>
  <c r="AE1320" i="4"/>
  <c r="AG1319" i="4"/>
  <c r="AH1319" i="4" s="1"/>
  <c r="AF1319" i="4"/>
  <c r="AE1319" i="4"/>
  <c r="AG1318" i="4"/>
  <c r="AH1318" i="4" s="1"/>
  <c r="AF1318" i="4"/>
  <c r="AE1318" i="4"/>
  <c r="AG1317" i="4"/>
  <c r="AH1317" i="4" s="1"/>
  <c r="AF1317" i="4"/>
  <c r="AE1317" i="4"/>
  <c r="AG1316" i="4"/>
  <c r="AH1316" i="4" s="1"/>
  <c r="AF1316" i="4"/>
  <c r="AE1316" i="4"/>
  <c r="AG1315" i="4"/>
  <c r="AH1315" i="4" s="1"/>
  <c r="AF1315" i="4"/>
  <c r="AE1315" i="4"/>
  <c r="AG1314" i="4"/>
  <c r="AH1314" i="4" s="1"/>
  <c r="AF1314" i="4"/>
  <c r="AE1314" i="4"/>
  <c r="AG1313" i="4"/>
  <c r="AH1313" i="4" s="1"/>
  <c r="AF1313" i="4"/>
  <c r="AE1313" i="4"/>
  <c r="AG1312" i="4"/>
  <c r="AH1312" i="4" s="1"/>
  <c r="AF1312" i="4"/>
  <c r="AE1312" i="4"/>
  <c r="AG1311" i="4"/>
  <c r="AH1311" i="4" s="1"/>
  <c r="AF1311" i="4"/>
  <c r="AE1311" i="4"/>
  <c r="AG1310" i="4"/>
  <c r="AH1310" i="4" s="1"/>
  <c r="AF1310" i="4"/>
  <c r="AE1310" i="4"/>
  <c r="AG1309" i="4"/>
  <c r="AH1309" i="4" s="1"/>
  <c r="AF1309" i="4"/>
  <c r="AE1309" i="4"/>
  <c r="AG1308" i="4"/>
  <c r="AH1308" i="4" s="1"/>
  <c r="AF1308" i="4"/>
  <c r="AE1308" i="4"/>
  <c r="AG1307" i="4"/>
  <c r="AH1307" i="4" s="1"/>
  <c r="AF1307" i="4"/>
  <c r="AE1307" i="4"/>
  <c r="AG1306" i="4"/>
  <c r="AH1306" i="4" s="1"/>
  <c r="AF1306" i="4"/>
  <c r="AE1306" i="4"/>
  <c r="AG1305" i="4"/>
  <c r="AH1305" i="4" s="1"/>
  <c r="AF1305" i="4"/>
  <c r="AE1305" i="4"/>
  <c r="AG1304" i="4"/>
  <c r="AH1304" i="4" s="1"/>
  <c r="AF1304" i="4"/>
  <c r="AE1304" i="4"/>
  <c r="AG1303" i="4"/>
  <c r="AH1303" i="4" s="1"/>
  <c r="AF1303" i="4"/>
  <c r="AE1303" i="4"/>
  <c r="AG1302" i="4"/>
  <c r="AH1302" i="4" s="1"/>
  <c r="AF1302" i="4"/>
  <c r="AE1302" i="4"/>
  <c r="AG1301" i="4"/>
  <c r="AH1301" i="4" s="1"/>
  <c r="AF1301" i="4"/>
  <c r="AE1301" i="4"/>
  <c r="AG1300" i="4"/>
  <c r="AH1300" i="4" s="1"/>
  <c r="AF1300" i="4"/>
  <c r="AE1300" i="4"/>
  <c r="AG1299" i="4"/>
  <c r="AH1299" i="4" s="1"/>
  <c r="AF1299" i="4"/>
  <c r="AE1299" i="4"/>
  <c r="AG1298" i="4"/>
  <c r="AH1298" i="4" s="1"/>
  <c r="AF1298" i="4"/>
  <c r="AE1298" i="4"/>
  <c r="AG1297" i="4"/>
  <c r="AH1297" i="4" s="1"/>
  <c r="AF1297" i="4"/>
  <c r="AE1297" i="4"/>
  <c r="AG1296" i="4"/>
  <c r="AH1296" i="4" s="1"/>
  <c r="AF1296" i="4"/>
  <c r="AE1296" i="4"/>
  <c r="AG1295" i="4"/>
  <c r="AH1295" i="4" s="1"/>
  <c r="AF1295" i="4"/>
  <c r="AE1295" i="4"/>
  <c r="AG1294" i="4"/>
  <c r="AH1294" i="4" s="1"/>
  <c r="AF1294" i="4"/>
  <c r="AE1294" i="4"/>
  <c r="AG1293" i="4"/>
  <c r="AH1293" i="4" s="1"/>
  <c r="AF1293" i="4"/>
  <c r="AE1293" i="4"/>
  <c r="AG1292" i="4"/>
  <c r="AH1292" i="4" s="1"/>
  <c r="AF1292" i="4"/>
  <c r="AE1292" i="4"/>
  <c r="AG1291" i="4"/>
  <c r="AH1291" i="4" s="1"/>
  <c r="AF1291" i="4"/>
  <c r="AE1291" i="4"/>
  <c r="AG1290" i="4"/>
  <c r="AH1290" i="4" s="1"/>
  <c r="AF1290" i="4"/>
  <c r="AE1290" i="4"/>
  <c r="AG1289" i="4"/>
  <c r="AH1289" i="4" s="1"/>
  <c r="AF1289" i="4"/>
  <c r="AE1289" i="4"/>
  <c r="AG1288" i="4"/>
  <c r="AH1288" i="4" s="1"/>
  <c r="AF1288" i="4"/>
  <c r="AE1288" i="4"/>
  <c r="AG1287" i="4"/>
  <c r="AH1287" i="4" s="1"/>
  <c r="AF1287" i="4"/>
  <c r="AE1287" i="4"/>
  <c r="AG1286" i="4"/>
  <c r="AH1286" i="4" s="1"/>
  <c r="AF1286" i="4"/>
  <c r="AE1286" i="4"/>
  <c r="AG1285" i="4"/>
  <c r="AH1285" i="4" s="1"/>
  <c r="AF1285" i="4"/>
  <c r="AE1285" i="4"/>
  <c r="AG1284" i="4"/>
  <c r="AH1284" i="4" s="1"/>
  <c r="AF1284" i="4"/>
  <c r="AE1284" i="4"/>
  <c r="AG1283" i="4"/>
  <c r="AH1283" i="4" s="1"/>
  <c r="AF1283" i="4"/>
  <c r="AE1283" i="4"/>
  <c r="AG1282" i="4"/>
  <c r="AH1282" i="4" s="1"/>
  <c r="AF1282" i="4"/>
  <c r="AE1282" i="4"/>
  <c r="AG1281" i="4"/>
  <c r="AH1281" i="4" s="1"/>
  <c r="AF1281" i="4"/>
  <c r="AE1281" i="4"/>
  <c r="AG1280" i="4"/>
  <c r="AH1280" i="4" s="1"/>
  <c r="AF1280" i="4"/>
  <c r="AE1280" i="4"/>
  <c r="AG1279" i="4"/>
  <c r="AH1279" i="4" s="1"/>
  <c r="AF1279" i="4"/>
  <c r="AE1279" i="4"/>
  <c r="AG1278" i="4"/>
  <c r="AH1278" i="4" s="1"/>
  <c r="AF1278" i="4"/>
  <c r="AE1278" i="4"/>
  <c r="AG1277" i="4"/>
  <c r="AH1277" i="4" s="1"/>
  <c r="AF1277" i="4"/>
  <c r="AE1277" i="4"/>
  <c r="AG1276" i="4"/>
  <c r="AH1276" i="4" s="1"/>
  <c r="AF1276" i="4"/>
  <c r="AE1276" i="4"/>
  <c r="AG1275" i="4"/>
  <c r="AH1275" i="4" s="1"/>
  <c r="AF1275" i="4"/>
  <c r="AE1275" i="4"/>
  <c r="AG1274" i="4"/>
  <c r="AH1274" i="4" s="1"/>
  <c r="AF1274" i="4"/>
  <c r="AE1274" i="4"/>
  <c r="AG1273" i="4"/>
  <c r="AH1273" i="4" s="1"/>
  <c r="AF1273" i="4"/>
  <c r="AE1273" i="4"/>
  <c r="AG1272" i="4"/>
  <c r="AH1272" i="4" s="1"/>
  <c r="AF1272" i="4"/>
  <c r="AE1272" i="4"/>
  <c r="AG1271" i="4"/>
  <c r="AH1271" i="4" s="1"/>
  <c r="AF1271" i="4"/>
  <c r="AE1271" i="4"/>
  <c r="AG1270" i="4"/>
  <c r="AH1270" i="4" s="1"/>
  <c r="AF1270" i="4"/>
  <c r="AE1270" i="4"/>
  <c r="AG1269" i="4"/>
  <c r="AH1269" i="4" s="1"/>
  <c r="AF1269" i="4"/>
  <c r="AE1269" i="4"/>
  <c r="AG1268" i="4"/>
  <c r="AH1268" i="4" s="1"/>
  <c r="AF1268" i="4"/>
  <c r="AE1268" i="4"/>
  <c r="AG1267" i="4"/>
  <c r="AH1267" i="4" s="1"/>
  <c r="AF1267" i="4"/>
  <c r="AE1267" i="4"/>
  <c r="AG1266" i="4"/>
  <c r="AH1266" i="4" s="1"/>
  <c r="AF1266" i="4"/>
  <c r="AE1266" i="4"/>
  <c r="AG1265" i="4"/>
  <c r="AH1265" i="4" s="1"/>
  <c r="AF1265" i="4"/>
  <c r="AE1265" i="4"/>
  <c r="AG1264" i="4"/>
  <c r="AH1264" i="4" s="1"/>
  <c r="AF1264" i="4"/>
  <c r="AE1264" i="4"/>
  <c r="AG1263" i="4"/>
  <c r="AH1263" i="4" s="1"/>
  <c r="AF1263" i="4"/>
  <c r="AE1263" i="4"/>
  <c r="AG1262" i="4"/>
  <c r="AH1262" i="4" s="1"/>
  <c r="AF1262" i="4"/>
  <c r="AE1262" i="4"/>
  <c r="AG1261" i="4"/>
  <c r="AH1261" i="4" s="1"/>
  <c r="AF1261" i="4"/>
  <c r="AE1261" i="4"/>
  <c r="AG1260" i="4"/>
  <c r="AH1260" i="4" s="1"/>
  <c r="AF1260" i="4"/>
  <c r="AE1260" i="4"/>
  <c r="AG1259" i="4"/>
  <c r="AH1259" i="4" s="1"/>
  <c r="AF1259" i="4"/>
  <c r="AE1259" i="4"/>
  <c r="AG1258" i="4"/>
  <c r="AH1258" i="4" s="1"/>
  <c r="AF1258" i="4"/>
  <c r="AE1258" i="4"/>
  <c r="AG1257" i="4"/>
  <c r="AH1257" i="4" s="1"/>
  <c r="AF1257" i="4"/>
  <c r="AE1257" i="4"/>
  <c r="AG1256" i="4"/>
  <c r="AH1256" i="4" s="1"/>
  <c r="AF1256" i="4"/>
  <c r="AE1256" i="4"/>
  <c r="AG1255" i="4"/>
  <c r="AH1255" i="4" s="1"/>
  <c r="AF1255" i="4"/>
  <c r="AE1255" i="4"/>
  <c r="AG1254" i="4"/>
  <c r="AH1254" i="4" s="1"/>
  <c r="AF1254" i="4"/>
  <c r="AE1254" i="4"/>
  <c r="AG1253" i="4"/>
  <c r="AH1253" i="4" s="1"/>
  <c r="AF1253" i="4"/>
  <c r="AE1253" i="4"/>
  <c r="AG1252" i="4"/>
  <c r="AH1252" i="4" s="1"/>
  <c r="AF1252" i="4"/>
  <c r="AE1252" i="4"/>
  <c r="AG1251" i="4"/>
  <c r="AH1251" i="4" s="1"/>
  <c r="AF1251" i="4"/>
  <c r="AE1251" i="4"/>
  <c r="AG1250" i="4"/>
  <c r="AH1250" i="4" s="1"/>
  <c r="AF1250" i="4"/>
  <c r="AE1250" i="4"/>
  <c r="AG1249" i="4"/>
  <c r="AH1249" i="4" s="1"/>
  <c r="AF1249" i="4"/>
  <c r="AE1249" i="4"/>
  <c r="AG1248" i="4"/>
  <c r="AH1248" i="4" s="1"/>
  <c r="AF1248" i="4"/>
  <c r="AE1248" i="4"/>
  <c r="AG1247" i="4"/>
  <c r="AH1247" i="4" s="1"/>
  <c r="AF1247" i="4"/>
  <c r="AE1247" i="4"/>
  <c r="AG1246" i="4"/>
  <c r="AH1246" i="4" s="1"/>
  <c r="AF1246" i="4"/>
  <c r="AE1246" i="4"/>
  <c r="AG1245" i="4"/>
  <c r="AH1245" i="4" s="1"/>
  <c r="AF1245" i="4"/>
  <c r="AE1245" i="4"/>
  <c r="AG1244" i="4"/>
  <c r="AH1244" i="4" s="1"/>
  <c r="AF1244" i="4"/>
  <c r="AE1244" i="4"/>
  <c r="AG1243" i="4"/>
  <c r="AH1243" i="4" s="1"/>
  <c r="AF1243" i="4"/>
  <c r="AE1243" i="4"/>
  <c r="AG1242" i="4"/>
  <c r="AH1242" i="4" s="1"/>
  <c r="AF1242" i="4"/>
  <c r="AE1242" i="4"/>
  <c r="AG1241" i="4"/>
  <c r="AH1241" i="4" s="1"/>
  <c r="AF1241" i="4"/>
  <c r="AE1241" i="4"/>
  <c r="AG1240" i="4"/>
  <c r="AH1240" i="4" s="1"/>
  <c r="AF1240" i="4"/>
  <c r="AE1240" i="4"/>
  <c r="AG1239" i="4"/>
  <c r="AH1239" i="4" s="1"/>
  <c r="AF1239" i="4"/>
  <c r="AE1239" i="4"/>
  <c r="AG1238" i="4"/>
  <c r="AH1238" i="4" s="1"/>
  <c r="AF1238" i="4"/>
  <c r="AE1238" i="4"/>
  <c r="AG1237" i="4"/>
  <c r="AH1237" i="4" s="1"/>
  <c r="AF1237" i="4"/>
  <c r="AE1237" i="4"/>
  <c r="AG1236" i="4"/>
  <c r="AH1236" i="4" s="1"/>
  <c r="AF1236" i="4"/>
  <c r="AE1236" i="4"/>
  <c r="AG1235" i="4"/>
  <c r="AH1235" i="4" s="1"/>
  <c r="AF1235" i="4"/>
  <c r="AE1235" i="4"/>
  <c r="AG1234" i="4"/>
  <c r="AH1234" i="4" s="1"/>
  <c r="AF1234" i="4"/>
  <c r="AE1234" i="4"/>
  <c r="AG1233" i="4"/>
  <c r="AH1233" i="4" s="1"/>
  <c r="AF1233" i="4"/>
  <c r="AE1233" i="4"/>
  <c r="AG1232" i="4"/>
  <c r="AH1232" i="4" s="1"/>
  <c r="AF1232" i="4"/>
  <c r="AE1232" i="4"/>
  <c r="AG1231" i="4"/>
  <c r="AH1231" i="4" s="1"/>
  <c r="AF1231" i="4"/>
  <c r="AE1231" i="4"/>
  <c r="AG1230" i="4"/>
  <c r="AH1230" i="4" s="1"/>
  <c r="AF1230" i="4"/>
  <c r="AE1230" i="4"/>
  <c r="AG1229" i="4"/>
  <c r="AH1229" i="4" s="1"/>
  <c r="AF1229" i="4"/>
  <c r="AE1229" i="4"/>
  <c r="AG1228" i="4"/>
  <c r="AH1228" i="4" s="1"/>
  <c r="AF1228" i="4"/>
  <c r="AE1228" i="4"/>
  <c r="AG1227" i="4"/>
  <c r="AH1227" i="4" s="1"/>
  <c r="AF1227" i="4"/>
  <c r="AE1227" i="4"/>
  <c r="AG1226" i="4"/>
  <c r="AH1226" i="4" s="1"/>
  <c r="AF1226" i="4"/>
  <c r="AE1226" i="4"/>
  <c r="AG1225" i="4"/>
  <c r="AH1225" i="4" s="1"/>
  <c r="AF1225" i="4"/>
  <c r="AE1225" i="4"/>
  <c r="AG1224" i="4"/>
  <c r="AH1224" i="4" s="1"/>
  <c r="AF1224" i="4"/>
  <c r="AE1224" i="4"/>
  <c r="AG1223" i="4"/>
  <c r="AH1223" i="4" s="1"/>
  <c r="AF1223" i="4"/>
  <c r="AE1223" i="4"/>
  <c r="AG1222" i="4"/>
  <c r="AH1222" i="4" s="1"/>
  <c r="AF1222" i="4"/>
  <c r="AE1222" i="4"/>
  <c r="AG1221" i="4"/>
  <c r="AH1221" i="4" s="1"/>
  <c r="AF1221" i="4"/>
  <c r="AE1221" i="4"/>
  <c r="AG1220" i="4"/>
  <c r="AH1220" i="4" s="1"/>
  <c r="AF1220" i="4"/>
  <c r="AE1220" i="4"/>
  <c r="AG1219" i="4"/>
  <c r="AH1219" i="4" s="1"/>
  <c r="AF1219" i="4"/>
  <c r="AE1219" i="4"/>
  <c r="AG1218" i="4"/>
  <c r="AH1218" i="4" s="1"/>
  <c r="AF1218" i="4"/>
  <c r="AE1218" i="4"/>
  <c r="AG1217" i="4"/>
  <c r="AH1217" i="4" s="1"/>
  <c r="AF1217" i="4"/>
  <c r="AE1217" i="4"/>
  <c r="AG1216" i="4"/>
  <c r="AH1216" i="4" s="1"/>
  <c r="AF1216" i="4"/>
  <c r="AE1216" i="4"/>
  <c r="AG1215" i="4"/>
  <c r="AH1215" i="4" s="1"/>
  <c r="AF1215" i="4"/>
  <c r="AE1215" i="4"/>
  <c r="AG1214" i="4"/>
  <c r="AH1214" i="4" s="1"/>
  <c r="AF1214" i="4"/>
  <c r="AE1214" i="4"/>
  <c r="AG1213" i="4"/>
  <c r="AH1213" i="4" s="1"/>
  <c r="AF1213" i="4"/>
  <c r="AE1213" i="4"/>
  <c r="AG1212" i="4"/>
  <c r="AH1212" i="4" s="1"/>
  <c r="AF1212" i="4"/>
  <c r="AE1212" i="4"/>
  <c r="AG1211" i="4"/>
  <c r="AH1211" i="4" s="1"/>
  <c r="AF1211" i="4"/>
  <c r="AE1211" i="4"/>
  <c r="AG1210" i="4"/>
  <c r="AH1210" i="4" s="1"/>
  <c r="AF1210" i="4"/>
  <c r="AE1210" i="4"/>
  <c r="AG1209" i="4"/>
  <c r="AH1209" i="4" s="1"/>
  <c r="AF1209" i="4"/>
  <c r="AE1209" i="4"/>
  <c r="AG1208" i="4"/>
  <c r="AH1208" i="4" s="1"/>
  <c r="AF1208" i="4"/>
  <c r="AE1208" i="4"/>
  <c r="AG1207" i="4"/>
  <c r="AH1207" i="4" s="1"/>
  <c r="AF1207" i="4"/>
  <c r="AE1207" i="4"/>
  <c r="AG1206" i="4"/>
  <c r="AH1206" i="4" s="1"/>
  <c r="AF1206" i="4"/>
  <c r="AE1206" i="4"/>
  <c r="AG1205" i="4"/>
  <c r="AH1205" i="4" s="1"/>
  <c r="AF1205" i="4"/>
  <c r="AE1205" i="4"/>
  <c r="AG1204" i="4"/>
  <c r="AH1204" i="4" s="1"/>
  <c r="AF1204" i="4"/>
  <c r="AE1204" i="4"/>
  <c r="AG1203" i="4"/>
  <c r="AH1203" i="4" s="1"/>
  <c r="AF1203" i="4"/>
  <c r="AE1203" i="4"/>
  <c r="AG1202" i="4"/>
  <c r="AH1202" i="4" s="1"/>
  <c r="AF1202" i="4"/>
  <c r="AE1202" i="4"/>
  <c r="AG1201" i="4"/>
  <c r="AH1201" i="4" s="1"/>
  <c r="AF1201" i="4"/>
  <c r="AE1201" i="4"/>
  <c r="AG1200" i="4"/>
  <c r="AH1200" i="4" s="1"/>
  <c r="AF1200" i="4"/>
  <c r="AE1200" i="4"/>
  <c r="AG1199" i="4"/>
  <c r="AH1199" i="4" s="1"/>
  <c r="AF1199" i="4"/>
  <c r="AE1199" i="4"/>
  <c r="AG1198" i="4"/>
  <c r="AH1198" i="4" s="1"/>
  <c r="AF1198" i="4"/>
  <c r="AE1198" i="4"/>
  <c r="AG1197" i="4"/>
  <c r="AH1197" i="4" s="1"/>
  <c r="AF1197" i="4"/>
  <c r="AE1197" i="4"/>
  <c r="AG1196" i="4"/>
  <c r="AH1196" i="4" s="1"/>
  <c r="AF1196" i="4"/>
  <c r="AE1196" i="4"/>
  <c r="AG1195" i="4"/>
  <c r="AH1195" i="4" s="1"/>
  <c r="AF1195" i="4"/>
  <c r="AE1195" i="4"/>
  <c r="AG1194" i="4"/>
  <c r="AH1194" i="4" s="1"/>
  <c r="AF1194" i="4"/>
  <c r="AE1194" i="4"/>
  <c r="AG1193" i="4"/>
  <c r="AH1193" i="4" s="1"/>
  <c r="AF1193" i="4"/>
  <c r="AE1193" i="4"/>
  <c r="AG1192" i="4"/>
  <c r="AH1192" i="4" s="1"/>
  <c r="AF1192" i="4"/>
  <c r="AE1192" i="4"/>
  <c r="AG1191" i="4"/>
  <c r="AH1191" i="4" s="1"/>
  <c r="AF1191" i="4"/>
  <c r="AE1191" i="4"/>
  <c r="AG1190" i="4"/>
  <c r="AH1190" i="4" s="1"/>
  <c r="AF1190" i="4"/>
  <c r="AE1190" i="4"/>
  <c r="AG1189" i="4"/>
  <c r="AH1189" i="4" s="1"/>
  <c r="AF1189" i="4"/>
  <c r="AE1189" i="4"/>
  <c r="AG1188" i="4"/>
  <c r="AH1188" i="4" s="1"/>
  <c r="AF1188" i="4"/>
  <c r="AE1188" i="4"/>
  <c r="AG1187" i="4"/>
  <c r="AH1187" i="4" s="1"/>
  <c r="AF1187" i="4"/>
  <c r="AE1187" i="4"/>
  <c r="AG1186" i="4"/>
  <c r="AH1186" i="4" s="1"/>
  <c r="AF1186" i="4"/>
  <c r="AE1186" i="4"/>
  <c r="AG1185" i="4"/>
  <c r="AH1185" i="4" s="1"/>
  <c r="AF1185" i="4"/>
  <c r="AE1185" i="4"/>
  <c r="AG1184" i="4"/>
  <c r="AH1184" i="4" s="1"/>
  <c r="AF1184" i="4"/>
  <c r="AE1184" i="4"/>
  <c r="AG1183" i="4"/>
  <c r="AH1183" i="4" s="1"/>
  <c r="AF1183" i="4"/>
  <c r="AE1183" i="4"/>
  <c r="AG1182" i="4"/>
  <c r="AH1182" i="4" s="1"/>
  <c r="AF1182" i="4"/>
  <c r="AE1182" i="4"/>
  <c r="AG1181" i="4"/>
  <c r="AH1181" i="4" s="1"/>
  <c r="AF1181" i="4"/>
  <c r="AE1181" i="4"/>
  <c r="AG1180" i="4"/>
  <c r="AH1180" i="4" s="1"/>
  <c r="AF1180" i="4"/>
  <c r="AE1180" i="4"/>
  <c r="AG1179" i="4"/>
  <c r="AH1179" i="4" s="1"/>
  <c r="AF1179" i="4"/>
  <c r="AE1179" i="4"/>
  <c r="AG1178" i="4"/>
  <c r="AH1178" i="4" s="1"/>
  <c r="AF1178" i="4"/>
  <c r="AE1178" i="4"/>
  <c r="AG1177" i="4"/>
  <c r="AH1177" i="4" s="1"/>
  <c r="AF1177" i="4"/>
  <c r="AE1177" i="4"/>
  <c r="AG1176" i="4"/>
  <c r="AH1176" i="4" s="1"/>
  <c r="AF1176" i="4"/>
  <c r="AE1176" i="4"/>
  <c r="AG1175" i="4"/>
  <c r="AH1175" i="4" s="1"/>
  <c r="AF1175" i="4"/>
  <c r="AE1175" i="4"/>
  <c r="AG1174" i="4"/>
  <c r="AH1174" i="4" s="1"/>
  <c r="AF1174" i="4"/>
  <c r="AE1174" i="4"/>
  <c r="AG1173" i="4"/>
  <c r="AH1173" i="4" s="1"/>
  <c r="AF1173" i="4"/>
  <c r="AE1173" i="4"/>
  <c r="AG1172" i="4"/>
  <c r="AH1172" i="4" s="1"/>
  <c r="AF1172" i="4"/>
  <c r="AE1172" i="4"/>
  <c r="AG1171" i="4"/>
  <c r="AH1171" i="4" s="1"/>
  <c r="AF1171" i="4"/>
  <c r="AE1171" i="4"/>
  <c r="AG1170" i="4"/>
  <c r="AH1170" i="4" s="1"/>
  <c r="AF1170" i="4"/>
  <c r="AE1170" i="4"/>
  <c r="AG1169" i="4"/>
  <c r="AH1169" i="4" s="1"/>
  <c r="AF1169" i="4"/>
  <c r="AE1169" i="4"/>
  <c r="AG1168" i="4"/>
  <c r="AH1168" i="4" s="1"/>
  <c r="AF1168" i="4"/>
  <c r="AE1168" i="4"/>
  <c r="AG1167" i="4"/>
  <c r="AH1167" i="4" s="1"/>
  <c r="AF1167" i="4"/>
  <c r="AE1167" i="4"/>
  <c r="AG1166" i="4"/>
  <c r="AH1166" i="4" s="1"/>
  <c r="AF1166" i="4"/>
  <c r="AE1166" i="4"/>
  <c r="AG1165" i="4"/>
  <c r="AH1165" i="4" s="1"/>
  <c r="AF1165" i="4"/>
  <c r="AE1165" i="4"/>
  <c r="AG1164" i="4"/>
  <c r="AH1164" i="4" s="1"/>
  <c r="AF1164" i="4"/>
  <c r="AE1164" i="4"/>
  <c r="AG1163" i="4"/>
  <c r="AH1163" i="4" s="1"/>
  <c r="AF1163" i="4"/>
  <c r="AE1163" i="4"/>
  <c r="AG1162" i="4"/>
  <c r="AH1162" i="4" s="1"/>
  <c r="AF1162" i="4"/>
  <c r="AE1162" i="4"/>
  <c r="AG1161" i="4"/>
  <c r="AH1161" i="4" s="1"/>
  <c r="AF1161" i="4"/>
  <c r="AE1161" i="4"/>
  <c r="AG1160" i="4"/>
  <c r="AH1160" i="4" s="1"/>
  <c r="AF1160" i="4"/>
  <c r="AE1160" i="4"/>
  <c r="AG1159" i="4"/>
  <c r="AH1159" i="4" s="1"/>
  <c r="AF1159" i="4"/>
  <c r="AE1159" i="4"/>
  <c r="AG1158" i="4"/>
  <c r="AH1158" i="4" s="1"/>
  <c r="AF1158" i="4"/>
  <c r="AE1158" i="4"/>
  <c r="AG1157" i="4"/>
  <c r="AH1157" i="4" s="1"/>
  <c r="AF1157" i="4"/>
  <c r="AE1157" i="4"/>
  <c r="AG1156" i="4"/>
  <c r="AH1156" i="4" s="1"/>
  <c r="AF1156" i="4"/>
  <c r="AE1156" i="4"/>
  <c r="AG1155" i="4"/>
  <c r="AH1155" i="4" s="1"/>
  <c r="AF1155" i="4"/>
  <c r="AE1155" i="4"/>
  <c r="AG1154" i="4"/>
  <c r="AH1154" i="4" s="1"/>
  <c r="AF1154" i="4"/>
  <c r="AE1154" i="4"/>
  <c r="AG1153" i="4"/>
  <c r="AH1153" i="4" s="1"/>
  <c r="AF1153" i="4"/>
  <c r="AE1153" i="4"/>
  <c r="AG1152" i="4"/>
  <c r="AH1152" i="4" s="1"/>
  <c r="AF1152" i="4"/>
  <c r="AE1152" i="4"/>
  <c r="AG1151" i="4"/>
  <c r="AH1151" i="4" s="1"/>
  <c r="AF1151" i="4"/>
  <c r="AE1151" i="4"/>
  <c r="AG1150" i="4"/>
  <c r="AH1150" i="4" s="1"/>
  <c r="AF1150" i="4"/>
  <c r="AE1150" i="4"/>
  <c r="AG1149" i="4"/>
  <c r="AH1149" i="4" s="1"/>
  <c r="AF1149" i="4"/>
  <c r="AE1149" i="4"/>
  <c r="AG1148" i="4"/>
  <c r="AH1148" i="4" s="1"/>
  <c r="AF1148" i="4"/>
  <c r="AE1148" i="4"/>
  <c r="AG1147" i="4"/>
  <c r="AH1147" i="4" s="1"/>
  <c r="AF1147" i="4"/>
  <c r="AE1147" i="4"/>
  <c r="AG1146" i="4"/>
  <c r="AH1146" i="4" s="1"/>
  <c r="AF1146" i="4"/>
  <c r="AE1146" i="4"/>
  <c r="AG1145" i="4"/>
  <c r="AH1145" i="4" s="1"/>
  <c r="AF1145" i="4"/>
  <c r="AE1145" i="4"/>
  <c r="AG1144" i="4"/>
  <c r="AH1144" i="4" s="1"/>
  <c r="AF1144" i="4"/>
  <c r="AE1144" i="4"/>
  <c r="AG1143" i="4"/>
  <c r="AH1143" i="4" s="1"/>
  <c r="AF1143" i="4"/>
  <c r="AE1143" i="4"/>
  <c r="AG1142" i="4"/>
  <c r="AH1142" i="4" s="1"/>
  <c r="AF1142" i="4"/>
  <c r="AE1142" i="4"/>
  <c r="AG1141" i="4"/>
  <c r="AH1141" i="4" s="1"/>
  <c r="AF1141" i="4"/>
  <c r="AE1141" i="4"/>
  <c r="AG1140" i="4"/>
  <c r="AH1140" i="4" s="1"/>
  <c r="AF1140" i="4"/>
  <c r="AE1140" i="4"/>
  <c r="AG1139" i="4"/>
  <c r="AH1139" i="4" s="1"/>
  <c r="AF1139" i="4"/>
  <c r="AE1139" i="4"/>
  <c r="AG1138" i="4"/>
  <c r="AH1138" i="4" s="1"/>
  <c r="AF1138" i="4"/>
  <c r="AE1138" i="4"/>
  <c r="AG1137" i="4"/>
  <c r="AH1137" i="4" s="1"/>
  <c r="AF1137" i="4"/>
  <c r="AE1137" i="4"/>
  <c r="AG1136" i="4"/>
  <c r="AH1136" i="4" s="1"/>
  <c r="AF1136" i="4"/>
  <c r="AE1136" i="4"/>
  <c r="AG1135" i="4"/>
  <c r="AH1135" i="4" s="1"/>
  <c r="AF1135" i="4"/>
  <c r="AE1135" i="4"/>
  <c r="AG1134" i="4"/>
  <c r="AH1134" i="4" s="1"/>
  <c r="AF1134" i="4"/>
  <c r="AE1134" i="4"/>
  <c r="AG1133" i="4"/>
  <c r="AH1133" i="4" s="1"/>
  <c r="AF1133" i="4"/>
  <c r="AE1133" i="4"/>
  <c r="AG1132" i="4"/>
  <c r="AH1132" i="4" s="1"/>
  <c r="AF1132" i="4"/>
  <c r="AE1132" i="4"/>
  <c r="AG1131" i="4"/>
  <c r="AH1131" i="4" s="1"/>
  <c r="AF1131" i="4"/>
  <c r="AE1131" i="4"/>
  <c r="AG1130" i="4"/>
  <c r="AH1130" i="4" s="1"/>
  <c r="AF1130" i="4"/>
  <c r="AE1130" i="4"/>
  <c r="AG1129" i="4"/>
  <c r="AH1129" i="4" s="1"/>
  <c r="AF1129" i="4"/>
  <c r="AE1129" i="4"/>
  <c r="AG1128" i="4"/>
  <c r="AH1128" i="4" s="1"/>
  <c r="AF1128" i="4"/>
  <c r="AE1128" i="4"/>
  <c r="AG1127" i="4"/>
  <c r="AH1127" i="4" s="1"/>
  <c r="AF1127" i="4"/>
  <c r="AE1127" i="4"/>
  <c r="AG1126" i="4"/>
  <c r="AH1126" i="4" s="1"/>
  <c r="AF1126" i="4"/>
  <c r="AE1126" i="4"/>
  <c r="AG1125" i="4"/>
  <c r="AH1125" i="4" s="1"/>
  <c r="AF1125" i="4"/>
  <c r="AE1125" i="4"/>
  <c r="AG1124" i="4"/>
  <c r="AH1124" i="4" s="1"/>
  <c r="AF1124" i="4"/>
  <c r="AE1124" i="4"/>
  <c r="AG1123" i="4"/>
  <c r="AH1123" i="4" s="1"/>
  <c r="AF1123" i="4"/>
  <c r="AE1123" i="4"/>
  <c r="AG1122" i="4"/>
  <c r="AH1122" i="4" s="1"/>
  <c r="AF1122" i="4"/>
  <c r="AE1122" i="4"/>
  <c r="AG1121" i="4"/>
  <c r="AH1121" i="4" s="1"/>
  <c r="AF1121" i="4"/>
  <c r="AE1121" i="4"/>
  <c r="AG1120" i="4"/>
  <c r="AH1120" i="4" s="1"/>
  <c r="AF1120" i="4"/>
  <c r="AE1120" i="4"/>
  <c r="AG1119" i="4"/>
  <c r="AH1119" i="4" s="1"/>
  <c r="AF1119" i="4"/>
  <c r="AE1119" i="4"/>
  <c r="AG1118" i="4"/>
  <c r="AH1118" i="4" s="1"/>
  <c r="AF1118" i="4"/>
  <c r="AE1118" i="4"/>
  <c r="AG1117" i="4"/>
  <c r="AH1117" i="4" s="1"/>
  <c r="AF1117" i="4"/>
  <c r="AE1117" i="4"/>
  <c r="AG1116" i="4"/>
  <c r="AH1116" i="4" s="1"/>
  <c r="AF1116" i="4"/>
  <c r="AE1116" i="4"/>
  <c r="AG1115" i="4"/>
  <c r="AH1115" i="4" s="1"/>
  <c r="AF1115" i="4"/>
  <c r="AE1115" i="4"/>
  <c r="AG1114" i="4"/>
  <c r="AH1114" i="4" s="1"/>
  <c r="AF1114" i="4"/>
  <c r="AE1114" i="4"/>
  <c r="AG1113" i="4"/>
  <c r="AH1113" i="4" s="1"/>
  <c r="AF1113" i="4"/>
  <c r="AE1113" i="4"/>
  <c r="AG1112" i="4"/>
  <c r="AH1112" i="4" s="1"/>
  <c r="AF1112" i="4"/>
  <c r="AE1112" i="4"/>
  <c r="AG1111" i="4"/>
  <c r="AH1111" i="4" s="1"/>
  <c r="AF1111" i="4"/>
  <c r="AE1111" i="4"/>
  <c r="AG1110" i="4"/>
  <c r="AH1110" i="4" s="1"/>
  <c r="AF1110" i="4"/>
  <c r="AE1110" i="4"/>
  <c r="AG1109" i="4"/>
  <c r="AH1109" i="4" s="1"/>
  <c r="AF1109" i="4"/>
  <c r="AE1109" i="4"/>
  <c r="AG1108" i="4"/>
  <c r="AH1108" i="4" s="1"/>
  <c r="AF1108" i="4"/>
  <c r="AE1108" i="4"/>
  <c r="AG1107" i="4"/>
  <c r="AH1107" i="4" s="1"/>
  <c r="AF1107" i="4"/>
  <c r="AE1107" i="4"/>
  <c r="AG1106" i="4"/>
  <c r="AH1106" i="4" s="1"/>
  <c r="AF1106" i="4"/>
  <c r="AE1106" i="4"/>
  <c r="AG1105" i="4"/>
  <c r="AH1105" i="4" s="1"/>
  <c r="AF1105" i="4"/>
  <c r="AE1105" i="4"/>
  <c r="AG1104" i="4"/>
  <c r="AH1104" i="4" s="1"/>
  <c r="AF1104" i="4"/>
  <c r="AE1104" i="4"/>
  <c r="AG1103" i="4"/>
  <c r="AH1103" i="4" s="1"/>
  <c r="AF1103" i="4"/>
  <c r="AE1103" i="4"/>
  <c r="AG1102" i="4"/>
  <c r="AH1102" i="4" s="1"/>
  <c r="AF1102" i="4"/>
  <c r="AE1102" i="4"/>
  <c r="AG1101" i="4"/>
  <c r="AH1101" i="4" s="1"/>
  <c r="AF1101" i="4"/>
  <c r="AE1101" i="4"/>
  <c r="AG1100" i="4"/>
  <c r="AH1100" i="4" s="1"/>
  <c r="AF1100" i="4"/>
  <c r="AE1100" i="4"/>
  <c r="AG1099" i="4"/>
  <c r="AH1099" i="4" s="1"/>
  <c r="AF1099" i="4"/>
  <c r="AE1099" i="4"/>
  <c r="AG1098" i="4"/>
  <c r="AH1098" i="4" s="1"/>
  <c r="AF1098" i="4"/>
  <c r="AE1098" i="4"/>
  <c r="AG1097" i="4"/>
  <c r="AH1097" i="4" s="1"/>
  <c r="AF1097" i="4"/>
  <c r="AE1097" i="4"/>
  <c r="AG1096" i="4"/>
  <c r="AH1096" i="4" s="1"/>
  <c r="AF1096" i="4"/>
  <c r="AE1096" i="4"/>
  <c r="AG1095" i="4"/>
  <c r="AH1095" i="4" s="1"/>
  <c r="AF1095" i="4"/>
  <c r="AE1095" i="4"/>
  <c r="AG1094" i="4"/>
  <c r="AH1094" i="4" s="1"/>
  <c r="AF1094" i="4"/>
  <c r="AE1094" i="4"/>
  <c r="AG1093" i="4"/>
  <c r="AH1093" i="4" s="1"/>
  <c r="AF1093" i="4"/>
  <c r="AE1093" i="4"/>
  <c r="AG1092" i="4"/>
  <c r="AH1092" i="4" s="1"/>
  <c r="AF1092" i="4"/>
  <c r="AE1092" i="4"/>
  <c r="AG1091" i="4"/>
  <c r="AH1091" i="4" s="1"/>
  <c r="AF1091" i="4"/>
  <c r="AE1091" i="4"/>
  <c r="AG1090" i="4"/>
  <c r="AH1090" i="4" s="1"/>
  <c r="AF1090" i="4"/>
  <c r="AE1090" i="4"/>
  <c r="AG1089" i="4"/>
  <c r="AH1089" i="4" s="1"/>
  <c r="AF1089" i="4"/>
  <c r="AE1089" i="4"/>
  <c r="AG1088" i="4"/>
  <c r="AH1088" i="4" s="1"/>
  <c r="AF1088" i="4"/>
  <c r="AE1088" i="4"/>
  <c r="AG1087" i="4"/>
  <c r="AH1087" i="4" s="1"/>
  <c r="AF1087" i="4"/>
  <c r="AE1087" i="4"/>
  <c r="AG1086" i="4"/>
  <c r="AH1086" i="4" s="1"/>
  <c r="AF1086" i="4"/>
  <c r="AE1086" i="4"/>
  <c r="AG1085" i="4"/>
  <c r="AH1085" i="4" s="1"/>
  <c r="AF1085" i="4"/>
  <c r="AE1085" i="4"/>
  <c r="AG1084" i="4"/>
  <c r="AH1084" i="4" s="1"/>
  <c r="AF1084" i="4"/>
  <c r="AE1084" i="4"/>
  <c r="AG1083" i="4"/>
  <c r="AH1083" i="4" s="1"/>
  <c r="AF1083" i="4"/>
  <c r="AE1083" i="4"/>
  <c r="AG1082" i="4"/>
  <c r="AH1082" i="4" s="1"/>
  <c r="AF1082" i="4"/>
  <c r="AE1082" i="4"/>
  <c r="AG1081" i="4"/>
  <c r="AH1081" i="4" s="1"/>
  <c r="AF1081" i="4"/>
  <c r="AE1081" i="4"/>
  <c r="AG1080" i="4"/>
  <c r="AH1080" i="4" s="1"/>
  <c r="AF1080" i="4"/>
  <c r="AE1080" i="4"/>
  <c r="AG1079" i="4"/>
  <c r="AH1079" i="4" s="1"/>
  <c r="AF1079" i="4"/>
  <c r="AE1079" i="4"/>
  <c r="AG1078" i="4"/>
  <c r="AH1078" i="4" s="1"/>
  <c r="AF1078" i="4"/>
  <c r="AE1078" i="4"/>
  <c r="AG1077" i="4"/>
  <c r="AH1077" i="4" s="1"/>
  <c r="AF1077" i="4"/>
  <c r="AE1077" i="4"/>
  <c r="AG1076" i="4"/>
  <c r="AH1076" i="4" s="1"/>
  <c r="AF1076" i="4"/>
  <c r="AE1076" i="4"/>
  <c r="AG1075" i="4"/>
  <c r="AH1075" i="4" s="1"/>
  <c r="AF1075" i="4"/>
  <c r="AE1075" i="4"/>
  <c r="AG1074" i="4"/>
  <c r="AH1074" i="4" s="1"/>
  <c r="AF1074" i="4"/>
  <c r="AE1074" i="4"/>
  <c r="AG1073" i="4"/>
  <c r="AH1073" i="4" s="1"/>
  <c r="AF1073" i="4"/>
  <c r="AE1073" i="4"/>
  <c r="AG1072" i="4"/>
  <c r="AH1072" i="4" s="1"/>
  <c r="AF1072" i="4"/>
  <c r="AE1072" i="4"/>
  <c r="AG1071" i="4"/>
  <c r="AH1071" i="4" s="1"/>
  <c r="AF1071" i="4"/>
  <c r="AE1071" i="4"/>
  <c r="AG1070" i="4"/>
  <c r="AH1070" i="4" s="1"/>
  <c r="AF1070" i="4"/>
  <c r="AE1070" i="4"/>
  <c r="AG1069" i="4"/>
  <c r="AH1069" i="4" s="1"/>
  <c r="AF1069" i="4"/>
  <c r="AE1069" i="4"/>
  <c r="AG1068" i="4"/>
  <c r="AH1068" i="4" s="1"/>
  <c r="AF1068" i="4"/>
  <c r="AE1068" i="4"/>
  <c r="AG1067" i="4"/>
  <c r="AH1067" i="4" s="1"/>
  <c r="AF1067" i="4"/>
  <c r="AE1067" i="4"/>
  <c r="AG1066" i="4"/>
  <c r="AH1066" i="4" s="1"/>
  <c r="AF1066" i="4"/>
  <c r="AE1066" i="4"/>
  <c r="AG1065" i="4"/>
  <c r="AH1065" i="4" s="1"/>
  <c r="AF1065" i="4"/>
  <c r="AE1065" i="4"/>
  <c r="AG1064" i="4"/>
  <c r="AH1064" i="4" s="1"/>
  <c r="AF1064" i="4"/>
  <c r="AE1064" i="4"/>
  <c r="AG1063" i="4"/>
  <c r="AH1063" i="4" s="1"/>
  <c r="AF1063" i="4"/>
  <c r="AE1063" i="4"/>
  <c r="AG1062" i="4"/>
  <c r="AH1062" i="4" s="1"/>
  <c r="AF1062" i="4"/>
  <c r="AE1062" i="4"/>
  <c r="AG1061" i="4"/>
  <c r="AH1061" i="4" s="1"/>
  <c r="AF1061" i="4"/>
  <c r="AE1061" i="4"/>
  <c r="AG1060" i="4"/>
  <c r="AH1060" i="4" s="1"/>
  <c r="AF1060" i="4"/>
  <c r="AE1060" i="4"/>
  <c r="AG1059" i="4"/>
  <c r="AH1059" i="4" s="1"/>
  <c r="AF1059" i="4"/>
  <c r="AE1059" i="4"/>
  <c r="AG1058" i="4"/>
  <c r="AH1058" i="4" s="1"/>
  <c r="AF1058" i="4"/>
  <c r="AE1058" i="4"/>
  <c r="AG1057" i="4"/>
  <c r="AH1057" i="4" s="1"/>
  <c r="AF1057" i="4"/>
  <c r="AE1057" i="4"/>
  <c r="AG1056" i="4"/>
  <c r="AH1056" i="4" s="1"/>
  <c r="AF1056" i="4"/>
  <c r="AE1056" i="4"/>
  <c r="AG1055" i="4"/>
  <c r="AH1055" i="4" s="1"/>
  <c r="AF1055" i="4"/>
  <c r="AE1055" i="4"/>
  <c r="AG1054" i="4"/>
  <c r="AH1054" i="4" s="1"/>
  <c r="AF1054" i="4"/>
  <c r="AE1054" i="4"/>
  <c r="AG1053" i="4"/>
  <c r="AH1053" i="4" s="1"/>
  <c r="AF1053" i="4"/>
  <c r="AE1053" i="4"/>
  <c r="AG1052" i="4"/>
  <c r="AH1052" i="4" s="1"/>
  <c r="AF1052" i="4"/>
  <c r="AE1052" i="4"/>
  <c r="AG1051" i="4"/>
  <c r="AH1051" i="4" s="1"/>
  <c r="AF1051" i="4"/>
  <c r="AE1051" i="4"/>
  <c r="AG1050" i="4"/>
  <c r="AH1050" i="4" s="1"/>
  <c r="AF1050" i="4"/>
  <c r="AE1050" i="4"/>
  <c r="AG1049" i="4"/>
  <c r="AH1049" i="4" s="1"/>
  <c r="AF1049" i="4"/>
  <c r="AE1049" i="4"/>
  <c r="AG1048" i="4"/>
  <c r="AH1048" i="4" s="1"/>
  <c r="AF1048" i="4"/>
  <c r="AE1048" i="4"/>
  <c r="AG1047" i="4"/>
  <c r="AH1047" i="4" s="1"/>
  <c r="AF1047" i="4"/>
  <c r="AE1047" i="4"/>
  <c r="AG1046" i="4"/>
  <c r="AH1046" i="4" s="1"/>
  <c r="AF1046" i="4"/>
  <c r="AE1046" i="4"/>
  <c r="AG1045" i="4"/>
  <c r="AH1045" i="4" s="1"/>
  <c r="AF1045" i="4"/>
  <c r="AE1045" i="4"/>
  <c r="AG1044" i="4"/>
  <c r="AH1044" i="4" s="1"/>
  <c r="AF1044" i="4"/>
  <c r="AE1044" i="4"/>
  <c r="AG1043" i="4"/>
  <c r="AH1043" i="4" s="1"/>
  <c r="AF1043" i="4"/>
  <c r="AE1043" i="4"/>
  <c r="AG1042" i="4"/>
  <c r="AH1042" i="4" s="1"/>
  <c r="AF1042" i="4"/>
  <c r="AE1042" i="4"/>
  <c r="AG1041" i="4"/>
  <c r="AH1041" i="4" s="1"/>
  <c r="AF1041" i="4"/>
  <c r="AE1041" i="4"/>
  <c r="AG1040" i="4"/>
  <c r="AH1040" i="4" s="1"/>
  <c r="AF1040" i="4"/>
  <c r="AE1040" i="4"/>
  <c r="AG1039" i="4"/>
  <c r="AH1039" i="4" s="1"/>
  <c r="AF1039" i="4"/>
  <c r="AE1039" i="4"/>
  <c r="AG1038" i="4"/>
  <c r="AH1038" i="4" s="1"/>
  <c r="AF1038" i="4"/>
  <c r="AE1038" i="4"/>
  <c r="AG1037" i="4"/>
  <c r="AH1037" i="4" s="1"/>
  <c r="AF1037" i="4"/>
  <c r="AE1037" i="4"/>
  <c r="AG1036" i="4"/>
  <c r="AH1036" i="4" s="1"/>
  <c r="AF1036" i="4"/>
  <c r="AE1036" i="4"/>
  <c r="AG1035" i="4"/>
  <c r="AH1035" i="4" s="1"/>
  <c r="AF1035" i="4"/>
  <c r="AE1035" i="4"/>
  <c r="AG1034" i="4"/>
  <c r="AH1034" i="4" s="1"/>
  <c r="AF1034" i="4"/>
  <c r="AE1034" i="4"/>
  <c r="AG1033" i="4"/>
  <c r="AH1033" i="4" s="1"/>
  <c r="AF1033" i="4"/>
  <c r="AE1033" i="4"/>
  <c r="AG1032" i="4"/>
  <c r="AH1032" i="4" s="1"/>
  <c r="AF1032" i="4"/>
  <c r="AE1032" i="4"/>
  <c r="AG1031" i="4"/>
  <c r="AH1031" i="4" s="1"/>
  <c r="AF1031" i="4"/>
  <c r="AE1031" i="4"/>
  <c r="AG1030" i="4"/>
  <c r="AH1030" i="4" s="1"/>
  <c r="AF1030" i="4"/>
  <c r="AE1030" i="4"/>
  <c r="AG1029" i="4"/>
  <c r="AH1029" i="4" s="1"/>
  <c r="AF1029" i="4"/>
  <c r="AE1029" i="4"/>
  <c r="AG1028" i="4"/>
  <c r="AH1028" i="4" s="1"/>
  <c r="AF1028" i="4"/>
  <c r="AE1028" i="4"/>
  <c r="AG1027" i="4"/>
  <c r="AH1027" i="4" s="1"/>
  <c r="AF1027" i="4"/>
  <c r="AE1027" i="4"/>
  <c r="AG1026" i="4"/>
  <c r="AH1026" i="4" s="1"/>
  <c r="AF1026" i="4"/>
  <c r="AE1026" i="4"/>
  <c r="AG1025" i="4"/>
  <c r="AH1025" i="4" s="1"/>
  <c r="AF1025" i="4"/>
  <c r="AE1025" i="4"/>
  <c r="AG1024" i="4"/>
  <c r="AH1024" i="4" s="1"/>
  <c r="AF1024" i="4"/>
  <c r="AE1024" i="4"/>
  <c r="AG1023" i="4"/>
  <c r="AH1023" i="4" s="1"/>
  <c r="AF1023" i="4"/>
  <c r="AE1023" i="4"/>
  <c r="AG1022" i="4"/>
  <c r="AH1022" i="4" s="1"/>
  <c r="AF1022" i="4"/>
  <c r="AE1022" i="4"/>
  <c r="AG1021" i="4"/>
  <c r="AH1021" i="4" s="1"/>
  <c r="AF1021" i="4"/>
  <c r="AE1021" i="4"/>
  <c r="AG1020" i="4"/>
  <c r="AH1020" i="4" s="1"/>
  <c r="AF1020" i="4"/>
  <c r="AE1020" i="4"/>
  <c r="AG1019" i="4"/>
  <c r="AH1019" i="4" s="1"/>
  <c r="AF1019" i="4"/>
  <c r="AE1019" i="4"/>
  <c r="AG1018" i="4"/>
  <c r="AH1018" i="4" s="1"/>
  <c r="AF1018" i="4"/>
  <c r="AE1018" i="4"/>
  <c r="AG1017" i="4"/>
  <c r="AH1017" i="4" s="1"/>
  <c r="AF1017" i="4"/>
  <c r="AE1017" i="4"/>
  <c r="AG1016" i="4"/>
  <c r="AH1016" i="4" s="1"/>
  <c r="AF1016" i="4"/>
  <c r="AE1016" i="4"/>
  <c r="AG1015" i="4"/>
  <c r="AH1015" i="4" s="1"/>
  <c r="AF1015" i="4"/>
  <c r="AE1015" i="4"/>
  <c r="AG1014" i="4"/>
  <c r="AH1014" i="4" s="1"/>
  <c r="AF1014" i="4"/>
  <c r="AE1014" i="4"/>
  <c r="AG1013" i="4"/>
  <c r="AH1013" i="4" s="1"/>
  <c r="AF1013" i="4"/>
  <c r="AE1013" i="4"/>
  <c r="AG1012" i="4"/>
  <c r="AH1012" i="4" s="1"/>
  <c r="AF1012" i="4"/>
  <c r="AE1012" i="4"/>
  <c r="AG1011" i="4"/>
  <c r="AH1011" i="4" s="1"/>
  <c r="AF1011" i="4"/>
  <c r="AE1011" i="4"/>
  <c r="AG1010" i="4"/>
  <c r="AH1010" i="4" s="1"/>
  <c r="AF1010" i="4"/>
  <c r="AE1010" i="4"/>
  <c r="AG1009" i="4"/>
  <c r="AH1009" i="4" s="1"/>
  <c r="AF1009" i="4"/>
  <c r="AE1009" i="4"/>
  <c r="AG1008" i="4"/>
  <c r="AH1008" i="4" s="1"/>
  <c r="AF1008" i="4"/>
  <c r="AE1008" i="4"/>
  <c r="AG1007" i="4"/>
  <c r="AH1007" i="4" s="1"/>
  <c r="AF1007" i="4"/>
  <c r="AE1007" i="4"/>
  <c r="AG1006" i="4"/>
  <c r="AH1006" i="4" s="1"/>
  <c r="AF1006" i="4"/>
  <c r="AE1006" i="4"/>
  <c r="AG1005" i="4"/>
  <c r="AH1005" i="4" s="1"/>
  <c r="AF1005" i="4"/>
  <c r="AE1005" i="4"/>
  <c r="AG1004" i="4"/>
  <c r="AH1004" i="4" s="1"/>
  <c r="AF1004" i="4"/>
  <c r="AE1004" i="4"/>
  <c r="AG1003" i="4"/>
  <c r="AH1003" i="4" s="1"/>
  <c r="AF1003" i="4"/>
  <c r="AE1003" i="4"/>
  <c r="AG1002" i="4"/>
  <c r="AH1002" i="4" s="1"/>
  <c r="AF1002" i="4"/>
  <c r="AE1002" i="4"/>
  <c r="AG1001" i="4"/>
  <c r="AH1001" i="4" s="1"/>
  <c r="AF1001" i="4"/>
  <c r="AE1001" i="4"/>
  <c r="AG1000" i="4"/>
  <c r="AH1000" i="4" s="1"/>
  <c r="AF1000" i="4"/>
  <c r="AE1000" i="4"/>
  <c r="AG999" i="4"/>
  <c r="AH999" i="4" s="1"/>
  <c r="AF999" i="4"/>
  <c r="AE999" i="4"/>
  <c r="AG998" i="4"/>
  <c r="AH998" i="4" s="1"/>
  <c r="AF998" i="4"/>
  <c r="AE998" i="4"/>
  <c r="AG997" i="4"/>
  <c r="AH997" i="4" s="1"/>
  <c r="AF997" i="4"/>
  <c r="AE997" i="4"/>
  <c r="AG996" i="4"/>
  <c r="AH996" i="4" s="1"/>
  <c r="AF996" i="4"/>
  <c r="AE996" i="4"/>
  <c r="AG995" i="4"/>
  <c r="AH995" i="4" s="1"/>
  <c r="AF995" i="4"/>
  <c r="AE995" i="4"/>
  <c r="AG994" i="4"/>
  <c r="AH994" i="4" s="1"/>
  <c r="AF994" i="4"/>
  <c r="AE994" i="4"/>
  <c r="AG993" i="4"/>
  <c r="AH993" i="4" s="1"/>
  <c r="AF993" i="4"/>
  <c r="AE993" i="4"/>
  <c r="AG992" i="4"/>
  <c r="AH992" i="4" s="1"/>
  <c r="AF992" i="4"/>
  <c r="AE992" i="4"/>
  <c r="AG991" i="4"/>
  <c r="AH991" i="4" s="1"/>
  <c r="AF991" i="4"/>
  <c r="AE991" i="4"/>
  <c r="AG990" i="4"/>
  <c r="AH990" i="4" s="1"/>
  <c r="AF990" i="4"/>
  <c r="AE990" i="4"/>
  <c r="AG989" i="4"/>
  <c r="AH989" i="4" s="1"/>
  <c r="AF989" i="4"/>
  <c r="AE989" i="4"/>
  <c r="AG988" i="4"/>
  <c r="AH988" i="4" s="1"/>
  <c r="AF988" i="4"/>
  <c r="AE988" i="4"/>
  <c r="AG987" i="4"/>
  <c r="AH987" i="4" s="1"/>
  <c r="AF987" i="4"/>
  <c r="AE987" i="4"/>
  <c r="AG986" i="4"/>
  <c r="AH986" i="4" s="1"/>
  <c r="AF986" i="4"/>
  <c r="AE986" i="4"/>
  <c r="AG985" i="4"/>
  <c r="AH985" i="4" s="1"/>
  <c r="AF985" i="4"/>
  <c r="AE985" i="4"/>
  <c r="AG984" i="4"/>
  <c r="AH984" i="4" s="1"/>
  <c r="AF984" i="4"/>
  <c r="AE984" i="4"/>
  <c r="AG983" i="4"/>
  <c r="AH983" i="4" s="1"/>
  <c r="AF983" i="4"/>
  <c r="AE983" i="4"/>
  <c r="AG982" i="4"/>
  <c r="AH982" i="4" s="1"/>
  <c r="AF982" i="4"/>
  <c r="AE982" i="4"/>
  <c r="AG981" i="4"/>
  <c r="AH981" i="4" s="1"/>
  <c r="AF981" i="4"/>
  <c r="AE981" i="4"/>
  <c r="AG980" i="4"/>
  <c r="AH980" i="4" s="1"/>
  <c r="AF980" i="4"/>
  <c r="AE980" i="4"/>
  <c r="AG979" i="4"/>
  <c r="AH979" i="4" s="1"/>
  <c r="AF979" i="4"/>
  <c r="AE979" i="4"/>
  <c r="AG978" i="4"/>
  <c r="AH978" i="4" s="1"/>
  <c r="AF978" i="4"/>
  <c r="AE978" i="4"/>
  <c r="AG977" i="4"/>
  <c r="AH977" i="4" s="1"/>
  <c r="AF977" i="4"/>
  <c r="AE977" i="4"/>
  <c r="AG976" i="4"/>
  <c r="AH976" i="4" s="1"/>
  <c r="AF976" i="4"/>
  <c r="AE976" i="4"/>
  <c r="AG975" i="4"/>
  <c r="AH975" i="4" s="1"/>
  <c r="AF975" i="4"/>
  <c r="AE975" i="4"/>
  <c r="AG974" i="4"/>
  <c r="AH974" i="4" s="1"/>
  <c r="AF974" i="4"/>
  <c r="AE974" i="4"/>
  <c r="AG973" i="4"/>
  <c r="AH973" i="4" s="1"/>
  <c r="AF973" i="4"/>
  <c r="AE973" i="4"/>
  <c r="AG972" i="4"/>
  <c r="AH972" i="4" s="1"/>
  <c r="AF972" i="4"/>
  <c r="AE972" i="4"/>
  <c r="AG971" i="4"/>
  <c r="AH971" i="4" s="1"/>
  <c r="AF971" i="4"/>
  <c r="AE971" i="4"/>
  <c r="AG970" i="4"/>
  <c r="AH970" i="4" s="1"/>
  <c r="AF970" i="4"/>
  <c r="AE970" i="4"/>
  <c r="AG969" i="4"/>
  <c r="AH969" i="4" s="1"/>
  <c r="AF969" i="4"/>
  <c r="AE969" i="4"/>
  <c r="AG968" i="4"/>
  <c r="AH968" i="4" s="1"/>
  <c r="AF968" i="4"/>
  <c r="AE968" i="4"/>
  <c r="AG967" i="4"/>
  <c r="AH967" i="4" s="1"/>
  <c r="AF967" i="4"/>
  <c r="AE967" i="4"/>
  <c r="AG966" i="4"/>
  <c r="AH966" i="4" s="1"/>
  <c r="AF966" i="4"/>
  <c r="AE966" i="4"/>
  <c r="AG965" i="4"/>
  <c r="AH965" i="4" s="1"/>
  <c r="AF965" i="4"/>
  <c r="AE965" i="4"/>
  <c r="AG964" i="4"/>
  <c r="AH964" i="4" s="1"/>
  <c r="AF964" i="4"/>
  <c r="AE964" i="4"/>
  <c r="AG963" i="4"/>
  <c r="AH963" i="4" s="1"/>
  <c r="AF963" i="4"/>
  <c r="AE963" i="4"/>
  <c r="AG962" i="4"/>
  <c r="AH962" i="4" s="1"/>
  <c r="AF962" i="4"/>
  <c r="AE962" i="4"/>
  <c r="AG961" i="4"/>
  <c r="AH961" i="4" s="1"/>
  <c r="AF961" i="4"/>
  <c r="AE961" i="4"/>
  <c r="AG960" i="4"/>
  <c r="AH960" i="4" s="1"/>
  <c r="AF960" i="4"/>
  <c r="AE960" i="4"/>
  <c r="AG959" i="4"/>
  <c r="AH959" i="4" s="1"/>
  <c r="AF959" i="4"/>
  <c r="AE959" i="4"/>
  <c r="AG958" i="4"/>
  <c r="AH958" i="4" s="1"/>
  <c r="AF958" i="4"/>
  <c r="AE958" i="4"/>
  <c r="AG957" i="4"/>
  <c r="AH957" i="4" s="1"/>
  <c r="AF957" i="4"/>
  <c r="AE957" i="4"/>
  <c r="AG956" i="4"/>
  <c r="AH956" i="4" s="1"/>
  <c r="AF956" i="4"/>
  <c r="AE956" i="4"/>
  <c r="AG955" i="4"/>
  <c r="AH955" i="4" s="1"/>
  <c r="AF955" i="4"/>
  <c r="AE955" i="4"/>
  <c r="AG954" i="4"/>
  <c r="AH954" i="4" s="1"/>
  <c r="AF954" i="4"/>
  <c r="AE954" i="4"/>
  <c r="AG953" i="4"/>
  <c r="AH953" i="4" s="1"/>
  <c r="AF953" i="4"/>
  <c r="AE953" i="4"/>
  <c r="AG952" i="4"/>
  <c r="AH952" i="4" s="1"/>
  <c r="AF952" i="4"/>
  <c r="AE952" i="4"/>
  <c r="AG951" i="4"/>
  <c r="AH951" i="4" s="1"/>
  <c r="AF951" i="4"/>
  <c r="AE951" i="4"/>
  <c r="AG950" i="4"/>
  <c r="AH950" i="4" s="1"/>
  <c r="AF950" i="4"/>
  <c r="AE950" i="4"/>
  <c r="AG949" i="4"/>
  <c r="AH949" i="4" s="1"/>
  <c r="AF949" i="4"/>
  <c r="AE949" i="4"/>
  <c r="AG948" i="4"/>
  <c r="AH948" i="4" s="1"/>
  <c r="AF948" i="4"/>
  <c r="AE948" i="4"/>
  <c r="AG947" i="4"/>
  <c r="AH947" i="4" s="1"/>
  <c r="AF947" i="4"/>
  <c r="AE947" i="4"/>
  <c r="AG946" i="4"/>
  <c r="AH946" i="4" s="1"/>
  <c r="AF946" i="4"/>
  <c r="AE946" i="4"/>
  <c r="AG945" i="4"/>
  <c r="AH945" i="4" s="1"/>
  <c r="AF945" i="4"/>
  <c r="AE945" i="4"/>
  <c r="AG944" i="4"/>
  <c r="AH944" i="4" s="1"/>
  <c r="AF944" i="4"/>
  <c r="AE944" i="4"/>
  <c r="AG943" i="4"/>
  <c r="AH943" i="4" s="1"/>
  <c r="AF943" i="4"/>
  <c r="AE943" i="4"/>
  <c r="AG942" i="4"/>
  <c r="AH942" i="4" s="1"/>
  <c r="AF942" i="4"/>
  <c r="AE942" i="4"/>
  <c r="AG941" i="4"/>
  <c r="AH941" i="4" s="1"/>
  <c r="AF941" i="4"/>
  <c r="AE941" i="4"/>
  <c r="AG940" i="4"/>
  <c r="AH940" i="4" s="1"/>
  <c r="AF940" i="4"/>
  <c r="AE940" i="4"/>
  <c r="AG939" i="4"/>
  <c r="AH939" i="4" s="1"/>
  <c r="AF939" i="4"/>
  <c r="AE939" i="4"/>
  <c r="AG938" i="4"/>
  <c r="AH938" i="4" s="1"/>
  <c r="AF938" i="4"/>
  <c r="AE938" i="4"/>
  <c r="AG937" i="4"/>
  <c r="AH937" i="4" s="1"/>
  <c r="AF937" i="4"/>
  <c r="AE937" i="4"/>
  <c r="AG936" i="4"/>
  <c r="AH936" i="4" s="1"/>
  <c r="AF936" i="4"/>
  <c r="AE936" i="4"/>
  <c r="AG935" i="4"/>
  <c r="AH935" i="4" s="1"/>
  <c r="AF935" i="4"/>
  <c r="AE935" i="4"/>
  <c r="AG934" i="4"/>
  <c r="AH934" i="4" s="1"/>
  <c r="AF934" i="4"/>
  <c r="AE934" i="4"/>
  <c r="AG933" i="4"/>
  <c r="AH933" i="4" s="1"/>
  <c r="AF933" i="4"/>
  <c r="AE933" i="4"/>
  <c r="AG932" i="4"/>
  <c r="AH932" i="4" s="1"/>
  <c r="AF932" i="4"/>
  <c r="AE932" i="4"/>
  <c r="AG931" i="4"/>
  <c r="AH931" i="4" s="1"/>
  <c r="AF931" i="4"/>
  <c r="AE931" i="4"/>
  <c r="AG930" i="4"/>
  <c r="AH930" i="4" s="1"/>
  <c r="AF930" i="4"/>
  <c r="AE930" i="4"/>
  <c r="AG929" i="4"/>
  <c r="AH929" i="4" s="1"/>
  <c r="AF929" i="4"/>
  <c r="AE929" i="4"/>
  <c r="AG928" i="4"/>
  <c r="AH928" i="4" s="1"/>
  <c r="AF928" i="4"/>
  <c r="AE928" i="4"/>
  <c r="AG927" i="4"/>
  <c r="AH927" i="4" s="1"/>
  <c r="AF927" i="4"/>
  <c r="AE927" i="4"/>
  <c r="AG926" i="4"/>
  <c r="AH926" i="4" s="1"/>
  <c r="AF926" i="4"/>
  <c r="AE926" i="4"/>
  <c r="AG925" i="4"/>
  <c r="AH925" i="4" s="1"/>
  <c r="AF925" i="4"/>
  <c r="AE925" i="4"/>
  <c r="AG924" i="4"/>
  <c r="AH924" i="4" s="1"/>
  <c r="AF924" i="4"/>
  <c r="AE924" i="4"/>
  <c r="AG923" i="4"/>
  <c r="AH923" i="4" s="1"/>
  <c r="AF923" i="4"/>
  <c r="AE923" i="4"/>
  <c r="AG922" i="4"/>
  <c r="AH922" i="4" s="1"/>
  <c r="AF922" i="4"/>
  <c r="AE922" i="4"/>
  <c r="AG921" i="4"/>
  <c r="AH921" i="4" s="1"/>
  <c r="AF921" i="4"/>
  <c r="AE921" i="4"/>
  <c r="AG920" i="4"/>
  <c r="AH920" i="4" s="1"/>
  <c r="AF920" i="4"/>
  <c r="AE920" i="4"/>
  <c r="AG919" i="4"/>
  <c r="AH919" i="4" s="1"/>
  <c r="AF919" i="4"/>
  <c r="AE919" i="4"/>
  <c r="AG918" i="4"/>
  <c r="AH918" i="4" s="1"/>
  <c r="AF918" i="4"/>
  <c r="AE918" i="4"/>
  <c r="AG917" i="4"/>
  <c r="AH917" i="4" s="1"/>
  <c r="AF917" i="4"/>
  <c r="AE917" i="4"/>
  <c r="AG916" i="4"/>
  <c r="AH916" i="4" s="1"/>
  <c r="AF916" i="4"/>
  <c r="AE916" i="4"/>
  <c r="AG915" i="4"/>
  <c r="AH915" i="4" s="1"/>
  <c r="AF915" i="4"/>
  <c r="AE915" i="4"/>
  <c r="AG914" i="4"/>
  <c r="AH914" i="4" s="1"/>
  <c r="AF914" i="4"/>
  <c r="AE914" i="4"/>
  <c r="AG913" i="4"/>
  <c r="AH913" i="4" s="1"/>
  <c r="AF913" i="4"/>
  <c r="AE913" i="4"/>
  <c r="AG912" i="4"/>
  <c r="AH912" i="4" s="1"/>
  <c r="AF912" i="4"/>
  <c r="AE912" i="4"/>
  <c r="AG911" i="4"/>
  <c r="AH911" i="4" s="1"/>
  <c r="AF911" i="4"/>
  <c r="AE911" i="4"/>
  <c r="AG910" i="4"/>
  <c r="AH910" i="4" s="1"/>
  <c r="AF910" i="4"/>
  <c r="AE910" i="4"/>
  <c r="AG909" i="4"/>
  <c r="AH909" i="4" s="1"/>
  <c r="AF909" i="4"/>
  <c r="AE909" i="4"/>
  <c r="AG908" i="4"/>
  <c r="AH908" i="4" s="1"/>
  <c r="AF908" i="4"/>
  <c r="AE908" i="4"/>
  <c r="AG907" i="4"/>
  <c r="AH907" i="4" s="1"/>
  <c r="AF907" i="4"/>
  <c r="AE907" i="4"/>
  <c r="AG906" i="4"/>
  <c r="AH906" i="4" s="1"/>
  <c r="AF906" i="4"/>
  <c r="AE906" i="4"/>
  <c r="AG905" i="4"/>
  <c r="AH905" i="4" s="1"/>
  <c r="AF905" i="4"/>
  <c r="AE905" i="4"/>
  <c r="AG904" i="4"/>
  <c r="AH904" i="4" s="1"/>
  <c r="AF904" i="4"/>
  <c r="AE904" i="4"/>
  <c r="AG903" i="4"/>
  <c r="AH903" i="4" s="1"/>
  <c r="AF903" i="4"/>
  <c r="AE903" i="4"/>
  <c r="AG902" i="4"/>
  <c r="AH902" i="4" s="1"/>
  <c r="AF902" i="4"/>
  <c r="AE902" i="4"/>
  <c r="AG901" i="4"/>
  <c r="AH901" i="4" s="1"/>
  <c r="AF901" i="4"/>
  <c r="AE901" i="4"/>
  <c r="AG900" i="4"/>
  <c r="AH900" i="4" s="1"/>
  <c r="AF900" i="4"/>
  <c r="AE900" i="4"/>
  <c r="AG899" i="4"/>
  <c r="AH899" i="4" s="1"/>
  <c r="AF899" i="4"/>
  <c r="AE899" i="4"/>
  <c r="AG898" i="4"/>
  <c r="AH898" i="4" s="1"/>
  <c r="AF898" i="4"/>
  <c r="AE898" i="4"/>
  <c r="AG897" i="4"/>
  <c r="AH897" i="4" s="1"/>
  <c r="AF897" i="4"/>
  <c r="AE897" i="4"/>
  <c r="AG896" i="4"/>
  <c r="AH896" i="4" s="1"/>
  <c r="AF896" i="4"/>
  <c r="AE896" i="4"/>
  <c r="AG895" i="4"/>
  <c r="AH895" i="4" s="1"/>
  <c r="AF895" i="4"/>
  <c r="AE895" i="4"/>
  <c r="AG894" i="4"/>
  <c r="AH894" i="4" s="1"/>
  <c r="AF894" i="4"/>
  <c r="AE894" i="4"/>
  <c r="AG893" i="4"/>
  <c r="AH893" i="4" s="1"/>
  <c r="AF893" i="4"/>
  <c r="AE893" i="4"/>
  <c r="AG892" i="4"/>
  <c r="AH892" i="4" s="1"/>
  <c r="AF892" i="4"/>
  <c r="AE892" i="4"/>
  <c r="AG891" i="4"/>
  <c r="AH891" i="4" s="1"/>
  <c r="AF891" i="4"/>
  <c r="AE891" i="4"/>
  <c r="AG890" i="4"/>
  <c r="AH890" i="4" s="1"/>
  <c r="AF890" i="4"/>
  <c r="AE890" i="4"/>
  <c r="AG889" i="4"/>
  <c r="AH889" i="4" s="1"/>
  <c r="AF889" i="4"/>
  <c r="AE889" i="4"/>
  <c r="AG888" i="4"/>
  <c r="AH888" i="4" s="1"/>
  <c r="AF888" i="4"/>
  <c r="AE888" i="4"/>
  <c r="AG887" i="4"/>
  <c r="AH887" i="4" s="1"/>
  <c r="AF887" i="4"/>
  <c r="AE887" i="4"/>
  <c r="AG886" i="4"/>
  <c r="AH886" i="4" s="1"/>
  <c r="AF886" i="4"/>
  <c r="AE886" i="4"/>
  <c r="AG885" i="4"/>
  <c r="AH885" i="4" s="1"/>
  <c r="AF885" i="4"/>
  <c r="AE885" i="4"/>
  <c r="AG884" i="4"/>
  <c r="AH884" i="4" s="1"/>
  <c r="AF884" i="4"/>
  <c r="AE884" i="4"/>
  <c r="AG883" i="4"/>
  <c r="AH883" i="4" s="1"/>
  <c r="AF883" i="4"/>
  <c r="AE883" i="4"/>
  <c r="AG882" i="4"/>
  <c r="AH882" i="4" s="1"/>
  <c r="AF882" i="4"/>
  <c r="AE882" i="4"/>
  <c r="AG881" i="4"/>
  <c r="AH881" i="4" s="1"/>
  <c r="AF881" i="4"/>
  <c r="AE881" i="4"/>
  <c r="AG880" i="4"/>
  <c r="AH880" i="4" s="1"/>
  <c r="AF880" i="4"/>
  <c r="AE880" i="4"/>
  <c r="AG879" i="4"/>
  <c r="AH879" i="4" s="1"/>
  <c r="AF879" i="4"/>
  <c r="AE879" i="4"/>
  <c r="AG878" i="4"/>
  <c r="AH878" i="4" s="1"/>
  <c r="AF878" i="4"/>
  <c r="AE878" i="4"/>
  <c r="AG877" i="4"/>
  <c r="AH877" i="4" s="1"/>
  <c r="AF877" i="4"/>
  <c r="AE877" i="4"/>
  <c r="AG876" i="4"/>
  <c r="AH876" i="4" s="1"/>
  <c r="AF876" i="4"/>
  <c r="AE876" i="4"/>
  <c r="AG875" i="4"/>
  <c r="AH875" i="4" s="1"/>
  <c r="AF875" i="4"/>
  <c r="AE875" i="4"/>
  <c r="AG874" i="4"/>
  <c r="AH874" i="4" s="1"/>
  <c r="AF874" i="4"/>
  <c r="AE874" i="4"/>
  <c r="AG873" i="4"/>
  <c r="AH873" i="4" s="1"/>
  <c r="AF873" i="4"/>
  <c r="AE873" i="4"/>
  <c r="AG872" i="4"/>
  <c r="AH872" i="4" s="1"/>
  <c r="AF872" i="4"/>
  <c r="AE872" i="4"/>
  <c r="AG871" i="4"/>
  <c r="AH871" i="4" s="1"/>
  <c r="AF871" i="4"/>
  <c r="AE871" i="4"/>
  <c r="AG870" i="4"/>
  <c r="AH870" i="4" s="1"/>
  <c r="AF870" i="4"/>
  <c r="AE870" i="4"/>
  <c r="AG869" i="4"/>
  <c r="AH869" i="4" s="1"/>
  <c r="AF869" i="4"/>
  <c r="AE869" i="4"/>
  <c r="AG868" i="4"/>
  <c r="AH868" i="4" s="1"/>
  <c r="AF868" i="4"/>
  <c r="AE868" i="4"/>
  <c r="AG867" i="4"/>
  <c r="AH867" i="4" s="1"/>
  <c r="AF867" i="4"/>
  <c r="AE867" i="4"/>
  <c r="AG866" i="4"/>
  <c r="AH866" i="4" s="1"/>
  <c r="AF866" i="4"/>
  <c r="AE866" i="4"/>
  <c r="AG865" i="4"/>
  <c r="AH865" i="4" s="1"/>
  <c r="AF865" i="4"/>
  <c r="AE865" i="4"/>
  <c r="AG864" i="4"/>
  <c r="AH864" i="4" s="1"/>
  <c r="AF864" i="4"/>
  <c r="AE864" i="4"/>
  <c r="AG863" i="4"/>
  <c r="AH863" i="4" s="1"/>
  <c r="AF863" i="4"/>
  <c r="AE863" i="4"/>
  <c r="AG862" i="4"/>
  <c r="AH862" i="4" s="1"/>
  <c r="AF862" i="4"/>
  <c r="AE862" i="4"/>
  <c r="AG861" i="4"/>
  <c r="AH861" i="4" s="1"/>
  <c r="AF861" i="4"/>
  <c r="AE861" i="4"/>
  <c r="AG860" i="4"/>
  <c r="AH860" i="4" s="1"/>
  <c r="AF860" i="4"/>
  <c r="AE860" i="4"/>
  <c r="AG859" i="4"/>
  <c r="AH859" i="4" s="1"/>
  <c r="AF859" i="4"/>
  <c r="AE859" i="4"/>
  <c r="AG858" i="4"/>
  <c r="AH858" i="4" s="1"/>
  <c r="AF858" i="4"/>
  <c r="AE858" i="4"/>
  <c r="AG857" i="4"/>
  <c r="AH857" i="4" s="1"/>
  <c r="AF857" i="4"/>
  <c r="AE857" i="4"/>
  <c r="AG856" i="4"/>
  <c r="AH856" i="4" s="1"/>
  <c r="AF856" i="4"/>
  <c r="AE856" i="4"/>
  <c r="AG855" i="4"/>
  <c r="AH855" i="4" s="1"/>
  <c r="AF855" i="4"/>
  <c r="AE855" i="4"/>
  <c r="AG854" i="4"/>
  <c r="AH854" i="4" s="1"/>
  <c r="AF854" i="4"/>
  <c r="AE854" i="4"/>
  <c r="AG853" i="4"/>
  <c r="AH853" i="4" s="1"/>
  <c r="AF853" i="4"/>
  <c r="AE853" i="4"/>
  <c r="AG852" i="4"/>
  <c r="AH852" i="4" s="1"/>
  <c r="AF852" i="4"/>
  <c r="AE852" i="4"/>
  <c r="AG851" i="4"/>
  <c r="AH851" i="4" s="1"/>
  <c r="AF851" i="4"/>
  <c r="AE851" i="4"/>
  <c r="AG850" i="4"/>
  <c r="AH850" i="4" s="1"/>
  <c r="AF850" i="4"/>
  <c r="AE850" i="4"/>
  <c r="AG849" i="4"/>
  <c r="AH849" i="4" s="1"/>
  <c r="AF849" i="4"/>
  <c r="AE849" i="4"/>
  <c r="AG848" i="4"/>
  <c r="AH848" i="4" s="1"/>
  <c r="AF848" i="4"/>
  <c r="AE848" i="4"/>
  <c r="AG847" i="4"/>
  <c r="AH847" i="4" s="1"/>
  <c r="AF847" i="4"/>
  <c r="AE847" i="4"/>
  <c r="AG846" i="4"/>
  <c r="AH846" i="4" s="1"/>
  <c r="AF846" i="4"/>
  <c r="AE846" i="4"/>
  <c r="AG845" i="4"/>
  <c r="AH845" i="4" s="1"/>
  <c r="AF845" i="4"/>
  <c r="AE845" i="4"/>
  <c r="AG844" i="4"/>
  <c r="AH844" i="4" s="1"/>
  <c r="AF844" i="4"/>
  <c r="AE844" i="4"/>
  <c r="AG843" i="4"/>
  <c r="AH843" i="4" s="1"/>
  <c r="AF843" i="4"/>
  <c r="AE843" i="4"/>
  <c r="AG842" i="4"/>
  <c r="AH842" i="4" s="1"/>
  <c r="AF842" i="4"/>
  <c r="AE842" i="4"/>
  <c r="AG841" i="4"/>
  <c r="AH841" i="4" s="1"/>
  <c r="AF841" i="4"/>
  <c r="AE841" i="4"/>
  <c r="AG840" i="4"/>
  <c r="AH840" i="4" s="1"/>
  <c r="AF840" i="4"/>
  <c r="AE840" i="4"/>
  <c r="AG839" i="4"/>
  <c r="AH839" i="4" s="1"/>
  <c r="AF839" i="4"/>
  <c r="AE839" i="4"/>
  <c r="AG838" i="4"/>
  <c r="AH838" i="4" s="1"/>
  <c r="AF838" i="4"/>
  <c r="AE838" i="4"/>
  <c r="AG837" i="4"/>
  <c r="AH837" i="4" s="1"/>
  <c r="AF837" i="4"/>
  <c r="AE837" i="4"/>
  <c r="AG836" i="4"/>
  <c r="AH836" i="4" s="1"/>
  <c r="AF836" i="4"/>
  <c r="AE836" i="4"/>
  <c r="AG835" i="4"/>
  <c r="AH835" i="4" s="1"/>
  <c r="AF835" i="4"/>
  <c r="AE835" i="4"/>
  <c r="AG834" i="4"/>
  <c r="AH834" i="4" s="1"/>
  <c r="AF834" i="4"/>
  <c r="AE834" i="4"/>
  <c r="AG833" i="4"/>
  <c r="AH833" i="4" s="1"/>
  <c r="AF833" i="4"/>
  <c r="AE833" i="4"/>
  <c r="AG832" i="4"/>
  <c r="AH832" i="4" s="1"/>
  <c r="AF832" i="4"/>
  <c r="AE832" i="4"/>
  <c r="AG831" i="4"/>
  <c r="AH831" i="4" s="1"/>
  <c r="AF831" i="4"/>
  <c r="AE831" i="4"/>
  <c r="AG830" i="4"/>
  <c r="AH830" i="4" s="1"/>
  <c r="AF830" i="4"/>
  <c r="AE830" i="4"/>
  <c r="AG829" i="4"/>
  <c r="AH829" i="4" s="1"/>
  <c r="AF829" i="4"/>
  <c r="AE829" i="4"/>
  <c r="AG828" i="4"/>
  <c r="AH828" i="4" s="1"/>
  <c r="AF828" i="4"/>
  <c r="AE828" i="4"/>
  <c r="AG827" i="4"/>
  <c r="AH827" i="4" s="1"/>
  <c r="AF827" i="4"/>
  <c r="AE827" i="4"/>
  <c r="AG826" i="4"/>
  <c r="AH826" i="4" s="1"/>
  <c r="AF826" i="4"/>
  <c r="AE826" i="4"/>
  <c r="AG825" i="4"/>
  <c r="AH825" i="4" s="1"/>
  <c r="AF825" i="4"/>
  <c r="AE825" i="4"/>
  <c r="AG824" i="4"/>
  <c r="AH824" i="4" s="1"/>
  <c r="AF824" i="4"/>
  <c r="AE824" i="4"/>
  <c r="AG823" i="4"/>
  <c r="AH823" i="4" s="1"/>
  <c r="AF823" i="4"/>
  <c r="AE823" i="4"/>
  <c r="AG822" i="4"/>
  <c r="AH822" i="4" s="1"/>
  <c r="AF822" i="4"/>
  <c r="AE822" i="4"/>
  <c r="AG821" i="4"/>
  <c r="AH821" i="4" s="1"/>
  <c r="AF821" i="4"/>
  <c r="AE821" i="4"/>
  <c r="AG820" i="4"/>
  <c r="AH820" i="4" s="1"/>
  <c r="AF820" i="4"/>
  <c r="AE820" i="4"/>
  <c r="AG819" i="4"/>
  <c r="AH819" i="4" s="1"/>
  <c r="AF819" i="4"/>
  <c r="AE819" i="4"/>
  <c r="AG818" i="4"/>
  <c r="AH818" i="4" s="1"/>
  <c r="AF818" i="4"/>
  <c r="AE818" i="4"/>
  <c r="AG817" i="4"/>
  <c r="AH817" i="4" s="1"/>
  <c r="AF817" i="4"/>
  <c r="AE817" i="4"/>
  <c r="AG816" i="4"/>
  <c r="AH816" i="4" s="1"/>
  <c r="AF816" i="4"/>
  <c r="AE816" i="4"/>
  <c r="AG815" i="4"/>
  <c r="AH815" i="4" s="1"/>
  <c r="AF815" i="4"/>
  <c r="AE815" i="4"/>
  <c r="AG814" i="4"/>
  <c r="AH814" i="4" s="1"/>
  <c r="AF814" i="4"/>
  <c r="AE814" i="4"/>
  <c r="AG813" i="4"/>
  <c r="AH813" i="4" s="1"/>
  <c r="AF813" i="4"/>
  <c r="AE813" i="4"/>
  <c r="AG812" i="4"/>
  <c r="AH812" i="4" s="1"/>
  <c r="AF812" i="4"/>
  <c r="AE812" i="4"/>
  <c r="AG811" i="4"/>
  <c r="AH811" i="4" s="1"/>
  <c r="AF811" i="4"/>
  <c r="AE811" i="4"/>
  <c r="AG810" i="4"/>
  <c r="AH810" i="4" s="1"/>
  <c r="AF810" i="4"/>
  <c r="AE810" i="4"/>
  <c r="AG809" i="4"/>
  <c r="AH809" i="4" s="1"/>
  <c r="AF809" i="4"/>
  <c r="AE809" i="4"/>
  <c r="AG808" i="4"/>
  <c r="AH808" i="4" s="1"/>
  <c r="AF808" i="4"/>
  <c r="AE808" i="4"/>
  <c r="AG807" i="4"/>
  <c r="AH807" i="4" s="1"/>
  <c r="AF807" i="4"/>
  <c r="AE807" i="4"/>
  <c r="AG806" i="4"/>
  <c r="AH806" i="4" s="1"/>
  <c r="AF806" i="4"/>
  <c r="AE806" i="4"/>
  <c r="AG805" i="4"/>
  <c r="AH805" i="4" s="1"/>
  <c r="AF805" i="4"/>
  <c r="AE805" i="4"/>
  <c r="AG804" i="4"/>
  <c r="AH804" i="4" s="1"/>
  <c r="AF804" i="4"/>
  <c r="AE804" i="4"/>
  <c r="AG803" i="4"/>
  <c r="AH803" i="4" s="1"/>
  <c r="AF803" i="4"/>
  <c r="AE803" i="4"/>
  <c r="AG802" i="4"/>
  <c r="AH802" i="4" s="1"/>
  <c r="AF802" i="4"/>
  <c r="AE802" i="4"/>
  <c r="AG801" i="4"/>
  <c r="AH801" i="4" s="1"/>
  <c r="AF801" i="4"/>
  <c r="AE801" i="4"/>
  <c r="AG800" i="4"/>
  <c r="AH800" i="4" s="1"/>
  <c r="AF800" i="4"/>
  <c r="AE800" i="4"/>
  <c r="AG799" i="4"/>
  <c r="AH799" i="4" s="1"/>
  <c r="AF799" i="4"/>
  <c r="AE799" i="4"/>
  <c r="AG798" i="4"/>
  <c r="AH798" i="4" s="1"/>
  <c r="AF798" i="4"/>
  <c r="AE798" i="4"/>
  <c r="AG797" i="4"/>
  <c r="AH797" i="4" s="1"/>
  <c r="AF797" i="4"/>
  <c r="AE797" i="4"/>
  <c r="AG796" i="4"/>
  <c r="AH796" i="4" s="1"/>
  <c r="AF796" i="4"/>
  <c r="AE796" i="4"/>
  <c r="AG795" i="4"/>
  <c r="AH795" i="4" s="1"/>
  <c r="AF795" i="4"/>
  <c r="AE795" i="4"/>
  <c r="AG794" i="4"/>
  <c r="AH794" i="4" s="1"/>
  <c r="AF794" i="4"/>
  <c r="AE794" i="4"/>
  <c r="AG793" i="4"/>
  <c r="AH793" i="4" s="1"/>
  <c r="AF793" i="4"/>
  <c r="AE793" i="4"/>
  <c r="AG792" i="4"/>
  <c r="AH792" i="4" s="1"/>
  <c r="AF792" i="4"/>
  <c r="AE792" i="4"/>
  <c r="AG791" i="4"/>
  <c r="AH791" i="4" s="1"/>
  <c r="AF791" i="4"/>
  <c r="AE791" i="4"/>
  <c r="AG790" i="4"/>
  <c r="AH790" i="4" s="1"/>
  <c r="AF790" i="4"/>
  <c r="AE790" i="4"/>
  <c r="AG789" i="4"/>
  <c r="AH789" i="4" s="1"/>
  <c r="AF789" i="4"/>
  <c r="AE789" i="4"/>
  <c r="AG788" i="4"/>
  <c r="AH788" i="4" s="1"/>
  <c r="AF788" i="4"/>
  <c r="AE788" i="4"/>
  <c r="AG787" i="4"/>
  <c r="AH787" i="4" s="1"/>
  <c r="AF787" i="4"/>
  <c r="AE787" i="4"/>
  <c r="AG786" i="4"/>
  <c r="AH786" i="4" s="1"/>
  <c r="AF786" i="4"/>
  <c r="AE786" i="4"/>
  <c r="AG785" i="4"/>
  <c r="AH785" i="4" s="1"/>
  <c r="AF785" i="4"/>
  <c r="AE785" i="4"/>
  <c r="AG784" i="4"/>
  <c r="AH784" i="4" s="1"/>
  <c r="AF784" i="4"/>
  <c r="AE784" i="4"/>
  <c r="AG783" i="4"/>
  <c r="AH783" i="4" s="1"/>
  <c r="AF783" i="4"/>
  <c r="AE783" i="4"/>
  <c r="AG782" i="4"/>
  <c r="AH782" i="4" s="1"/>
  <c r="AF782" i="4"/>
  <c r="AE782" i="4"/>
  <c r="AG781" i="4"/>
  <c r="AH781" i="4" s="1"/>
  <c r="AF781" i="4"/>
  <c r="AE781" i="4"/>
  <c r="AG780" i="4"/>
  <c r="AH780" i="4" s="1"/>
  <c r="AF780" i="4"/>
  <c r="AE780" i="4"/>
  <c r="AG779" i="4"/>
  <c r="AH779" i="4" s="1"/>
  <c r="AF779" i="4"/>
  <c r="AE779" i="4"/>
  <c r="AG778" i="4"/>
  <c r="AH778" i="4" s="1"/>
  <c r="AF778" i="4"/>
  <c r="AE778" i="4"/>
  <c r="AG777" i="4"/>
  <c r="AH777" i="4" s="1"/>
  <c r="AF777" i="4"/>
  <c r="AE777" i="4"/>
  <c r="AG776" i="4"/>
  <c r="AH776" i="4" s="1"/>
  <c r="AF776" i="4"/>
  <c r="AE776" i="4"/>
  <c r="AG775" i="4"/>
  <c r="AH775" i="4" s="1"/>
  <c r="AF775" i="4"/>
  <c r="AE775" i="4"/>
  <c r="AG774" i="4"/>
  <c r="AH774" i="4" s="1"/>
  <c r="AF774" i="4"/>
  <c r="AE774" i="4"/>
  <c r="AG773" i="4"/>
  <c r="AH773" i="4" s="1"/>
  <c r="AF773" i="4"/>
  <c r="AE773" i="4"/>
  <c r="AG772" i="4"/>
  <c r="AH772" i="4" s="1"/>
  <c r="AF772" i="4"/>
  <c r="AE772" i="4"/>
  <c r="AG771" i="4"/>
  <c r="AH771" i="4" s="1"/>
  <c r="AF771" i="4"/>
  <c r="AE771" i="4"/>
  <c r="AG770" i="4"/>
  <c r="AH770" i="4" s="1"/>
  <c r="AF770" i="4"/>
  <c r="AE770" i="4"/>
  <c r="AG769" i="4"/>
  <c r="AH769" i="4" s="1"/>
  <c r="AF769" i="4"/>
  <c r="AE769" i="4"/>
  <c r="AG768" i="4"/>
  <c r="AH768" i="4" s="1"/>
  <c r="AF768" i="4"/>
  <c r="AE768" i="4"/>
  <c r="AG767" i="4"/>
  <c r="AH767" i="4" s="1"/>
  <c r="AF767" i="4"/>
  <c r="AE767" i="4"/>
  <c r="AG766" i="4"/>
  <c r="AH766" i="4" s="1"/>
  <c r="AF766" i="4"/>
  <c r="AE766" i="4"/>
  <c r="AG765" i="4"/>
  <c r="AH765" i="4" s="1"/>
  <c r="AF765" i="4"/>
  <c r="AE765" i="4"/>
  <c r="AG764" i="4"/>
  <c r="AH764" i="4" s="1"/>
  <c r="AF764" i="4"/>
  <c r="AE764" i="4"/>
  <c r="AG763" i="4"/>
  <c r="AH763" i="4" s="1"/>
  <c r="AF763" i="4"/>
  <c r="AE763" i="4"/>
  <c r="AG762" i="4"/>
  <c r="AH762" i="4" s="1"/>
  <c r="AF762" i="4"/>
  <c r="AE762" i="4"/>
  <c r="AG761" i="4"/>
  <c r="AH761" i="4" s="1"/>
  <c r="AF761" i="4"/>
  <c r="AE761" i="4"/>
  <c r="AG760" i="4"/>
  <c r="AH760" i="4" s="1"/>
  <c r="AF760" i="4"/>
  <c r="AE760" i="4"/>
  <c r="AG759" i="4"/>
  <c r="AH759" i="4" s="1"/>
  <c r="AF759" i="4"/>
  <c r="AE759" i="4"/>
  <c r="AG758" i="4"/>
  <c r="AH758" i="4" s="1"/>
  <c r="AF758" i="4"/>
  <c r="AE758" i="4"/>
  <c r="AG757" i="4"/>
  <c r="AH757" i="4" s="1"/>
  <c r="AF757" i="4"/>
  <c r="AE757" i="4"/>
  <c r="AG756" i="4"/>
  <c r="AH756" i="4" s="1"/>
  <c r="AF756" i="4"/>
  <c r="AE756" i="4"/>
  <c r="AG755" i="4"/>
  <c r="AH755" i="4" s="1"/>
  <c r="AF755" i="4"/>
  <c r="AE755" i="4"/>
  <c r="AG754" i="4"/>
  <c r="AH754" i="4" s="1"/>
  <c r="AF754" i="4"/>
  <c r="AE754" i="4"/>
  <c r="AG753" i="4"/>
  <c r="AH753" i="4" s="1"/>
  <c r="AF753" i="4"/>
  <c r="AE753" i="4"/>
  <c r="AG752" i="4"/>
  <c r="AH752" i="4" s="1"/>
  <c r="AF752" i="4"/>
  <c r="AE752" i="4"/>
  <c r="AG751" i="4"/>
  <c r="AH751" i="4" s="1"/>
  <c r="AF751" i="4"/>
  <c r="AE751" i="4"/>
  <c r="AG750" i="4"/>
  <c r="AH750" i="4" s="1"/>
  <c r="AF750" i="4"/>
  <c r="AE750" i="4"/>
  <c r="AG749" i="4"/>
  <c r="AH749" i="4" s="1"/>
  <c r="AF749" i="4"/>
  <c r="AE749" i="4"/>
  <c r="AG748" i="4"/>
  <c r="AH748" i="4" s="1"/>
  <c r="AF748" i="4"/>
  <c r="AE748" i="4"/>
  <c r="AG747" i="4"/>
  <c r="AH747" i="4" s="1"/>
  <c r="AF747" i="4"/>
  <c r="AE747" i="4"/>
  <c r="AG746" i="4"/>
  <c r="AH746" i="4" s="1"/>
  <c r="AF746" i="4"/>
  <c r="AE746" i="4"/>
  <c r="AG745" i="4"/>
  <c r="AH745" i="4" s="1"/>
  <c r="AF745" i="4"/>
  <c r="AE745" i="4"/>
  <c r="AG744" i="4"/>
  <c r="AH744" i="4" s="1"/>
  <c r="AF744" i="4"/>
  <c r="AE744" i="4"/>
  <c r="AG743" i="4"/>
  <c r="AH743" i="4" s="1"/>
  <c r="AF743" i="4"/>
  <c r="AE743" i="4"/>
  <c r="AG742" i="4"/>
  <c r="AH742" i="4" s="1"/>
  <c r="AF742" i="4"/>
  <c r="AE742" i="4"/>
  <c r="AG741" i="4"/>
  <c r="AH741" i="4" s="1"/>
  <c r="AF741" i="4"/>
  <c r="AE741" i="4"/>
  <c r="AG740" i="4"/>
  <c r="AH740" i="4" s="1"/>
  <c r="AF740" i="4"/>
  <c r="AE740" i="4"/>
  <c r="AG739" i="4"/>
  <c r="AH739" i="4" s="1"/>
  <c r="AF739" i="4"/>
  <c r="AE739" i="4"/>
  <c r="AG738" i="4"/>
  <c r="AH738" i="4" s="1"/>
  <c r="AF738" i="4"/>
  <c r="AE738" i="4"/>
  <c r="AG737" i="4"/>
  <c r="AH737" i="4" s="1"/>
  <c r="AF737" i="4"/>
  <c r="AE737" i="4"/>
  <c r="AG736" i="4"/>
  <c r="AH736" i="4" s="1"/>
  <c r="AF736" i="4"/>
  <c r="AE736" i="4"/>
  <c r="AG735" i="4"/>
  <c r="AH735" i="4" s="1"/>
  <c r="AF735" i="4"/>
  <c r="AE735" i="4"/>
  <c r="AG734" i="4"/>
  <c r="AH734" i="4" s="1"/>
  <c r="AF734" i="4"/>
  <c r="AE734" i="4"/>
  <c r="AG733" i="4"/>
  <c r="AH733" i="4" s="1"/>
  <c r="AF733" i="4"/>
  <c r="AE733" i="4"/>
  <c r="AG732" i="4"/>
  <c r="AH732" i="4" s="1"/>
  <c r="AF732" i="4"/>
  <c r="AE732" i="4"/>
  <c r="AG731" i="4"/>
  <c r="AH731" i="4" s="1"/>
  <c r="AF731" i="4"/>
  <c r="AE731" i="4"/>
  <c r="AG730" i="4"/>
  <c r="AH730" i="4" s="1"/>
  <c r="AF730" i="4"/>
  <c r="AE730" i="4"/>
  <c r="AG729" i="4"/>
  <c r="AH729" i="4" s="1"/>
  <c r="AF729" i="4"/>
  <c r="AE729" i="4"/>
  <c r="AG728" i="4"/>
  <c r="AH728" i="4" s="1"/>
  <c r="AF728" i="4"/>
  <c r="AE728" i="4"/>
  <c r="AG727" i="4"/>
  <c r="AH727" i="4" s="1"/>
  <c r="AF727" i="4"/>
  <c r="AE727" i="4"/>
  <c r="AG726" i="4"/>
  <c r="AH726" i="4" s="1"/>
  <c r="AF726" i="4"/>
  <c r="AE726" i="4"/>
  <c r="AG725" i="4"/>
  <c r="AH725" i="4" s="1"/>
  <c r="AF725" i="4"/>
  <c r="AE725" i="4"/>
  <c r="AG724" i="4"/>
  <c r="AH724" i="4" s="1"/>
  <c r="AF724" i="4"/>
  <c r="AE724" i="4"/>
  <c r="AG723" i="4"/>
  <c r="AH723" i="4" s="1"/>
  <c r="AF723" i="4"/>
  <c r="AE723" i="4"/>
  <c r="AG722" i="4"/>
  <c r="AH722" i="4" s="1"/>
  <c r="AF722" i="4"/>
  <c r="AE722" i="4"/>
  <c r="AG721" i="4"/>
  <c r="AH721" i="4" s="1"/>
  <c r="AF721" i="4"/>
  <c r="AE721" i="4"/>
  <c r="AG720" i="4"/>
  <c r="AH720" i="4" s="1"/>
  <c r="AF720" i="4"/>
  <c r="AE720" i="4"/>
  <c r="AG719" i="4"/>
  <c r="AH719" i="4" s="1"/>
  <c r="AF719" i="4"/>
  <c r="AE719" i="4"/>
  <c r="AG718" i="4"/>
  <c r="AH718" i="4" s="1"/>
  <c r="AF718" i="4"/>
  <c r="AE718" i="4"/>
  <c r="AG717" i="4"/>
  <c r="AH717" i="4" s="1"/>
  <c r="AF717" i="4"/>
  <c r="AE717" i="4"/>
  <c r="AG716" i="4"/>
  <c r="AH716" i="4" s="1"/>
  <c r="AF716" i="4"/>
  <c r="AE716" i="4"/>
  <c r="AG715" i="4"/>
  <c r="AH715" i="4" s="1"/>
  <c r="AF715" i="4"/>
  <c r="AE715" i="4"/>
  <c r="AG714" i="4"/>
  <c r="AH714" i="4" s="1"/>
  <c r="AF714" i="4"/>
  <c r="AE714" i="4"/>
  <c r="AG713" i="4"/>
  <c r="AH713" i="4" s="1"/>
  <c r="AF713" i="4"/>
  <c r="AE713" i="4"/>
  <c r="AG712" i="4"/>
  <c r="AH712" i="4" s="1"/>
  <c r="AF712" i="4"/>
  <c r="AE712" i="4"/>
  <c r="AG711" i="4"/>
  <c r="AH711" i="4" s="1"/>
  <c r="AF711" i="4"/>
  <c r="AE711" i="4"/>
  <c r="AG710" i="4"/>
  <c r="AH710" i="4" s="1"/>
  <c r="AF710" i="4"/>
  <c r="AE710" i="4"/>
  <c r="AG709" i="4"/>
  <c r="AH709" i="4" s="1"/>
  <c r="AF709" i="4"/>
  <c r="AE709" i="4"/>
  <c r="AG708" i="4"/>
  <c r="AH708" i="4" s="1"/>
  <c r="AF708" i="4"/>
  <c r="AE708" i="4"/>
  <c r="AG707" i="4"/>
  <c r="AH707" i="4" s="1"/>
  <c r="AF707" i="4"/>
  <c r="AE707" i="4"/>
  <c r="AG706" i="4"/>
  <c r="AH706" i="4" s="1"/>
  <c r="AF706" i="4"/>
  <c r="AE706" i="4"/>
  <c r="AG705" i="4"/>
  <c r="AH705" i="4" s="1"/>
  <c r="AF705" i="4"/>
  <c r="AE705" i="4"/>
  <c r="AG704" i="4"/>
  <c r="AH704" i="4" s="1"/>
  <c r="AF704" i="4"/>
  <c r="AE704" i="4"/>
  <c r="AG703" i="4"/>
  <c r="AH703" i="4" s="1"/>
  <c r="AF703" i="4"/>
  <c r="AE703" i="4"/>
  <c r="AG702" i="4"/>
  <c r="AH702" i="4" s="1"/>
  <c r="AF702" i="4"/>
  <c r="AE702" i="4"/>
  <c r="AG701" i="4"/>
  <c r="AH701" i="4" s="1"/>
  <c r="AF701" i="4"/>
  <c r="AE701" i="4"/>
  <c r="AG700" i="4"/>
  <c r="AH700" i="4" s="1"/>
  <c r="AF700" i="4"/>
  <c r="AE700" i="4"/>
  <c r="AG699" i="4"/>
  <c r="AH699" i="4" s="1"/>
  <c r="AF699" i="4"/>
  <c r="AE699" i="4"/>
  <c r="AG698" i="4"/>
  <c r="AH698" i="4" s="1"/>
  <c r="AF698" i="4"/>
  <c r="AE698" i="4"/>
  <c r="AG697" i="4"/>
  <c r="AH697" i="4" s="1"/>
  <c r="AF697" i="4"/>
  <c r="AE697" i="4"/>
  <c r="AG696" i="4"/>
  <c r="AH696" i="4" s="1"/>
  <c r="AF696" i="4"/>
  <c r="AE696" i="4"/>
  <c r="AG695" i="4"/>
  <c r="AH695" i="4" s="1"/>
  <c r="AF695" i="4"/>
  <c r="AE695" i="4"/>
  <c r="AG694" i="4"/>
  <c r="AH694" i="4" s="1"/>
  <c r="AF694" i="4"/>
  <c r="AE694" i="4"/>
  <c r="AG693" i="4"/>
  <c r="AH693" i="4" s="1"/>
  <c r="AF693" i="4"/>
  <c r="AE693" i="4"/>
  <c r="AG692" i="4"/>
  <c r="AH692" i="4" s="1"/>
  <c r="AF692" i="4"/>
  <c r="AE692" i="4"/>
  <c r="AG691" i="4"/>
  <c r="AH691" i="4" s="1"/>
  <c r="AF691" i="4"/>
  <c r="AE691" i="4"/>
  <c r="AG690" i="4"/>
  <c r="AH690" i="4" s="1"/>
  <c r="AF690" i="4"/>
  <c r="AE690" i="4"/>
  <c r="AG689" i="4"/>
  <c r="AH689" i="4" s="1"/>
  <c r="AF689" i="4"/>
  <c r="AE689" i="4"/>
  <c r="AG688" i="4"/>
  <c r="AH688" i="4" s="1"/>
  <c r="AF688" i="4"/>
  <c r="AE688" i="4"/>
  <c r="AG687" i="4"/>
  <c r="AH687" i="4" s="1"/>
  <c r="AF687" i="4"/>
  <c r="AE687" i="4"/>
  <c r="AG686" i="4"/>
  <c r="AH686" i="4" s="1"/>
  <c r="AF686" i="4"/>
  <c r="AE686" i="4"/>
  <c r="AG685" i="4"/>
  <c r="AH685" i="4" s="1"/>
  <c r="AF685" i="4"/>
  <c r="AE685" i="4"/>
  <c r="AG684" i="4"/>
  <c r="AH684" i="4" s="1"/>
  <c r="AF684" i="4"/>
  <c r="AE684" i="4"/>
  <c r="AG683" i="4"/>
  <c r="AH683" i="4" s="1"/>
  <c r="AF683" i="4"/>
  <c r="AE683" i="4"/>
  <c r="AG682" i="4"/>
  <c r="AH682" i="4" s="1"/>
  <c r="AF682" i="4"/>
  <c r="AE682" i="4"/>
  <c r="AG681" i="4"/>
  <c r="AH681" i="4" s="1"/>
  <c r="AF681" i="4"/>
  <c r="AE681" i="4"/>
  <c r="AG680" i="4"/>
  <c r="AH680" i="4" s="1"/>
  <c r="AF680" i="4"/>
  <c r="AE680" i="4"/>
  <c r="AG679" i="4"/>
  <c r="AH679" i="4" s="1"/>
  <c r="AF679" i="4"/>
  <c r="AE679" i="4"/>
  <c r="AG678" i="4"/>
  <c r="AH678" i="4" s="1"/>
  <c r="AF678" i="4"/>
  <c r="AE678" i="4"/>
  <c r="AG677" i="4"/>
  <c r="AH677" i="4" s="1"/>
  <c r="AF677" i="4"/>
  <c r="AE677" i="4"/>
  <c r="AG676" i="4"/>
  <c r="AH676" i="4" s="1"/>
  <c r="AF676" i="4"/>
  <c r="AE676" i="4"/>
  <c r="AG675" i="4"/>
  <c r="AH675" i="4" s="1"/>
  <c r="AF675" i="4"/>
  <c r="AE675" i="4"/>
  <c r="AG674" i="4"/>
  <c r="AH674" i="4" s="1"/>
  <c r="AF674" i="4"/>
  <c r="AE674" i="4"/>
  <c r="AG673" i="4"/>
  <c r="AH673" i="4" s="1"/>
  <c r="AF673" i="4"/>
  <c r="AE673" i="4"/>
  <c r="AG672" i="4"/>
  <c r="AH672" i="4" s="1"/>
  <c r="AF672" i="4"/>
  <c r="AE672" i="4"/>
  <c r="AG671" i="4"/>
  <c r="AH671" i="4" s="1"/>
  <c r="AF671" i="4"/>
  <c r="AE671" i="4"/>
  <c r="AG670" i="4"/>
  <c r="AH670" i="4" s="1"/>
  <c r="AF670" i="4"/>
  <c r="AE670" i="4"/>
  <c r="AG669" i="4"/>
  <c r="AH669" i="4" s="1"/>
  <c r="AF669" i="4"/>
  <c r="AE669" i="4"/>
  <c r="AG668" i="4"/>
  <c r="AH668" i="4" s="1"/>
  <c r="AF668" i="4"/>
  <c r="AE668" i="4"/>
  <c r="AG667" i="4"/>
  <c r="AH667" i="4" s="1"/>
  <c r="AF667" i="4"/>
  <c r="AE667" i="4"/>
  <c r="AG666" i="4"/>
  <c r="AH666" i="4" s="1"/>
  <c r="AF666" i="4"/>
  <c r="AE666" i="4"/>
  <c r="AG665" i="4"/>
  <c r="AH665" i="4" s="1"/>
  <c r="AF665" i="4"/>
  <c r="AE665" i="4"/>
  <c r="AG664" i="4"/>
  <c r="AH664" i="4" s="1"/>
  <c r="AF664" i="4"/>
  <c r="AE664" i="4"/>
  <c r="AG663" i="4"/>
  <c r="AH663" i="4" s="1"/>
  <c r="AF663" i="4"/>
  <c r="AE663" i="4"/>
  <c r="AG662" i="4"/>
  <c r="AH662" i="4" s="1"/>
  <c r="AF662" i="4"/>
  <c r="AE662" i="4"/>
  <c r="AG661" i="4"/>
  <c r="AH661" i="4" s="1"/>
  <c r="AF661" i="4"/>
  <c r="AE661" i="4"/>
  <c r="AG660" i="4"/>
  <c r="AH660" i="4" s="1"/>
  <c r="AF660" i="4"/>
  <c r="AE660" i="4"/>
  <c r="AG659" i="4"/>
  <c r="AH659" i="4" s="1"/>
  <c r="AF659" i="4"/>
  <c r="AE659" i="4"/>
  <c r="AG658" i="4"/>
  <c r="AH658" i="4" s="1"/>
  <c r="AF658" i="4"/>
  <c r="AE658" i="4"/>
  <c r="AG657" i="4"/>
  <c r="AH657" i="4" s="1"/>
  <c r="AF657" i="4"/>
  <c r="AE657" i="4"/>
  <c r="AG656" i="4"/>
  <c r="AH656" i="4" s="1"/>
  <c r="AF656" i="4"/>
  <c r="AE656" i="4"/>
  <c r="AG655" i="4"/>
  <c r="AH655" i="4" s="1"/>
  <c r="AF655" i="4"/>
  <c r="AE655" i="4"/>
  <c r="AG654" i="4"/>
  <c r="AH654" i="4" s="1"/>
  <c r="AF654" i="4"/>
  <c r="AE654" i="4"/>
  <c r="AG653" i="4"/>
  <c r="AH653" i="4" s="1"/>
  <c r="AF653" i="4"/>
  <c r="AE653" i="4"/>
  <c r="AG652" i="4"/>
  <c r="AH652" i="4" s="1"/>
  <c r="AF652" i="4"/>
  <c r="AE652" i="4"/>
  <c r="AG651" i="4"/>
  <c r="AH651" i="4" s="1"/>
  <c r="AF651" i="4"/>
  <c r="AE651" i="4"/>
  <c r="AG650" i="4"/>
  <c r="AH650" i="4" s="1"/>
  <c r="AF650" i="4"/>
  <c r="AE650" i="4"/>
  <c r="AG649" i="4"/>
  <c r="AH649" i="4" s="1"/>
  <c r="AF649" i="4"/>
  <c r="AE649" i="4"/>
  <c r="AG648" i="4"/>
  <c r="AH648" i="4" s="1"/>
  <c r="AF648" i="4"/>
  <c r="AE648" i="4"/>
  <c r="AG647" i="4"/>
  <c r="AH647" i="4" s="1"/>
  <c r="AF647" i="4"/>
  <c r="AE647" i="4"/>
  <c r="AG646" i="4"/>
  <c r="AH646" i="4" s="1"/>
  <c r="AF646" i="4"/>
  <c r="AE646" i="4"/>
  <c r="AG645" i="4"/>
  <c r="AH645" i="4" s="1"/>
  <c r="AF645" i="4"/>
  <c r="AE645" i="4"/>
  <c r="AG644" i="4"/>
  <c r="AH644" i="4" s="1"/>
  <c r="AF644" i="4"/>
  <c r="AE644" i="4"/>
  <c r="AG643" i="4"/>
  <c r="AH643" i="4" s="1"/>
  <c r="AF643" i="4"/>
  <c r="AE643" i="4"/>
  <c r="AG642" i="4"/>
  <c r="AH642" i="4" s="1"/>
  <c r="AF642" i="4"/>
  <c r="AE642" i="4"/>
  <c r="AG641" i="4"/>
  <c r="AH641" i="4" s="1"/>
  <c r="AF641" i="4"/>
  <c r="AE641" i="4"/>
  <c r="AG640" i="4"/>
  <c r="AH640" i="4" s="1"/>
  <c r="AF640" i="4"/>
  <c r="AE640" i="4"/>
  <c r="AG639" i="4"/>
  <c r="AH639" i="4" s="1"/>
  <c r="AF639" i="4"/>
  <c r="AE639" i="4"/>
  <c r="AG638" i="4"/>
  <c r="AH638" i="4" s="1"/>
  <c r="AF638" i="4"/>
  <c r="AE638" i="4"/>
  <c r="AG637" i="4"/>
  <c r="AH637" i="4" s="1"/>
  <c r="AF637" i="4"/>
  <c r="AE637" i="4"/>
  <c r="AG636" i="4"/>
  <c r="AH636" i="4" s="1"/>
  <c r="AF636" i="4"/>
  <c r="AE636" i="4"/>
  <c r="AG635" i="4"/>
  <c r="AH635" i="4" s="1"/>
  <c r="AF635" i="4"/>
  <c r="AE635" i="4"/>
  <c r="AG634" i="4"/>
  <c r="AH634" i="4" s="1"/>
  <c r="AF634" i="4"/>
  <c r="AE634" i="4"/>
  <c r="AG633" i="4"/>
  <c r="AH633" i="4" s="1"/>
  <c r="AF633" i="4"/>
  <c r="AE633" i="4"/>
  <c r="AG632" i="4"/>
  <c r="AH632" i="4" s="1"/>
  <c r="AF632" i="4"/>
  <c r="AE632" i="4"/>
  <c r="AG631" i="4"/>
  <c r="AH631" i="4" s="1"/>
  <c r="AF631" i="4"/>
  <c r="AE631" i="4"/>
  <c r="AG630" i="4"/>
  <c r="AH630" i="4" s="1"/>
  <c r="AF630" i="4"/>
  <c r="AE630" i="4"/>
  <c r="AG629" i="4"/>
  <c r="AH629" i="4" s="1"/>
  <c r="AF629" i="4"/>
  <c r="AE629" i="4"/>
  <c r="AG628" i="4"/>
  <c r="AH628" i="4" s="1"/>
  <c r="AF628" i="4"/>
  <c r="AE628" i="4"/>
  <c r="AG627" i="4"/>
  <c r="AH627" i="4" s="1"/>
  <c r="AF627" i="4"/>
  <c r="AE627" i="4"/>
  <c r="AG626" i="4"/>
  <c r="AH626" i="4" s="1"/>
  <c r="AF626" i="4"/>
  <c r="AE626" i="4"/>
  <c r="AG625" i="4"/>
  <c r="AH625" i="4" s="1"/>
  <c r="AF625" i="4"/>
  <c r="AE625" i="4"/>
  <c r="AG624" i="4"/>
  <c r="AH624" i="4" s="1"/>
  <c r="AF624" i="4"/>
  <c r="AE624" i="4"/>
  <c r="AG623" i="4"/>
  <c r="AH623" i="4" s="1"/>
  <c r="AF623" i="4"/>
  <c r="AE623" i="4"/>
  <c r="AG622" i="4"/>
  <c r="AH622" i="4" s="1"/>
  <c r="AF622" i="4"/>
  <c r="AE622" i="4"/>
  <c r="AG621" i="4"/>
  <c r="AH621" i="4" s="1"/>
  <c r="AF621" i="4"/>
  <c r="AE621" i="4"/>
  <c r="AG620" i="4"/>
  <c r="AH620" i="4" s="1"/>
  <c r="AF620" i="4"/>
  <c r="AE620" i="4"/>
  <c r="AG619" i="4"/>
  <c r="AH619" i="4" s="1"/>
  <c r="AF619" i="4"/>
  <c r="AE619" i="4"/>
  <c r="AG618" i="4"/>
  <c r="AH618" i="4" s="1"/>
  <c r="AF618" i="4"/>
  <c r="AE618" i="4"/>
  <c r="AG617" i="4"/>
  <c r="AH617" i="4" s="1"/>
  <c r="AF617" i="4"/>
  <c r="AE617" i="4"/>
  <c r="AG616" i="4"/>
  <c r="AH616" i="4" s="1"/>
  <c r="AF616" i="4"/>
  <c r="AE616" i="4"/>
  <c r="AG615" i="4"/>
  <c r="AH615" i="4" s="1"/>
  <c r="AF615" i="4"/>
  <c r="AE615" i="4"/>
  <c r="AG614" i="4"/>
  <c r="AH614" i="4" s="1"/>
  <c r="AF614" i="4"/>
  <c r="AE614" i="4"/>
  <c r="AG613" i="4"/>
  <c r="AH613" i="4" s="1"/>
  <c r="AF613" i="4"/>
  <c r="AE613" i="4"/>
  <c r="AG612" i="4"/>
  <c r="AH612" i="4" s="1"/>
  <c r="AF612" i="4"/>
  <c r="AE612" i="4"/>
  <c r="AG611" i="4"/>
  <c r="AH611" i="4" s="1"/>
  <c r="AF611" i="4"/>
  <c r="AE611" i="4"/>
  <c r="AG610" i="4"/>
  <c r="AH610" i="4" s="1"/>
  <c r="AF610" i="4"/>
  <c r="AE610" i="4"/>
  <c r="AG609" i="4"/>
  <c r="AH609" i="4" s="1"/>
  <c r="AF609" i="4"/>
  <c r="AE609" i="4"/>
  <c r="AG608" i="4"/>
  <c r="AH608" i="4" s="1"/>
  <c r="AF608" i="4"/>
  <c r="AE608" i="4"/>
  <c r="AG607" i="4"/>
  <c r="AH607" i="4" s="1"/>
  <c r="AF607" i="4"/>
  <c r="AE607" i="4"/>
  <c r="AG606" i="4"/>
  <c r="AH606" i="4" s="1"/>
  <c r="AF606" i="4"/>
  <c r="AE606" i="4"/>
  <c r="AG605" i="4"/>
  <c r="AH605" i="4" s="1"/>
  <c r="AF605" i="4"/>
  <c r="AE605" i="4"/>
  <c r="AG604" i="4"/>
  <c r="AH604" i="4" s="1"/>
  <c r="AF604" i="4"/>
  <c r="AE604" i="4"/>
  <c r="AG603" i="4"/>
  <c r="AH603" i="4" s="1"/>
  <c r="AF603" i="4"/>
  <c r="AE603" i="4"/>
  <c r="AG602" i="4"/>
  <c r="AH602" i="4" s="1"/>
  <c r="AF602" i="4"/>
  <c r="AE602" i="4"/>
  <c r="AG601" i="4"/>
  <c r="AH601" i="4" s="1"/>
  <c r="AF601" i="4"/>
  <c r="AE601" i="4"/>
  <c r="AG600" i="4"/>
  <c r="AH600" i="4" s="1"/>
  <c r="AF600" i="4"/>
  <c r="AE600" i="4"/>
  <c r="AG599" i="4"/>
  <c r="AH599" i="4" s="1"/>
  <c r="AF599" i="4"/>
  <c r="AE599" i="4"/>
  <c r="AG598" i="4"/>
  <c r="AH598" i="4" s="1"/>
  <c r="AF598" i="4"/>
  <c r="AE598" i="4"/>
  <c r="AG597" i="4"/>
  <c r="AH597" i="4" s="1"/>
  <c r="AF597" i="4"/>
  <c r="AE597" i="4"/>
  <c r="AG596" i="4"/>
  <c r="AH596" i="4" s="1"/>
  <c r="AF596" i="4"/>
  <c r="AE596" i="4"/>
  <c r="AG595" i="4"/>
  <c r="AH595" i="4" s="1"/>
  <c r="AF595" i="4"/>
  <c r="AE595" i="4"/>
  <c r="AG594" i="4"/>
  <c r="AH594" i="4" s="1"/>
  <c r="AF594" i="4"/>
  <c r="AE594" i="4"/>
  <c r="AG593" i="4"/>
  <c r="AH593" i="4" s="1"/>
  <c r="AF593" i="4"/>
  <c r="AE593" i="4"/>
  <c r="AG592" i="4"/>
  <c r="AH592" i="4" s="1"/>
  <c r="AF592" i="4"/>
  <c r="AE592" i="4"/>
  <c r="AG591" i="4"/>
  <c r="AH591" i="4" s="1"/>
  <c r="AF591" i="4"/>
  <c r="AE591" i="4"/>
  <c r="AG590" i="4"/>
  <c r="AH590" i="4" s="1"/>
  <c r="AF590" i="4"/>
  <c r="AE590" i="4"/>
  <c r="AG589" i="4"/>
  <c r="AH589" i="4" s="1"/>
  <c r="AF589" i="4"/>
  <c r="AE589" i="4"/>
  <c r="AG588" i="4"/>
  <c r="AH588" i="4" s="1"/>
  <c r="AF588" i="4"/>
  <c r="AE588" i="4"/>
  <c r="AG587" i="4"/>
  <c r="AH587" i="4" s="1"/>
  <c r="AF587" i="4"/>
  <c r="AE587" i="4"/>
  <c r="AG586" i="4"/>
  <c r="AH586" i="4" s="1"/>
  <c r="AF586" i="4"/>
  <c r="AE586" i="4"/>
  <c r="AG585" i="4"/>
  <c r="AH585" i="4" s="1"/>
  <c r="AF585" i="4"/>
  <c r="AE585" i="4"/>
  <c r="AG584" i="4"/>
  <c r="AH584" i="4" s="1"/>
  <c r="AF584" i="4"/>
  <c r="AE584" i="4"/>
  <c r="AG583" i="4"/>
  <c r="AH583" i="4" s="1"/>
  <c r="AF583" i="4"/>
  <c r="AE583" i="4"/>
  <c r="AG582" i="4"/>
  <c r="AH582" i="4" s="1"/>
  <c r="AF582" i="4"/>
  <c r="AE582" i="4"/>
  <c r="AG581" i="4"/>
  <c r="AH581" i="4" s="1"/>
  <c r="AF581" i="4"/>
  <c r="AE581" i="4"/>
  <c r="AG580" i="4"/>
  <c r="AH580" i="4" s="1"/>
  <c r="AF580" i="4"/>
  <c r="AE580" i="4"/>
  <c r="AG579" i="4"/>
  <c r="AH579" i="4" s="1"/>
  <c r="AF579" i="4"/>
  <c r="AE579" i="4"/>
  <c r="AG578" i="4"/>
  <c r="AH578" i="4" s="1"/>
  <c r="AF578" i="4"/>
  <c r="AE578" i="4"/>
  <c r="AG577" i="4"/>
  <c r="AH577" i="4" s="1"/>
  <c r="AF577" i="4"/>
  <c r="AE577" i="4"/>
  <c r="AG576" i="4"/>
  <c r="AH576" i="4" s="1"/>
  <c r="AF576" i="4"/>
  <c r="AE576" i="4"/>
  <c r="AG575" i="4"/>
  <c r="AH575" i="4" s="1"/>
  <c r="AF575" i="4"/>
  <c r="AE575" i="4"/>
  <c r="AG574" i="4"/>
  <c r="AH574" i="4" s="1"/>
  <c r="AF574" i="4"/>
  <c r="AE574" i="4"/>
  <c r="AG573" i="4"/>
  <c r="AH573" i="4" s="1"/>
  <c r="AF573" i="4"/>
  <c r="AE573" i="4"/>
  <c r="AG572" i="4"/>
  <c r="AH572" i="4" s="1"/>
  <c r="AF572" i="4"/>
  <c r="AE572" i="4"/>
  <c r="AG571" i="4"/>
  <c r="AH571" i="4" s="1"/>
  <c r="AF571" i="4"/>
  <c r="AE571" i="4"/>
  <c r="AG570" i="4"/>
  <c r="AH570" i="4" s="1"/>
  <c r="AF570" i="4"/>
  <c r="AE570" i="4"/>
  <c r="AG569" i="4"/>
  <c r="AH569" i="4" s="1"/>
  <c r="AF569" i="4"/>
  <c r="AE569" i="4"/>
  <c r="AG568" i="4"/>
  <c r="AH568" i="4" s="1"/>
  <c r="AF568" i="4"/>
  <c r="AE568" i="4"/>
  <c r="AG567" i="4"/>
  <c r="AH567" i="4" s="1"/>
  <c r="AF567" i="4"/>
  <c r="AE567" i="4"/>
  <c r="AG566" i="4"/>
  <c r="AH566" i="4" s="1"/>
  <c r="AF566" i="4"/>
  <c r="AE566" i="4"/>
  <c r="AG565" i="4"/>
  <c r="AH565" i="4" s="1"/>
  <c r="AF565" i="4"/>
  <c r="AE565" i="4"/>
  <c r="AG564" i="4"/>
  <c r="AH564" i="4" s="1"/>
  <c r="AF564" i="4"/>
  <c r="AE564" i="4"/>
  <c r="AG563" i="4"/>
  <c r="AH563" i="4" s="1"/>
  <c r="AF563" i="4"/>
  <c r="AE563" i="4"/>
  <c r="AG562" i="4"/>
  <c r="AH562" i="4" s="1"/>
  <c r="AF562" i="4"/>
  <c r="AE562" i="4"/>
  <c r="AG561" i="4"/>
  <c r="AH561" i="4" s="1"/>
  <c r="AF561" i="4"/>
  <c r="AE561" i="4"/>
  <c r="AG560" i="4"/>
  <c r="AH560" i="4" s="1"/>
  <c r="AF560" i="4"/>
  <c r="AE560" i="4"/>
  <c r="AG559" i="4"/>
  <c r="AH559" i="4" s="1"/>
  <c r="AF559" i="4"/>
  <c r="AE559" i="4"/>
  <c r="AG558" i="4"/>
  <c r="AH558" i="4" s="1"/>
  <c r="AF558" i="4"/>
  <c r="AE558" i="4"/>
  <c r="AG557" i="4"/>
  <c r="AH557" i="4" s="1"/>
  <c r="AF557" i="4"/>
  <c r="AE557" i="4"/>
  <c r="AG556" i="4"/>
  <c r="AH556" i="4" s="1"/>
  <c r="AF556" i="4"/>
  <c r="AE556" i="4"/>
  <c r="AG555" i="4"/>
  <c r="AH555" i="4" s="1"/>
  <c r="AF555" i="4"/>
  <c r="AE555" i="4"/>
  <c r="AG554" i="4"/>
  <c r="AH554" i="4" s="1"/>
  <c r="AF554" i="4"/>
  <c r="AE554" i="4"/>
  <c r="AG553" i="4"/>
  <c r="AH553" i="4" s="1"/>
  <c r="AF553" i="4"/>
  <c r="AE553" i="4"/>
  <c r="AG552" i="4"/>
  <c r="AH552" i="4" s="1"/>
  <c r="AF552" i="4"/>
  <c r="AE552" i="4"/>
  <c r="AG551" i="4"/>
  <c r="AH551" i="4" s="1"/>
  <c r="AF551" i="4"/>
  <c r="AE551" i="4"/>
  <c r="AG550" i="4"/>
  <c r="AH550" i="4" s="1"/>
  <c r="AF550" i="4"/>
  <c r="AE550" i="4"/>
  <c r="AG549" i="4"/>
  <c r="AH549" i="4" s="1"/>
  <c r="AF549" i="4"/>
  <c r="AE549" i="4"/>
  <c r="AG548" i="4"/>
  <c r="AH548" i="4" s="1"/>
  <c r="AF548" i="4"/>
  <c r="AE548" i="4"/>
  <c r="AG547" i="4"/>
  <c r="AH547" i="4" s="1"/>
  <c r="AF547" i="4"/>
  <c r="AE547" i="4"/>
  <c r="AG546" i="4"/>
  <c r="AH546" i="4" s="1"/>
  <c r="AF546" i="4"/>
  <c r="AE546" i="4"/>
  <c r="AG545" i="4"/>
  <c r="AH545" i="4" s="1"/>
  <c r="AF545" i="4"/>
  <c r="AE545" i="4"/>
  <c r="AG544" i="4"/>
  <c r="AH544" i="4" s="1"/>
  <c r="AF544" i="4"/>
  <c r="AE544" i="4"/>
  <c r="AG543" i="4"/>
  <c r="AH543" i="4" s="1"/>
  <c r="AF543" i="4"/>
  <c r="AE543" i="4"/>
  <c r="AG542" i="4"/>
  <c r="AH542" i="4" s="1"/>
  <c r="AF542" i="4"/>
  <c r="AE542" i="4"/>
  <c r="AG541" i="4"/>
  <c r="AH541" i="4" s="1"/>
  <c r="AF541" i="4"/>
  <c r="AE541" i="4"/>
  <c r="AG540" i="4"/>
  <c r="AH540" i="4" s="1"/>
  <c r="AF540" i="4"/>
  <c r="AE540" i="4"/>
  <c r="AG539" i="4"/>
  <c r="AH539" i="4" s="1"/>
  <c r="AF539" i="4"/>
  <c r="AE539" i="4"/>
  <c r="AG538" i="4"/>
  <c r="AH538" i="4" s="1"/>
  <c r="AF538" i="4"/>
  <c r="AE538" i="4"/>
  <c r="AG537" i="4"/>
  <c r="AH537" i="4" s="1"/>
  <c r="AF537" i="4"/>
  <c r="AE537" i="4"/>
  <c r="AG536" i="4"/>
  <c r="AH536" i="4" s="1"/>
  <c r="AF536" i="4"/>
  <c r="AE536" i="4"/>
  <c r="AG535" i="4"/>
  <c r="AH535" i="4" s="1"/>
  <c r="AF535" i="4"/>
  <c r="AE535" i="4"/>
  <c r="AG534" i="4"/>
  <c r="AH534" i="4" s="1"/>
  <c r="AF534" i="4"/>
  <c r="AE534" i="4"/>
  <c r="AG533" i="4"/>
  <c r="AH533" i="4" s="1"/>
  <c r="AF533" i="4"/>
  <c r="AE533" i="4"/>
  <c r="AG532" i="4"/>
  <c r="AH532" i="4" s="1"/>
  <c r="AF532" i="4"/>
  <c r="AE532" i="4"/>
  <c r="AG531" i="4"/>
  <c r="AH531" i="4" s="1"/>
  <c r="AF531" i="4"/>
  <c r="AE531" i="4"/>
  <c r="AG530" i="4"/>
  <c r="AH530" i="4" s="1"/>
  <c r="AF530" i="4"/>
  <c r="AE530" i="4"/>
  <c r="AG529" i="4"/>
  <c r="AH529" i="4" s="1"/>
  <c r="AF529" i="4"/>
  <c r="AE529" i="4"/>
  <c r="AG528" i="4"/>
  <c r="AH528" i="4" s="1"/>
  <c r="AF528" i="4"/>
  <c r="AE528" i="4"/>
  <c r="AG527" i="4"/>
  <c r="AH527" i="4" s="1"/>
  <c r="AF527" i="4"/>
  <c r="AE527" i="4"/>
  <c r="AG526" i="4"/>
  <c r="AH526" i="4" s="1"/>
  <c r="AF526" i="4"/>
  <c r="AE526" i="4"/>
  <c r="AG525" i="4"/>
  <c r="AH525" i="4" s="1"/>
  <c r="AF525" i="4"/>
  <c r="AE525" i="4"/>
  <c r="AG524" i="4"/>
  <c r="AH524" i="4" s="1"/>
  <c r="AF524" i="4"/>
  <c r="AE524" i="4"/>
  <c r="AG523" i="4"/>
  <c r="AH523" i="4" s="1"/>
  <c r="AF523" i="4"/>
  <c r="AE523" i="4"/>
  <c r="AG522" i="4"/>
  <c r="AH522" i="4" s="1"/>
  <c r="AF522" i="4"/>
  <c r="AE522" i="4"/>
  <c r="AG521" i="4"/>
  <c r="AH521" i="4" s="1"/>
  <c r="AF521" i="4"/>
  <c r="AE521" i="4"/>
  <c r="AG520" i="4"/>
  <c r="AH520" i="4" s="1"/>
  <c r="AF520" i="4"/>
  <c r="AE520" i="4"/>
  <c r="AG519" i="4"/>
  <c r="AH519" i="4" s="1"/>
  <c r="AF519" i="4"/>
  <c r="AE519" i="4"/>
  <c r="AG518" i="4"/>
  <c r="AH518" i="4" s="1"/>
  <c r="AF518" i="4"/>
  <c r="AE518" i="4"/>
  <c r="AG517" i="4"/>
  <c r="AH517" i="4" s="1"/>
  <c r="AF517" i="4"/>
  <c r="AE517" i="4"/>
  <c r="AG516" i="4"/>
  <c r="AH516" i="4" s="1"/>
  <c r="AF516" i="4"/>
  <c r="AE516" i="4"/>
  <c r="AG515" i="4"/>
  <c r="AH515" i="4" s="1"/>
  <c r="AF515" i="4"/>
  <c r="AE515" i="4"/>
  <c r="AG514" i="4"/>
  <c r="AH514" i="4" s="1"/>
  <c r="AF514" i="4"/>
  <c r="AE514" i="4"/>
  <c r="AG513" i="4"/>
  <c r="AH513" i="4" s="1"/>
  <c r="AF513" i="4"/>
  <c r="AE513" i="4"/>
  <c r="AG512" i="4"/>
  <c r="AH512" i="4" s="1"/>
  <c r="AF512" i="4"/>
  <c r="AE512" i="4"/>
  <c r="AG511" i="4"/>
  <c r="AH511" i="4" s="1"/>
  <c r="AF511" i="4"/>
  <c r="AE511" i="4"/>
  <c r="AG510" i="4"/>
  <c r="AH510" i="4" s="1"/>
  <c r="AF510" i="4"/>
  <c r="AE510" i="4"/>
  <c r="AG509" i="4"/>
  <c r="AH509" i="4" s="1"/>
  <c r="AF509" i="4"/>
  <c r="AE509" i="4"/>
  <c r="AG508" i="4"/>
  <c r="AH508" i="4" s="1"/>
  <c r="AF508" i="4"/>
  <c r="AE508" i="4"/>
  <c r="AG507" i="4"/>
  <c r="AH507" i="4" s="1"/>
  <c r="AF507" i="4"/>
  <c r="AE507" i="4"/>
  <c r="AG506" i="4"/>
  <c r="AH506" i="4" s="1"/>
  <c r="AF506" i="4"/>
  <c r="AE506" i="4"/>
  <c r="AG505" i="4"/>
  <c r="AH505" i="4" s="1"/>
  <c r="AF505" i="4"/>
  <c r="AE505" i="4"/>
  <c r="AG504" i="4"/>
  <c r="AH504" i="4" s="1"/>
  <c r="AF504" i="4"/>
  <c r="AE504" i="4"/>
  <c r="AG503" i="4"/>
  <c r="AH503" i="4" s="1"/>
  <c r="AF503" i="4"/>
  <c r="AE503" i="4"/>
  <c r="AG502" i="4"/>
  <c r="AH502" i="4" s="1"/>
  <c r="AF502" i="4"/>
  <c r="AE502" i="4"/>
  <c r="AG501" i="4"/>
  <c r="AH501" i="4" s="1"/>
  <c r="AF501" i="4"/>
  <c r="AE501" i="4"/>
  <c r="AG500" i="4"/>
  <c r="AH500" i="4" s="1"/>
  <c r="AF500" i="4"/>
  <c r="AE500" i="4"/>
  <c r="AG499" i="4"/>
  <c r="AH499" i="4" s="1"/>
  <c r="AF499" i="4"/>
  <c r="AE499" i="4"/>
  <c r="AG498" i="4"/>
  <c r="AH498" i="4" s="1"/>
  <c r="AF498" i="4"/>
  <c r="AE498" i="4"/>
  <c r="AG497" i="4"/>
  <c r="AH497" i="4" s="1"/>
  <c r="AF497" i="4"/>
  <c r="AE497" i="4"/>
  <c r="AG496" i="4"/>
  <c r="AH496" i="4" s="1"/>
  <c r="AF496" i="4"/>
  <c r="AE496" i="4"/>
  <c r="AG495" i="4"/>
  <c r="AH495" i="4" s="1"/>
  <c r="AF495" i="4"/>
  <c r="AE495" i="4"/>
  <c r="AG494" i="4"/>
  <c r="AH494" i="4" s="1"/>
  <c r="AF494" i="4"/>
  <c r="AE494" i="4"/>
  <c r="AG493" i="4"/>
  <c r="AH493" i="4" s="1"/>
  <c r="AF493" i="4"/>
  <c r="AE493" i="4"/>
  <c r="AG492" i="4"/>
  <c r="AH492" i="4" s="1"/>
  <c r="AF492" i="4"/>
  <c r="AE492" i="4"/>
  <c r="AG491" i="4"/>
  <c r="AH491" i="4" s="1"/>
  <c r="AF491" i="4"/>
  <c r="AE491" i="4"/>
  <c r="AG490" i="4"/>
  <c r="AH490" i="4" s="1"/>
  <c r="AF490" i="4"/>
  <c r="AE490" i="4"/>
  <c r="AG489" i="4"/>
  <c r="AH489" i="4" s="1"/>
  <c r="AF489" i="4"/>
  <c r="AE489" i="4"/>
  <c r="AG488" i="4"/>
  <c r="AH488" i="4" s="1"/>
  <c r="AF488" i="4"/>
  <c r="AE488" i="4"/>
  <c r="AG487" i="4"/>
  <c r="AH487" i="4" s="1"/>
  <c r="AF487" i="4"/>
  <c r="AE487" i="4"/>
  <c r="AG486" i="4"/>
  <c r="AH486" i="4" s="1"/>
  <c r="AF486" i="4"/>
  <c r="AE486" i="4"/>
  <c r="AG485" i="4"/>
  <c r="AH485" i="4" s="1"/>
  <c r="AF485" i="4"/>
  <c r="AE485" i="4"/>
  <c r="AG484" i="4"/>
  <c r="AH484" i="4" s="1"/>
  <c r="AF484" i="4"/>
  <c r="AE484" i="4"/>
  <c r="AG483" i="4"/>
  <c r="AH483" i="4" s="1"/>
  <c r="AF483" i="4"/>
  <c r="AE483" i="4"/>
  <c r="AG482" i="4"/>
  <c r="AH482" i="4" s="1"/>
  <c r="AF482" i="4"/>
  <c r="AE482" i="4"/>
  <c r="AG481" i="4"/>
  <c r="AH481" i="4" s="1"/>
  <c r="AF481" i="4"/>
  <c r="AE481" i="4"/>
  <c r="AG480" i="4"/>
  <c r="AH480" i="4" s="1"/>
  <c r="AF480" i="4"/>
  <c r="AE480" i="4"/>
  <c r="AG479" i="4"/>
  <c r="AH479" i="4" s="1"/>
  <c r="AF479" i="4"/>
  <c r="AE479" i="4"/>
  <c r="AG478" i="4"/>
  <c r="AH478" i="4" s="1"/>
  <c r="AF478" i="4"/>
  <c r="AE478" i="4"/>
  <c r="AG477" i="4"/>
  <c r="AH477" i="4" s="1"/>
  <c r="AF477" i="4"/>
  <c r="AE477" i="4"/>
  <c r="AG476" i="4"/>
  <c r="AH476" i="4" s="1"/>
  <c r="AF476" i="4"/>
  <c r="AE476" i="4"/>
  <c r="AG475" i="4"/>
  <c r="AH475" i="4" s="1"/>
  <c r="AF475" i="4"/>
  <c r="AE475" i="4"/>
  <c r="AG474" i="4"/>
  <c r="AH474" i="4" s="1"/>
  <c r="AF474" i="4"/>
  <c r="AE474" i="4"/>
  <c r="AG473" i="4"/>
  <c r="AH473" i="4" s="1"/>
  <c r="AF473" i="4"/>
  <c r="AE473" i="4"/>
  <c r="AG472" i="4"/>
  <c r="AH472" i="4" s="1"/>
  <c r="AF472" i="4"/>
  <c r="AE472" i="4"/>
  <c r="AG471" i="4"/>
  <c r="AH471" i="4" s="1"/>
  <c r="AF471" i="4"/>
  <c r="AE471" i="4"/>
  <c r="AG470" i="4"/>
  <c r="AH470" i="4" s="1"/>
  <c r="AF470" i="4"/>
  <c r="AE470" i="4"/>
  <c r="AG469" i="4"/>
  <c r="AH469" i="4" s="1"/>
  <c r="AF469" i="4"/>
  <c r="AE469" i="4"/>
  <c r="AG468" i="4"/>
  <c r="AH468" i="4" s="1"/>
  <c r="AF468" i="4"/>
  <c r="AE468" i="4"/>
  <c r="AG467" i="4"/>
  <c r="AH467" i="4" s="1"/>
  <c r="AF467" i="4"/>
  <c r="AE467" i="4"/>
  <c r="AG466" i="4"/>
  <c r="AH466" i="4" s="1"/>
  <c r="AF466" i="4"/>
  <c r="AE466" i="4"/>
  <c r="AG465" i="4"/>
  <c r="AH465" i="4" s="1"/>
  <c r="AF465" i="4"/>
  <c r="AE465" i="4"/>
  <c r="AG464" i="4"/>
  <c r="AH464" i="4" s="1"/>
  <c r="AF464" i="4"/>
  <c r="AE464" i="4"/>
  <c r="AG463" i="4"/>
  <c r="AH463" i="4" s="1"/>
  <c r="AF463" i="4"/>
  <c r="AE463" i="4"/>
  <c r="AG462" i="4"/>
  <c r="AH462" i="4" s="1"/>
  <c r="AF462" i="4"/>
  <c r="AE462" i="4"/>
  <c r="AG461" i="4"/>
  <c r="AH461" i="4" s="1"/>
  <c r="AF461" i="4"/>
  <c r="AE461" i="4"/>
  <c r="AG460" i="4"/>
  <c r="AH460" i="4" s="1"/>
  <c r="AF460" i="4"/>
  <c r="AE460" i="4"/>
  <c r="AG459" i="4"/>
  <c r="AH459" i="4" s="1"/>
  <c r="AF459" i="4"/>
  <c r="AE459" i="4"/>
  <c r="AG458" i="4"/>
  <c r="AH458" i="4" s="1"/>
  <c r="AF458" i="4"/>
  <c r="AE458" i="4"/>
  <c r="AG457" i="4"/>
  <c r="AH457" i="4" s="1"/>
  <c r="AF457" i="4"/>
  <c r="AE457" i="4"/>
  <c r="AG456" i="4"/>
  <c r="AH456" i="4" s="1"/>
  <c r="AF456" i="4"/>
  <c r="AE456" i="4"/>
  <c r="AG455" i="4"/>
  <c r="AH455" i="4" s="1"/>
  <c r="AF455" i="4"/>
  <c r="AE455" i="4"/>
  <c r="AG454" i="4"/>
  <c r="AH454" i="4" s="1"/>
  <c r="AF454" i="4"/>
  <c r="AE454" i="4"/>
  <c r="AG453" i="4"/>
  <c r="AH453" i="4" s="1"/>
  <c r="AF453" i="4"/>
  <c r="AE453" i="4"/>
  <c r="AG452" i="4"/>
  <c r="AH452" i="4" s="1"/>
  <c r="AF452" i="4"/>
  <c r="AE452" i="4"/>
  <c r="AG451" i="4"/>
  <c r="AH451" i="4" s="1"/>
  <c r="AF451" i="4"/>
  <c r="AE451" i="4"/>
  <c r="AG450" i="4"/>
  <c r="AH450" i="4" s="1"/>
  <c r="AF450" i="4"/>
  <c r="AE450" i="4"/>
  <c r="AG449" i="4"/>
  <c r="AH449" i="4" s="1"/>
  <c r="AF449" i="4"/>
  <c r="AE449" i="4"/>
  <c r="AG448" i="4"/>
  <c r="AH448" i="4" s="1"/>
  <c r="AF448" i="4"/>
  <c r="AE448" i="4"/>
  <c r="AG447" i="4"/>
  <c r="AH447" i="4" s="1"/>
  <c r="AF447" i="4"/>
  <c r="AE447" i="4"/>
  <c r="AG446" i="4"/>
  <c r="AH446" i="4" s="1"/>
  <c r="AF446" i="4"/>
  <c r="AE446" i="4"/>
  <c r="AG445" i="4"/>
  <c r="AH445" i="4" s="1"/>
  <c r="AF445" i="4"/>
  <c r="AE445" i="4"/>
  <c r="AG444" i="4"/>
  <c r="AH444" i="4" s="1"/>
  <c r="AF444" i="4"/>
  <c r="AE444" i="4"/>
  <c r="AG443" i="4"/>
  <c r="AH443" i="4" s="1"/>
  <c r="AF443" i="4"/>
  <c r="AE443" i="4"/>
  <c r="AG442" i="4"/>
  <c r="AH442" i="4" s="1"/>
  <c r="AF442" i="4"/>
  <c r="AE442" i="4"/>
  <c r="AG441" i="4"/>
  <c r="AH441" i="4" s="1"/>
  <c r="AF441" i="4"/>
  <c r="AE441" i="4"/>
  <c r="AG440" i="4"/>
  <c r="AH440" i="4" s="1"/>
  <c r="AF440" i="4"/>
  <c r="AE440" i="4"/>
  <c r="AG439" i="4"/>
  <c r="AH439" i="4" s="1"/>
  <c r="AF439" i="4"/>
  <c r="AE439" i="4"/>
  <c r="AG438" i="4"/>
  <c r="AH438" i="4" s="1"/>
  <c r="AF438" i="4"/>
  <c r="AE438" i="4"/>
  <c r="AG437" i="4"/>
  <c r="AH437" i="4" s="1"/>
  <c r="AF437" i="4"/>
  <c r="AE437" i="4"/>
  <c r="AG436" i="4"/>
  <c r="AH436" i="4" s="1"/>
  <c r="AF436" i="4"/>
  <c r="AE436" i="4"/>
  <c r="AG435" i="4"/>
  <c r="AH435" i="4" s="1"/>
  <c r="AF435" i="4"/>
  <c r="AE435" i="4"/>
  <c r="AG434" i="4"/>
  <c r="AH434" i="4" s="1"/>
  <c r="AF434" i="4"/>
  <c r="AE434" i="4"/>
  <c r="AG433" i="4"/>
  <c r="AH433" i="4" s="1"/>
  <c r="AF433" i="4"/>
  <c r="AE433" i="4"/>
  <c r="AG432" i="4"/>
  <c r="AH432" i="4" s="1"/>
  <c r="AF432" i="4"/>
  <c r="AE432" i="4"/>
  <c r="AG431" i="4"/>
  <c r="AH431" i="4" s="1"/>
  <c r="AF431" i="4"/>
  <c r="AE431" i="4"/>
  <c r="AG430" i="4"/>
  <c r="AH430" i="4" s="1"/>
  <c r="AF430" i="4"/>
  <c r="AE430" i="4"/>
  <c r="AG429" i="4"/>
  <c r="AH429" i="4" s="1"/>
  <c r="AF429" i="4"/>
  <c r="AE429" i="4"/>
  <c r="AG428" i="4"/>
  <c r="AH428" i="4" s="1"/>
  <c r="AF428" i="4"/>
  <c r="AE428" i="4"/>
  <c r="AG427" i="4"/>
  <c r="AH427" i="4" s="1"/>
  <c r="AF427" i="4"/>
  <c r="AE427" i="4"/>
  <c r="AG426" i="4"/>
  <c r="AH426" i="4" s="1"/>
  <c r="AF426" i="4"/>
  <c r="AE426" i="4"/>
  <c r="AG425" i="4"/>
  <c r="AH425" i="4" s="1"/>
  <c r="AF425" i="4"/>
  <c r="AE425" i="4"/>
  <c r="AG424" i="4"/>
  <c r="AH424" i="4" s="1"/>
  <c r="AF424" i="4"/>
  <c r="AE424" i="4"/>
  <c r="AG423" i="4"/>
  <c r="AH423" i="4" s="1"/>
  <c r="AF423" i="4"/>
  <c r="AE423" i="4"/>
  <c r="AG422" i="4"/>
  <c r="AH422" i="4" s="1"/>
  <c r="AF422" i="4"/>
  <c r="AE422" i="4"/>
  <c r="AG421" i="4"/>
  <c r="AH421" i="4" s="1"/>
  <c r="AF421" i="4"/>
  <c r="AE421" i="4"/>
  <c r="AG420" i="4"/>
  <c r="AH420" i="4" s="1"/>
  <c r="AF420" i="4"/>
  <c r="AE420" i="4"/>
  <c r="AG419" i="4"/>
  <c r="AH419" i="4" s="1"/>
  <c r="AF419" i="4"/>
  <c r="AE419" i="4"/>
  <c r="AG418" i="4"/>
  <c r="AH418" i="4" s="1"/>
  <c r="AF418" i="4"/>
  <c r="AE418" i="4"/>
  <c r="AG417" i="4"/>
  <c r="AH417" i="4" s="1"/>
  <c r="AF417" i="4"/>
  <c r="AE417" i="4"/>
  <c r="AG416" i="4"/>
  <c r="AH416" i="4" s="1"/>
  <c r="AF416" i="4"/>
  <c r="AE416" i="4"/>
  <c r="AG415" i="4"/>
  <c r="AH415" i="4" s="1"/>
  <c r="AF415" i="4"/>
  <c r="AE415" i="4"/>
  <c r="AG414" i="4"/>
  <c r="AH414" i="4" s="1"/>
  <c r="AF414" i="4"/>
  <c r="AE414" i="4"/>
  <c r="AG413" i="4"/>
  <c r="AH413" i="4" s="1"/>
  <c r="AF413" i="4"/>
  <c r="AE413" i="4"/>
  <c r="AG412" i="4"/>
  <c r="AH412" i="4" s="1"/>
  <c r="AF412" i="4"/>
  <c r="AE412" i="4"/>
  <c r="AG411" i="4"/>
  <c r="AH411" i="4" s="1"/>
  <c r="AF411" i="4"/>
  <c r="AE411" i="4"/>
  <c r="AG410" i="4"/>
  <c r="AH410" i="4" s="1"/>
  <c r="AF410" i="4"/>
  <c r="AE410" i="4"/>
  <c r="AG409" i="4"/>
  <c r="AH409" i="4" s="1"/>
  <c r="AF409" i="4"/>
  <c r="AE409" i="4"/>
  <c r="AG408" i="4"/>
  <c r="AH408" i="4" s="1"/>
  <c r="AF408" i="4"/>
  <c r="AE408" i="4"/>
  <c r="AG407" i="4"/>
  <c r="AH407" i="4" s="1"/>
  <c r="AF407" i="4"/>
  <c r="AE407" i="4"/>
  <c r="AG406" i="4"/>
  <c r="AH406" i="4" s="1"/>
  <c r="AF406" i="4"/>
  <c r="AE406" i="4"/>
  <c r="AG405" i="4"/>
  <c r="AH405" i="4" s="1"/>
  <c r="AF405" i="4"/>
  <c r="AE405" i="4"/>
  <c r="AG404" i="4"/>
  <c r="AH404" i="4" s="1"/>
  <c r="AF404" i="4"/>
  <c r="AE404" i="4"/>
  <c r="AG403" i="4"/>
  <c r="AH403" i="4" s="1"/>
  <c r="AF403" i="4"/>
  <c r="AE403" i="4"/>
  <c r="AG402" i="4"/>
  <c r="AH402" i="4" s="1"/>
  <c r="AF402" i="4"/>
  <c r="AE402" i="4"/>
  <c r="AG401" i="4"/>
  <c r="AH401" i="4" s="1"/>
  <c r="AF401" i="4"/>
  <c r="AE401" i="4"/>
  <c r="AG400" i="4"/>
  <c r="AH400" i="4" s="1"/>
  <c r="AF400" i="4"/>
  <c r="AE400" i="4"/>
  <c r="AG399" i="4"/>
  <c r="AH399" i="4" s="1"/>
  <c r="AF399" i="4"/>
  <c r="AE399" i="4"/>
  <c r="AG398" i="4"/>
  <c r="AH398" i="4" s="1"/>
  <c r="AF398" i="4"/>
  <c r="AE398" i="4"/>
  <c r="AG397" i="4"/>
  <c r="AH397" i="4" s="1"/>
  <c r="AF397" i="4"/>
  <c r="AE397" i="4"/>
  <c r="AG396" i="4"/>
  <c r="AH396" i="4" s="1"/>
  <c r="AF396" i="4"/>
  <c r="AE396" i="4"/>
  <c r="AG395" i="4"/>
  <c r="AH395" i="4" s="1"/>
  <c r="AF395" i="4"/>
  <c r="AE395" i="4"/>
  <c r="AG394" i="4"/>
  <c r="AH394" i="4" s="1"/>
  <c r="AF394" i="4"/>
  <c r="AE394" i="4"/>
  <c r="AG393" i="4"/>
  <c r="AH393" i="4" s="1"/>
  <c r="AF393" i="4"/>
  <c r="AE393" i="4"/>
  <c r="AG392" i="4"/>
  <c r="AH392" i="4" s="1"/>
  <c r="AF392" i="4"/>
  <c r="AE392" i="4"/>
  <c r="AG391" i="4"/>
  <c r="AH391" i="4" s="1"/>
  <c r="AF391" i="4"/>
  <c r="AE391" i="4"/>
  <c r="AG390" i="4"/>
  <c r="AH390" i="4" s="1"/>
  <c r="AF390" i="4"/>
  <c r="AE390" i="4"/>
  <c r="AG389" i="4"/>
  <c r="AH389" i="4" s="1"/>
  <c r="AF389" i="4"/>
  <c r="AE389" i="4"/>
  <c r="AG388" i="4"/>
  <c r="AH388" i="4" s="1"/>
  <c r="AF388" i="4"/>
  <c r="AE388" i="4"/>
  <c r="AG387" i="4"/>
  <c r="AH387" i="4" s="1"/>
  <c r="AF387" i="4"/>
  <c r="AE387" i="4"/>
  <c r="AG386" i="4"/>
  <c r="AH386" i="4" s="1"/>
  <c r="AF386" i="4"/>
  <c r="AE386" i="4"/>
  <c r="AG385" i="4"/>
  <c r="AH385" i="4" s="1"/>
  <c r="AF385" i="4"/>
  <c r="AE385" i="4"/>
  <c r="AG384" i="4"/>
  <c r="AH384" i="4" s="1"/>
  <c r="AF384" i="4"/>
  <c r="AE384" i="4"/>
  <c r="AG383" i="4"/>
  <c r="AH383" i="4" s="1"/>
  <c r="AF383" i="4"/>
  <c r="AE383" i="4"/>
  <c r="AG382" i="4"/>
  <c r="AH382" i="4" s="1"/>
  <c r="AF382" i="4"/>
  <c r="AE382" i="4"/>
  <c r="AG381" i="4"/>
  <c r="AH381" i="4" s="1"/>
  <c r="AF381" i="4"/>
  <c r="AE381" i="4"/>
  <c r="AG380" i="4"/>
  <c r="AH380" i="4" s="1"/>
  <c r="AF380" i="4"/>
  <c r="AE380" i="4"/>
  <c r="AG379" i="4"/>
  <c r="AH379" i="4" s="1"/>
  <c r="AF379" i="4"/>
  <c r="AE379" i="4"/>
  <c r="AG378" i="4"/>
  <c r="AH378" i="4" s="1"/>
  <c r="AF378" i="4"/>
  <c r="AE378" i="4"/>
  <c r="AG377" i="4"/>
  <c r="AH377" i="4" s="1"/>
  <c r="AF377" i="4"/>
  <c r="AE377" i="4"/>
  <c r="AG376" i="4"/>
  <c r="AH376" i="4" s="1"/>
  <c r="AF376" i="4"/>
  <c r="AE376" i="4"/>
  <c r="AG375" i="4"/>
  <c r="AH375" i="4" s="1"/>
  <c r="AF375" i="4"/>
  <c r="AE375" i="4"/>
  <c r="AG374" i="4"/>
  <c r="AH374" i="4" s="1"/>
  <c r="AF374" i="4"/>
  <c r="AE374" i="4"/>
  <c r="AG373" i="4"/>
  <c r="AH373" i="4" s="1"/>
  <c r="AF373" i="4"/>
  <c r="AE373" i="4"/>
  <c r="AG372" i="4"/>
  <c r="AH372" i="4" s="1"/>
  <c r="AF372" i="4"/>
  <c r="AE372" i="4"/>
  <c r="AG371" i="4"/>
  <c r="AH371" i="4" s="1"/>
  <c r="AF371" i="4"/>
  <c r="AE371" i="4"/>
  <c r="AG370" i="4"/>
  <c r="AH370" i="4" s="1"/>
  <c r="AF370" i="4"/>
  <c r="AE370" i="4"/>
  <c r="AG369" i="4"/>
  <c r="AH369" i="4" s="1"/>
  <c r="AF369" i="4"/>
  <c r="AE369" i="4"/>
  <c r="AG368" i="4"/>
  <c r="AH368" i="4" s="1"/>
  <c r="AF368" i="4"/>
  <c r="AE368" i="4"/>
  <c r="AG367" i="4"/>
  <c r="AH367" i="4" s="1"/>
  <c r="AF367" i="4"/>
  <c r="AE367" i="4"/>
  <c r="AG366" i="4"/>
  <c r="AH366" i="4" s="1"/>
  <c r="AF366" i="4"/>
  <c r="AE366" i="4"/>
  <c r="AG365" i="4"/>
  <c r="AH365" i="4" s="1"/>
  <c r="AF365" i="4"/>
  <c r="AE365" i="4"/>
  <c r="AG364" i="4"/>
  <c r="AH364" i="4" s="1"/>
  <c r="AF364" i="4"/>
  <c r="AE364" i="4"/>
  <c r="AG363" i="4"/>
  <c r="AH363" i="4" s="1"/>
  <c r="AF363" i="4"/>
  <c r="AE363" i="4"/>
  <c r="AG362" i="4"/>
  <c r="AH362" i="4" s="1"/>
  <c r="AF362" i="4"/>
  <c r="AE362" i="4"/>
  <c r="AG361" i="4"/>
  <c r="AH361" i="4" s="1"/>
  <c r="AF361" i="4"/>
  <c r="AE361" i="4"/>
  <c r="AG360" i="4"/>
  <c r="AH360" i="4" s="1"/>
  <c r="AF360" i="4"/>
  <c r="AE360" i="4"/>
  <c r="AG359" i="4"/>
  <c r="AH359" i="4" s="1"/>
  <c r="AF359" i="4"/>
  <c r="AE359" i="4"/>
  <c r="AG358" i="4"/>
  <c r="AH358" i="4" s="1"/>
  <c r="AF358" i="4"/>
  <c r="AE358" i="4"/>
  <c r="AG357" i="4"/>
  <c r="AH357" i="4" s="1"/>
  <c r="AF357" i="4"/>
  <c r="AE357" i="4"/>
  <c r="AG356" i="4"/>
  <c r="AH356" i="4" s="1"/>
  <c r="AF356" i="4"/>
  <c r="AE356" i="4"/>
  <c r="AG355" i="4"/>
  <c r="AH355" i="4" s="1"/>
  <c r="AF355" i="4"/>
  <c r="AE355" i="4"/>
  <c r="AG354" i="4"/>
  <c r="AH354" i="4" s="1"/>
  <c r="AF354" i="4"/>
  <c r="AE354" i="4"/>
  <c r="AG353" i="4"/>
  <c r="AH353" i="4" s="1"/>
  <c r="AF353" i="4"/>
  <c r="AE353" i="4"/>
  <c r="AG352" i="4"/>
  <c r="AH352" i="4" s="1"/>
  <c r="AF352" i="4"/>
  <c r="AE352" i="4"/>
  <c r="AG351" i="4"/>
  <c r="AH351" i="4" s="1"/>
  <c r="AF351" i="4"/>
  <c r="AE351" i="4"/>
  <c r="AG350" i="4"/>
  <c r="AH350" i="4" s="1"/>
  <c r="AF350" i="4"/>
  <c r="AE350" i="4"/>
  <c r="AG349" i="4"/>
  <c r="AH349" i="4" s="1"/>
  <c r="AF349" i="4"/>
  <c r="AE349" i="4"/>
  <c r="AG348" i="4"/>
  <c r="AH348" i="4" s="1"/>
  <c r="AF348" i="4"/>
  <c r="AE348" i="4"/>
  <c r="AG347" i="4"/>
  <c r="AH347" i="4" s="1"/>
  <c r="AF347" i="4"/>
  <c r="AE347" i="4"/>
  <c r="AG346" i="4"/>
  <c r="AH346" i="4" s="1"/>
  <c r="AF346" i="4"/>
  <c r="AE346" i="4"/>
  <c r="AG345" i="4"/>
  <c r="AH345" i="4" s="1"/>
  <c r="AF345" i="4"/>
  <c r="AE345" i="4"/>
  <c r="AG344" i="4"/>
  <c r="AH344" i="4" s="1"/>
  <c r="AF344" i="4"/>
  <c r="AE344" i="4"/>
  <c r="AG343" i="4"/>
  <c r="AH343" i="4" s="1"/>
  <c r="AF343" i="4"/>
  <c r="AE343" i="4"/>
  <c r="AG342" i="4"/>
  <c r="AH342" i="4" s="1"/>
  <c r="AF342" i="4"/>
  <c r="AE342" i="4"/>
  <c r="AG341" i="4"/>
  <c r="AH341" i="4" s="1"/>
  <c r="AF341" i="4"/>
  <c r="AE341" i="4"/>
  <c r="AG340" i="4"/>
  <c r="AH340" i="4" s="1"/>
  <c r="AF340" i="4"/>
  <c r="AE340" i="4"/>
  <c r="AG339" i="4"/>
  <c r="AH339" i="4" s="1"/>
  <c r="AF339" i="4"/>
  <c r="AE339" i="4"/>
  <c r="AG338" i="4"/>
  <c r="AH338" i="4" s="1"/>
  <c r="AF338" i="4"/>
  <c r="AE338" i="4"/>
  <c r="AG337" i="4"/>
  <c r="AH337" i="4" s="1"/>
  <c r="AF337" i="4"/>
  <c r="AE337" i="4"/>
  <c r="AG336" i="4"/>
  <c r="AH336" i="4" s="1"/>
  <c r="AF336" i="4"/>
  <c r="AE336" i="4"/>
  <c r="AG335" i="4"/>
  <c r="AH335" i="4" s="1"/>
  <c r="AF335" i="4"/>
  <c r="AE335" i="4"/>
  <c r="AG334" i="4"/>
  <c r="AH334" i="4" s="1"/>
  <c r="AF334" i="4"/>
  <c r="AE334" i="4"/>
  <c r="AG333" i="4"/>
  <c r="AH333" i="4" s="1"/>
  <c r="AF333" i="4"/>
  <c r="AE333" i="4"/>
  <c r="AG332" i="4"/>
  <c r="AH332" i="4" s="1"/>
  <c r="AF332" i="4"/>
  <c r="AE332" i="4"/>
  <c r="AG331" i="4"/>
  <c r="AH331" i="4" s="1"/>
  <c r="AF331" i="4"/>
  <c r="AE331" i="4"/>
  <c r="AG330" i="4"/>
  <c r="AH330" i="4" s="1"/>
  <c r="AF330" i="4"/>
  <c r="AE330" i="4"/>
  <c r="AG329" i="4"/>
  <c r="AH329" i="4" s="1"/>
  <c r="AF329" i="4"/>
  <c r="AE329" i="4"/>
  <c r="AG328" i="4"/>
  <c r="AH328" i="4" s="1"/>
  <c r="AF328" i="4"/>
  <c r="AE328" i="4"/>
  <c r="AG327" i="4"/>
  <c r="AH327" i="4" s="1"/>
  <c r="AF327" i="4"/>
  <c r="AE327" i="4"/>
  <c r="AG326" i="4"/>
  <c r="AH326" i="4" s="1"/>
  <c r="AF326" i="4"/>
  <c r="AE326" i="4"/>
  <c r="AG325" i="4"/>
  <c r="AH325" i="4" s="1"/>
  <c r="AF325" i="4"/>
  <c r="AE325" i="4"/>
  <c r="AG324" i="4"/>
  <c r="AH324" i="4" s="1"/>
  <c r="AF324" i="4"/>
  <c r="AE324" i="4"/>
  <c r="AG323" i="4"/>
  <c r="AH323" i="4" s="1"/>
  <c r="AF323" i="4"/>
  <c r="AE323" i="4"/>
  <c r="AG322" i="4"/>
  <c r="AH322" i="4" s="1"/>
  <c r="AF322" i="4"/>
  <c r="AE322" i="4"/>
  <c r="AG321" i="4"/>
  <c r="AH321" i="4" s="1"/>
  <c r="AF321" i="4"/>
  <c r="AE321" i="4"/>
  <c r="AG320" i="4"/>
  <c r="AH320" i="4" s="1"/>
  <c r="AF320" i="4"/>
  <c r="AE320" i="4"/>
  <c r="AG319" i="4"/>
  <c r="AH319" i="4" s="1"/>
  <c r="AF319" i="4"/>
  <c r="AE319" i="4"/>
  <c r="AG318" i="4"/>
  <c r="AH318" i="4" s="1"/>
  <c r="AF318" i="4"/>
  <c r="AE318" i="4"/>
  <c r="AG317" i="4"/>
  <c r="AH317" i="4" s="1"/>
  <c r="AF317" i="4"/>
  <c r="AE317" i="4"/>
  <c r="AG316" i="4"/>
  <c r="AH316" i="4" s="1"/>
  <c r="AF316" i="4"/>
  <c r="AE316" i="4"/>
  <c r="AG315" i="4"/>
  <c r="AH315" i="4" s="1"/>
  <c r="AF315" i="4"/>
  <c r="AE315" i="4"/>
  <c r="AG314" i="4"/>
  <c r="AH314" i="4" s="1"/>
  <c r="AF314" i="4"/>
  <c r="AE314" i="4"/>
  <c r="AG313" i="4"/>
  <c r="AH313" i="4" s="1"/>
  <c r="AF313" i="4"/>
  <c r="AE313" i="4"/>
  <c r="AG312" i="4"/>
  <c r="AH312" i="4" s="1"/>
  <c r="AF312" i="4"/>
  <c r="AE312" i="4"/>
  <c r="AG311" i="4"/>
  <c r="AH311" i="4" s="1"/>
  <c r="AF311" i="4"/>
  <c r="AE311" i="4"/>
  <c r="AG310" i="4"/>
  <c r="AH310" i="4" s="1"/>
  <c r="AF310" i="4"/>
  <c r="AE310" i="4"/>
  <c r="AG309" i="4"/>
  <c r="AH309" i="4" s="1"/>
  <c r="AF309" i="4"/>
  <c r="AE309" i="4"/>
  <c r="AG308" i="4"/>
  <c r="AH308" i="4" s="1"/>
  <c r="AF308" i="4"/>
  <c r="AE308" i="4"/>
  <c r="AG307" i="4"/>
  <c r="AH307" i="4" s="1"/>
  <c r="AF307" i="4"/>
  <c r="AE307" i="4"/>
  <c r="AG306" i="4"/>
  <c r="AH306" i="4" s="1"/>
  <c r="AF306" i="4"/>
  <c r="AE306" i="4"/>
  <c r="AG305" i="4"/>
  <c r="AH305" i="4" s="1"/>
  <c r="AF305" i="4"/>
  <c r="AE305" i="4"/>
  <c r="AG304" i="4"/>
  <c r="AH304" i="4" s="1"/>
  <c r="AF304" i="4"/>
  <c r="AE304" i="4"/>
  <c r="AG303" i="4"/>
  <c r="AH303" i="4" s="1"/>
  <c r="AF303" i="4"/>
  <c r="AE303" i="4"/>
  <c r="AG302" i="4"/>
  <c r="AH302" i="4" s="1"/>
  <c r="AF302" i="4"/>
  <c r="AE302" i="4"/>
  <c r="AG301" i="4"/>
  <c r="AH301" i="4" s="1"/>
  <c r="AF301" i="4"/>
  <c r="AE301" i="4"/>
  <c r="AG300" i="4"/>
  <c r="AH300" i="4" s="1"/>
  <c r="AF300" i="4"/>
  <c r="AE300" i="4"/>
  <c r="AG299" i="4"/>
  <c r="AH299" i="4" s="1"/>
  <c r="AF299" i="4"/>
  <c r="AE299" i="4"/>
  <c r="AG298" i="4"/>
  <c r="AH298" i="4" s="1"/>
  <c r="AF298" i="4"/>
  <c r="AE298" i="4"/>
  <c r="AG297" i="4"/>
  <c r="AH297" i="4" s="1"/>
  <c r="AF297" i="4"/>
  <c r="AE297" i="4"/>
  <c r="AG296" i="4"/>
  <c r="AH296" i="4" s="1"/>
  <c r="AF296" i="4"/>
  <c r="AE296" i="4"/>
  <c r="AG295" i="4"/>
  <c r="AH295" i="4" s="1"/>
  <c r="AF295" i="4"/>
  <c r="AE295" i="4"/>
  <c r="AG294" i="4"/>
  <c r="AH294" i="4" s="1"/>
  <c r="AF294" i="4"/>
  <c r="AE294" i="4"/>
  <c r="AG293" i="4"/>
  <c r="AH293" i="4" s="1"/>
  <c r="AF293" i="4"/>
  <c r="AE293" i="4"/>
  <c r="AG292" i="4"/>
  <c r="AH292" i="4" s="1"/>
  <c r="AF292" i="4"/>
  <c r="AE292" i="4"/>
  <c r="AG291" i="4"/>
  <c r="AH291" i="4" s="1"/>
  <c r="AF291" i="4"/>
  <c r="AE291" i="4"/>
  <c r="AG290" i="4"/>
  <c r="AH290" i="4" s="1"/>
  <c r="AF290" i="4"/>
  <c r="AE290" i="4"/>
  <c r="AG289" i="4"/>
  <c r="AH289" i="4" s="1"/>
  <c r="AF289" i="4"/>
  <c r="AE289" i="4"/>
  <c r="AG288" i="4"/>
  <c r="AH288" i="4" s="1"/>
  <c r="AF288" i="4"/>
  <c r="AE288" i="4"/>
  <c r="AG287" i="4"/>
  <c r="AH287" i="4" s="1"/>
  <c r="AF287" i="4"/>
  <c r="AE287" i="4"/>
  <c r="AG286" i="4"/>
  <c r="AH286" i="4" s="1"/>
  <c r="AF286" i="4"/>
  <c r="AE286" i="4"/>
  <c r="AG285" i="4"/>
  <c r="AH285" i="4" s="1"/>
  <c r="AF285" i="4"/>
  <c r="AE285" i="4"/>
  <c r="AG284" i="4"/>
  <c r="AH284" i="4" s="1"/>
  <c r="AF284" i="4"/>
  <c r="AE284" i="4"/>
  <c r="AG283" i="4"/>
  <c r="AH283" i="4" s="1"/>
  <c r="AF283" i="4"/>
  <c r="AE283" i="4"/>
  <c r="AG282" i="4"/>
  <c r="AH282" i="4" s="1"/>
  <c r="AF282" i="4"/>
  <c r="AE282" i="4"/>
  <c r="AG281" i="4"/>
  <c r="AH281" i="4" s="1"/>
  <c r="AF281" i="4"/>
  <c r="AE281" i="4"/>
  <c r="AG280" i="4"/>
  <c r="AH280" i="4" s="1"/>
  <c r="AF280" i="4"/>
  <c r="AE280" i="4"/>
  <c r="AG279" i="4"/>
  <c r="AH279" i="4" s="1"/>
  <c r="AF279" i="4"/>
  <c r="AE279" i="4"/>
  <c r="AG278" i="4"/>
  <c r="AH278" i="4" s="1"/>
  <c r="AF278" i="4"/>
  <c r="AE278" i="4"/>
  <c r="AG277" i="4"/>
  <c r="AH277" i="4" s="1"/>
  <c r="AF277" i="4"/>
  <c r="AE277" i="4"/>
  <c r="AG276" i="4"/>
  <c r="AH276" i="4" s="1"/>
  <c r="AF276" i="4"/>
  <c r="AE276" i="4"/>
  <c r="AG275" i="4"/>
  <c r="AH275" i="4" s="1"/>
  <c r="AF275" i="4"/>
  <c r="AE275" i="4"/>
  <c r="AG274" i="4"/>
  <c r="AH274" i="4" s="1"/>
  <c r="AF274" i="4"/>
  <c r="AE274" i="4"/>
  <c r="AG273" i="4"/>
  <c r="AH273" i="4" s="1"/>
  <c r="AF273" i="4"/>
  <c r="AE273" i="4"/>
  <c r="AG272" i="4"/>
  <c r="AH272" i="4" s="1"/>
  <c r="AF272" i="4"/>
  <c r="AE272" i="4"/>
  <c r="AG271" i="4"/>
  <c r="AH271" i="4" s="1"/>
  <c r="AF271" i="4"/>
  <c r="AE271" i="4"/>
  <c r="AG270" i="4"/>
  <c r="AH270" i="4" s="1"/>
  <c r="AF270" i="4"/>
  <c r="AE270" i="4"/>
  <c r="AG269" i="4"/>
  <c r="AH269" i="4" s="1"/>
  <c r="AF269" i="4"/>
  <c r="AE269" i="4"/>
  <c r="AG268" i="4"/>
  <c r="AH268" i="4" s="1"/>
  <c r="AF268" i="4"/>
  <c r="AE268" i="4"/>
  <c r="AG267" i="4"/>
  <c r="AH267" i="4" s="1"/>
  <c r="AF267" i="4"/>
  <c r="AE267" i="4"/>
  <c r="AG266" i="4"/>
  <c r="AH266" i="4" s="1"/>
  <c r="AF266" i="4"/>
  <c r="AE266" i="4"/>
  <c r="AG265" i="4"/>
  <c r="AH265" i="4" s="1"/>
  <c r="AF265" i="4"/>
  <c r="AE265" i="4"/>
  <c r="AG264" i="4"/>
  <c r="AH264" i="4" s="1"/>
  <c r="AF264" i="4"/>
  <c r="AE264" i="4"/>
  <c r="AG263" i="4"/>
  <c r="AH263" i="4" s="1"/>
  <c r="AF263" i="4"/>
  <c r="AE263" i="4"/>
  <c r="AG262" i="4"/>
  <c r="AH262" i="4" s="1"/>
  <c r="AF262" i="4"/>
  <c r="AE262" i="4"/>
  <c r="AG261" i="4"/>
  <c r="AH261" i="4" s="1"/>
  <c r="AF261" i="4"/>
  <c r="AE261" i="4"/>
  <c r="AG260" i="4"/>
  <c r="AH260" i="4" s="1"/>
  <c r="AF260" i="4"/>
  <c r="AE260" i="4"/>
  <c r="AG259" i="4"/>
  <c r="AH259" i="4" s="1"/>
  <c r="AF259" i="4"/>
  <c r="AE259" i="4"/>
  <c r="AG258" i="4"/>
  <c r="AH258" i="4" s="1"/>
  <c r="AF258" i="4"/>
  <c r="AE258" i="4"/>
  <c r="AG257" i="4"/>
  <c r="AH257" i="4" s="1"/>
  <c r="AF257" i="4"/>
  <c r="AE257" i="4"/>
  <c r="AG256" i="4"/>
  <c r="AH256" i="4" s="1"/>
  <c r="AF256" i="4"/>
  <c r="AE256" i="4"/>
  <c r="AG255" i="4"/>
  <c r="AH255" i="4" s="1"/>
  <c r="AF255" i="4"/>
  <c r="AE255" i="4"/>
  <c r="AG254" i="4"/>
  <c r="AH254" i="4" s="1"/>
  <c r="AF254" i="4"/>
  <c r="AE254" i="4"/>
  <c r="AG253" i="4"/>
  <c r="AH253" i="4" s="1"/>
  <c r="AF253" i="4"/>
  <c r="AE253" i="4"/>
  <c r="AG252" i="4"/>
  <c r="AH252" i="4" s="1"/>
  <c r="AF252" i="4"/>
  <c r="AE252" i="4"/>
  <c r="AG251" i="4"/>
  <c r="AH251" i="4" s="1"/>
  <c r="AF251" i="4"/>
  <c r="AE251" i="4"/>
  <c r="AG250" i="4"/>
  <c r="AH250" i="4" s="1"/>
  <c r="AF250" i="4"/>
  <c r="AE250" i="4"/>
  <c r="AG249" i="4"/>
  <c r="AH249" i="4" s="1"/>
  <c r="AF249" i="4"/>
  <c r="AE249" i="4"/>
  <c r="AG248" i="4"/>
  <c r="AH248" i="4" s="1"/>
  <c r="AF248" i="4"/>
  <c r="AE248" i="4"/>
  <c r="AG247" i="4"/>
  <c r="AH247" i="4" s="1"/>
  <c r="AF247" i="4"/>
  <c r="AE247" i="4"/>
  <c r="AG246" i="4"/>
  <c r="AH246" i="4" s="1"/>
  <c r="AF246" i="4"/>
  <c r="AE246" i="4"/>
  <c r="AG245" i="4"/>
  <c r="AH245" i="4" s="1"/>
  <c r="AF245" i="4"/>
  <c r="AE245" i="4"/>
  <c r="AG244" i="4"/>
  <c r="AH244" i="4" s="1"/>
  <c r="AF244" i="4"/>
  <c r="AE244" i="4"/>
  <c r="AG243" i="4"/>
  <c r="AH243" i="4" s="1"/>
  <c r="AF243" i="4"/>
  <c r="AE243" i="4"/>
  <c r="AG242" i="4"/>
  <c r="AH242" i="4" s="1"/>
  <c r="AF242" i="4"/>
  <c r="AE242" i="4"/>
  <c r="AG241" i="4"/>
  <c r="AH241" i="4" s="1"/>
  <c r="AF241" i="4"/>
  <c r="AE241" i="4"/>
  <c r="AG240" i="4"/>
  <c r="AH240" i="4" s="1"/>
  <c r="AF240" i="4"/>
  <c r="AE240" i="4"/>
  <c r="AG239" i="4"/>
  <c r="AH239" i="4" s="1"/>
  <c r="AF239" i="4"/>
  <c r="AE239" i="4"/>
  <c r="AG238" i="4"/>
  <c r="AH238" i="4" s="1"/>
  <c r="AF238" i="4"/>
  <c r="AE238" i="4"/>
  <c r="AG237" i="4"/>
  <c r="AH237" i="4" s="1"/>
  <c r="AF237" i="4"/>
  <c r="AE237" i="4"/>
  <c r="AG236" i="4"/>
  <c r="AH236" i="4" s="1"/>
  <c r="AF236" i="4"/>
  <c r="AE236" i="4"/>
  <c r="AG235" i="4"/>
  <c r="AH235" i="4" s="1"/>
  <c r="AF235" i="4"/>
  <c r="AE235" i="4"/>
  <c r="AG234" i="4"/>
  <c r="AH234" i="4" s="1"/>
  <c r="AF234" i="4"/>
  <c r="AE234" i="4"/>
  <c r="AG233" i="4"/>
  <c r="AH233" i="4" s="1"/>
  <c r="AF233" i="4"/>
  <c r="AE233" i="4"/>
  <c r="AG232" i="4"/>
  <c r="AH232" i="4" s="1"/>
  <c r="AF232" i="4"/>
  <c r="AE232" i="4"/>
  <c r="AG231" i="4"/>
  <c r="AH231" i="4" s="1"/>
  <c r="AF231" i="4"/>
  <c r="AE231" i="4"/>
  <c r="AG230" i="4"/>
  <c r="AH230" i="4" s="1"/>
  <c r="AF230" i="4"/>
  <c r="AE230" i="4"/>
  <c r="AG229" i="4"/>
  <c r="AH229" i="4" s="1"/>
  <c r="AF229" i="4"/>
  <c r="AE229" i="4"/>
  <c r="AG228" i="4"/>
  <c r="AH228" i="4" s="1"/>
  <c r="AF228" i="4"/>
  <c r="AE228" i="4"/>
  <c r="AG227" i="4"/>
  <c r="AH227" i="4" s="1"/>
  <c r="AF227" i="4"/>
  <c r="AE227" i="4"/>
  <c r="AG226" i="4"/>
  <c r="AH226" i="4" s="1"/>
  <c r="AF226" i="4"/>
  <c r="AE226" i="4"/>
  <c r="AG225" i="4"/>
  <c r="AH225" i="4" s="1"/>
  <c r="AF225" i="4"/>
  <c r="AE225" i="4"/>
  <c r="AG224" i="4"/>
  <c r="AH224" i="4" s="1"/>
  <c r="AF224" i="4"/>
  <c r="AE224" i="4"/>
  <c r="AG223" i="4"/>
  <c r="AH223" i="4" s="1"/>
  <c r="AF223" i="4"/>
  <c r="AE223" i="4"/>
  <c r="AG222" i="4"/>
  <c r="AH222" i="4" s="1"/>
  <c r="AF222" i="4"/>
  <c r="AE222" i="4"/>
  <c r="AG221" i="4"/>
  <c r="AH221" i="4" s="1"/>
  <c r="AF221" i="4"/>
  <c r="AE221" i="4"/>
  <c r="AG220" i="4"/>
  <c r="AH220" i="4" s="1"/>
  <c r="AF220" i="4"/>
  <c r="AE220" i="4"/>
  <c r="AG219" i="4"/>
  <c r="AH219" i="4" s="1"/>
  <c r="AF219" i="4"/>
  <c r="AE219" i="4"/>
  <c r="AG218" i="4"/>
  <c r="AH218" i="4" s="1"/>
  <c r="AF218" i="4"/>
  <c r="AE218" i="4"/>
  <c r="AG217" i="4"/>
  <c r="AH217" i="4" s="1"/>
  <c r="AF217" i="4"/>
  <c r="AE217" i="4"/>
  <c r="AG216" i="4"/>
  <c r="AH216" i="4" s="1"/>
  <c r="AF216" i="4"/>
  <c r="AE216" i="4"/>
  <c r="AG215" i="4"/>
  <c r="AH215" i="4" s="1"/>
  <c r="AF215" i="4"/>
  <c r="AE215" i="4"/>
  <c r="AG214" i="4"/>
  <c r="AH214" i="4" s="1"/>
  <c r="AF214" i="4"/>
  <c r="AE214" i="4"/>
  <c r="AG213" i="4"/>
  <c r="AH213" i="4" s="1"/>
  <c r="AF213" i="4"/>
  <c r="AE213" i="4"/>
  <c r="AG212" i="4"/>
  <c r="AH212" i="4" s="1"/>
  <c r="AF212" i="4"/>
  <c r="AE212" i="4"/>
  <c r="AG211" i="4"/>
  <c r="AH211" i="4" s="1"/>
  <c r="AF211" i="4"/>
  <c r="AE211" i="4"/>
  <c r="AG210" i="4"/>
  <c r="AH210" i="4" s="1"/>
  <c r="AF210" i="4"/>
  <c r="AE210" i="4"/>
  <c r="AG209" i="4"/>
  <c r="AH209" i="4" s="1"/>
  <c r="AF209" i="4"/>
  <c r="AE209" i="4"/>
  <c r="AG208" i="4"/>
  <c r="AH208" i="4" s="1"/>
  <c r="AF208" i="4"/>
  <c r="AE208" i="4"/>
  <c r="AG207" i="4"/>
  <c r="AH207" i="4" s="1"/>
  <c r="AF207" i="4"/>
  <c r="AE207" i="4"/>
  <c r="AG206" i="4"/>
  <c r="AH206" i="4" s="1"/>
  <c r="AF206" i="4"/>
  <c r="AE206" i="4"/>
  <c r="AG205" i="4"/>
  <c r="AH205" i="4" s="1"/>
  <c r="AF205" i="4"/>
  <c r="AE205" i="4"/>
  <c r="AG204" i="4"/>
  <c r="AH204" i="4" s="1"/>
  <c r="AF204" i="4"/>
  <c r="AE204" i="4"/>
  <c r="AG203" i="4"/>
  <c r="AH203" i="4" s="1"/>
  <c r="AF203" i="4"/>
  <c r="AE203" i="4"/>
  <c r="AG202" i="4"/>
  <c r="AH202" i="4" s="1"/>
  <c r="AF202" i="4"/>
  <c r="AE202" i="4"/>
  <c r="AG201" i="4"/>
  <c r="AH201" i="4" s="1"/>
  <c r="AF201" i="4"/>
  <c r="AE201" i="4"/>
  <c r="AG200" i="4"/>
  <c r="AH200" i="4" s="1"/>
  <c r="AF200" i="4"/>
  <c r="AE200" i="4"/>
  <c r="AG199" i="4"/>
  <c r="AH199" i="4" s="1"/>
  <c r="AF199" i="4"/>
  <c r="AE199" i="4"/>
  <c r="AG198" i="4"/>
  <c r="AH198" i="4" s="1"/>
  <c r="AF198" i="4"/>
  <c r="AE198" i="4"/>
  <c r="AG197" i="4"/>
  <c r="AH197" i="4" s="1"/>
  <c r="AF197" i="4"/>
  <c r="AE197" i="4"/>
  <c r="AG196" i="4"/>
  <c r="AH196" i="4" s="1"/>
  <c r="AF196" i="4"/>
  <c r="AE196" i="4"/>
  <c r="AG195" i="4"/>
  <c r="AH195" i="4" s="1"/>
  <c r="AF195" i="4"/>
  <c r="AE195" i="4"/>
  <c r="AG194" i="4"/>
  <c r="AH194" i="4" s="1"/>
  <c r="AF194" i="4"/>
  <c r="AE194" i="4"/>
  <c r="AG193" i="4"/>
  <c r="AH193" i="4" s="1"/>
  <c r="AF193" i="4"/>
  <c r="AE193" i="4"/>
  <c r="AG192" i="4"/>
  <c r="AH192" i="4" s="1"/>
  <c r="AF192" i="4"/>
  <c r="AE192" i="4"/>
  <c r="AG191" i="4"/>
  <c r="AH191" i="4" s="1"/>
  <c r="AF191" i="4"/>
  <c r="AE191" i="4"/>
  <c r="AG190" i="4"/>
  <c r="AH190" i="4" s="1"/>
  <c r="AF190" i="4"/>
  <c r="AE190" i="4"/>
  <c r="AG189" i="4"/>
  <c r="AH189" i="4" s="1"/>
  <c r="AF189" i="4"/>
  <c r="AE189" i="4"/>
  <c r="AG188" i="4"/>
  <c r="AH188" i="4" s="1"/>
  <c r="AF188" i="4"/>
  <c r="AE188" i="4"/>
  <c r="AG187" i="4"/>
  <c r="AH187" i="4" s="1"/>
  <c r="AF187" i="4"/>
  <c r="AE187" i="4"/>
  <c r="AG186" i="4"/>
  <c r="AH186" i="4" s="1"/>
  <c r="AF186" i="4"/>
  <c r="AE186" i="4"/>
  <c r="AG185" i="4"/>
  <c r="AH185" i="4" s="1"/>
  <c r="AF185" i="4"/>
  <c r="AE185" i="4"/>
  <c r="AG184" i="4"/>
  <c r="AH184" i="4" s="1"/>
  <c r="AF184" i="4"/>
  <c r="AE184" i="4"/>
  <c r="AG183" i="4"/>
  <c r="AH183" i="4" s="1"/>
  <c r="AF183" i="4"/>
  <c r="AE183" i="4"/>
  <c r="AG182" i="4"/>
  <c r="AH182" i="4" s="1"/>
  <c r="AF182" i="4"/>
  <c r="AE182" i="4"/>
  <c r="AG181" i="4"/>
  <c r="AH181" i="4" s="1"/>
  <c r="AF181" i="4"/>
  <c r="AE181" i="4"/>
  <c r="AG180" i="4"/>
  <c r="AH180" i="4" s="1"/>
  <c r="AF180" i="4"/>
  <c r="AE180" i="4"/>
  <c r="AG179" i="4"/>
  <c r="AH179" i="4" s="1"/>
  <c r="AF179" i="4"/>
  <c r="AE179" i="4"/>
  <c r="AG178" i="4"/>
  <c r="AH178" i="4" s="1"/>
  <c r="AF178" i="4"/>
  <c r="AE178" i="4"/>
  <c r="AG177" i="4"/>
  <c r="AH177" i="4" s="1"/>
  <c r="AF177" i="4"/>
  <c r="AE177" i="4"/>
  <c r="AG176" i="4"/>
  <c r="AH176" i="4" s="1"/>
  <c r="AF176" i="4"/>
  <c r="AE176" i="4"/>
  <c r="AG175" i="4"/>
  <c r="AH175" i="4" s="1"/>
  <c r="AF175" i="4"/>
  <c r="AE175" i="4"/>
  <c r="AG174" i="4"/>
  <c r="AH174" i="4" s="1"/>
  <c r="AF174" i="4"/>
  <c r="AE174" i="4"/>
  <c r="AG173" i="4"/>
  <c r="AH173" i="4" s="1"/>
  <c r="AF173" i="4"/>
  <c r="AE173" i="4"/>
  <c r="AG172" i="4"/>
  <c r="AH172" i="4" s="1"/>
  <c r="AF172" i="4"/>
  <c r="AE172" i="4"/>
  <c r="AG171" i="4"/>
  <c r="AH171" i="4" s="1"/>
  <c r="AF171" i="4"/>
  <c r="AE171" i="4"/>
  <c r="AG170" i="4"/>
  <c r="AH170" i="4" s="1"/>
  <c r="AF170" i="4"/>
  <c r="AE170" i="4"/>
  <c r="AG169" i="4"/>
  <c r="AH169" i="4" s="1"/>
  <c r="AF169" i="4"/>
  <c r="AE169" i="4"/>
  <c r="AG168" i="4"/>
  <c r="AH168" i="4" s="1"/>
  <c r="AF168" i="4"/>
  <c r="AE168" i="4"/>
  <c r="AG167" i="4"/>
  <c r="AH167" i="4" s="1"/>
  <c r="AF167" i="4"/>
  <c r="AE167" i="4"/>
  <c r="AG166" i="4"/>
  <c r="AH166" i="4" s="1"/>
  <c r="AF166" i="4"/>
  <c r="AE166" i="4"/>
  <c r="AG165" i="4"/>
  <c r="AH165" i="4" s="1"/>
  <c r="AF165" i="4"/>
  <c r="AE165" i="4"/>
  <c r="AG164" i="4"/>
  <c r="AH164" i="4" s="1"/>
  <c r="AF164" i="4"/>
  <c r="AE164" i="4"/>
  <c r="AG163" i="4"/>
  <c r="AH163" i="4" s="1"/>
  <c r="AF163" i="4"/>
  <c r="AE163" i="4"/>
  <c r="AG162" i="4"/>
  <c r="AH162" i="4" s="1"/>
  <c r="AF162" i="4"/>
  <c r="AE162" i="4"/>
  <c r="AG161" i="4"/>
  <c r="AH161" i="4" s="1"/>
  <c r="AF161" i="4"/>
  <c r="AE161" i="4"/>
  <c r="AG160" i="4"/>
  <c r="AH160" i="4" s="1"/>
  <c r="AF160" i="4"/>
  <c r="AE160" i="4"/>
  <c r="AG159" i="4"/>
  <c r="AH159" i="4" s="1"/>
  <c r="AF159" i="4"/>
  <c r="AE159" i="4"/>
  <c r="AG158" i="4"/>
  <c r="AH158" i="4" s="1"/>
  <c r="AF158" i="4"/>
  <c r="AE158" i="4"/>
  <c r="AG157" i="4"/>
  <c r="AH157" i="4" s="1"/>
  <c r="AF157" i="4"/>
  <c r="AE157" i="4"/>
  <c r="AG156" i="4"/>
  <c r="AH156" i="4" s="1"/>
  <c r="AF156" i="4"/>
  <c r="AE156" i="4"/>
  <c r="AG155" i="4"/>
  <c r="AH155" i="4" s="1"/>
  <c r="AF155" i="4"/>
  <c r="AE155" i="4"/>
  <c r="AG154" i="4"/>
  <c r="AH154" i="4" s="1"/>
  <c r="AF154" i="4"/>
  <c r="AE154" i="4"/>
  <c r="AG153" i="4"/>
  <c r="AH153" i="4" s="1"/>
  <c r="AF153" i="4"/>
  <c r="AE153" i="4"/>
  <c r="AG152" i="4"/>
  <c r="AH152" i="4" s="1"/>
  <c r="AF152" i="4"/>
  <c r="AE152" i="4"/>
  <c r="AG151" i="4"/>
  <c r="AH151" i="4" s="1"/>
  <c r="AF151" i="4"/>
  <c r="AE151" i="4"/>
  <c r="AG150" i="4"/>
  <c r="AH150" i="4" s="1"/>
  <c r="AF150" i="4"/>
  <c r="AE150" i="4"/>
  <c r="AG149" i="4"/>
  <c r="AH149" i="4" s="1"/>
  <c r="AF149" i="4"/>
  <c r="AE149" i="4"/>
  <c r="AG148" i="4"/>
  <c r="AH148" i="4" s="1"/>
  <c r="AF148" i="4"/>
  <c r="AE148" i="4"/>
  <c r="AG147" i="4"/>
  <c r="AH147" i="4" s="1"/>
  <c r="AF147" i="4"/>
  <c r="AE147" i="4"/>
  <c r="AG146" i="4"/>
  <c r="AH146" i="4" s="1"/>
  <c r="AF146" i="4"/>
  <c r="AE146" i="4"/>
  <c r="AG145" i="4"/>
  <c r="AH145" i="4" s="1"/>
  <c r="AF145" i="4"/>
  <c r="AE145" i="4"/>
  <c r="AG144" i="4"/>
  <c r="AH144" i="4" s="1"/>
  <c r="AF144" i="4"/>
  <c r="AE144" i="4"/>
  <c r="AG143" i="4"/>
  <c r="AH143" i="4" s="1"/>
  <c r="AF143" i="4"/>
  <c r="AE143" i="4"/>
  <c r="AG142" i="4"/>
  <c r="AH142" i="4" s="1"/>
  <c r="AF142" i="4"/>
  <c r="AE142" i="4"/>
  <c r="AG141" i="4"/>
  <c r="AH141" i="4" s="1"/>
  <c r="AF141" i="4"/>
  <c r="AE141" i="4"/>
  <c r="AG140" i="4"/>
  <c r="AH140" i="4" s="1"/>
  <c r="AF140" i="4"/>
  <c r="AE140" i="4"/>
  <c r="AG139" i="4"/>
  <c r="AH139" i="4" s="1"/>
  <c r="AF139" i="4"/>
  <c r="AE139" i="4"/>
  <c r="AG138" i="4"/>
  <c r="AH138" i="4" s="1"/>
  <c r="AF138" i="4"/>
  <c r="AE138" i="4"/>
  <c r="AG137" i="4"/>
  <c r="AH137" i="4" s="1"/>
  <c r="AF137" i="4"/>
  <c r="AE137" i="4"/>
  <c r="AG136" i="4"/>
  <c r="AH136" i="4" s="1"/>
  <c r="AF136" i="4"/>
  <c r="AE136" i="4"/>
  <c r="AG135" i="4"/>
  <c r="AH135" i="4" s="1"/>
  <c r="AF135" i="4"/>
  <c r="AE135" i="4"/>
  <c r="AG134" i="4"/>
  <c r="AH134" i="4" s="1"/>
  <c r="AF134" i="4"/>
  <c r="AE134" i="4"/>
  <c r="AG133" i="4"/>
  <c r="AH133" i="4" s="1"/>
  <c r="AF133" i="4"/>
  <c r="AE133" i="4"/>
  <c r="AG132" i="4"/>
  <c r="AH132" i="4" s="1"/>
  <c r="AF132" i="4"/>
  <c r="AE132" i="4"/>
  <c r="AG131" i="4"/>
  <c r="AH131" i="4" s="1"/>
  <c r="AF131" i="4"/>
  <c r="AE131" i="4"/>
  <c r="AG130" i="4"/>
  <c r="AH130" i="4" s="1"/>
  <c r="AF130" i="4"/>
  <c r="AE130" i="4"/>
  <c r="AG129" i="4"/>
  <c r="AH129" i="4" s="1"/>
  <c r="AF129" i="4"/>
  <c r="AE129" i="4"/>
  <c r="AG128" i="4"/>
  <c r="AH128" i="4" s="1"/>
  <c r="AF128" i="4"/>
  <c r="AE128" i="4"/>
  <c r="AG127" i="4"/>
  <c r="AH127" i="4" s="1"/>
  <c r="AF127" i="4"/>
  <c r="AE127" i="4"/>
  <c r="AG126" i="4"/>
  <c r="AH126" i="4" s="1"/>
  <c r="AF126" i="4"/>
  <c r="AE126" i="4"/>
  <c r="AG125" i="4"/>
  <c r="AH125" i="4" s="1"/>
  <c r="AF125" i="4"/>
  <c r="AE125" i="4"/>
  <c r="AG124" i="4"/>
  <c r="AH124" i="4" s="1"/>
  <c r="AF124" i="4"/>
  <c r="AE124" i="4"/>
  <c r="AG123" i="4"/>
  <c r="AH123" i="4" s="1"/>
  <c r="AF123" i="4"/>
  <c r="AE123" i="4"/>
  <c r="AG122" i="4"/>
  <c r="AH122" i="4" s="1"/>
  <c r="AF122" i="4"/>
  <c r="AE122" i="4"/>
  <c r="AG121" i="4"/>
  <c r="AH121" i="4" s="1"/>
  <c r="AF121" i="4"/>
  <c r="AE121" i="4"/>
  <c r="AG120" i="4"/>
  <c r="AH120" i="4" s="1"/>
  <c r="AF120" i="4"/>
  <c r="AE120" i="4"/>
  <c r="AG119" i="4"/>
  <c r="AH119" i="4" s="1"/>
  <c r="AF119" i="4"/>
  <c r="AE119" i="4"/>
  <c r="AG118" i="4"/>
  <c r="AH118" i="4" s="1"/>
  <c r="AF118" i="4"/>
  <c r="AE118" i="4"/>
  <c r="AG117" i="4"/>
  <c r="AH117" i="4" s="1"/>
  <c r="AF117" i="4"/>
  <c r="AE117" i="4"/>
  <c r="AG116" i="4"/>
  <c r="AH116" i="4" s="1"/>
  <c r="AF116" i="4"/>
  <c r="AE116" i="4"/>
  <c r="AG115" i="4"/>
  <c r="AH115" i="4" s="1"/>
  <c r="AF115" i="4"/>
  <c r="AE115" i="4"/>
  <c r="AG114" i="4"/>
  <c r="AH114" i="4" s="1"/>
  <c r="AF114" i="4"/>
  <c r="AE114" i="4"/>
  <c r="AG113" i="4"/>
  <c r="AH113" i="4" s="1"/>
  <c r="AF113" i="4"/>
  <c r="AE113" i="4"/>
  <c r="AG112" i="4"/>
  <c r="AH112" i="4" s="1"/>
  <c r="AF112" i="4"/>
  <c r="AE112" i="4"/>
  <c r="AG111" i="4"/>
  <c r="AH111" i="4" s="1"/>
  <c r="AF111" i="4"/>
  <c r="AE111" i="4"/>
  <c r="AG110" i="4"/>
  <c r="AH110" i="4" s="1"/>
  <c r="AF110" i="4"/>
  <c r="AE110" i="4"/>
  <c r="AG109" i="4"/>
  <c r="AH109" i="4" s="1"/>
  <c r="AF109" i="4"/>
  <c r="AE109" i="4"/>
  <c r="AG108" i="4"/>
  <c r="AH108" i="4" s="1"/>
  <c r="AF108" i="4"/>
  <c r="AE108" i="4"/>
  <c r="AG107" i="4"/>
  <c r="AH107" i="4" s="1"/>
  <c r="AF107" i="4"/>
  <c r="AE107" i="4"/>
  <c r="AG106" i="4"/>
  <c r="AH106" i="4" s="1"/>
  <c r="AF106" i="4"/>
  <c r="AE106" i="4"/>
  <c r="AG105" i="4"/>
  <c r="AH105" i="4" s="1"/>
  <c r="AF105" i="4"/>
  <c r="AE105" i="4"/>
  <c r="AG104" i="4"/>
  <c r="AH104" i="4" s="1"/>
  <c r="AF104" i="4"/>
  <c r="AE104" i="4"/>
  <c r="AG103" i="4"/>
  <c r="AH103" i="4" s="1"/>
  <c r="AF103" i="4"/>
  <c r="AE103" i="4"/>
  <c r="AG102" i="4"/>
  <c r="AH102" i="4" s="1"/>
  <c r="AF102" i="4"/>
  <c r="AE102" i="4"/>
  <c r="AG101" i="4"/>
  <c r="AH101" i="4" s="1"/>
  <c r="AF101" i="4"/>
  <c r="AE101" i="4"/>
  <c r="AG100" i="4"/>
  <c r="AH100" i="4" s="1"/>
  <c r="AF100" i="4"/>
  <c r="AE100" i="4"/>
  <c r="AG99" i="4"/>
  <c r="AH99" i="4" s="1"/>
  <c r="AF99" i="4"/>
  <c r="AE99" i="4"/>
  <c r="AG98" i="4"/>
  <c r="AH98" i="4" s="1"/>
  <c r="AF98" i="4"/>
  <c r="AE98" i="4"/>
  <c r="AG97" i="4"/>
  <c r="AH97" i="4" s="1"/>
  <c r="AF97" i="4"/>
  <c r="AE97" i="4"/>
  <c r="AG96" i="4"/>
  <c r="AH96" i="4" s="1"/>
  <c r="AF96" i="4"/>
  <c r="AE96" i="4"/>
  <c r="AG95" i="4"/>
  <c r="AH95" i="4" s="1"/>
  <c r="AF95" i="4"/>
  <c r="AE95" i="4"/>
  <c r="AG94" i="4"/>
  <c r="AH94" i="4" s="1"/>
  <c r="AF94" i="4"/>
  <c r="AE94" i="4"/>
  <c r="AG93" i="4"/>
  <c r="AH93" i="4" s="1"/>
  <c r="AF93" i="4"/>
  <c r="AE93" i="4"/>
  <c r="AG92" i="4"/>
  <c r="AH92" i="4" s="1"/>
  <c r="AF92" i="4"/>
  <c r="AE92" i="4"/>
  <c r="AG91" i="4"/>
  <c r="AH91" i="4" s="1"/>
  <c r="AF91" i="4"/>
  <c r="AE91" i="4"/>
  <c r="AG90" i="4"/>
  <c r="AH90" i="4" s="1"/>
  <c r="AF90" i="4"/>
  <c r="AE90" i="4"/>
  <c r="AG89" i="4"/>
  <c r="AH89" i="4" s="1"/>
  <c r="AF89" i="4"/>
  <c r="AE89" i="4"/>
  <c r="AG88" i="4"/>
  <c r="AH88" i="4" s="1"/>
  <c r="AF88" i="4"/>
  <c r="AE88" i="4"/>
  <c r="AG87" i="4"/>
  <c r="AH87" i="4" s="1"/>
  <c r="AF87" i="4"/>
  <c r="AE87" i="4"/>
  <c r="AG86" i="4"/>
  <c r="AH86" i="4" s="1"/>
  <c r="AF86" i="4"/>
  <c r="AE86" i="4"/>
  <c r="AG85" i="4"/>
  <c r="AH85" i="4" s="1"/>
  <c r="AF85" i="4"/>
  <c r="AE85" i="4"/>
  <c r="AG84" i="4"/>
  <c r="AH84" i="4" s="1"/>
  <c r="AF84" i="4"/>
  <c r="AE84" i="4"/>
  <c r="AG83" i="4"/>
  <c r="AH83" i="4" s="1"/>
  <c r="AF83" i="4"/>
  <c r="AE83" i="4"/>
  <c r="AG82" i="4"/>
  <c r="AH82" i="4" s="1"/>
  <c r="AF82" i="4"/>
  <c r="AE82" i="4"/>
  <c r="AG81" i="4"/>
  <c r="AH81" i="4" s="1"/>
  <c r="AF81" i="4"/>
  <c r="AE81" i="4"/>
  <c r="AG80" i="4"/>
  <c r="AH80" i="4" s="1"/>
  <c r="AF80" i="4"/>
  <c r="AE80" i="4"/>
  <c r="AG79" i="4"/>
  <c r="AH79" i="4" s="1"/>
  <c r="AF79" i="4"/>
  <c r="AE79" i="4"/>
  <c r="AG78" i="4"/>
  <c r="AH78" i="4" s="1"/>
  <c r="AF78" i="4"/>
  <c r="AE78" i="4"/>
  <c r="AG77" i="4"/>
  <c r="AH77" i="4" s="1"/>
  <c r="AF77" i="4"/>
  <c r="AE77" i="4"/>
  <c r="AG76" i="4"/>
  <c r="AH76" i="4" s="1"/>
  <c r="AF76" i="4"/>
  <c r="AE76" i="4"/>
  <c r="AG75" i="4"/>
  <c r="AH75" i="4" s="1"/>
  <c r="AF75" i="4"/>
  <c r="AE75" i="4"/>
  <c r="AG74" i="4"/>
  <c r="AH74" i="4" s="1"/>
  <c r="AF74" i="4"/>
  <c r="AE74" i="4"/>
  <c r="AG73" i="4"/>
  <c r="AH73" i="4" s="1"/>
  <c r="AF73" i="4"/>
  <c r="AE73" i="4"/>
  <c r="AG72" i="4"/>
  <c r="AH72" i="4" s="1"/>
  <c r="AF72" i="4"/>
  <c r="AE72" i="4"/>
  <c r="AG71" i="4"/>
  <c r="AH71" i="4" s="1"/>
  <c r="AF71" i="4"/>
  <c r="AE71" i="4"/>
  <c r="AG70" i="4"/>
  <c r="AH70" i="4" s="1"/>
  <c r="AF70" i="4"/>
  <c r="AE70" i="4"/>
  <c r="AG69" i="4"/>
  <c r="AH69" i="4" s="1"/>
  <c r="AF69" i="4"/>
  <c r="AE69" i="4"/>
  <c r="AG68" i="4"/>
  <c r="AH68" i="4" s="1"/>
  <c r="AF68" i="4"/>
  <c r="AE68" i="4"/>
  <c r="AG67" i="4"/>
  <c r="AH67" i="4" s="1"/>
  <c r="AF67" i="4"/>
  <c r="AE67" i="4"/>
  <c r="AG66" i="4"/>
  <c r="AH66" i="4" s="1"/>
  <c r="AF66" i="4"/>
  <c r="AE66" i="4"/>
  <c r="AG65" i="4"/>
  <c r="AH65" i="4" s="1"/>
  <c r="AF65" i="4"/>
  <c r="AE65" i="4"/>
  <c r="AG64" i="4"/>
  <c r="AH64" i="4" s="1"/>
  <c r="AF64" i="4"/>
  <c r="AE64" i="4"/>
  <c r="AG63" i="4"/>
  <c r="AH63" i="4" s="1"/>
  <c r="AF63" i="4"/>
  <c r="AE63" i="4"/>
  <c r="AG62" i="4"/>
  <c r="AH62" i="4" s="1"/>
  <c r="AF62" i="4"/>
  <c r="AE62" i="4"/>
  <c r="AG61" i="4"/>
  <c r="AH61" i="4" s="1"/>
  <c r="AF61" i="4"/>
  <c r="AE61" i="4"/>
  <c r="AG60" i="4"/>
  <c r="AH60" i="4" s="1"/>
  <c r="AF60" i="4"/>
  <c r="AE60" i="4"/>
  <c r="AG59" i="4"/>
  <c r="AH59" i="4" s="1"/>
  <c r="AF59" i="4"/>
  <c r="AE59" i="4"/>
  <c r="AG58" i="4"/>
  <c r="AH58" i="4" s="1"/>
  <c r="AF58" i="4"/>
  <c r="AE58" i="4"/>
  <c r="AG57" i="4"/>
  <c r="AH57" i="4" s="1"/>
  <c r="AF57" i="4"/>
  <c r="AE57" i="4"/>
  <c r="AG56" i="4"/>
  <c r="AH56" i="4" s="1"/>
  <c r="AF56" i="4"/>
  <c r="AE56" i="4"/>
  <c r="AG55" i="4"/>
  <c r="AH55" i="4" s="1"/>
  <c r="AF55" i="4"/>
  <c r="AE55" i="4"/>
  <c r="AG54" i="4"/>
  <c r="AH54" i="4" s="1"/>
  <c r="AF54" i="4"/>
  <c r="AE54" i="4"/>
  <c r="AG53" i="4"/>
  <c r="AH53" i="4" s="1"/>
  <c r="AF53" i="4"/>
  <c r="AE53" i="4"/>
  <c r="AG52" i="4"/>
  <c r="AH52" i="4" s="1"/>
  <c r="AF52" i="4"/>
  <c r="AE52" i="4"/>
  <c r="AG51" i="4"/>
  <c r="AH51" i="4" s="1"/>
  <c r="AF51" i="4"/>
  <c r="AE51" i="4"/>
  <c r="AG50" i="4"/>
  <c r="AH50" i="4" s="1"/>
  <c r="AF50" i="4"/>
  <c r="AE50" i="4"/>
  <c r="AG49" i="4"/>
  <c r="AH49" i="4" s="1"/>
  <c r="AF49" i="4"/>
  <c r="AE49" i="4"/>
  <c r="AG48" i="4"/>
  <c r="AH48" i="4" s="1"/>
  <c r="AF48" i="4"/>
  <c r="AE48" i="4"/>
  <c r="AG47" i="4"/>
  <c r="AH47" i="4" s="1"/>
  <c r="AF47" i="4"/>
  <c r="AE47" i="4"/>
  <c r="AG46" i="4"/>
  <c r="AH46" i="4" s="1"/>
  <c r="AF46" i="4"/>
  <c r="AE46" i="4"/>
  <c r="AG45" i="4"/>
  <c r="AH45" i="4" s="1"/>
  <c r="AF45" i="4"/>
  <c r="AE45" i="4"/>
  <c r="AG44" i="4"/>
  <c r="AH44" i="4" s="1"/>
  <c r="AF44" i="4"/>
  <c r="AE44" i="4"/>
  <c r="AG43" i="4"/>
  <c r="AH43" i="4" s="1"/>
  <c r="AF43" i="4"/>
  <c r="AE43" i="4"/>
  <c r="AG42" i="4"/>
  <c r="AH42" i="4" s="1"/>
  <c r="AF42" i="4"/>
  <c r="AE42" i="4"/>
  <c r="AG41" i="4"/>
  <c r="AH41" i="4" s="1"/>
  <c r="AF41" i="4"/>
  <c r="AE41" i="4"/>
  <c r="AG40" i="4"/>
  <c r="AH40" i="4" s="1"/>
  <c r="AF40" i="4"/>
  <c r="AE40" i="4"/>
  <c r="AG39" i="4"/>
  <c r="AH39" i="4" s="1"/>
  <c r="AF39" i="4"/>
  <c r="AE39" i="4"/>
  <c r="AG38" i="4"/>
  <c r="AH38" i="4" s="1"/>
  <c r="AF38" i="4"/>
  <c r="AE38" i="4"/>
  <c r="AG37" i="4"/>
  <c r="AH37" i="4" s="1"/>
  <c r="AF37" i="4"/>
  <c r="AE37" i="4"/>
  <c r="AG36" i="4"/>
  <c r="AH36" i="4" s="1"/>
  <c r="AF36" i="4"/>
  <c r="AE36" i="4"/>
  <c r="AG35" i="4"/>
  <c r="AH35" i="4" s="1"/>
  <c r="AF35" i="4"/>
  <c r="AE35" i="4"/>
  <c r="AG34" i="4"/>
  <c r="AH34" i="4" s="1"/>
  <c r="AF34" i="4"/>
  <c r="AE34" i="4"/>
  <c r="AG33" i="4"/>
  <c r="AH33" i="4" s="1"/>
  <c r="AF33" i="4"/>
  <c r="AE33" i="4"/>
  <c r="AG32" i="4"/>
  <c r="AH32" i="4" s="1"/>
  <c r="AF32" i="4"/>
  <c r="AE32" i="4"/>
  <c r="AG31" i="4"/>
  <c r="AH31" i="4" s="1"/>
  <c r="AF31" i="4"/>
  <c r="AE31" i="4"/>
  <c r="AG30" i="4"/>
  <c r="AH30" i="4" s="1"/>
  <c r="AF30" i="4"/>
  <c r="AE30" i="4"/>
  <c r="AG29" i="4"/>
  <c r="AH29" i="4" s="1"/>
  <c r="AF29" i="4"/>
  <c r="AE29" i="4"/>
  <c r="AG28" i="4"/>
  <c r="AH28" i="4" s="1"/>
  <c r="AF28" i="4"/>
  <c r="AE28" i="4"/>
  <c r="AG27" i="4"/>
  <c r="AH27" i="4" s="1"/>
  <c r="AF27" i="4"/>
  <c r="AE27" i="4"/>
  <c r="AG26" i="4"/>
  <c r="AH26" i="4" s="1"/>
  <c r="AF26" i="4"/>
  <c r="AE26" i="4"/>
  <c r="AG25" i="4"/>
  <c r="AH25" i="4" s="1"/>
  <c r="AF25" i="4"/>
  <c r="AE25" i="4"/>
  <c r="AG24" i="4"/>
  <c r="AH24" i="4" s="1"/>
  <c r="AF24" i="4"/>
  <c r="AE24" i="4"/>
  <c r="AG23" i="4"/>
  <c r="AH23" i="4" s="1"/>
  <c r="AF23" i="4"/>
  <c r="AE23" i="4"/>
  <c r="AG22" i="4"/>
  <c r="AH22" i="4" s="1"/>
  <c r="AF22" i="4"/>
  <c r="AE22" i="4"/>
  <c r="AG21" i="4"/>
  <c r="AH21" i="4" s="1"/>
  <c r="AF21" i="4"/>
  <c r="AE21" i="4"/>
  <c r="AG20" i="4"/>
  <c r="AH20" i="4" s="1"/>
  <c r="AF20" i="4"/>
  <c r="AE20" i="4"/>
  <c r="AG19" i="4"/>
  <c r="AH19" i="4" s="1"/>
  <c r="AF19" i="4"/>
  <c r="AE19" i="4"/>
  <c r="AG18" i="4"/>
  <c r="AH18" i="4" s="1"/>
  <c r="AF18" i="4"/>
  <c r="AE18" i="4"/>
  <c r="AG17" i="4"/>
  <c r="AH17" i="4" s="1"/>
  <c r="AF17" i="4"/>
  <c r="AE17" i="4"/>
  <c r="AG16" i="4"/>
  <c r="AH16" i="4" s="1"/>
  <c r="AF16" i="4"/>
  <c r="AE16" i="4"/>
  <c r="AG15" i="4"/>
  <c r="AH15" i="4" s="1"/>
  <c r="AF15" i="4"/>
  <c r="AE15" i="4"/>
  <c r="AG14" i="4"/>
  <c r="AH14" i="4" s="1"/>
  <c r="AF14" i="4"/>
  <c r="AE14" i="4"/>
  <c r="AG13" i="4"/>
  <c r="AH13" i="4" s="1"/>
  <c r="AF13" i="4"/>
  <c r="AE13" i="4"/>
  <c r="AG12" i="4"/>
  <c r="AH12" i="4" s="1"/>
  <c r="AF12" i="4"/>
  <c r="AE12" i="4"/>
  <c r="AG11" i="4"/>
  <c r="AH11" i="4" s="1"/>
  <c r="AF11" i="4"/>
  <c r="AE11" i="4"/>
  <c r="AG10" i="4"/>
  <c r="AH10" i="4" s="1"/>
  <c r="AF10" i="4"/>
  <c r="AE10" i="4"/>
  <c r="AG9" i="4"/>
  <c r="AH9" i="4" s="1"/>
  <c r="AF9" i="4"/>
  <c r="AE9" i="4"/>
  <c r="AG8" i="4"/>
  <c r="AH8" i="4" s="1"/>
  <c r="AF8" i="4"/>
  <c r="AE8" i="4"/>
  <c r="AG7" i="4"/>
  <c r="AH7" i="4" s="1"/>
  <c r="AF7" i="4"/>
  <c r="AE7" i="4"/>
  <c r="AG6" i="4"/>
  <c r="AH6" i="4" s="1"/>
  <c r="AF6" i="4"/>
  <c r="AE6" i="4"/>
  <c r="AG5" i="4"/>
  <c r="AH5" i="4" s="1"/>
  <c r="AF5" i="4"/>
  <c r="AE5" i="4"/>
  <c r="AG4" i="4"/>
  <c r="AH4" i="4" s="1"/>
  <c r="AF4" i="4"/>
  <c r="AE4" i="4"/>
  <c r="AG3" i="4"/>
  <c r="AH3" i="4" s="1"/>
  <c r="AF3" i="4"/>
  <c r="AE3" i="4"/>
  <c r="AG2" i="4"/>
  <c r="AH2" i="4" s="1"/>
  <c r="AF2" i="4"/>
  <c r="AE2" i="4"/>
  <c r="AU3000" i="3"/>
  <c r="AU2999" i="3"/>
  <c r="AU2998" i="3"/>
  <c r="AU2997" i="3"/>
  <c r="AU2996" i="3"/>
  <c r="AU2995" i="3"/>
  <c r="AU2994" i="3"/>
  <c r="AU2993" i="3"/>
  <c r="AU2992" i="3"/>
  <c r="AU2991" i="3"/>
  <c r="AU2990" i="3"/>
  <c r="AU2989" i="3"/>
  <c r="AU2988" i="3"/>
  <c r="AU2987" i="3"/>
  <c r="AU2986" i="3"/>
  <c r="AU2985" i="3"/>
  <c r="AU2984" i="3"/>
  <c r="AU2983" i="3"/>
  <c r="AU2982" i="3"/>
  <c r="AU2981" i="3"/>
  <c r="AU2980" i="3"/>
  <c r="AU2979" i="3"/>
  <c r="AU2978" i="3"/>
  <c r="AU2977" i="3"/>
  <c r="AU2976" i="3"/>
  <c r="AU2975" i="3"/>
  <c r="AU2974" i="3"/>
  <c r="AU2973" i="3"/>
  <c r="AU2972" i="3"/>
  <c r="AU2971" i="3"/>
  <c r="AU2970" i="3"/>
  <c r="AU2969" i="3"/>
  <c r="AU2968" i="3"/>
  <c r="AU2967" i="3"/>
  <c r="AU2966" i="3"/>
  <c r="AU2965" i="3"/>
  <c r="AU2964" i="3"/>
  <c r="AU2963" i="3"/>
  <c r="AU2962" i="3"/>
  <c r="AU2961" i="3"/>
  <c r="AU2960" i="3"/>
  <c r="AU2959" i="3"/>
  <c r="AU2958" i="3"/>
  <c r="AU2957" i="3"/>
  <c r="AU2956" i="3"/>
  <c r="AU2955" i="3"/>
  <c r="AU2954" i="3"/>
  <c r="AU2953" i="3"/>
  <c r="AU2952" i="3"/>
  <c r="AU2951" i="3"/>
  <c r="AU2950" i="3"/>
  <c r="AU2949" i="3"/>
  <c r="AU2948" i="3"/>
  <c r="AU2947" i="3"/>
  <c r="AU2946" i="3"/>
  <c r="AU2945" i="3"/>
  <c r="AU2944" i="3"/>
  <c r="AU2943" i="3"/>
  <c r="AU2942" i="3"/>
  <c r="AU2941" i="3"/>
  <c r="AU2940" i="3"/>
  <c r="AU2939" i="3"/>
  <c r="AU2938" i="3"/>
  <c r="AU2937" i="3"/>
  <c r="AU2936" i="3"/>
  <c r="AU2935" i="3"/>
  <c r="AU2934" i="3"/>
  <c r="AU2933" i="3"/>
  <c r="AU2932" i="3"/>
  <c r="AU2931" i="3"/>
  <c r="AU2930" i="3"/>
  <c r="AU2929" i="3"/>
  <c r="AU2928" i="3"/>
  <c r="AU2927" i="3"/>
  <c r="AU2926" i="3"/>
  <c r="AU2925" i="3"/>
  <c r="AU2924" i="3"/>
  <c r="AU2923" i="3"/>
  <c r="AU2922" i="3"/>
  <c r="AU2921" i="3"/>
  <c r="AU2920" i="3"/>
  <c r="AU2919" i="3"/>
  <c r="AU2918" i="3"/>
  <c r="AU2917" i="3"/>
  <c r="AU2916" i="3"/>
  <c r="AU2915" i="3"/>
  <c r="AU2914" i="3"/>
  <c r="AU2913" i="3"/>
  <c r="AU2912" i="3"/>
  <c r="AU2911" i="3"/>
  <c r="AU2910" i="3"/>
  <c r="AU2909" i="3"/>
  <c r="AU2908" i="3"/>
  <c r="AU2907" i="3"/>
  <c r="AU2906" i="3"/>
  <c r="AU2905" i="3"/>
  <c r="AU2904" i="3"/>
  <c r="AU2903" i="3"/>
  <c r="AU2902" i="3"/>
  <c r="AU2901" i="3"/>
  <c r="AU2900" i="3"/>
  <c r="AU2899" i="3"/>
  <c r="AU2898" i="3"/>
  <c r="AU2897" i="3"/>
  <c r="AU2896" i="3"/>
  <c r="AU2895" i="3"/>
  <c r="AU2894" i="3"/>
  <c r="AU2893" i="3"/>
  <c r="AU2892" i="3"/>
  <c r="AU2891" i="3"/>
  <c r="AU2890" i="3"/>
  <c r="AU2889" i="3"/>
  <c r="AU2888" i="3"/>
  <c r="AU2887" i="3"/>
  <c r="AU2886" i="3"/>
  <c r="AU2885" i="3"/>
  <c r="AU2884" i="3"/>
  <c r="AU2883" i="3"/>
  <c r="AU2882" i="3"/>
  <c r="AU2881" i="3"/>
  <c r="AU2880" i="3"/>
  <c r="AU2879" i="3"/>
  <c r="AU2878" i="3"/>
  <c r="AU2877" i="3"/>
  <c r="AU2876" i="3"/>
  <c r="AU2875" i="3"/>
  <c r="AU2874" i="3"/>
  <c r="AU2873" i="3"/>
  <c r="AU2872" i="3"/>
  <c r="AU2871" i="3"/>
  <c r="AU2870" i="3"/>
  <c r="AU2869" i="3"/>
  <c r="AU2868" i="3"/>
  <c r="AU2867" i="3"/>
  <c r="AU2866" i="3"/>
  <c r="AU2865" i="3"/>
  <c r="AU2864" i="3"/>
  <c r="AU2863" i="3"/>
  <c r="AU2862" i="3"/>
  <c r="AU2861" i="3"/>
  <c r="AU2860" i="3"/>
  <c r="AU2859" i="3"/>
  <c r="AU2858" i="3"/>
  <c r="AU2857" i="3"/>
  <c r="AU2856" i="3"/>
  <c r="AU2855" i="3"/>
  <c r="AU2854" i="3"/>
  <c r="AU2853" i="3"/>
  <c r="AU2852" i="3"/>
  <c r="AU2851" i="3"/>
  <c r="AU2850" i="3"/>
  <c r="AU2849" i="3"/>
  <c r="AU2848" i="3"/>
  <c r="AU2847" i="3"/>
  <c r="AU2846" i="3"/>
  <c r="AU2845" i="3"/>
  <c r="AU2844" i="3"/>
  <c r="AU2843" i="3"/>
  <c r="AU2842" i="3"/>
  <c r="AU2841" i="3"/>
  <c r="AU2840" i="3"/>
  <c r="AU2839" i="3"/>
  <c r="AU2838" i="3"/>
  <c r="AU2837" i="3"/>
  <c r="AU2836" i="3"/>
  <c r="AU2835" i="3"/>
  <c r="AU2834" i="3"/>
  <c r="AU2833" i="3"/>
  <c r="AU2832" i="3"/>
  <c r="AU2831" i="3"/>
  <c r="AU2830" i="3"/>
  <c r="AU2829" i="3"/>
  <c r="AU2828" i="3"/>
  <c r="AU2827" i="3"/>
  <c r="AU2826" i="3"/>
  <c r="AU2825" i="3"/>
  <c r="AU2824" i="3"/>
  <c r="AU2823" i="3"/>
  <c r="AU2822" i="3"/>
  <c r="AU2821" i="3"/>
  <c r="AU2820" i="3"/>
  <c r="AU2819" i="3"/>
  <c r="AU2818" i="3"/>
  <c r="AU2817" i="3"/>
  <c r="AU2816" i="3"/>
  <c r="AU2815" i="3"/>
  <c r="AU2814" i="3"/>
  <c r="AU2813" i="3"/>
  <c r="AU2812" i="3"/>
  <c r="AU2811" i="3"/>
  <c r="AU2810" i="3"/>
  <c r="AU2809" i="3"/>
  <c r="AU2808" i="3"/>
  <c r="AU2807" i="3"/>
  <c r="AU2806" i="3"/>
  <c r="AU2805" i="3"/>
  <c r="AU2804" i="3"/>
  <c r="AU2803" i="3"/>
  <c r="AU2802" i="3"/>
  <c r="AU2801" i="3"/>
  <c r="AU2800" i="3"/>
  <c r="AU2799" i="3"/>
  <c r="AU2798" i="3"/>
  <c r="AU2797" i="3"/>
  <c r="AU2796" i="3"/>
  <c r="AU2795" i="3"/>
  <c r="AU2794" i="3"/>
  <c r="AU2793" i="3"/>
  <c r="AU2792" i="3"/>
  <c r="AU2791" i="3"/>
  <c r="AU2790" i="3"/>
  <c r="AU2789" i="3"/>
  <c r="AU2788" i="3"/>
  <c r="AU2787" i="3"/>
  <c r="AU2786" i="3"/>
  <c r="AU2785" i="3"/>
  <c r="AU2784" i="3"/>
  <c r="AU2783" i="3"/>
  <c r="AU2782" i="3"/>
  <c r="AU2781" i="3"/>
  <c r="AU2780" i="3"/>
  <c r="AU2779" i="3"/>
  <c r="AU2778" i="3"/>
  <c r="AU2777" i="3"/>
  <c r="AU2776" i="3"/>
  <c r="AU2775" i="3"/>
  <c r="AU2774" i="3"/>
  <c r="AU2773" i="3"/>
  <c r="AU2772" i="3"/>
  <c r="AU2771" i="3"/>
  <c r="AU2770" i="3"/>
  <c r="AU2769" i="3"/>
  <c r="AU2768" i="3"/>
  <c r="AU2767" i="3"/>
  <c r="AU2766" i="3"/>
  <c r="AU2765" i="3"/>
  <c r="AU2764" i="3"/>
  <c r="AU2763" i="3"/>
  <c r="AU2762" i="3"/>
  <c r="AU2761" i="3"/>
  <c r="AU2760" i="3"/>
  <c r="AU2759" i="3"/>
  <c r="AU2758" i="3"/>
  <c r="AU2757" i="3"/>
  <c r="AU2756" i="3"/>
  <c r="AU2755" i="3"/>
  <c r="AU2754" i="3"/>
  <c r="AU2753" i="3"/>
  <c r="AU2752" i="3"/>
  <c r="AU2751" i="3"/>
  <c r="AU2750" i="3"/>
  <c r="AU2749" i="3"/>
  <c r="AU2748" i="3"/>
  <c r="AU2747" i="3"/>
  <c r="AU2746" i="3"/>
  <c r="AU2745" i="3"/>
  <c r="AU2744" i="3"/>
  <c r="AU2743" i="3"/>
  <c r="AU2742" i="3"/>
  <c r="AU2741" i="3"/>
  <c r="AU2740" i="3"/>
  <c r="AU2739" i="3"/>
  <c r="AU2738" i="3"/>
  <c r="AU2737" i="3"/>
  <c r="AU2736" i="3"/>
  <c r="AU2735" i="3"/>
  <c r="AU2734" i="3"/>
  <c r="AU2733" i="3"/>
  <c r="AU2732" i="3"/>
  <c r="AU2731" i="3"/>
  <c r="AU2730" i="3"/>
  <c r="AU2729" i="3"/>
  <c r="AU2728" i="3"/>
  <c r="AU2727" i="3"/>
  <c r="AU2726" i="3"/>
  <c r="AU2725" i="3"/>
  <c r="AU2724" i="3"/>
  <c r="AU2723" i="3"/>
  <c r="AU2722" i="3"/>
  <c r="AU2721" i="3"/>
  <c r="AU2720" i="3"/>
  <c r="AU2719" i="3"/>
  <c r="AU2718" i="3"/>
  <c r="AU2717" i="3"/>
  <c r="AU2716" i="3"/>
  <c r="AU2715" i="3"/>
  <c r="AU2714" i="3"/>
  <c r="AU2713" i="3"/>
  <c r="AU2712" i="3"/>
  <c r="AU2711" i="3"/>
  <c r="AU2710" i="3"/>
  <c r="AU2709" i="3"/>
  <c r="AU2708" i="3"/>
  <c r="AU2707" i="3"/>
  <c r="AU2706" i="3"/>
  <c r="AU2705" i="3"/>
  <c r="AU2704" i="3"/>
  <c r="AU2703" i="3"/>
  <c r="AU2702" i="3"/>
  <c r="AU2701" i="3"/>
  <c r="AU2700" i="3"/>
  <c r="AU2699" i="3"/>
  <c r="AU2698" i="3"/>
  <c r="AU2697" i="3"/>
  <c r="AU2696" i="3"/>
  <c r="AU2695" i="3"/>
  <c r="AU2694" i="3"/>
  <c r="AU2693" i="3"/>
  <c r="AU2692" i="3"/>
  <c r="AU2691" i="3"/>
  <c r="AU2690" i="3"/>
  <c r="AU2689" i="3"/>
  <c r="AU2688" i="3"/>
  <c r="AU2687" i="3"/>
  <c r="AU2686" i="3"/>
  <c r="AU2685" i="3"/>
  <c r="AU2684" i="3"/>
  <c r="AU2683" i="3"/>
  <c r="AU2682" i="3"/>
  <c r="AU2681" i="3"/>
  <c r="AU2680" i="3"/>
  <c r="AU2679" i="3"/>
  <c r="AU2678" i="3"/>
  <c r="AU2677" i="3"/>
  <c r="AU2676" i="3"/>
  <c r="AU2675" i="3"/>
  <c r="AU2674" i="3"/>
  <c r="AU2673" i="3"/>
  <c r="AU2672" i="3"/>
  <c r="AU2671" i="3"/>
  <c r="AU2670" i="3"/>
  <c r="AU2669" i="3"/>
  <c r="AU2668" i="3"/>
  <c r="AU2667" i="3"/>
  <c r="AU2666" i="3"/>
  <c r="AU2665" i="3"/>
  <c r="AU2664" i="3"/>
  <c r="AU2663" i="3"/>
  <c r="AU2662" i="3"/>
  <c r="AU2661" i="3"/>
  <c r="AU2660" i="3"/>
  <c r="AU2659" i="3"/>
  <c r="AU2658" i="3"/>
  <c r="AU2657" i="3"/>
  <c r="AU2656" i="3"/>
  <c r="AU2655" i="3"/>
  <c r="AU2654" i="3"/>
  <c r="AU2653" i="3"/>
  <c r="AU2652" i="3"/>
  <c r="AU2651" i="3"/>
  <c r="AU2650" i="3"/>
  <c r="AU2649" i="3"/>
  <c r="AU2648" i="3"/>
  <c r="AU2647" i="3"/>
  <c r="AU2646" i="3"/>
  <c r="AU2645" i="3"/>
  <c r="AU2644" i="3"/>
  <c r="AU2643" i="3"/>
  <c r="AU2642" i="3"/>
  <c r="AU2641" i="3"/>
  <c r="AU2640" i="3"/>
  <c r="AU2639" i="3"/>
  <c r="AU2638" i="3"/>
  <c r="AU2637" i="3"/>
  <c r="AU2636" i="3"/>
  <c r="AU2635" i="3"/>
  <c r="AU2634" i="3"/>
  <c r="AU2633" i="3"/>
  <c r="AU2632" i="3"/>
  <c r="AU2631" i="3"/>
  <c r="AU2630" i="3"/>
  <c r="AU2629" i="3"/>
  <c r="AU2628" i="3"/>
  <c r="AU2627" i="3"/>
  <c r="AU2626" i="3"/>
  <c r="AU2625" i="3"/>
  <c r="AU2624" i="3"/>
  <c r="AU2623" i="3"/>
  <c r="AU2622" i="3"/>
  <c r="AU2621" i="3"/>
  <c r="AU2620" i="3"/>
  <c r="AU2619" i="3"/>
  <c r="AU2618" i="3"/>
  <c r="AU2617" i="3"/>
  <c r="AU2616" i="3"/>
  <c r="AU2615" i="3"/>
  <c r="AU2614" i="3"/>
  <c r="AU2613" i="3"/>
  <c r="AU2612" i="3"/>
  <c r="AU2611" i="3"/>
  <c r="AU2610" i="3"/>
  <c r="AU2609" i="3"/>
  <c r="AU2608" i="3"/>
  <c r="AU2607" i="3"/>
  <c r="AU2606" i="3"/>
  <c r="AU2605" i="3"/>
  <c r="AU2604" i="3"/>
  <c r="AU2603" i="3"/>
  <c r="AU2602" i="3"/>
  <c r="AU2601" i="3"/>
  <c r="AU2600" i="3"/>
  <c r="AU2599" i="3"/>
  <c r="AU2598" i="3"/>
  <c r="AU2597" i="3"/>
  <c r="AU2596" i="3"/>
  <c r="AU2595" i="3"/>
  <c r="AU2594" i="3"/>
  <c r="AU2593" i="3"/>
  <c r="AU2592" i="3"/>
  <c r="AU2591" i="3"/>
  <c r="AU2590" i="3"/>
  <c r="AU2589" i="3"/>
  <c r="AU2588" i="3"/>
  <c r="AU2587" i="3"/>
  <c r="AU2586" i="3"/>
  <c r="AU2585" i="3"/>
  <c r="AU2584" i="3"/>
  <c r="AU2583" i="3"/>
  <c r="AU2582" i="3"/>
  <c r="AU2581" i="3"/>
  <c r="AU2580" i="3"/>
  <c r="AU2579" i="3"/>
  <c r="AU2578" i="3"/>
  <c r="AU2577" i="3"/>
  <c r="AU2576" i="3"/>
  <c r="AU2575" i="3"/>
  <c r="AU2574" i="3"/>
  <c r="AU2573" i="3"/>
  <c r="AU2572" i="3"/>
  <c r="AU2571" i="3"/>
  <c r="AU2570" i="3"/>
  <c r="AU2569" i="3"/>
  <c r="AU2568" i="3"/>
  <c r="AU2567" i="3"/>
  <c r="AU2566" i="3"/>
  <c r="AU2565" i="3"/>
  <c r="AU2564" i="3"/>
  <c r="AU2563" i="3"/>
  <c r="AU2562" i="3"/>
  <c r="AU2561" i="3"/>
  <c r="AU2560" i="3"/>
  <c r="AU2559" i="3"/>
  <c r="AU2558" i="3"/>
  <c r="AU2557" i="3"/>
  <c r="AU2556" i="3"/>
  <c r="AU2555" i="3"/>
  <c r="AU2554" i="3"/>
  <c r="AU2553" i="3"/>
  <c r="AU2552" i="3"/>
  <c r="AU2551" i="3"/>
  <c r="AU2550" i="3"/>
  <c r="AU2549" i="3"/>
  <c r="AU2548" i="3"/>
  <c r="AU2547" i="3"/>
  <c r="AU2546" i="3"/>
  <c r="AU2545" i="3"/>
  <c r="AU2544" i="3"/>
  <c r="AU2543" i="3"/>
  <c r="AU2542" i="3"/>
  <c r="AU2541" i="3"/>
  <c r="AU2540" i="3"/>
  <c r="AU2539" i="3"/>
  <c r="AU2538" i="3"/>
  <c r="AU2537" i="3"/>
  <c r="AU2536" i="3"/>
  <c r="AU2535" i="3"/>
  <c r="AU2534" i="3"/>
  <c r="AU2533" i="3"/>
  <c r="AU2532" i="3"/>
  <c r="AU2531" i="3"/>
  <c r="AU2530" i="3"/>
  <c r="AU2529" i="3"/>
  <c r="AU2528" i="3"/>
  <c r="AU2527" i="3"/>
  <c r="AU2526" i="3"/>
  <c r="AU2525" i="3"/>
  <c r="AU2524" i="3"/>
  <c r="AU2523" i="3"/>
  <c r="AU2522" i="3"/>
  <c r="AU2521" i="3"/>
  <c r="AU2520" i="3"/>
  <c r="AU2519" i="3"/>
  <c r="AU2518" i="3"/>
  <c r="AU2517" i="3"/>
  <c r="AU2516" i="3"/>
  <c r="AU2515" i="3"/>
  <c r="AU2514" i="3"/>
  <c r="AU2513" i="3"/>
  <c r="AU2512" i="3"/>
  <c r="AU2511" i="3"/>
  <c r="AU2510" i="3"/>
  <c r="AU2509" i="3"/>
  <c r="AU2508" i="3"/>
  <c r="AU2507" i="3"/>
  <c r="AU2506" i="3"/>
  <c r="AU2505" i="3"/>
  <c r="AU2504" i="3"/>
  <c r="AU2503" i="3"/>
  <c r="AU2502" i="3"/>
  <c r="AU2501" i="3"/>
  <c r="AU2500" i="3"/>
  <c r="AU2499" i="3"/>
  <c r="AU2498" i="3"/>
  <c r="AU2497" i="3"/>
  <c r="AU2496" i="3"/>
  <c r="AU2495" i="3"/>
  <c r="AU2494" i="3"/>
  <c r="AU2493" i="3"/>
  <c r="AU2492" i="3"/>
  <c r="AU2491" i="3"/>
  <c r="AU2490" i="3"/>
  <c r="AU2489" i="3"/>
  <c r="AU2488" i="3"/>
  <c r="AU2487" i="3"/>
  <c r="AU2486" i="3"/>
  <c r="AU2485" i="3"/>
  <c r="AU2484" i="3"/>
  <c r="AU2483" i="3"/>
  <c r="AU2482" i="3"/>
  <c r="AU2481" i="3"/>
  <c r="AU2480" i="3"/>
  <c r="AU2479" i="3"/>
  <c r="AU2478" i="3"/>
  <c r="AU2477" i="3"/>
  <c r="AU2476" i="3"/>
  <c r="AU2475" i="3"/>
  <c r="AU2474" i="3"/>
  <c r="AU2473" i="3"/>
  <c r="AU2472" i="3"/>
  <c r="AU2471" i="3"/>
  <c r="AU2470" i="3"/>
  <c r="AU2469" i="3"/>
  <c r="AU2468" i="3"/>
  <c r="AU2467" i="3"/>
  <c r="AU2466" i="3"/>
  <c r="AU2465" i="3"/>
  <c r="AU2464" i="3"/>
  <c r="AU2463" i="3"/>
  <c r="AU2462" i="3"/>
  <c r="AU2461" i="3"/>
  <c r="AU2460" i="3"/>
  <c r="AU2459" i="3"/>
  <c r="AU2458" i="3"/>
  <c r="AU2457" i="3"/>
  <c r="AU2456" i="3"/>
  <c r="AU2455" i="3"/>
  <c r="AU2454" i="3"/>
  <c r="AU2453" i="3"/>
  <c r="AU2452" i="3"/>
  <c r="AU2451" i="3"/>
  <c r="AU2450" i="3"/>
  <c r="AU2449" i="3"/>
  <c r="AU2448" i="3"/>
  <c r="AU2447" i="3"/>
  <c r="AU2446" i="3"/>
  <c r="AU2445" i="3"/>
  <c r="AU2444" i="3"/>
  <c r="AU2443" i="3"/>
  <c r="AU2442" i="3"/>
  <c r="AU2441" i="3"/>
  <c r="AU2440" i="3"/>
  <c r="AU2439" i="3"/>
  <c r="AU2438" i="3"/>
  <c r="AU2437" i="3"/>
  <c r="AU2436" i="3"/>
  <c r="AU2435" i="3"/>
  <c r="AU2434" i="3"/>
  <c r="AU2433" i="3"/>
  <c r="AU2432" i="3"/>
  <c r="AU2431" i="3"/>
  <c r="AU2430" i="3"/>
  <c r="AU2429" i="3"/>
  <c r="AU2428" i="3"/>
  <c r="AU2427" i="3"/>
  <c r="AU2426" i="3"/>
  <c r="AU2425" i="3"/>
  <c r="AU2424" i="3"/>
  <c r="AU2423" i="3"/>
  <c r="AU2422" i="3"/>
  <c r="AU2421" i="3"/>
  <c r="AU2420" i="3"/>
  <c r="AU2419" i="3"/>
  <c r="AU2418" i="3"/>
  <c r="AU2417" i="3"/>
  <c r="AU2416" i="3"/>
  <c r="AU2415" i="3"/>
  <c r="AU2414" i="3"/>
  <c r="AU2413" i="3"/>
  <c r="AU2412" i="3"/>
  <c r="AU2411" i="3"/>
  <c r="AU2410" i="3"/>
  <c r="AU2409" i="3"/>
  <c r="AU2408" i="3"/>
  <c r="AU2407" i="3"/>
  <c r="AU2406" i="3"/>
  <c r="AU2405" i="3"/>
  <c r="AU2404" i="3"/>
  <c r="AU2403" i="3"/>
  <c r="AU2402" i="3"/>
  <c r="AU2401" i="3"/>
  <c r="AU2400" i="3"/>
  <c r="AU2399" i="3"/>
  <c r="AU2398" i="3"/>
  <c r="AU2397" i="3"/>
  <c r="AU2396" i="3"/>
  <c r="AU2395" i="3"/>
  <c r="AU2394" i="3"/>
  <c r="AU2393" i="3"/>
  <c r="AU2392" i="3"/>
  <c r="AU2391" i="3"/>
  <c r="AU2390" i="3"/>
  <c r="AU2389" i="3"/>
  <c r="AU2388" i="3"/>
  <c r="AU2387" i="3"/>
  <c r="AU2386" i="3"/>
  <c r="AU2385" i="3"/>
  <c r="AU2384" i="3"/>
  <c r="AU2383" i="3"/>
  <c r="AU2382" i="3"/>
  <c r="AU2381" i="3"/>
  <c r="AU2380" i="3"/>
  <c r="AU2379" i="3"/>
  <c r="AU2378" i="3"/>
  <c r="AU2377" i="3"/>
  <c r="AU2376" i="3"/>
  <c r="AU2375" i="3"/>
  <c r="AU2374" i="3"/>
  <c r="AU2373" i="3"/>
  <c r="AU2372" i="3"/>
  <c r="AU2371" i="3"/>
  <c r="AU2370" i="3"/>
  <c r="AU2369" i="3"/>
  <c r="AU2368" i="3"/>
  <c r="AU2367" i="3"/>
  <c r="AU2366" i="3"/>
  <c r="AU2365" i="3"/>
  <c r="AU2364" i="3"/>
  <c r="AU2363" i="3"/>
  <c r="AU2362" i="3"/>
  <c r="AU2361" i="3"/>
  <c r="AU2360" i="3"/>
  <c r="AU2359" i="3"/>
  <c r="AU2358" i="3"/>
  <c r="AU2357" i="3"/>
  <c r="AU2356" i="3"/>
  <c r="AU2355" i="3"/>
  <c r="AU2354" i="3"/>
  <c r="AU2353" i="3"/>
  <c r="AU2352" i="3"/>
  <c r="AU2351" i="3"/>
  <c r="AU2350" i="3"/>
  <c r="AU2349" i="3"/>
  <c r="AU2348" i="3"/>
  <c r="AU2347" i="3"/>
  <c r="AU2346" i="3"/>
  <c r="AU2345" i="3"/>
  <c r="AU2344" i="3"/>
  <c r="AU2343" i="3"/>
  <c r="AU2342" i="3"/>
  <c r="AU2341" i="3"/>
  <c r="AU2340" i="3"/>
  <c r="AU2339" i="3"/>
  <c r="AU2338" i="3"/>
  <c r="AU2337" i="3"/>
  <c r="AU2336" i="3"/>
  <c r="AU2335" i="3"/>
  <c r="AU2334" i="3"/>
  <c r="AU2333" i="3"/>
  <c r="AU2332" i="3"/>
  <c r="AU2331" i="3"/>
  <c r="AU2330" i="3"/>
  <c r="AU2329" i="3"/>
  <c r="AU2328" i="3"/>
  <c r="AU2327" i="3"/>
  <c r="AU2326" i="3"/>
  <c r="AU2325" i="3"/>
  <c r="AU2324" i="3"/>
  <c r="AU2323" i="3"/>
  <c r="AU2322" i="3"/>
  <c r="AU2321" i="3"/>
  <c r="AU2320" i="3"/>
  <c r="AU2319" i="3"/>
  <c r="AU2318" i="3"/>
  <c r="AU2317" i="3"/>
  <c r="AU2316" i="3"/>
  <c r="AU2315" i="3"/>
  <c r="AU2314" i="3"/>
  <c r="AU2313" i="3"/>
  <c r="AU2312" i="3"/>
  <c r="AU2311" i="3"/>
  <c r="AU2310" i="3"/>
  <c r="AU2309" i="3"/>
  <c r="AU2308" i="3"/>
  <c r="AU2307" i="3"/>
  <c r="AU2306" i="3"/>
  <c r="AU2305" i="3"/>
  <c r="AU2304" i="3"/>
  <c r="AU2303" i="3"/>
  <c r="AU2302" i="3"/>
  <c r="AU2301" i="3"/>
  <c r="AU2300" i="3"/>
  <c r="AU2299" i="3"/>
  <c r="AU2298" i="3"/>
  <c r="AU2297" i="3"/>
  <c r="AU2296" i="3"/>
  <c r="AU2295" i="3"/>
  <c r="AU2294" i="3"/>
  <c r="AU2293" i="3"/>
  <c r="AU2292" i="3"/>
  <c r="AU2291" i="3"/>
  <c r="AU2290" i="3"/>
  <c r="AU2289" i="3"/>
  <c r="AU2288" i="3"/>
  <c r="AU2287" i="3"/>
  <c r="AU2286" i="3"/>
  <c r="AU2285" i="3"/>
  <c r="AU2284" i="3"/>
  <c r="AU2283" i="3"/>
  <c r="AU2282" i="3"/>
  <c r="AU2281" i="3"/>
  <c r="AU2280" i="3"/>
  <c r="AU2279" i="3"/>
  <c r="AU2278" i="3"/>
  <c r="AU2277" i="3"/>
  <c r="AU2276" i="3"/>
  <c r="AU2275" i="3"/>
  <c r="AU2274" i="3"/>
  <c r="AU2273" i="3"/>
  <c r="AU2272" i="3"/>
  <c r="AU2271" i="3"/>
  <c r="AU2270" i="3"/>
  <c r="AU2269" i="3"/>
  <c r="AU2268" i="3"/>
  <c r="AU2267" i="3"/>
  <c r="AU2266" i="3"/>
  <c r="AU2265" i="3"/>
  <c r="AU2264" i="3"/>
  <c r="AU2263" i="3"/>
  <c r="AU2262" i="3"/>
  <c r="AU2261" i="3"/>
  <c r="AU2260" i="3"/>
  <c r="AU2259" i="3"/>
  <c r="AU2258" i="3"/>
  <c r="AU2257" i="3"/>
  <c r="AU2256" i="3"/>
  <c r="AU2255" i="3"/>
  <c r="AU2254" i="3"/>
  <c r="AU2253" i="3"/>
  <c r="AU2252" i="3"/>
  <c r="AU2251" i="3"/>
  <c r="AU2250" i="3"/>
  <c r="AU2249" i="3"/>
  <c r="AU2248" i="3"/>
  <c r="AU2247" i="3"/>
  <c r="AU2246" i="3"/>
  <c r="AU2245" i="3"/>
  <c r="AU2244" i="3"/>
  <c r="AU2243" i="3"/>
  <c r="AU2242" i="3"/>
  <c r="AU2241" i="3"/>
  <c r="AU2240" i="3"/>
  <c r="AU2239" i="3"/>
  <c r="AU2238" i="3"/>
  <c r="AU2237" i="3"/>
  <c r="AU2236" i="3"/>
  <c r="AU2235" i="3"/>
  <c r="AU2234" i="3"/>
  <c r="AU2233" i="3"/>
  <c r="AU2232" i="3"/>
  <c r="AU2231" i="3"/>
  <c r="AU2230" i="3"/>
  <c r="AU2229" i="3"/>
  <c r="AU2228" i="3"/>
  <c r="AU2227" i="3"/>
  <c r="AU2226" i="3"/>
  <c r="AU2225" i="3"/>
  <c r="AU2224" i="3"/>
  <c r="AU2223" i="3"/>
  <c r="AU2222" i="3"/>
  <c r="AU2221" i="3"/>
  <c r="AU2220" i="3"/>
  <c r="AU2219" i="3"/>
  <c r="AU2218" i="3"/>
  <c r="AU2217" i="3"/>
  <c r="AU2216" i="3"/>
  <c r="AU2215" i="3"/>
  <c r="AU2214" i="3"/>
  <c r="AU2213" i="3"/>
  <c r="AU2212" i="3"/>
  <c r="AU2211" i="3"/>
  <c r="AU2210" i="3"/>
  <c r="AU2209" i="3"/>
  <c r="AU2208" i="3"/>
  <c r="AU2207" i="3"/>
  <c r="AU2206" i="3"/>
  <c r="AU2205" i="3"/>
  <c r="AU2204" i="3"/>
  <c r="AU2203" i="3"/>
  <c r="AU2202" i="3"/>
  <c r="AU2201" i="3"/>
  <c r="AU2200" i="3"/>
  <c r="AU2199" i="3"/>
  <c r="AU2198" i="3"/>
  <c r="AU2197" i="3"/>
  <c r="AU2196" i="3"/>
  <c r="AU2195" i="3"/>
  <c r="AU2194" i="3"/>
  <c r="AU2193" i="3"/>
  <c r="AU2192" i="3"/>
  <c r="AU2191" i="3"/>
  <c r="AU2190" i="3"/>
  <c r="AU2189" i="3"/>
  <c r="AU2188" i="3"/>
  <c r="AU2187" i="3"/>
  <c r="AU2186" i="3"/>
  <c r="AU2185" i="3"/>
  <c r="AU2184" i="3"/>
  <c r="AU2183" i="3"/>
  <c r="AU2182" i="3"/>
  <c r="AU2181" i="3"/>
  <c r="AU2180" i="3"/>
  <c r="AU2179" i="3"/>
  <c r="AU2178" i="3"/>
  <c r="AU2177" i="3"/>
  <c r="AU2176" i="3"/>
  <c r="AU2175" i="3"/>
  <c r="AU2174" i="3"/>
  <c r="AU2173" i="3"/>
  <c r="AU2172" i="3"/>
  <c r="AU2171" i="3"/>
  <c r="AU2170" i="3"/>
  <c r="AU2169" i="3"/>
  <c r="AU2168" i="3"/>
  <c r="AU2167" i="3"/>
  <c r="AU2166" i="3"/>
  <c r="AU2165" i="3"/>
  <c r="AU2164" i="3"/>
  <c r="AU2163" i="3"/>
  <c r="AU2162" i="3"/>
  <c r="AU2161" i="3"/>
  <c r="AU2160" i="3"/>
  <c r="AU2159" i="3"/>
  <c r="AU2158" i="3"/>
  <c r="AU2157" i="3"/>
  <c r="AU2156" i="3"/>
  <c r="AU2155" i="3"/>
  <c r="AU2154" i="3"/>
  <c r="AU2153" i="3"/>
  <c r="AU2152" i="3"/>
  <c r="AU2151" i="3"/>
  <c r="AU2150" i="3"/>
  <c r="AU2149" i="3"/>
  <c r="AU2148" i="3"/>
  <c r="AU2147" i="3"/>
  <c r="AU2146" i="3"/>
  <c r="AU2145" i="3"/>
  <c r="AU2144" i="3"/>
  <c r="AU2143" i="3"/>
  <c r="AU2142" i="3"/>
  <c r="AU2141" i="3"/>
  <c r="AU2140" i="3"/>
  <c r="AU2139" i="3"/>
  <c r="AU2138" i="3"/>
  <c r="AU2137" i="3"/>
  <c r="AU2136" i="3"/>
  <c r="AU2135" i="3"/>
  <c r="AU2134" i="3"/>
  <c r="AU2133" i="3"/>
  <c r="AU2132" i="3"/>
  <c r="AU2131" i="3"/>
  <c r="AU2130" i="3"/>
  <c r="AU2129" i="3"/>
  <c r="AU2128" i="3"/>
  <c r="AU2127" i="3"/>
  <c r="AU2126" i="3"/>
  <c r="AU2125" i="3"/>
  <c r="AU2124" i="3"/>
  <c r="AU2123" i="3"/>
  <c r="AU2122" i="3"/>
  <c r="AU2121" i="3"/>
  <c r="AU2120" i="3"/>
  <c r="AU2119" i="3"/>
  <c r="AU2118" i="3"/>
  <c r="AU2117" i="3"/>
  <c r="AU2116" i="3"/>
  <c r="AU2115" i="3"/>
  <c r="AU2114" i="3"/>
  <c r="AU2113" i="3"/>
  <c r="AU2112" i="3"/>
  <c r="AU2111" i="3"/>
  <c r="AU2110" i="3"/>
  <c r="AU2109" i="3"/>
  <c r="AU2108" i="3"/>
  <c r="AU2107" i="3"/>
  <c r="AU2106" i="3"/>
  <c r="AU2105" i="3"/>
  <c r="AU2104" i="3"/>
  <c r="AU2103" i="3"/>
  <c r="AU2102" i="3"/>
  <c r="AU2101" i="3"/>
  <c r="AU2100" i="3"/>
  <c r="AU2099" i="3"/>
  <c r="AU2098" i="3"/>
  <c r="AU2097" i="3"/>
  <c r="AU2096" i="3"/>
  <c r="AU2095" i="3"/>
  <c r="AU2094" i="3"/>
  <c r="AU2093" i="3"/>
  <c r="AU2092" i="3"/>
  <c r="AU2091" i="3"/>
  <c r="AU2090" i="3"/>
  <c r="AU2089" i="3"/>
  <c r="AU2088" i="3"/>
  <c r="AU2087" i="3"/>
  <c r="AU2086" i="3"/>
  <c r="AU2085" i="3"/>
  <c r="AU2084" i="3"/>
  <c r="AU2083" i="3"/>
  <c r="AU2082" i="3"/>
  <c r="AU2081" i="3"/>
  <c r="AU2080" i="3"/>
  <c r="AU2079" i="3"/>
  <c r="AU2078" i="3"/>
  <c r="AU2077" i="3"/>
  <c r="AU2076" i="3"/>
  <c r="AU2075" i="3"/>
  <c r="AU2074" i="3"/>
  <c r="AU2073" i="3"/>
  <c r="AU2072" i="3"/>
  <c r="AU2071" i="3"/>
  <c r="AU2070" i="3"/>
  <c r="AU2069" i="3"/>
  <c r="AU2068" i="3"/>
  <c r="AU2067" i="3"/>
  <c r="AU2066" i="3"/>
  <c r="AU2065" i="3"/>
  <c r="AU2064" i="3"/>
  <c r="AU2063" i="3"/>
  <c r="AU2062" i="3"/>
  <c r="AU2061" i="3"/>
  <c r="AU2060" i="3"/>
  <c r="AU2059" i="3"/>
  <c r="AU2058" i="3"/>
  <c r="AU2057" i="3"/>
  <c r="AU2056" i="3"/>
  <c r="AU2055" i="3"/>
  <c r="AU2054" i="3"/>
  <c r="AU2053" i="3"/>
  <c r="AU2052" i="3"/>
  <c r="AU2051" i="3"/>
  <c r="AU2050" i="3"/>
  <c r="AU2049" i="3"/>
  <c r="AU2048" i="3"/>
  <c r="AU2047" i="3"/>
  <c r="AU2046" i="3"/>
  <c r="AU2045" i="3"/>
  <c r="AU2044" i="3"/>
  <c r="AU2043" i="3"/>
  <c r="AU2042" i="3"/>
  <c r="AU2041" i="3"/>
  <c r="AU2040" i="3"/>
  <c r="AU2039" i="3"/>
  <c r="AU2038" i="3"/>
  <c r="AU2037" i="3"/>
  <c r="AU2036" i="3"/>
  <c r="AU2035" i="3"/>
  <c r="AU2034" i="3"/>
  <c r="AU2033" i="3"/>
  <c r="AU2032" i="3"/>
  <c r="AU2031" i="3"/>
  <c r="AU2030" i="3"/>
  <c r="AU2029" i="3"/>
  <c r="AU2028" i="3"/>
  <c r="AU2027" i="3"/>
  <c r="AU2026" i="3"/>
  <c r="AU2025" i="3"/>
  <c r="AU2024" i="3"/>
  <c r="AU2023" i="3"/>
  <c r="AU2022" i="3"/>
  <c r="AU2021" i="3"/>
  <c r="AU2020" i="3"/>
  <c r="AU2019" i="3"/>
  <c r="AU2018" i="3"/>
  <c r="AU2017" i="3"/>
  <c r="AU2016" i="3"/>
  <c r="AU2015" i="3"/>
  <c r="AU2014" i="3"/>
  <c r="AU2013" i="3"/>
  <c r="AU2012" i="3"/>
  <c r="AU2011" i="3"/>
  <c r="AU2010" i="3"/>
  <c r="AU2009" i="3"/>
  <c r="AU2008" i="3"/>
  <c r="AU2007" i="3"/>
  <c r="AU2006" i="3"/>
  <c r="AU2005" i="3"/>
  <c r="AU2004" i="3"/>
  <c r="AU2003" i="3"/>
  <c r="AU2002" i="3"/>
  <c r="AU2001" i="3"/>
  <c r="AU2000" i="3"/>
  <c r="AU1999" i="3"/>
  <c r="AU1998" i="3"/>
  <c r="AU1997" i="3"/>
  <c r="AU1996" i="3"/>
  <c r="AU1995" i="3"/>
  <c r="AU1994" i="3"/>
  <c r="AU1993" i="3"/>
  <c r="AU1992" i="3"/>
  <c r="AU1991" i="3"/>
  <c r="AU1990" i="3"/>
  <c r="AU1989" i="3"/>
  <c r="AU1988" i="3"/>
  <c r="AU1987" i="3"/>
  <c r="AU1986" i="3"/>
  <c r="AU1985" i="3"/>
  <c r="AU1984" i="3"/>
  <c r="AU1983" i="3"/>
  <c r="AU1982" i="3"/>
  <c r="AU1981" i="3"/>
  <c r="AU1980" i="3"/>
  <c r="AU1979" i="3"/>
  <c r="AU1978" i="3"/>
  <c r="AU1977" i="3"/>
  <c r="AU1976" i="3"/>
  <c r="AU1975" i="3"/>
  <c r="AU1974" i="3"/>
  <c r="AU1973" i="3"/>
  <c r="AU1972" i="3"/>
  <c r="AU1971" i="3"/>
  <c r="AU1970" i="3"/>
  <c r="AU1969" i="3"/>
  <c r="AU1968" i="3"/>
  <c r="AU1967" i="3"/>
  <c r="AU1966" i="3"/>
  <c r="AU1965" i="3"/>
  <c r="AU1964" i="3"/>
  <c r="AU1963" i="3"/>
  <c r="AU1962" i="3"/>
  <c r="AU1961" i="3"/>
  <c r="AU1960" i="3"/>
  <c r="AU1959" i="3"/>
  <c r="AU1958" i="3"/>
  <c r="AU1957" i="3"/>
  <c r="AU1956" i="3"/>
  <c r="AU1955" i="3"/>
  <c r="AU1954" i="3"/>
  <c r="AU1953" i="3"/>
  <c r="AU1952" i="3"/>
  <c r="AU1951" i="3"/>
  <c r="AU1950" i="3"/>
  <c r="AU1949" i="3"/>
  <c r="AU1948" i="3"/>
  <c r="AU1947" i="3"/>
  <c r="AU1946" i="3"/>
  <c r="AU1945" i="3"/>
  <c r="AU1944" i="3"/>
  <c r="AU1943" i="3"/>
  <c r="AU1942" i="3"/>
  <c r="AU1941" i="3"/>
  <c r="AU1940" i="3"/>
  <c r="AU1939" i="3"/>
  <c r="AU1938" i="3"/>
  <c r="AU1937" i="3"/>
  <c r="AU1936" i="3"/>
  <c r="AU1935" i="3"/>
  <c r="AU1934" i="3"/>
  <c r="AU1933" i="3"/>
  <c r="AU1932" i="3"/>
  <c r="AU1931" i="3"/>
  <c r="AU1930" i="3"/>
  <c r="AU1929" i="3"/>
  <c r="AU1928" i="3"/>
  <c r="AU1927" i="3"/>
  <c r="AU1926" i="3"/>
  <c r="AU1925" i="3"/>
  <c r="AU1924" i="3"/>
  <c r="AU1923" i="3"/>
  <c r="AU1922" i="3"/>
  <c r="AU1921" i="3"/>
  <c r="AU1920" i="3"/>
  <c r="AU1919" i="3"/>
  <c r="AU1918" i="3"/>
  <c r="AU1917" i="3"/>
  <c r="AU1916" i="3"/>
  <c r="AU1915" i="3"/>
  <c r="AU1914" i="3"/>
  <c r="AU1913" i="3"/>
  <c r="AU1912" i="3"/>
  <c r="AU1911" i="3"/>
  <c r="AU1910" i="3"/>
  <c r="AU1909" i="3"/>
  <c r="AU1908" i="3"/>
  <c r="AU1907" i="3"/>
  <c r="AU1906" i="3"/>
  <c r="AU1905" i="3"/>
  <c r="AU1904" i="3"/>
  <c r="AU1903" i="3"/>
  <c r="AU1902" i="3"/>
  <c r="AU1901" i="3"/>
  <c r="AU1900" i="3"/>
  <c r="AU1899" i="3"/>
  <c r="AU1898" i="3"/>
  <c r="AU1897" i="3"/>
  <c r="AU1896" i="3"/>
  <c r="AU1895" i="3"/>
  <c r="AU1894" i="3"/>
  <c r="AU1893" i="3"/>
  <c r="AU1892" i="3"/>
  <c r="AU1891" i="3"/>
  <c r="AU1890" i="3"/>
  <c r="AU1889" i="3"/>
  <c r="AU1888" i="3"/>
  <c r="AU1887" i="3"/>
  <c r="AU1886" i="3"/>
  <c r="AU1885" i="3"/>
  <c r="AU1884" i="3"/>
  <c r="AU1883" i="3"/>
  <c r="AU1882" i="3"/>
  <c r="AU1881" i="3"/>
  <c r="AU1880" i="3"/>
  <c r="AU1879" i="3"/>
  <c r="AU1878" i="3"/>
  <c r="AU1877" i="3"/>
  <c r="AU1876" i="3"/>
  <c r="AU1875" i="3"/>
  <c r="AU1874" i="3"/>
  <c r="AU1873" i="3"/>
  <c r="AU1872" i="3"/>
  <c r="AU1871" i="3"/>
  <c r="AU1870" i="3"/>
  <c r="AU1869" i="3"/>
  <c r="AU1868" i="3"/>
  <c r="AU1867" i="3"/>
  <c r="AU1866" i="3"/>
  <c r="AU1865" i="3"/>
  <c r="AU1864" i="3"/>
  <c r="AU1863" i="3"/>
  <c r="AU1862" i="3"/>
  <c r="AU1861" i="3"/>
  <c r="AU1860" i="3"/>
  <c r="AU1859" i="3"/>
  <c r="AU1858" i="3"/>
  <c r="AU1857" i="3"/>
  <c r="AU1856" i="3"/>
  <c r="AU1855" i="3"/>
  <c r="AU1854" i="3"/>
  <c r="AU1853" i="3"/>
  <c r="AU1852" i="3"/>
  <c r="AU1851" i="3"/>
  <c r="AU1850" i="3"/>
  <c r="AU1849" i="3"/>
  <c r="AU1848" i="3"/>
  <c r="AU1847" i="3"/>
  <c r="AU1846" i="3"/>
  <c r="AU1845" i="3"/>
  <c r="AU1844" i="3"/>
  <c r="AU1843" i="3"/>
  <c r="AU1842" i="3"/>
  <c r="AU1841" i="3"/>
  <c r="AU1840" i="3"/>
  <c r="AU1839" i="3"/>
  <c r="AU1838" i="3"/>
  <c r="AU1837" i="3"/>
  <c r="AU1836" i="3"/>
  <c r="AU1835" i="3"/>
  <c r="AU1834" i="3"/>
  <c r="AU1833" i="3"/>
  <c r="AU1832" i="3"/>
  <c r="AU1831" i="3"/>
  <c r="AU1830" i="3"/>
  <c r="AU1829" i="3"/>
  <c r="AU1828" i="3"/>
  <c r="AU1827" i="3"/>
  <c r="AU1826" i="3"/>
  <c r="AU1825" i="3"/>
  <c r="AU1824" i="3"/>
  <c r="AU1823" i="3"/>
  <c r="AU1822" i="3"/>
  <c r="AU1821" i="3"/>
  <c r="AU1820" i="3"/>
  <c r="AU1819" i="3"/>
  <c r="AU1818" i="3"/>
  <c r="AU1817" i="3"/>
  <c r="AU1816" i="3"/>
  <c r="AU1815" i="3"/>
  <c r="AU1814" i="3"/>
  <c r="AU1813" i="3"/>
  <c r="AU1812" i="3"/>
  <c r="AU1811" i="3"/>
  <c r="AU1810" i="3"/>
  <c r="AU1809" i="3"/>
  <c r="AU1808" i="3"/>
  <c r="AU1807" i="3"/>
  <c r="AU1806" i="3"/>
  <c r="AU1805" i="3"/>
  <c r="AU1804" i="3"/>
  <c r="AU1803" i="3"/>
  <c r="AU1802" i="3"/>
  <c r="AU1801" i="3"/>
  <c r="AU1800" i="3"/>
  <c r="AU1799" i="3"/>
  <c r="AU1798" i="3"/>
  <c r="AU1797" i="3"/>
  <c r="AU1796" i="3"/>
  <c r="AU1795" i="3"/>
  <c r="AU1794" i="3"/>
  <c r="AU1793" i="3"/>
  <c r="AU1792" i="3"/>
  <c r="AU1791" i="3"/>
  <c r="AU1790" i="3"/>
  <c r="AU1789" i="3"/>
  <c r="AU1788" i="3"/>
  <c r="AU1787" i="3"/>
  <c r="AU1786" i="3"/>
  <c r="AU1785" i="3"/>
  <c r="AU1784" i="3"/>
  <c r="AU1783" i="3"/>
  <c r="AU1782" i="3"/>
  <c r="AU1781" i="3"/>
  <c r="AU1780" i="3"/>
  <c r="AU1779" i="3"/>
  <c r="AU1778" i="3"/>
  <c r="AU1777" i="3"/>
  <c r="AU1776" i="3"/>
  <c r="AU1775" i="3"/>
  <c r="AU1774" i="3"/>
  <c r="AU1773" i="3"/>
  <c r="AU1772" i="3"/>
  <c r="AU1771" i="3"/>
  <c r="AU1770" i="3"/>
  <c r="AU1769" i="3"/>
  <c r="AU1768" i="3"/>
  <c r="AU1767" i="3"/>
  <c r="AU1766" i="3"/>
  <c r="AU1765" i="3"/>
  <c r="AU1764" i="3"/>
  <c r="AU1763" i="3"/>
  <c r="AU1762" i="3"/>
  <c r="AU1761" i="3"/>
  <c r="AU1760" i="3"/>
  <c r="AU1759" i="3"/>
  <c r="AU1758" i="3"/>
  <c r="AU1757" i="3"/>
  <c r="AU1756" i="3"/>
  <c r="AU1755" i="3"/>
  <c r="AU1754" i="3"/>
  <c r="AU1753" i="3"/>
  <c r="AU1752" i="3"/>
  <c r="AU1751" i="3"/>
  <c r="AU1750" i="3"/>
  <c r="AU1749" i="3"/>
  <c r="AU1748" i="3"/>
  <c r="AU1747" i="3"/>
  <c r="AU1746" i="3"/>
  <c r="AU1745" i="3"/>
  <c r="AU1744" i="3"/>
  <c r="AU1743" i="3"/>
  <c r="AU1742" i="3"/>
  <c r="AU1741" i="3"/>
  <c r="AU1740" i="3"/>
  <c r="AU1739" i="3"/>
  <c r="AU1738" i="3"/>
  <c r="AU1737" i="3"/>
  <c r="AU1736" i="3"/>
  <c r="AU1735" i="3"/>
  <c r="AU1734" i="3"/>
  <c r="AU1733" i="3"/>
  <c r="AU1732" i="3"/>
  <c r="AU1731" i="3"/>
  <c r="AU1730" i="3"/>
  <c r="AU1729" i="3"/>
  <c r="AU1728" i="3"/>
  <c r="AU1727" i="3"/>
  <c r="AU1726" i="3"/>
  <c r="AU1725" i="3"/>
  <c r="AU1724" i="3"/>
  <c r="AU1723" i="3"/>
  <c r="AU1722" i="3"/>
  <c r="AU1721" i="3"/>
  <c r="AU1720" i="3"/>
  <c r="AU1719" i="3"/>
  <c r="AU1718" i="3"/>
  <c r="AU1717" i="3"/>
  <c r="AU1716" i="3"/>
  <c r="AU1715" i="3"/>
  <c r="AU1714" i="3"/>
  <c r="AU1713" i="3"/>
  <c r="AU1712" i="3"/>
  <c r="AU1711" i="3"/>
  <c r="AU1710" i="3"/>
  <c r="AU1709" i="3"/>
  <c r="AU1708" i="3"/>
  <c r="AU1707" i="3"/>
  <c r="AU1706" i="3"/>
  <c r="AU1705" i="3"/>
  <c r="AU1704" i="3"/>
  <c r="AU1703" i="3"/>
  <c r="AU1702" i="3"/>
  <c r="AU1701" i="3"/>
  <c r="AU1700" i="3"/>
  <c r="AU1699" i="3"/>
  <c r="AU1698" i="3"/>
  <c r="AU1697" i="3"/>
  <c r="AU1696" i="3"/>
  <c r="AU1695" i="3"/>
  <c r="AU1694" i="3"/>
  <c r="AU1693" i="3"/>
  <c r="AU1692" i="3"/>
  <c r="AU1691" i="3"/>
  <c r="AU1690" i="3"/>
  <c r="AU1689" i="3"/>
  <c r="AU1688" i="3"/>
  <c r="AU1687" i="3"/>
  <c r="AU1686" i="3"/>
  <c r="AU1685" i="3"/>
  <c r="AU1684" i="3"/>
  <c r="AU1683" i="3"/>
  <c r="AU1682" i="3"/>
  <c r="AU1681" i="3"/>
  <c r="AU1680" i="3"/>
  <c r="AU1679" i="3"/>
  <c r="AU1678" i="3"/>
  <c r="AU1677" i="3"/>
  <c r="AU1676" i="3"/>
  <c r="AU1675" i="3"/>
  <c r="AU1674" i="3"/>
  <c r="AU1673" i="3"/>
  <c r="AU1672" i="3"/>
  <c r="AU1671" i="3"/>
  <c r="AU1670" i="3"/>
  <c r="AU1669" i="3"/>
  <c r="AU1668" i="3"/>
  <c r="AU1667" i="3"/>
  <c r="AU1666" i="3"/>
  <c r="AU1665" i="3"/>
  <c r="AU1664" i="3"/>
  <c r="AU1663" i="3"/>
  <c r="AU1662" i="3"/>
  <c r="AU1661" i="3"/>
  <c r="AU1660" i="3"/>
  <c r="AU1659" i="3"/>
  <c r="AU1658" i="3"/>
  <c r="AU1657" i="3"/>
  <c r="AU1656" i="3"/>
  <c r="AU1655" i="3"/>
  <c r="AU1654" i="3"/>
  <c r="AU1653" i="3"/>
  <c r="AU1652" i="3"/>
  <c r="AU1651" i="3"/>
  <c r="AU1650" i="3"/>
  <c r="AU1649" i="3"/>
  <c r="AU1648" i="3"/>
  <c r="AU1647" i="3"/>
  <c r="AU1646" i="3"/>
  <c r="AU1645" i="3"/>
  <c r="AU1644" i="3"/>
  <c r="AU1643" i="3"/>
  <c r="AU1642" i="3"/>
  <c r="AU1641" i="3"/>
  <c r="AU1640" i="3"/>
  <c r="AU1639" i="3"/>
  <c r="AU1638" i="3"/>
  <c r="AU1637" i="3"/>
  <c r="AU1636" i="3"/>
  <c r="AU1635" i="3"/>
  <c r="AU1634" i="3"/>
  <c r="AU1633" i="3"/>
  <c r="AU1632" i="3"/>
  <c r="AU1631" i="3"/>
  <c r="AU1630" i="3"/>
  <c r="AU1629" i="3"/>
  <c r="AU1628" i="3"/>
  <c r="AU1627" i="3"/>
  <c r="AU1626" i="3"/>
  <c r="AU1625" i="3"/>
  <c r="AU1624" i="3"/>
  <c r="AU1623" i="3"/>
  <c r="AU1622" i="3"/>
  <c r="AU1621" i="3"/>
  <c r="AU1620" i="3"/>
  <c r="AU1619" i="3"/>
  <c r="AU1618" i="3"/>
  <c r="AU1617" i="3"/>
  <c r="AU1616" i="3"/>
  <c r="AU1615" i="3"/>
  <c r="AU1614" i="3"/>
  <c r="AU1613" i="3"/>
  <c r="AU1612" i="3"/>
  <c r="AU1611" i="3"/>
  <c r="AU1610" i="3"/>
  <c r="AU1609" i="3"/>
  <c r="AU1608" i="3"/>
  <c r="AU1607" i="3"/>
  <c r="AU1606" i="3"/>
  <c r="AU1605" i="3"/>
  <c r="AU1604" i="3"/>
  <c r="AU1603" i="3"/>
  <c r="AU1602" i="3"/>
  <c r="AU1601" i="3"/>
  <c r="AU1600" i="3"/>
  <c r="AU1599" i="3"/>
  <c r="AU1598" i="3"/>
  <c r="AU1597" i="3"/>
  <c r="AU1596" i="3"/>
  <c r="AU1595" i="3"/>
  <c r="AU1594" i="3"/>
  <c r="AU1593" i="3"/>
  <c r="AU1592" i="3"/>
  <c r="AU1591" i="3"/>
  <c r="AU1590" i="3"/>
  <c r="AU1589" i="3"/>
  <c r="AU1588" i="3"/>
  <c r="AU1587" i="3"/>
  <c r="AU1586" i="3"/>
  <c r="AU1585" i="3"/>
  <c r="AU1584" i="3"/>
  <c r="AU1583" i="3"/>
  <c r="AU1582" i="3"/>
  <c r="AU1581" i="3"/>
  <c r="AU1580" i="3"/>
  <c r="AU1579" i="3"/>
  <c r="AU1578" i="3"/>
  <c r="AU1577" i="3"/>
  <c r="AU1576" i="3"/>
  <c r="AU1575" i="3"/>
  <c r="AU1574" i="3"/>
  <c r="AU1573" i="3"/>
  <c r="AU1572" i="3"/>
  <c r="AU1571" i="3"/>
  <c r="AU1570" i="3"/>
  <c r="AU1569" i="3"/>
  <c r="AU1568" i="3"/>
  <c r="AU1567" i="3"/>
  <c r="AU1566" i="3"/>
  <c r="AU1565" i="3"/>
  <c r="AU1564" i="3"/>
  <c r="AU1563" i="3"/>
  <c r="AU1562" i="3"/>
  <c r="AU1561" i="3"/>
  <c r="AU1560" i="3"/>
  <c r="AU1559" i="3"/>
  <c r="AU1558" i="3"/>
  <c r="AU1557" i="3"/>
  <c r="AU1556" i="3"/>
  <c r="AU1555" i="3"/>
  <c r="AU1554" i="3"/>
  <c r="AU1553" i="3"/>
  <c r="AU1552" i="3"/>
  <c r="AU1551" i="3"/>
  <c r="AU1550" i="3"/>
  <c r="AU1549" i="3"/>
  <c r="AU1548" i="3"/>
  <c r="AU1547" i="3"/>
  <c r="AU1546" i="3"/>
  <c r="AU1545" i="3"/>
  <c r="AU1544" i="3"/>
  <c r="AU1543" i="3"/>
  <c r="AU1542" i="3"/>
  <c r="AU1541" i="3"/>
  <c r="AU1540" i="3"/>
  <c r="AU1539" i="3"/>
  <c r="AU1538" i="3"/>
  <c r="AU1537" i="3"/>
  <c r="AU1536" i="3"/>
  <c r="AU1535" i="3"/>
  <c r="AU1534" i="3"/>
  <c r="AU1533" i="3"/>
  <c r="AU1532" i="3"/>
  <c r="AU1531" i="3"/>
  <c r="AU1530" i="3"/>
  <c r="AU1529" i="3"/>
  <c r="AU1528" i="3"/>
  <c r="AU1527" i="3"/>
  <c r="AU1526" i="3"/>
  <c r="AU1525" i="3"/>
  <c r="AU1524" i="3"/>
  <c r="AU1523" i="3"/>
  <c r="AU1522" i="3"/>
  <c r="AU1521" i="3"/>
  <c r="AU1520" i="3"/>
  <c r="AU1519" i="3"/>
  <c r="AU1518" i="3"/>
  <c r="AU1517" i="3"/>
  <c r="AU1516" i="3"/>
  <c r="AU1515" i="3"/>
  <c r="AU1514" i="3"/>
  <c r="AU1513" i="3"/>
  <c r="AU1512" i="3"/>
  <c r="AU1511" i="3"/>
  <c r="AU1510" i="3"/>
  <c r="AU1509" i="3"/>
  <c r="AU1508" i="3"/>
  <c r="AU1507" i="3"/>
  <c r="AU1506" i="3"/>
  <c r="AU1505" i="3"/>
  <c r="AU1504" i="3"/>
  <c r="AU1503" i="3"/>
  <c r="AU1502" i="3"/>
  <c r="AU1501" i="3"/>
  <c r="AU1500" i="3"/>
  <c r="AU1499" i="3"/>
  <c r="AU1498" i="3"/>
  <c r="AU1497" i="3"/>
  <c r="AU1496" i="3"/>
  <c r="AU1495" i="3"/>
  <c r="AU1494" i="3"/>
  <c r="AU1493" i="3"/>
  <c r="AU1492" i="3"/>
  <c r="AU1491" i="3"/>
  <c r="AU1490" i="3"/>
  <c r="AU1489" i="3"/>
  <c r="AU1488" i="3"/>
  <c r="AU1487" i="3"/>
  <c r="AU1486" i="3"/>
  <c r="AU1485" i="3"/>
  <c r="AU1484" i="3"/>
  <c r="AU1483" i="3"/>
  <c r="AU1482" i="3"/>
  <c r="AU1481" i="3"/>
  <c r="AU1480" i="3"/>
  <c r="AU1479" i="3"/>
  <c r="AU1478" i="3"/>
  <c r="AU1477" i="3"/>
  <c r="AU1476" i="3"/>
  <c r="AU1475" i="3"/>
  <c r="AU1474" i="3"/>
  <c r="AU1473" i="3"/>
  <c r="AU1472" i="3"/>
  <c r="AU1471" i="3"/>
  <c r="AU1470" i="3"/>
  <c r="AU1469" i="3"/>
  <c r="AU1468" i="3"/>
  <c r="AU1467" i="3"/>
  <c r="AU1466" i="3"/>
  <c r="AU1465" i="3"/>
  <c r="AU1464" i="3"/>
  <c r="AU1463" i="3"/>
  <c r="AU1462" i="3"/>
  <c r="AU1461" i="3"/>
  <c r="AU1460" i="3"/>
  <c r="AU1459" i="3"/>
  <c r="AU1458" i="3"/>
  <c r="AU1457" i="3"/>
  <c r="AU1456" i="3"/>
  <c r="AU1455" i="3"/>
  <c r="AU1454" i="3"/>
  <c r="AU1453" i="3"/>
  <c r="AU1452" i="3"/>
  <c r="AU1451" i="3"/>
  <c r="AU1450" i="3"/>
  <c r="AU1449" i="3"/>
  <c r="AU1448" i="3"/>
  <c r="AU1447" i="3"/>
  <c r="AU1446" i="3"/>
  <c r="AU1445" i="3"/>
  <c r="AU1444" i="3"/>
  <c r="AU1443" i="3"/>
  <c r="AU1442" i="3"/>
  <c r="AU1441" i="3"/>
  <c r="AU1440" i="3"/>
  <c r="AU1439" i="3"/>
  <c r="AU1438" i="3"/>
  <c r="AU1437" i="3"/>
  <c r="AU1436" i="3"/>
  <c r="AU1435" i="3"/>
  <c r="AU1434" i="3"/>
  <c r="AU1433" i="3"/>
  <c r="AU1432" i="3"/>
  <c r="AU1431" i="3"/>
  <c r="AU1430" i="3"/>
  <c r="AU1429" i="3"/>
  <c r="AU1428" i="3"/>
  <c r="AU1427" i="3"/>
  <c r="AU1426" i="3"/>
  <c r="AU1425" i="3"/>
  <c r="AU1424" i="3"/>
  <c r="AU1423" i="3"/>
  <c r="AU1422" i="3"/>
  <c r="AU1421" i="3"/>
  <c r="AU1420" i="3"/>
  <c r="AU1419" i="3"/>
  <c r="AU1418" i="3"/>
  <c r="AU1417" i="3"/>
  <c r="AU1416" i="3"/>
  <c r="AU1415" i="3"/>
  <c r="AU1414" i="3"/>
  <c r="AU1413" i="3"/>
  <c r="AU1412" i="3"/>
  <c r="AU1411" i="3"/>
  <c r="AU1410" i="3"/>
  <c r="AU1409" i="3"/>
  <c r="AU1408" i="3"/>
  <c r="AU1407" i="3"/>
  <c r="AU1406" i="3"/>
  <c r="AU1405" i="3"/>
  <c r="AU1404" i="3"/>
  <c r="AU1403" i="3"/>
  <c r="AU1402" i="3"/>
  <c r="AU1401" i="3"/>
  <c r="AU1400" i="3"/>
  <c r="AU1399" i="3"/>
  <c r="AU1398" i="3"/>
  <c r="AU1397" i="3"/>
  <c r="AU1396" i="3"/>
  <c r="AU1395" i="3"/>
  <c r="AU1394" i="3"/>
  <c r="AU1393" i="3"/>
  <c r="AU1392" i="3"/>
  <c r="AU1391" i="3"/>
  <c r="AU1390" i="3"/>
  <c r="AU1389" i="3"/>
  <c r="AU1388" i="3"/>
  <c r="AU1387" i="3"/>
  <c r="AU1386" i="3"/>
  <c r="AU1385" i="3"/>
  <c r="AU1384" i="3"/>
  <c r="AU1383" i="3"/>
  <c r="AU1382" i="3"/>
  <c r="AU1381" i="3"/>
  <c r="AU1380" i="3"/>
  <c r="AU1379" i="3"/>
  <c r="AU1378" i="3"/>
  <c r="AU1377" i="3"/>
  <c r="AU1376" i="3"/>
  <c r="AU1375" i="3"/>
  <c r="AU1374" i="3"/>
  <c r="AU1373" i="3"/>
  <c r="AU1372" i="3"/>
  <c r="AU1371" i="3"/>
  <c r="AU1370" i="3"/>
  <c r="AU1369" i="3"/>
  <c r="AU1368" i="3"/>
  <c r="AU1367" i="3"/>
  <c r="AU1366" i="3"/>
  <c r="AU1365" i="3"/>
  <c r="AU1364" i="3"/>
  <c r="AU1363" i="3"/>
  <c r="AU1362" i="3"/>
  <c r="AU1361" i="3"/>
  <c r="AU1360" i="3"/>
  <c r="AU1359" i="3"/>
  <c r="AU1358" i="3"/>
  <c r="AU1357" i="3"/>
  <c r="AU1356" i="3"/>
  <c r="AU1355" i="3"/>
  <c r="AU1354" i="3"/>
  <c r="AU1353" i="3"/>
  <c r="AU1352" i="3"/>
  <c r="AU1351" i="3"/>
  <c r="AU1350" i="3"/>
  <c r="AU1349" i="3"/>
  <c r="AU1348" i="3"/>
  <c r="AU1347" i="3"/>
  <c r="AU1346" i="3"/>
  <c r="AU1345" i="3"/>
  <c r="AU1344" i="3"/>
  <c r="AU1343" i="3"/>
  <c r="AU1342" i="3"/>
  <c r="AU1341" i="3"/>
  <c r="AU1340" i="3"/>
  <c r="AU1339" i="3"/>
  <c r="AU1338" i="3"/>
  <c r="AU1337" i="3"/>
  <c r="AU1336" i="3"/>
  <c r="AU1335" i="3"/>
  <c r="AU1334" i="3"/>
  <c r="AU1333" i="3"/>
  <c r="AU1332" i="3"/>
  <c r="AU1331" i="3"/>
  <c r="AU1330" i="3"/>
  <c r="AU1329" i="3"/>
  <c r="AU1328" i="3"/>
  <c r="AU1327" i="3"/>
  <c r="AU1326" i="3"/>
  <c r="AU1325" i="3"/>
  <c r="AU1324" i="3"/>
  <c r="AU1323" i="3"/>
  <c r="AU1322" i="3"/>
  <c r="AU1321" i="3"/>
  <c r="AU1320" i="3"/>
  <c r="AU1319" i="3"/>
  <c r="AU1318" i="3"/>
  <c r="AU1317" i="3"/>
  <c r="AU1316" i="3"/>
  <c r="AU1315" i="3"/>
  <c r="AU1314" i="3"/>
  <c r="AU1313" i="3"/>
  <c r="AU1312" i="3"/>
  <c r="AU1311" i="3"/>
  <c r="AU1310" i="3"/>
  <c r="AU1309" i="3"/>
  <c r="AU1308" i="3"/>
  <c r="AU1307" i="3"/>
  <c r="AU1306" i="3"/>
  <c r="AU1305" i="3"/>
  <c r="AU1304" i="3"/>
  <c r="AU1303" i="3"/>
  <c r="AU1302" i="3"/>
  <c r="AU1301" i="3"/>
  <c r="AU1300" i="3"/>
  <c r="AU1299" i="3"/>
  <c r="AU1298" i="3"/>
  <c r="AU1297" i="3"/>
  <c r="AU1296" i="3"/>
  <c r="AU1295" i="3"/>
  <c r="AU1294" i="3"/>
  <c r="AU1293" i="3"/>
  <c r="AU1292" i="3"/>
  <c r="AU1291" i="3"/>
  <c r="AU1290" i="3"/>
  <c r="AU1289" i="3"/>
  <c r="AU1288" i="3"/>
  <c r="AU1287" i="3"/>
  <c r="AU1286" i="3"/>
  <c r="AU1285" i="3"/>
  <c r="AU1284" i="3"/>
  <c r="AU1283" i="3"/>
  <c r="AU1282" i="3"/>
  <c r="AU1281" i="3"/>
  <c r="AU1280" i="3"/>
  <c r="AU1279" i="3"/>
  <c r="AU1278" i="3"/>
  <c r="AU1277" i="3"/>
  <c r="AU1276" i="3"/>
  <c r="AU1275" i="3"/>
  <c r="AU1274" i="3"/>
  <c r="AU1273" i="3"/>
  <c r="AU1272" i="3"/>
  <c r="AU1271" i="3"/>
  <c r="AU1270" i="3"/>
  <c r="AU1269" i="3"/>
  <c r="AU1268" i="3"/>
  <c r="AU1267" i="3"/>
  <c r="AU1266" i="3"/>
  <c r="AU1265" i="3"/>
  <c r="AU1264" i="3"/>
  <c r="AU1263" i="3"/>
  <c r="AU1262" i="3"/>
  <c r="AU1261" i="3"/>
  <c r="AU1260" i="3"/>
  <c r="AU1259" i="3"/>
  <c r="AU1258" i="3"/>
  <c r="AU1257" i="3"/>
  <c r="AU1256" i="3"/>
  <c r="AU1255" i="3"/>
  <c r="AU1254" i="3"/>
  <c r="AU1253" i="3"/>
  <c r="AU1252" i="3"/>
  <c r="AU1251" i="3"/>
  <c r="AU1250" i="3"/>
  <c r="AU1249" i="3"/>
  <c r="AU1248" i="3"/>
  <c r="AU1247" i="3"/>
  <c r="AU1246" i="3"/>
  <c r="AU1245" i="3"/>
  <c r="AU1244" i="3"/>
  <c r="AU1243" i="3"/>
  <c r="AU1242" i="3"/>
  <c r="AU1241" i="3"/>
  <c r="AU1240" i="3"/>
  <c r="AU1239" i="3"/>
  <c r="AU1238" i="3"/>
  <c r="AU1237" i="3"/>
  <c r="AU1236" i="3"/>
  <c r="AU1235" i="3"/>
  <c r="AU1234" i="3"/>
  <c r="AU1233" i="3"/>
  <c r="AU1232" i="3"/>
  <c r="AU1231" i="3"/>
  <c r="AU1230" i="3"/>
  <c r="AU1229" i="3"/>
  <c r="AU1228" i="3"/>
  <c r="AU1227" i="3"/>
  <c r="AU1226" i="3"/>
  <c r="AU1225" i="3"/>
  <c r="AU1224" i="3"/>
  <c r="AU1223" i="3"/>
  <c r="AU1222" i="3"/>
  <c r="AU1221" i="3"/>
  <c r="AU1220" i="3"/>
  <c r="AU1219" i="3"/>
  <c r="AU1218" i="3"/>
  <c r="AU1217" i="3"/>
  <c r="AU1216" i="3"/>
  <c r="AU1215" i="3"/>
  <c r="AU1214" i="3"/>
  <c r="AU1213" i="3"/>
  <c r="AU1212" i="3"/>
  <c r="AU1211" i="3"/>
  <c r="AU1210" i="3"/>
  <c r="AU1209" i="3"/>
  <c r="AU1208" i="3"/>
  <c r="AU1207" i="3"/>
  <c r="AU1206" i="3"/>
  <c r="AU1205" i="3"/>
  <c r="AU1204" i="3"/>
  <c r="AU1203" i="3"/>
  <c r="AU1202" i="3"/>
  <c r="AU1201" i="3"/>
  <c r="AU1200" i="3"/>
  <c r="AU1199" i="3"/>
  <c r="AU1198" i="3"/>
  <c r="AU1197" i="3"/>
  <c r="AU1196" i="3"/>
  <c r="AU1195" i="3"/>
  <c r="AU1194" i="3"/>
  <c r="AU1193" i="3"/>
  <c r="AU1192" i="3"/>
  <c r="AU1191" i="3"/>
  <c r="AU1190" i="3"/>
  <c r="AU1189" i="3"/>
  <c r="AU1188" i="3"/>
  <c r="AU1187" i="3"/>
  <c r="AU1186" i="3"/>
  <c r="AU1185" i="3"/>
  <c r="AU1184" i="3"/>
  <c r="AU1183" i="3"/>
  <c r="AU1182" i="3"/>
  <c r="AU1181" i="3"/>
  <c r="AU1180" i="3"/>
  <c r="AU1179" i="3"/>
  <c r="AU1178" i="3"/>
  <c r="AU1177" i="3"/>
  <c r="AU1176" i="3"/>
  <c r="AU1175" i="3"/>
  <c r="AU1174" i="3"/>
  <c r="AU1173" i="3"/>
  <c r="AU1172" i="3"/>
  <c r="AU1171" i="3"/>
  <c r="AU1170" i="3"/>
  <c r="AU1169" i="3"/>
  <c r="AU1168" i="3"/>
  <c r="AU1167" i="3"/>
  <c r="AU1166" i="3"/>
  <c r="AU1165" i="3"/>
  <c r="AU1164" i="3"/>
  <c r="AU1163" i="3"/>
  <c r="AU1162" i="3"/>
  <c r="AU1161" i="3"/>
  <c r="AU1160" i="3"/>
  <c r="AU1159" i="3"/>
  <c r="AU1158" i="3"/>
  <c r="AU1157" i="3"/>
  <c r="AU1156" i="3"/>
  <c r="AU1155" i="3"/>
  <c r="AU1154" i="3"/>
  <c r="AU1153" i="3"/>
  <c r="AU1152" i="3"/>
  <c r="AU1151" i="3"/>
  <c r="AU1150" i="3"/>
  <c r="AU1149" i="3"/>
  <c r="AU1148" i="3"/>
  <c r="AU1147" i="3"/>
  <c r="AU1146" i="3"/>
  <c r="AU1145" i="3"/>
  <c r="AU1144" i="3"/>
  <c r="AU1143" i="3"/>
  <c r="AU1142" i="3"/>
  <c r="AU1141" i="3"/>
  <c r="AU1140" i="3"/>
  <c r="AU1139" i="3"/>
  <c r="AU1138" i="3"/>
  <c r="AU1137" i="3"/>
  <c r="AU1136" i="3"/>
  <c r="AU1135" i="3"/>
  <c r="AU1134" i="3"/>
  <c r="AU1133" i="3"/>
  <c r="AU1132" i="3"/>
  <c r="AU1131" i="3"/>
  <c r="AU1130" i="3"/>
  <c r="AU1129" i="3"/>
  <c r="AU1128" i="3"/>
  <c r="AU1127" i="3"/>
  <c r="AU1126" i="3"/>
  <c r="AU1125" i="3"/>
  <c r="AU1124" i="3"/>
  <c r="AU1123" i="3"/>
  <c r="AU1122" i="3"/>
  <c r="AU1121" i="3"/>
  <c r="AU1120" i="3"/>
  <c r="AU1119" i="3"/>
  <c r="AU1118" i="3"/>
  <c r="AU1117" i="3"/>
  <c r="AU1116" i="3"/>
  <c r="AU1115" i="3"/>
  <c r="AU1114" i="3"/>
  <c r="AU1113" i="3"/>
  <c r="AU1112" i="3"/>
  <c r="AU1111" i="3"/>
  <c r="AU1110" i="3"/>
  <c r="AU1109" i="3"/>
  <c r="AU1108" i="3"/>
  <c r="AU1107" i="3"/>
  <c r="AU1106" i="3"/>
  <c r="AU1105" i="3"/>
  <c r="AU1104" i="3"/>
  <c r="AU1103" i="3"/>
  <c r="AU1102" i="3"/>
  <c r="AU1101" i="3"/>
  <c r="AU1100" i="3"/>
  <c r="AU1099" i="3"/>
  <c r="AU1098" i="3"/>
  <c r="AU1097" i="3"/>
  <c r="AU1096" i="3"/>
  <c r="AU1095" i="3"/>
  <c r="AU1094" i="3"/>
  <c r="AU1093" i="3"/>
  <c r="AU1092" i="3"/>
  <c r="AU1091" i="3"/>
  <c r="AU1090" i="3"/>
  <c r="AU1089" i="3"/>
  <c r="AU1088" i="3"/>
  <c r="AU1087" i="3"/>
  <c r="AU1086" i="3"/>
  <c r="AU1085" i="3"/>
  <c r="AU1084" i="3"/>
  <c r="AU1083" i="3"/>
  <c r="AU1082" i="3"/>
  <c r="AU1081" i="3"/>
  <c r="AU1080" i="3"/>
  <c r="AU1079" i="3"/>
  <c r="AU1078" i="3"/>
  <c r="AU1077" i="3"/>
  <c r="AU1076" i="3"/>
  <c r="AU1075" i="3"/>
  <c r="AU1074" i="3"/>
  <c r="AU1073" i="3"/>
  <c r="AU1072" i="3"/>
  <c r="AU1071" i="3"/>
  <c r="AU1070" i="3"/>
  <c r="AU1069" i="3"/>
  <c r="AU1068" i="3"/>
  <c r="AU1067" i="3"/>
  <c r="AU1066" i="3"/>
  <c r="AU1065" i="3"/>
  <c r="AU1064" i="3"/>
  <c r="AU1063" i="3"/>
  <c r="AU1062" i="3"/>
  <c r="AU1061" i="3"/>
  <c r="AU1060" i="3"/>
  <c r="AU1059" i="3"/>
  <c r="AU1058" i="3"/>
  <c r="AU1057" i="3"/>
  <c r="AU1056" i="3"/>
  <c r="AU1055" i="3"/>
  <c r="AU1054" i="3"/>
  <c r="AU1053" i="3"/>
  <c r="AU1052" i="3"/>
  <c r="AU1051" i="3"/>
  <c r="AU1050" i="3"/>
  <c r="AU1049" i="3"/>
  <c r="AU1048" i="3"/>
  <c r="AU1047" i="3"/>
  <c r="AU1046" i="3"/>
  <c r="AU1045" i="3"/>
  <c r="AU1044" i="3"/>
  <c r="AU1043" i="3"/>
  <c r="AU1042" i="3"/>
  <c r="AU1041" i="3"/>
  <c r="AU1040" i="3"/>
  <c r="AU1039" i="3"/>
  <c r="AU1038" i="3"/>
  <c r="AU1037" i="3"/>
  <c r="AU1036" i="3"/>
  <c r="AU1035" i="3"/>
  <c r="AU1034" i="3"/>
  <c r="AU1033" i="3"/>
  <c r="AU1032" i="3"/>
  <c r="AU1031" i="3"/>
  <c r="AU1030" i="3"/>
  <c r="AU1029" i="3"/>
  <c r="AU1028" i="3"/>
  <c r="AU1027" i="3"/>
  <c r="AU1026" i="3"/>
  <c r="AU1025" i="3"/>
  <c r="AU1024" i="3"/>
  <c r="AU1023" i="3"/>
  <c r="AU1022" i="3"/>
  <c r="AU1021" i="3"/>
  <c r="AU1020" i="3"/>
  <c r="AU1019" i="3"/>
  <c r="AU1018" i="3"/>
  <c r="AU1017" i="3"/>
  <c r="AU1016" i="3"/>
  <c r="AU1015" i="3"/>
  <c r="AU1014" i="3"/>
  <c r="AU10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AU925" i="3"/>
  <c r="AU924" i="3"/>
  <c r="AU923" i="3"/>
  <c r="AU922" i="3"/>
  <c r="AU921" i="3"/>
  <c r="AU920" i="3"/>
  <c r="AU919" i="3"/>
  <c r="AU918" i="3"/>
  <c r="AU917" i="3"/>
  <c r="AU916" i="3"/>
  <c r="AU915" i="3"/>
  <c r="AU914" i="3"/>
  <c r="AU913" i="3"/>
  <c r="AU912" i="3"/>
  <c r="AU911" i="3"/>
  <c r="AU910" i="3"/>
  <c r="AU909" i="3"/>
  <c r="AU908" i="3"/>
  <c r="AU907" i="3"/>
  <c r="AU906" i="3"/>
  <c r="AU905" i="3"/>
  <c r="AU904" i="3"/>
  <c r="AU903" i="3"/>
  <c r="AU902" i="3"/>
  <c r="AU901" i="3"/>
  <c r="AU900" i="3"/>
  <c r="AU899" i="3"/>
  <c r="AU898" i="3"/>
  <c r="AU897" i="3"/>
  <c r="AU896" i="3"/>
  <c r="AU895" i="3"/>
  <c r="AU894" i="3"/>
  <c r="AU893" i="3"/>
  <c r="AU892" i="3"/>
  <c r="AU891" i="3"/>
  <c r="AU890" i="3"/>
  <c r="AU889" i="3"/>
  <c r="AU888" i="3"/>
  <c r="AU887" i="3"/>
  <c r="AU886" i="3"/>
  <c r="AU885" i="3"/>
  <c r="AU884" i="3"/>
  <c r="AU883" i="3"/>
  <c r="AU882" i="3"/>
  <c r="AU881" i="3"/>
  <c r="AU880" i="3"/>
  <c r="AU879" i="3"/>
  <c r="AU878" i="3"/>
  <c r="AU877" i="3"/>
  <c r="AU876" i="3"/>
  <c r="AU875" i="3"/>
  <c r="AU874" i="3"/>
  <c r="AU873" i="3"/>
  <c r="AU872" i="3"/>
  <c r="AU871" i="3"/>
  <c r="AU870" i="3"/>
  <c r="AU869" i="3"/>
  <c r="AU868" i="3"/>
  <c r="AU867" i="3"/>
  <c r="AU866" i="3"/>
  <c r="AU865" i="3"/>
  <c r="AU864" i="3"/>
  <c r="AU863" i="3"/>
  <c r="AU862" i="3"/>
  <c r="AU861" i="3"/>
  <c r="AU860" i="3"/>
  <c r="AU859" i="3"/>
  <c r="AU858" i="3"/>
  <c r="AU857" i="3"/>
  <c r="AU856" i="3"/>
  <c r="AU855" i="3"/>
  <c r="AU854" i="3"/>
  <c r="AU853" i="3"/>
  <c r="AU852" i="3"/>
  <c r="AU851" i="3"/>
  <c r="AU850" i="3"/>
  <c r="AU849" i="3"/>
  <c r="AU848" i="3"/>
  <c r="AU847" i="3"/>
  <c r="AU846" i="3"/>
  <c r="AU845" i="3"/>
  <c r="AU844" i="3"/>
  <c r="AU843" i="3"/>
  <c r="AU842" i="3"/>
  <c r="AU841" i="3"/>
  <c r="AU840" i="3"/>
  <c r="AU839" i="3"/>
  <c r="AU838" i="3"/>
  <c r="AU837" i="3"/>
  <c r="AU836" i="3"/>
  <c r="AU835" i="3"/>
  <c r="AU834" i="3"/>
  <c r="AU833" i="3"/>
  <c r="AU832" i="3"/>
  <c r="AU831" i="3"/>
  <c r="AU830" i="3"/>
  <c r="AU829" i="3"/>
  <c r="AU828" i="3"/>
  <c r="AU827" i="3"/>
  <c r="AU826" i="3"/>
  <c r="AU825" i="3"/>
  <c r="AU824" i="3"/>
  <c r="AU823" i="3"/>
  <c r="AU822" i="3"/>
  <c r="AU821" i="3"/>
  <c r="AU820" i="3"/>
  <c r="AU819" i="3"/>
  <c r="AU818" i="3"/>
  <c r="AU817" i="3"/>
  <c r="AU816" i="3"/>
  <c r="AU815" i="3"/>
  <c r="AU814" i="3"/>
  <c r="AU813" i="3"/>
  <c r="AU812" i="3"/>
  <c r="AU811" i="3"/>
  <c r="AU810" i="3"/>
  <c r="AU809" i="3"/>
  <c r="AU808" i="3"/>
  <c r="AU807" i="3"/>
  <c r="AU806" i="3"/>
  <c r="AU805" i="3"/>
  <c r="AU804" i="3"/>
  <c r="AU803" i="3"/>
  <c r="AU802" i="3"/>
  <c r="AU801" i="3"/>
  <c r="AU800" i="3"/>
  <c r="AU799" i="3"/>
  <c r="AU798" i="3"/>
  <c r="AU797" i="3"/>
  <c r="AU796" i="3"/>
  <c r="AU795" i="3"/>
  <c r="AU794" i="3"/>
  <c r="AU793" i="3"/>
  <c r="AU792" i="3"/>
  <c r="AU791" i="3"/>
  <c r="AU790" i="3"/>
  <c r="AU789" i="3"/>
  <c r="AU788" i="3"/>
  <c r="AU787" i="3"/>
  <c r="AU786" i="3"/>
  <c r="AU785" i="3"/>
  <c r="AU784" i="3"/>
  <c r="AU783" i="3"/>
  <c r="AU782" i="3"/>
  <c r="AU781" i="3"/>
  <c r="AU780" i="3"/>
  <c r="AU779" i="3"/>
  <c r="AU778" i="3"/>
  <c r="AU777" i="3"/>
  <c r="AU776" i="3"/>
  <c r="AU775" i="3"/>
  <c r="AU774" i="3"/>
  <c r="AU773" i="3"/>
  <c r="AU772" i="3"/>
  <c r="AU771" i="3"/>
  <c r="AU770" i="3"/>
  <c r="AU769" i="3"/>
  <c r="AU768" i="3"/>
  <c r="AU767" i="3"/>
  <c r="AU766" i="3"/>
  <c r="AU765" i="3"/>
  <c r="AU764" i="3"/>
  <c r="AU763" i="3"/>
  <c r="AU762" i="3"/>
  <c r="AU761" i="3"/>
  <c r="AU760" i="3"/>
  <c r="AU759" i="3"/>
  <c r="AU758" i="3"/>
  <c r="AU757" i="3"/>
  <c r="AU756" i="3"/>
  <c r="AU755" i="3"/>
  <c r="AU754" i="3"/>
  <c r="AU753" i="3"/>
  <c r="AU752" i="3"/>
  <c r="AU751" i="3"/>
  <c r="AU750" i="3"/>
  <c r="AU749" i="3"/>
  <c r="AU748" i="3"/>
  <c r="AU747" i="3"/>
  <c r="AU746" i="3"/>
  <c r="AU745" i="3"/>
  <c r="AU744" i="3"/>
  <c r="AU743" i="3"/>
  <c r="AU742" i="3"/>
  <c r="AU741" i="3"/>
  <c r="AU740" i="3"/>
  <c r="AU739" i="3"/>
  <c r="AU738" i="3"/>
  <c r="AU737" i="3"/>
  <c r="AU736" i="3"/>
  <c r="AU735" i="3"/>
  <c r="AU734" i="3"/>
  <c r="AU733" i="3"/>
  <c r="AU732" i="3"/>
  <c r="AU731" i="3"/>
  <c r="AU730" i="3"/>
  <c r="AU729" i="3"/>
  <c r="AU728" i="3"/>
  <c r="AU727" i="3"/>
  <c r="AU726" i="3"/>
  <c r="AU725" i="3"/>
  <c r="AU724" i="3"/>
  <c r="AU723" i="3"/>
  <c r="AU722" i="3"/>
  <c r="AU721" i="3"/>
  <c r="AU720" i="3"/>
  <c r="AU719" i="3"/>
  <c r="AU718" i="3"/>
  <c r="AU717" i="3"/>
  <c r="AU716" i="3"/>
  <c r="AU715" i="3"/>
  <c r="AU714" i="3"/>
  <c r="AU713" i="3"/>
  <c r="AU712" i="3"/>
  <c r="AU711" i="3"/>
  <c r="AU710" i="3"/>
  <c r="AU709" i="3"/>
  <c r="AU708" i="3"/>
  <c r="AU707" i="3"/>
  <c r="AU706" i="3"/>
  <c r="AU705" i="3"/>
  <c r="AU704" i="3"/>
  <c r="AU703" i="3"/>
  <c r="AU702" i="3"/>
  <c r="AU701" i="3"/>
  <c r="AU700" i="3"/>
  <c r="AU699" i="3"/>
  <c r="AU698" i="3"/>
  <c r="AU697" i="3"/>
  <c r="AU696" i="3"/>
  <c r="AU695" i="3"/>
  <c r="AU694" i="3"/>
  <c r="AU693" i="3"/>
  <c r="AU692" i="3"/>
  <c r="AU691" i="3"/>
  <c r="AU690" i="3"/>
  <c r="AU689" i="3"/>
  <c r="AU688" i="3"/>
  <c r="AU687" i="3"/>
  <c r="AU686" i="3"/>
  <c r="AU685" i="3"/>
  <c r="AU684" i="3"/>
  <c r="AU683" i="3"/>
  <c r="AU682" i="3"/>
  <c r="AU681" i="3"/>
  <c r="AU680" i="3"/>
  <c r="AU679" i="3"/>
  <c r="AU678" i="3"/>
  <c r="AU677" i="3"/>
  <c r="AU676" i="3"/>
  <c r="AU675" i="3"/>
  <c r="AU674" i="3"/>
  <c r="AU673" i="3"/>
  <c r="AU672" i="3"/>
  <c r="AU671" i="3"/>
  <c r="AU670" i="3"/>
  <c r="AU669" i="3"/>
  <c r="AU668" i="3"/>
  <c r="AU667" i="3"/>
  <c r="AU666" i="3"/>
  <c r="AU665" i="3"/>
  <c r="AU664" i="3"/>
  <c r="AU663" i="3"/>
  <c r="AU662" i="3"/>
  <c r="AU661" i="3"/>
  <c r="AU660" i="3"/>
  <c r="AU659" i="3"/>
  <c r="AU658" i="3"/>
  <c r="AU657" i="3"/>
  <c r="AU656" i="3"/>
  <c r="AU655" i="3"/>
  <c r="AU654" i="3"/>
  <c r="AU653" i="3"/>
  <c r="AU652" i="3"/>
  <c r="AU651" i="3"/>
  <c r="AU650" i="3"/>
  <c r="AU649" i="3"/>
  <c r="AU648" i="3"/>
  <c r="AU647" i="3"/>
  <c r="AU646" i="3"/>
  <c r="AU645" i="3"/>
  <c r="AU644" i="3"/>
  <c r="AU643" i="3"/>
  <c r="AU642" i="3"/>
  <c r="AU641" i="3"/>
  <c r="AU640" i="3"/>
  <c r="AU639" i="3"/>
  <c r="AU638" i="3"/>
  <c r="AU637" i="3"/>
  <c r="AU636" i="3"/>
  <c r="AU635" i="3"/>
  <c r="AU634" i="3"/>
  <c r="AU633" i="3"/>
  <c r="AU632" i="3"/>
  <c r="AU631" i="3"/>
  <c r="AU630" i="3"/>
  <c r="AU629" i="3"/>
  <c r="AU628" i="3"/>
  <c r="AU627" i="3"/>
  <c r="AU626" i="3"/>
  <c r="AU625" i="3"/>
  <c r="AU624" i="3"/>
  <c r="AU623" i="3"/>
  <c r="AU622" i="3"/>
  <c r="AU621" i="3"/>
  <c r="AU620" i="3"/>
  <c r="AU619" i="3"/>
  <c r="AU618" i="3"/>
  <c r="AU617" i="3"/>
  <c r="AU616" i="3"/>
  <c r="AU615" i="3"/>
  <c r="AU614" i="3"/>
  <c r="AU613" i="3"/>
  <c r="AU612" i="3"/>
  <c r="AU611" i="3"/>
  <c r="AU610" i="3"/>
  <c r="AU609" i="3"/>
  <c r="AU608" i="3"/>
  <c r="AU607" i="3"/>
  <c r="AU606" i="3"/>
  <c r="AU605" i="3"/>
  <c r="AU604" i="3"/>
  <c r="AU603" i="3"/>
  <c r="AU602" i="3"/>
  <c r="AU601" i="3"/>
  <c r="AU600" i="3"/>
  <c r="AU599" i="3"/>
  <c r="AU598" i="3"/>
  <c r="AU597" i="3"/>
  <c r="AU596" i="3"/>
  <c r="AU595" i="3"/>
  <c r="AU594" i="3"/>
  <c r="AU593" i="3"/>
  <c r="AU592" i="3"/>
  <c r="AU591" i="3"/>
  <c r="AU590" i="3"/>
  <c r="AU589" i="3"/>
  <c r="AU588" i="3"/>
  <c r="AU587" i="3"/>
  <c r="AU586" i="3"/>
  <c r="AU585" i="3"/>
  <c r="AU584" i="3"/>
  <c r="AU583" i="3"/>
  <c r="AU582" i="3"/>
  <c r="AU581" i="3"/>
  <c r="AU580" i="3"/>
  <c r="AU579" i="3"/>
  <c r="AU578" i="3"/>
  <c r="AU577" i="3"/>
  <c r="AU576" i="3"/>
  <c r="AU575" i="3"/>
  <c r="AU574" i="3"/>
  <c r="AU573" i="3"/>
  <c r="AU572" i="3"/>
  <c r="AU571" i="3"/>
  <c r="AU570" i="3"/>
  <c r="AU569" i="3"/>
  <c r="AU568" i="3"/>
  <c r="AU567" i="3"/>
  <c r="AU566" i="3"/>
  <c r="AU565" i="3"/>
  <c r="AU564" i="3"/>
  <c r="AU563" i="3"/>
  <c r="AU562" i="3"/>
  <c r="AU561" i="3"/>
  <c r="AU560" i="3"/>
  <c r="AU559" i="3"/>
  <c r="AU558" i="3"/>
  <c r="AU557" i="3"/>
  <c r="AU556" i="3"/>
  <c r="AU555" i="3"/>
  <c r="AU554" i="3"/>
  <c r="AU553" i="3"/>
  <c r="AU552" i="3"/>
  <c r="AU551" i="3"/>
  <c r="AU550" i="3"/>
  <c r="AU549" i="3"/>
  <c r="AU548" i="3"/>
  <c r="AU547" i="3"/>
  <c r="AU546" i="3"/>
  <c r="AU545" i="3"/>
  <c r="AU544" i="3"/>
  <c r="AU543" i="3"/>
  <c r="AU542" i="3"/>
  <c r="AU541" i="3"/>
  <c r="AU540" i="3"/>
  <c r="AU539" i="3"/>
  <c r="AU538" i="3"/>
  <c r="AU537" i="3"/>
  <c r="AU536" i="3"/>
  <c r="AU535" i="3"/>
  <c r="AU534" i="3"/>
  <c r="AU533" i="3"/>
  <c r="AU532" i="3"/>
  <c r="AU531" i="3"/>
  <c r="AU530" i="3"/>
  <c r="AU529" i="3"/>
  <c r="AU528" i="3"/>
  <c r="AU527" i="3"/>
  <c r="AU526" i="3"/>
  <c r="AU525" i="3"/>
  <c r="AU524" i="3"/>
  <c r="AU523" i="3"/>
  <c r="AU522" i="3"/>
  <c r="AU521" i="3"/>
  <c r="AU520" i="3"/>
  <c r="AU519" i="3"/>
  <c r="AU518" i="3"/>
  <c r="AU517" i="3"/>
  <c r="AU516" i="3"/>
  <c r="AU515" i="3"/>
  <c r="AU514" i="3"/>
  <c r="AU513" i="3"/>
  <c r="AU512" i="3"/>
  <c r="AU511" i="3"/>
  <c r="AU510" i="3"/>
  <c r="AU509" i="3"/>
  <c r="AU508" i="3"/>
  <c r="AU507" i="3"/>
  <c r="AU506" i="3"/>
  <c r="AU505" i="3"/>
  <c r="AU504" i="3"/>
  <c r="AU503" i="3"/>
  <c r="AU502" i="3"/>
  <c r="AU501" i="3"/>
  <c r="AU500" i="3"/>
  <c r="AU499" i="3"/>
  <c r="AU498" i="3"/>
  <c r="AU497" i="3"/>
  <c r="AU496" i="3"/>
  <c r="AU495" i="3"/>
  <c r="AU494" i="3"/>
  <c r="AU493" i="3"/>
  <c r="AU492" i="3"/>
  <c r="AU491" i="3"/>
  <c r="AU490" i="3"/>
  <c r="AU489" i="3"/>
  <c r="AU488" i="3"/>
  <c r="AU487" i="3"/>
  <c r="AU486" i="3"/>
  <c r="AU485" i="3"/>
  <c r="AU484" i="3"/>
  <c r="AU483" i="3"/>
  <c r="AU482" i="3"/>
  <c r="AU481" i="3"/>
  <c r="AU480" i="3"/>
  <c r="AU479" i="3"/>
  <c r="AU478" i="3"/>
  <c r="AU477" i="3"/>
  <c r="AU476" i="3"/>
  <c r="AU475" i="3"/>
  <c r="AU474" i="3"/>
  <c r="AU473" i="3"/>
  <c r="AU472" i="3"/>
  <c r="AU471" i="3"/>
  <c r="AU470" i="3"/>
  <c r="AU469" i="3"/>
  <c r="AU468" i="3"/>
  <c r="AU467" i="3"/>
  <c r="AU466" i="3"/>
  <c r="AU465" i="3"/>
  <c r="AU464" i="3"/>
  <c r="AU463" i="3"/>
  <c r="AU462" i="3"/>
  <c r="AU461" i="3"/>
  <c r="AU460" i="3"/>
  <c r="AU459" i="3"/>
  <c r="AU458" i="3"/>
  <c r="AU457" i="3"/>
  <c r="AU456" i="3"/>
  <c r="AU455" i="3"/>
  <c r="AU454" i="3"/>
  <c r="AU453" i="3"/>
  <c r="AU452" i="3"/>
  <c r="AU451" i="3"/>
  <c r="AU450" i="3"/>
  <c r="AU449" i="3"/>
  <c r="AU448" i="3"/>
  <c r="AU447" i="3"/>
  <c r="AU446" i="3"/>
  <c r="AU445" i="3"/>
  <c r="AU444" i="3"/>
  <c r="AU443" i="3"/>
  <c r="AU442" i="3"/>
  <c r="AU441" i="3"/>
  <c r="AU440" i="3"/>
  <c r="AU439" i="3"/>
  <c r="AU438" i="3"/>
  <c r="AU437" i="3"/>
  <c r="AU436" i="3"/>
  <c r="AU435" i="3"/>
  <c r="AU434" i="3"/>
  <c r="AU433" i="3"/>
  <c r="AU432" i="3"/>
  <c r="AU431" i="3"/>
  <c r="AU430" i="3"/>
  <c r="AU429" i="3"/>
  <c r="AU428" i="3"/>
  <c r="AU427" i="3"/>
  <c r="AU426" i="3"/>
  <c r="AU425" i="3"/>
  <c r="AU424" i="3"/>
  <c r="AU423" i="3"/>
  <c r="AU422" i="3"/>
  <c r="AU421" i="3"/>
  <c r="AU420" i="3"/>
  <c r="AU419" i="3"/>
  <c r="AU418" i="3"/>
  <c r="AU417" i="3"/>
  <c r="AU416" i="3"/>
  <c r="AU415" i="3"/>
  <c r="AU414" i="3"/>
  <c r="AU413" i="3"/>
  <c r="AU412" i="3"/>
  <c r="AU411" i="3"/>
  <c r="AU410" i="3"/>
  <c r="AU409" i="3"/>
  <c r="AU408" i="3"/>
  <c r="AU407" i="3"/>
  <c r="AU406" i="3"/>
  <c r="AU405" i="3"/>
  <c r="AU404" i="3"/>
  <c r="AU403" i="3"/>
  <c r="AU402" i="3"/>
  <c r="AU401" i="3"/>
  <c r="AU400" i="3"/>
  <c r="AU399" i="3"/>
  <c r="AU398" i="3"/>
  <c r="AU397" i="3"/>
  <c r="AU396" i="3"/>
  <c r="AU395" i="3"/>
  <c r="AU394" i="3"/>
  <c r="AU393" i="3"/>
  <c r="AU392" i="3"/>
  <c r="AU391" i="3"/>
  <c r="AU390" i="3"/>
  <c r="AU389" i="3"/>
  <c r="AU388" i="3"/>
  <c r="AU387" i="3"/>
  <c r="AU386" i="3"/>
  <c r="AU385" i="3"/>
  <c r="AU384" i="3"/>
  <c r="AU383" i="3"/>
  <c r="AU382" i="3"/>
  <c r="AU381" i="3"/>
  <c r="AU380" i="3"/>
  <c r="AU379" i="3"/>
  <c r="AU378" i="3"/>
  <c r="AU377" i="3"/>
  <c r="AU376" i="3"/>
  <c r="AU375" i="3"/>
  <c r="AU374" i="3"/>
  <c r="AU373" i="3"/>
  <c r="AU372" i="3"/>
  <c r="AU371" i="3"/>
  <c r="AU370" i="3"/>
  <c r="AU369" i="3"/>
  <c r="AU368" i="3"/>
  <c r="AU367" i="3"/>
  <c r="AU366" i="3"/>
  <c r="AU365" i="3"/>
  <c r="AU364" i="3"/>
  <c r="AU363" i="3"/>
  <c r="AU362" i="3"/>
  <c r="AU361" i="3"/>
  <c r="AU360" i="3"/>
  <c r="AU359" i="3"/>
  <c r="AU358" i="3"/>
  <c r="AU357" i="3"/>
  <c r="AU356" i="3"/>
  <c r="AU355" i="3"/>
  <c r="AU354" i="3"/>
  <c r="AU353" i="3"/>
  <c r="AU352" i="3"/>
  <c r="AU351" i="3"/>
  <c r="AU350" i="3"/>
  <c r="AU349" i="3"/>
  <c r="AU348" i="3"/>
  <c r="AU347" i="3"/>
  <c r="AU346" i="3"/>
  <c r="AU345" i="3"/>
  <c r="AU344" i="3"/>
  <c r="AU343" i="3"/>
  <c r="AU342" i="3"/>
  <c r="AU341" i="3"/>
  <c r="AU340" i="3"/>
  <c r="AU339" i="3"/>
  <c r="AU338" i="3"/>
  <c r="AU337" i="3"/>
  <c r="AU336" i="3"/>
  <c r="AU335" i="3"/>
  <c r="AU334" i="3"/>
  <c r="AU333" i="3"/>
  <c r="AU332" i="3"/>
  <c r="AU331" i="3"/>
  <c r="AU330" i="3"/>
  <c r="AU329" i="3"/>
  <c r="AU328" i="3"/>
  <c r="AU327" i="3"/>
  <c r="AU326" i="3"/>
  <c r="AU325" i="3"/>
  <c r="AU324" i="3"/>
  <c r="AU323" i="3"/>
  <c r="AU322" i="3"/>
  <c r="AU321" i="3"/>
  <c r="AU320" i="3"/>
  <c r="AU319" i="3"/>
  <c r="AU318" i="3"/>
  <c r="AU317" i="3"/>
  <c r="AU316" i="3"/>
  <c r="AU315" i="3"/>
  <c r="AU314" i="3"/>
  <c r="AU313" i="3"/>
  <c r="AU312" i="3"/>
  <c r="AU311" i="3"/>
  <c r="AU310" i="3"/>
  <c r="AU309" i="3"/>
  <c r="AU308" i="3"/>
  <c r="AU307" i="3"/>
  <c r="AU306" i="3"/>
  <c r="AU305" i="3"/>
  <c r="AU304" i="3"/>
  <c r="AU303" i="3"/>
  <c r="AU302" i="3"/>
  <c r="AU301" i="3"/>
  <c r="AU300" i="3"/>
  <c r="AU299" i="3"/>
  <c r="AU298" i="3"/>
  <c r="AU297" i="3"/>
  <c r="AU296" i="3"/>
  <c r="AU295" i="3"/>
  <c r="AU294" i="3"/>
  <c r="AU293" i="3"/>
  <c r="AU292" i="3"/>
  <c r="AU291" i="3"/>
  <c r="AU290" i="3"/>
  <c r="AU289" i="3"/>
  <c r="AU288" i="3"/>
  <c r="AU287" i="3"/>
  <c r="AU286" i="3"/>
  <c r="AU285" i="3"/>
  <c r="AU284" i="3"/>
  <c r="AU283" i="3"/>
  <c r="AU282" i="3"/>
  <c r="AU281" i="3"/>
  <c r="AU280" i="3"/>
  <c r="AU279" i="3"/>
  <c r="AU278" i="3"/>
  <c r="AU277" i="3"/>
  <c r="AU276" i="3"/>
  <c r="AU275" i="3"/>
  <c r="AU274" i="3"/>
  <c r="AU273" i="3"/>
  <c r="AU272" i="3"/>
  <c r="AU271" i="3"/>
  <c r="AU270" i="3"/>
  <c r="AU269" i="3"/>
  <c r="AU268" i="3"/>
  <c r="AU267" i="3"/>
  <c r="AU266" i="3"/>
  <c r="AU265" i="3"/>
  <c r="AU264" i="3"/>
  <c r="AU263" i="3"/>
  <c r="AU262" i="3"/>
  <c r="AU261" i="3"/>
  <c r="AU260" i="3"/>
  <c r="AU259" i="3"/>
  <c r="AU258" i="3"/>
  <c r="AU257" i="3"/>
  <c r="AU256" i="3"/>
  <c r="AU255" i="3"/>
  <c r="AU254" i="3"/>
  <c r="AU253" i="3"/>
  <c r="AU252" i="3"/>
  <c r="AU251" i="3"/>
  <c r="AU250" i="3"/>
  <c r="AU249" i="3"/>
  <c r="AU248" i="3"/>
  <c r="AU247" i="3"/>
  <c r="AU246" i="3"/>
  <c r="AU245" i="3"/>
  <c r="AU244" i="3"/>
  <c r="AU243" i="3"/>
  <c r="AU242" i="3"/>
  <c r="AU241" i="3"/>
  <c r="AU240" i="3"/>
  <c r="AU239" i="3"/>
  <c r="AU238" i="3"/>
  <c r="AU237" i="3"/>
  <c r="AU236" i="3"/>
  <c r="AU235" i="3"/>
  <c r="AU234" i="3"/>
  <c r="AU233" i="3"/>
  <c r="AU232" i="3"/>
  <c r="AU231" i="3"/>
  <c r="AU230" i="3"/>
  <c r="AU229" i="3"/>
  <c r="AU228" i="3"/>
  <c r="AU227" i="3"/>
  <c r="AU226" i="3"/>
  <c r="AU225" i="3"/>
  <c r="AU224" i="3"/>
  <c r="AU223" i="3"/>
  <c r="AU222" i="3"/>
  <c r="AU221" i="3"/>
  <c r="AU220" i="3"/>
  <c r="AU219" i="3"/>
  <c r="AU218" i="3"/>
  <c r="AU217" i="3"/>
  <c r="AU216" i="3"/>
  <c r="AU215" i="3"/>
  <c r="AU214" i="3"/>
  <c r="AU213" i="3"/>
  <c r="AU212" i="3"/>
  <c r="AU211" i="3"/>
  <c r="AU210" i="3"/>
  <c r="AU209" i="3"/>
  <c r="AU208" i="3"/>
  <c r="AU207" i="3"/>
  <c r="AU206" i="3"/>
  <c r="AU205" i="3"/>
  <c r="AU204" i="3"/>
  <c r="AU203" i="3"/>
  <c r="AU202" i="3"/>
  <c r="AU201" i="3"/>
  <c r="AU200" i="3"/>
  <c r="AU199" i="3"/>
  <c r="AU198" i="3"/>
  <c r="AU197" i="3"/>
  <c r="AU196" i="3"/>
  <c r="AU195" i="3"/>
  <c r="AU194" i="3"/>
  <c r="AU193" i="3"/>
  <c r="AU192" i="3"/>
  <c r="AU191" i="3"/>
  <c r="AU190" i="3"/>
  <c r="AU189" i="3"/>
  <c r="AU188" i="3"/>
  <c r="AU187" i="3"/>
  <c r="AU186" i="3"/>
  <c r="AU185" i="3"/>
  <c r="AU184" i="3"/>
  <c r="AU183" i="3"/>
  <c r="AU182" i="3"/>
  <c r="AU181" i="3"/>
  <c r="AU180" i="3"/>
  <c r="AU179" i="3"/>
  <c r="AU178" i="3"/>
  <c r="AU177" i="3"/>
  <c r="AU176" i="3"/>
  <c r="AU175" i="3"/>
  <c r="AU174" i="3"/>
  <c r="AU173" i="3"/>
  <c r="AU172" i="3"/>
  <c r="AU171" i="3"/>
  <c r="AU170" i="3"/>
  <c r="AU169" i="3"/>
  <c r="AU168" i="3"/>
  <c r="AU167" i="3"/>
  <c r="AU166" i="3"/>
  <c r="AU165" i="3"/>
  <c r="AU164" i="3"/>
  <c r="AU163" i="3"/>
  <c r="AU162" i="3"/>
  <c r="AU161" i="3"/>
  <c r="AU160" i="3"/>
  <c r="AU159" i="3"/>
  <c r="AU158" i="3"/>
  <c r="AU157" i="3"/>
  <c r="AU156" i="3"/>
  <c r="AU155" i="3"/>
  <c r="AU154" i="3"/>
  <c r="AU153" i="3"/>
  <c r="AU152" i="3"/>
  <c r="AU151" i="3"/>
  <c r="AU150" i="3"/>
  <c r="AU149" i="3"/>
  <c r="AU148" i="3"/>
  <c r="AU147" i="3"/>
  <c r="AU146" i="3"/>
  <c r="AU145" i="3"/>
  <c r="AU144" i="3"/>
  <c r="AU143" i="3"/>
  <c r="AU142" i="3"/>
  <c r="AU141" i="3"/>
  <c r="AU140" i="3"/>
  <c r="AU139" i="3"/>
  <c r="AU138" i="3"/>
  <c r="AU137" i="3"/>
  <c r="AU136" i="3"/>
  <c r="AU135" i="3"/>
  <c r="AU134" i="3"/>
  <c r="AU133" i="3"/>
  <c r="AU132" i="3"/>
  <c r="AU131" i="3"/>
  <c r="AU130" i="3"/>
  <c r="AU129" i="3"/>
  <c r="AU128" i="3"/>
  <c r="AU127" i="3"/>
  <c r="AU126" i="3"/>
  <c r="AU125" i="3"/>
  <c r="AU124" i="3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U6" i="3"/>
  <c r="AU5" i="3"/>
  <c r="AU4" i="3"/>
  <c r="AU3" i="3"/>
  <c r="AU2" i="3"/>
  <c r="E118" i="2"/>
  <c r="B118" i="2"/>
  <c r="E117" i="2"/>
  <c r="B117" i="2"/>
  <c r="E116" i="2"/>
  <c r="B116" i="2"/>
  <c r="E115" i="2"/>
  <c r="B115" i="2"/>
  <c r="E114" i="2"/>
  <c r="B114" i="2"/>
  <c r="E113" i="2"/>
  <c r="B113" i="2"/>
  <c r="E112" i="2"/>
  <c r="B112" i="2"/>
  <c r="E111" i="2"/>
  <c r="B111" i="2"/>
  <c r="E110" i="2"/>
  <c r="B110" i="2"/>
  <c r="E109" i="2"/>
  <c r="B109" i="2"/>
  <c r="E108" i="2"/>
  <c r="B108" i="2"/>
  <c r="E107" i="2"/>
  <c r="B107" i="2"/>
  <c r="E106" i="2"/>
  <c r="B106" i="2"/>
  <c r="E105" i="2"/>
  <c r="B105" i="2"/>
  <c r="E104" i="2"/>
  <c r="B104" i="2"/>
  <c r="E103" i="2"/>
  <c r="B103" i="2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K85" i="2"/>
  <c r="I85" i="2"/>
  <c r="H85" i="2"/>
  <c r="F85" i="2"/>
  <c r="G85" i="2" s="1"/>
  <c r="K84" i="2"/>
  <c r="I84" i="2"/>
  <c r="H84" i="2"/>
  <c r="F84" i="2"/>
  <c r="G84" i="2" s="1"/>
  <c r="K83" i="2"/>
  <c r="I83" i="2"/>
  <c r="H83" i="2"/>
  <c r="F83" i="2"/>
  <c r="G83" i="2" s="1"/>
  <c r="K82" i="2"/>
  <c r="I82" i="2"/>
  <c r="H82" i="2"/>
  <c r="F82" i="2"/>
  <c r="G82" i="2" s="1"/>
  <c r="K81" i="2"/>
  <c r="I81" i="2"/>
  <c r="H81" i="2"/>
  <c r="F81" i="2"/>
  <c r="G81" i="2" s="1"/>
  <c r="K80" i="2"/>
  <c r="I80" i="2"/>
  <c r="H80" i="2"/>
  <c r="F80" i="2"/>
  <c r="G80" i="2" s="1"/>
  <c r="K79" i="2"/>
  <c r="I79" i="2"/>
  <c r="H79" i="2"/>
  <c r="K78" i="2"/>
  <c r="I78" i="2"/>
  <c r="H78" i="2"/>
  <c r="K77" i="2"/>
  <c r="I77" i="2"/>
  <c r="H77" i="2"/>
  <c r="K76" i="2"/>
  <c r="I76" i="2"/>
  <c r="H76" i="2"/>
  <c r="K75" i="2"/>
  <c r="I75" i="2"/>
  <c r="H75" i="2"/>
  <c r="K74" i="2"/>
  <c r="I74" i="2"/>
  <c r="H74" i="2"/>
  <c r="K73" i="2"/>
  <c r="I73" i="2"/>
  <c r="H73" i="2"/>
  <c r="K72" i="2"/>
  <c r="I72" i="2"/>
  <c r="H72" i="2"/>
  <c r="K71" i="2"/>
  <c r="I71" i="2"/>
  <c r="H71" i="2"/>
  <c r="K70" i="2"/>
  <c r="I70" i="2"/>
  <c r="H70" i="2"/>
  <c r="K69" i="2"/>
  <c r="I69" i="2"/>
  <c r="H69" i="2"/>
  <c r="K68" i="2"/>
  <c r="I68" i="2"/>
  <c r="H68" i="2"/>
  <c r="K67" i="2"/>
  <c r="I67" i="2"/>
  <c r="H67" i="2"/>
  <c r="K66" i="2"/>
  <c r="I66" i="2"/>
  <c r="H66" i="2"/>
  <c r="K65" i="2"/>
  <c r="I65" i="2"/>
  <c r="H65" i="2"/>
  <c r="K64" i="2"/>
  <c r="I64" i="2"/>
  <c r="H64" i="2"/>
  <c r="K63" i="2"/>
  <c r="I63" i="2"/>
  <c r="H63" i="2"/>
  <c r="K62" i="2"/>
  <c r="I62" i="2"/>
  <c r="H62" i="2"/>
  <c r="K61" i="2"/>
  <c r="I61" i="2"/>
  <c r="H61" i="2"/>
  <c r="B61" i="2"/>
  <c r="A61" i="2"/>
  <c r="K57" i="2"/>
  <c r="I57" i="2"/>
  <c r="H57" i="2"/>
  <c r="F57" i="2"/>
  <c r="G57" i="2" s="1"/>
  <c r="K56" i="2"/>
  <c r="I56" i="2"/>
  <c r="H56" i="2"/>
  <c r="F56" i="2"/>
  <c r="G56" i="2" s="1"/>
  <c r="K55" i="2"/>
  <c r="I55" i="2"/>
  <c r="H55" i="2"/>
  <c r="F55" i="2"/>
  <c r="G55" i="2" s="1"/>
  <c r="K54" i="2"/>
  <c r="I54" i="2"/>
  <c r="H54" i="2"/>
  <c r="F54" i="2"/>
  <c r="G54" i="2" s="1"/>
  <c r="K53" i="2"/>
  <c r="I53" i="2"/>
  <c r="H53" i="2"/>
  <c r="F53" i="2"/>
  <c r="G53" i="2" s="1"/>
  <c r="K52" i="2"/>
  <c r="I52" i="2"/>
  <c r="H52" i="2"/>
  <c r="F52" i="2"/>
  <c r="G52" i="2" s="1"/>
  <c r="K51" i="2"/>
  <c r="I51" i="2"/>
  <c r="H51" i="2"/>
  <c r="K50" i="2"/>
  <c r="I50" i="2"/>
  <c r="H50" i="2"/>
  <c r="K49" i="2"/>
  <c r="I49" i="2"/>
  <c r="H49" i="2"/>
  <c r="K48" i="2"/>
  <c r="I48" i="2"/>
  <c r="H48" i="2"/>
  <c r="K47" i="2"/>
  <c r="I47" i="2"/>
  <c r="H47" i="2"/>
  <c r="K46" i="2"/>
  <c r="I46" i="2"/>
  <c r="H46" i="2"/>
  <c r="K45" i="2"/>
  <c r="I45" i="2"/>
  <c r="H45" i="2"/>
  <c r="K44" i="2"/>
  <c r="I44" i="2"/>
  <c r="H44" i="2"/>
  <c r="K43" i="2"/>
  <c r="I43" i="2"/>
  <c r="H43" i="2"/>
  <c r="K42" i="2"/>
  <c r="I42" i="2"/>
  <c r="H42" i="2"/>
  <c r="K41" i="2"/>
  <c r="I41" i="2"/>
  <c r="H41" i="2"/>
  <c r="K40" i="2"/>
  <c r="I40" i="2"/>
  <c r="H40" i="2"/>
  <c r="K39" i="2"/>
  <c r="I39" i="2"/>
  <c r="H39" i="2"/>
  <c r="K38" i="2"/>
  <c r="I38" i="2"/>
  <c r="H38" i="2"/>
  <c r="K37" i="2"/>
  <c r="I37" i="2"/>
  <c r="H37" i="2"/>
  <c r="K36" i="2"/>
  <c r="I36" i="2"/>
  <c r="H36" i="2"/>
  <c r="K35" i="2"/>
  <c r="I35" i="2"/>
  <c r="H35" i="2"/>
  <c r="K34" i="2"/>
  <c r="I34" i="2"/>
  <c r="H34" i="2"/>
  <c r="K33" i="2"/>
  <c r="I33" i="2"/>
  <c r="H33" i="2"/>
  <c r="B33" i="2"/>
  <c r="A33" i="2"/>
  <c r="K29" i="2"/>
  <c r="I29" i="2"/>
  <c r="H29" i="2"/>
  <c r="F29" i="2"/>
  <c r="G29" i="2" s="1"/>
  <c r="K28" i="2"/>
  <c r="I28" i="2"/>
  <c r="H28" i="2"/>
  <c r="F28" i="2"/>
  <c r="G28" i="2" s="1"/>
  <c r="K27" i="2"/>
  <c r="I27" i="2"/>
  <c r="H27" i="2"/>
  <c r="F27" i="2"/>
  <c r="G27" i="2" s="1"/>
  <c r="K26" i="2"/>
  <c r="I26" i="2"/>
  <c r="H26" i="2"/>
  <c r="F26" i="2"/>
  <c r="G26" i="2" s="1"/>
  <c r="K25" i="2"/>
  <c r="I25" i="2"/>
  <c r="H25" i="2"/>
  <c r="F25" i="2"/>
  <c r="G25" i="2" s="1"/>
  <c r="K24" i="2"/>
  <c r="I24" i="2"/>
  <c r="H24" i="2"/>
  <c r="F24" i="2"/>
  <c r="G24" i="2" s="1"/>
  <c r="K23" i="2"/>
  <c r="I23" i="2"/>
  <c r="H23" i="2"/>
  <c r="K22" i="2"/>
  <c r="I22" i="2"/>
  <c r="H22" i="2"/>
  <c r="K21" i="2"/>
  <c r="I21" i="2"/>
  <c r="H21" i="2"/>
  <c r="K20" i="2"/>
  <c r="I20" i="2"/>
  <c r="H20" i="2"/>
  <c r="K19" i="2"/>
  <c r="I19" i="2"/>
  <c r="H19" i="2"/>
  <c r="K18" i="2"/>
  <c r="I18" i="2"/>
  <c r="H18" i="2"/>
  <c r="K17" i="2"/>
  <c r="I17" i="2"/>
  <c r="H17" i="2"/>
  <c r="K16" i="2"/>
  <c r="I16" i="2"/>
  <c r="H16" i="2"/>
  <c r="K15" i="2"/>
  <c r="I15" i="2"/>
  <c r="H15" i="2"/>
  <c r="K14" i="2"/>
  <c r="I14" i="2"/>
  <c r="H14" i="2"/>
  <c r="K13" i="2"/>
  <c r="I13" i="2"/>
  <c r="H13" i="2"/>
  <c r="K12" i="2"/>
  <c r="I12" i="2"/>
  <c r="H12" i="2"/>
  <c r="K11" i="2"/>
  <c r="I11" i="2"/>
  <c r="H11" i="2"/>
  <c r="K10" i="2"/>
  <c r="I10" i="2"/>
  <c r="H10" i="2"/>
  <c r="K9" i="2"/>
  <c r="I9" i="2"/>
  <c r="H9" i="2"/>
  <c r="K8" i="2"/>
  <c r="I8" i="2"/>
  <c r="H8" i="2"/>
  <c r="K7" i="2"/>
  <c r="I7" i="2"/>
  <c r="H7" i="2"/>
  <c r="K6" i="2"/>
  <c r="I6" i="2"/>
  <c r="H6" i="2"/>
  <c r="K5" i="2"/>
  <c r="I5" i="2"/>
  <c r="H5" i="2"/>
  <c r="B5" i="2"/>
  <c r="A5" i="2"/>
  <c r="A1" i="2"/>
  <c r="C67" i="1"/>
  <c r="D67" i="1" s="1"/>
  <c r="E67" i="1" s="1"/>
  <c r="C66" i="1"/>
  <c r="D66" i="1" s="1"/>
  <c r="E66" i="1" s="1"/>
  <c r="C63" i="1"/>
  <c r="D63" i="1" s="1"/>
  <c r="E63" i="1" s="1"/>
  <c r="C62" i="1"/>
  <c r="D62" i="1" s="1"/>
  <c r="E62" i="1" s="1"/>
  <c r="C61" i="1"/>
  <c r="D61" i="1" s="1"/>
  <c r="E61" i="1" s="1"/>
  <c r="C60" i="1"/>
  <c r="D60" i="1" s="1"/>
  <c r="E60" i="1" s="1"/>
  <c r="C59" i="1"/>
  <c r="D59" i="1" s="1"/>
  <c r="E59" i="1" s="1"/>
  <c r="C58" i="1"/>
  <c r="D58" i="1" s="1"/>
  <c r="E58" i="1" s="1"/>
  <c r="C57" i="1"/>
  <c r="D57" i="1" s="1"/>
  <c r="E57" i="1" s="1"/>
  <c r="C56" i="1"/>
  <c r="D56" i="1" s="1"/>
  <c r="E56" i="1" s="1"/>
  <c r="C55" i="1"/>
  <c r="D55" i="1" s="1"/>
  <c r="E55" i="1" s="1"/>
  <c r="C52" i="1"/>
  <c r="D52" i="1" s="1"/>
  <c r="E52" i="1" s="1"/>
  <c r="C51" i="1"/>
  <c r="D51" i="1" s="1"/>
  <c r="E51" i="1" s="1"/>
  <c r="C50" i="1"/>
  <c r="D50" i="1" s="1"/>
  <c r="E50" i="1" s="1"/>
  <c r="C49" i="1"/>
  <c r="D49" i="1" s="1"/>
  <c r="E49" i="1" s="1"/>
  <c r="C48" i="1"/>
  <c r="D48" i="1" s="1"/>
  <c r="E48" i="1" s="1"/>
  <c r="C47" i="1"/>
  <c r="D47" i="1" s="1"/>
  <c r="E47" i="1" s="1"/>
  <c r="C46" i="1"/>
  <c r="D46" i="1" s="1"/>
  <c r="E46" i="1" s="1"/>
  <c r="C45" i="1"/>
  <c r="D45" i="1" s="1"/>
  <c r="E45" i="1" s="1"/>
  <c r="C44" i="1"/>
  <c r="D44" i="1" s="1"/>
  <c r="E44" i="1" s="1"/>
  <c r="C41" i="1"/>
  <c r="D41" i="1" s="1"/>
  <c r="E41" i="1" s="1"/>
  <c r="C40" i="1"/>
  <c r="D40" i="1" s="1"/>
  <c r="E40" i="1" s="1"/>
  <c r="C39" i="1"/>
  <c r="D39" i="1" s="1"/>
  <c r="E39" i="1" s="1"/>
  <c r="C38" i="1"/>
  <c r="D38" i="1" s="1"/>
  <c r="E38" i="1" s="1"/>
  <c r="C37" i="1"/>
  <c r="D37" i="1" s="1"/>
  <c r="E37" i="1" s="1"/>
  <c r="C36" i="1"/>
  <c r="D36" i="1" s="1"/>
  <c r="E36" i="1" s="1"/>
  <c r="C35" i="1"/>
  <c r="D35" i="1" s="1"/>
  <c r="E35" i="1" s="1"/>
  <c r="C34" i="1"/>
  <c r="D34" i="1" s="1"/>
  <c r="E34" i="1" s="1"/>
  <c r="B6" i="1"/>
  <c r="G26" i="9" l="1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  <c r="D118" i="2"/>
  <c r="C118" i="2"/>
  <c r="C117" i="2"/>
  <c r="D117" i="2"/>
  <c r="D116" i="2"/>
  <c r="C116" i="2"/>
  <c r="D115" i="2"/>
  <c r="C115" i="2"/>
  <c r="D114" i="2"/>
  <c r="C114" i="2"/>
  <c r="D113" i="2"/>
  <c r="C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B90" i="2"/>
  <c r="F23" i="2" l="1"/>
  <c r="F79" i="2"/>
  <c r="G79" i="2" s="1"/>
  <c r="F51" i="2"/>
  <c r="G51" i="2" s="1"/>
  <c r="F22" i="2"/>
  <c r="F50" i="2"/>
  <c r="G50" i="2" s="1"/>
  <c r="F78" i="2"/>
  <c r="G78" i="2" s="1"/>
  <c r="F21" i="2"/>
  <c r="F49" i="2"/>
  <c r="G49" i="2" s="1"/>
  <c r="F77" i="2"/>
  <c r="G77" i="2" s="1"/>
  <c r="F20" i="2"/>
  <c r="F76" i="2"/>
  <c r="G76" i="2" s="1"/>
  <c r="F48" i="2"/>
  <c r="G48" i="2" s="1"/>
  <c r="F19" i="2"/>
  <c r="F47" i="2"/>
  <c r="G47" i="2" s="1"/>
  <c r="F75" i="2"/>
  <c r="G75" i="2" s="1"/>
  <c r="F18" i="2"/>
  <c r="F46" i="2"/>
  <c r="G46" i="2" s="1"/>
  <c r="F74" i="2"/>
  <c r="G74" i="2" s="1"/>
  <c r="F17" i="2"/>
  <c r="F73" i="2"/>
  <c r="G73" i="2" s="1"/>
  <c r="F45" i="2"/>
  <c r="G45" i="2" s="1"/>
  <c r="F16" i="2"/>
  <c r="F44" i="2"/>
  <c r="G44" i="2" s="1"/>
  <c r="F72" i="2"/>
  <c r="G72" i="2" s="1"/>
  <c r="F15" i="2"/>
  <c r="F43" i="2"/>
  <c r="G43" i="2" s="1"/>
  <c r="F71" i="2"/>
  <c r="G71" i="2" s="1"/>
  <c r="F14" i="2"/>
  <c r="F42" i="2"/>
  <c r="G42" i="2" s="1"/>
  <c r="F70" i="2"/>
  <c r="G70" i="2" s="1"/>
  <c r="F13" i="2"/>
  <c r="F69" i="2"/>
  <c r="G69" i="2" s="1"/>
  <c r="F41" i="2"/>
  <c r="G41" i="2" s="1"/>
  <c r="F12" i="2"/>
  <c r="F68" i="2"/>
  <c r="G68" i="2" s="1"/>
  <c r="F40" i="2"/>
  <c r="G40" i="2" s="1"/>
  <c r="F11" i="2"/>
  <c r="F39" i="2"/>
  <c r="G39" i="2" s="1"/>
  <c r="F67" i="2"/>
  <c r="G67" i="2" s="1"/>
  <c r="F66" i="2"/>
  <c r="G66" i="2" s="1"/>
  <c r="F10" i="2"/>
  <c r="F38" i="2"/>
  <c r="G38" i="2" s="1"/>
  <c r="F9" i="2"/>
  <c r="F37" i="2"/>
  <c r="G37" i="2" s="1"/>
  <c r="F65" i="2"/>
  <c r="G65" i="2" s="1"/>
  <c r="F8" i="2"/>
  <c r="F36" i="2"/>
  <c r="G36" i="2" s="1"/>
  <c r="F64" i="2"/>
  <c r="G64" i="2" s="1"/>
  <c r="F7" i="2"/>
  <c r="F35" i="2"/>
  <c r="G35" i="2" s="1"/>
  <c r="F63" i="2"/>
  <c r="G63" i="2" s="1"/>
  <c r="F6" i="2"/>
  <c r="F62" i="2"/>
  <c r="G62" i="2" s="1"/>
  <c r="F34" i="2"/>
  <c r="G34" i="2" s="1"/>
  <c r="F5" i="2"/>
  <c r="F61" i="2"/>
  <c r="F33" i="2"/>
  <c r="C112" i="2" l="1"/>
  <c r="G23" i="2"/>
  <c r="C111" i="2"/>
  <c r="G22" i="2"/>
  <c r="C110" i="2"/>
  <c r="G21" i="2"/>
  <c r="C109" i="2"/>
  <c r="G20" i="2"/>
  <c r="C108" i="2"/>
  <c r="G19" i="2"/>
  <c r="C107" i="2"/>
  <c r="G18" i="2"/>
  <c r="C106" i="2"/>
  <c r="G17" i="2"/>
  <c r="C105" i="2"/>
  <c r="G16" i="2"/>
  <c r="C104" i="2"/>
  <c r="G15" i="2"/>
  <c r="C103" i="2"/>
  <c r="G14" i="2"/>
  <c r="C102" i="2"/>
  <c r="G13" i="2"/>
  <c r="C101" i="2"/>
  <c r="G12" i="2"/>
  <c r="C100" i="2"/>
  <c r="G11" i="2"/>
  <c r="C99" i="2"/>
  <c r="G10" i="2"/>
  <c r="C98" i="2"/>
  <c r="G9" i="2"/>
  <c r="C97" i="2"/>
  <c r="G8" i="2"/>
  <c r="C96" i="2"/>
  <c r="G7" i="2"/>
  <c r="C95" i="2"/>
  <c r="G6" i="2"/>
  <c r="C94" i="2"/>
  <c r="F30" i="2"/>
  <c r="G5" i="2"/>
  <c r="G61" i="2"/>
  <c r="G86" i="2" s="1"/>
  <c r="C65" i="1" s="1"/>
  <c r="D65" i="1" s="1"/>
  <c r="E65" i="1" s="1"/>
  <c r="F86" i="2"/>
  <c r="G33" i="2"/>
  <c r="G58" i="2" s="1"/>
  <c r="C54" i="1" s="1"/>
  <c r="D54" i="1" s="1"/>
  <c r="E54" i="1" s="1"/>
  <c r="F58" i="2"/>
  <c r="G96" i="2" l="1"/>
  <c r="C119" i="2"/>
  <c r="D5" i="2"/>
  <c r="F90" i="2"/>
  <c r="C42" i="1"/>
  <c r="D42" i="1" s="1"/>
  <c r="E42" i="1" s="1"/>
  <c r="D61" i="2"/>
  <c r="C64" i="1"/>
  <c r="D64" i="1" s="1"/>
  <c r="E64" i="1" s="1"/>
  <c r="D33" i="2"/>
  <c r="C53" i="1"/>
  <c r="D53" i="1" s="1"/>
  <c r="E53" i="1" s="1"/>
  <c r="G30" i="2"/>
  <c r="G90" i="2" l="1"/>
  <c r="C43" i="1"/>
  <c r="D43" i="1" s="1"/>
  <c r="E43" i="1" s="1"/>
  <c r="D90" i="2"/>
  <c r="G98" i="2" s="1"/>
</calcChain>
</file>

<file path=xl/sharedStrings.xml><?xml version="1.0" encoding="utf-8"?>
<sst xmlns="http://schemas.openxmlformats.org/spreadsheetml/2006/main" count="361" uniqueCount="181">
  <si>
    <t>Missouri use tax</t>
  </si>
  <si>
    <t>HOW TO USE IT</t>
  </si>
  <si>
    <t>Yellow cells are the only ones you type in. Everything else adds itself up.</t>
  </si>
  <si>
    <t>Quarter starts</t>
  </si>
  <si>
    <t>Once a quarter: type the quarter's first day in C4, like 7/1/2026 for the 3rd quarter.</t>
  </si>
  <si>
    <t>EVERY MONTH, as the reports come out:</t>
  </si>
  <si>
    <t>1. Run the Missouri TERSE sales report for the month. Click in the report, press Ctrl+A once</t>
  </si>
  <si>
    <t xml:space="preserve">    (not the corner button), copy, and paste at A1 of TERSE MONTH 1, 2 or 3.</t>
  </si>
  <si>
    <t xml:space="preserve">    1 is the quarter's first month, so July for Q3.</t>
  </si>
  <si>
    <t>2. Run the AR sales taxes by county report for Missouri, same month. Click in it, press Ctrl+A</t>
  </si>
  <si>
    <t xml:space="preserve">    once, copy, and paste at A1 of AR MONTH 1, 2 or 3.</t>
  </si>
  <si>
    <t>3. Look at the light. Green is all clear. RECAP has the month and the quarter for the return.</t>
  </si>
  <si>
    <t>WHEN THE LIGHT IS RED, it says what is wrong. The usual ones:</t>
  </si>
  <si>
    <t>- A county and rate not on the list: add it on LISTS in the first empty yellow row.</t>
  </si>
  <si>
    <t xml:space="preserve">   The AR report's Tax Rate 6.1 goes in as 6.1%.</t>
  </si>
  <si>
    <t>- Dates outside the month: the wrong month went on that tab, or C4 is wrong.</t>
  </si>
  <si>
    <t>- Wrong shape: paste again at A1, headers and all, nothing above them.</t>
  </si>
  <si>
    <t>- A new product type: add it on LISTS, counted in total sales or left out.</t>
  </si>
  <si>
    <t>- TERSE and AR sales tax differ: run both reports again for the same dates.</t>
  </si>
  <si>
    <t>The checks sit under the light, folded. Click the + at the left of row 32 to see them all.</t>
  </si>
  <si>
    <t>WHERE THE NUMBERS COME FROM:</t>
  </si>
  <si>
    <t>Total sales: TERSE Total Product for the product types counted on LISTS.</t>
  </si>
  <si>
    <t>Taxable sales: the AR report's Tax Paid lines, by county and rate.</t>
  </si>
  <si>
    <t>Sales due: taxable sales times the rate, rounded per county line, so it can be a few cents</t>
  </si>
  <si>
    <t xml:space="preserve">    off the invoices' tax. The checks show the difference.</t>
  </si>
  <si>
    <t>Exempt sales: total sales less taxable sales.</t>
  </si>
  <si>
    <t>The checks behind the light (click the + at the left to open them)</t>
  </si>
  <si>
    <t>Check</t>
  </si>
  <si>
    <t>Result</t>
  </si>
  <si>
    <t>Look?</t>
  </si>
  <si>
    <t>What to do</t>
  </si>
  <si>
    <t>Quarter starts on the first of Jan, Apr, Jul or Oct</t>
  </si>
  <si>
    <t>TERSE MONTH 1: headers where they should be, report not too long</t>
  </si>
  <si>
    <t>TERSE MONTH 1: grey helper columns still there</t>
  </si>
  <si>
    <t>TERSE MONTH 1: invoice dates outside the month</t>
  </si>
  <si>
    <t>AR MONTH 1: headers where they should be, report not too long</t>
  </si>
  <si>
    <t>AR MONTH 1: grey helper columns still there</t>
  </si>
  <si>
    <t>AR MONTH 1: invoice dates outside the month</t>
  </si>
  <si>
    <t>AR MONTH 1: Tax Paid lines not on the county list</t>
  </si>
  <si>
    <t>Month 1: taxable sales on RECAP less the AR Tax Paid lines</t>
  </si>
  <si>
    <t>Month 1: tax on RECAP less the invoices' tax (rounding, under $1)</t>
  </si>
  <si>
    <t>Month 1: TERSE sales tax less AR sales tax</t>
  </si>
  <si>
    <t>TERSE MONTH 1: product types not on either LISTS column</t>
  </si>
  <si>
    <t>TERSE MONTH 2: headers where they should be, report not too long</t>
  </si>
  <si>
    <t>TERSE MONTH 2: grey helper columns still there</t>
  </si>
  <si>
    <t>TERSE MONTH 2: invoice dates outside the month</t>
  </si>
  <si>
    <t>AR MONTH 2: headers where they should be, report not too long</t>
  </si>
  <si>
    <t>AR MONTH 2: grey helper columns still there</t>
  </si>
  <si>
    <t>AR MONTH 2: invoice dates outside the month</t>
  </si>
  <si>
    <t>AR MONTH 2: Tax Paid lines not on the county list</t>
  </si>
  <si>
    <t>Month 2: taxable sales on RECAP less the AR Tax Paid lines</t>
  </si>
  <si>
    <t>Month 2: tax on RECAP less the invoices' tax (rounding, under $1)</t>
  </si>
  <si>
    <t>Month 2: TERSE sales tax less AR sales tax</t>
  </si>
  <si>
    <t>TERSE MONTH 2: product types not on either LISTS column</t>
  </si>
  <si>
    <t>TERSE MONTH 3: headers where they should be, report not too long</t>
  </si>
  <si>
    <t>TERSE MONTH 3: grey helper columns still there</t>
  </si>
  <si>
    <t>TERSE MONTH 3: invoice dates outside the month</t>
  </si>
  <si>
    <t>AR MONTH 3: headers where they should be, report not too long</t>
  </si>
  <si>
    <t>AR MONTH 3: grey helper columns still there</t>
  </si>
  <si>
    <t>AR MONTH 3: invoice dates outside the month</t>
  </si>
  <si>
    <t>AR MONTH 3: Tax Paid lines not on the county list</t>
  </si>
  <si>
    <t>Month 3: taxable sales on RECAP less the AR Tax Paid lines</t>
  </si>
  <si>
    <t>Month 3: tax on RECAP less the invoices' tax (rounding, under $1)</t>
  </si>
  <si>
    <t>Month 3: TERSE sales tax less AR sales tax</t>
  </si>
  <si>
    <t>TERSE MONTH 3: product types not on either LISTS column</t>
  </si>
  <si>
    <t>Nothing here is typed. Paste the reports on their tabs; the county list is on LISTS.</t>
  </si>
  <si>
    <t>total sales</t>
  </si>
  <si>
    <t>exempt sales</t>
  </si>
  <si>
    <t>taxable sales</t>
  </si>
  <si>
    <t>sales due</t>
  </si>
  <si>
    <t>County</t>
  </si>
  <si>
    <t>rate</t>
  </si>
  <si>
    <t>jurisdiction code</t>
  </si>
  <si>
    <t>Gross Receipts (Headsheet)</t>
  </si>
  <si>
    <t>Adjustments</t>
  </si>
  <si>
    <t>Taxable Sales</t>
  </si>
  <si>
    <t>Amount of Tax</t>
  </si>
  <si>
    <t>SALES WITH NO LOCAL TAX</t>
  </si>
  <si>
    <t>GROSS RECEIPTS (sales with no local)</t>
  </si>
  <si>
    <t>sales with no local tax plus the quarter's exempt sales</t>
  </si>
  <si>
    <t>Ship To State</t>
  </si>
  <si>
    <t>Ship To State Name</t>
  </si>
  <si>
    <t>Ship To City</t>
  </si>
  <si>
    <t>lng City ID</t>
  </si>
  <si>
    <t>Ship To County</t>
  </si>
  <si>
    <t>Product Type</t>
  </si>
  <si>
    <t>Product Type Name</t>
  </si>
  <si>
    <t>Customer Name</t>
  </si>
  <si>
    <t>Account Number</t>
  </si>
  <si>
    <t>Ship To Number</t>
  </si>
  <si>
    <t>Account Ship To</t>
  </si>
  <si>
    <t>Order Number</t>
  </si>
  <si>
    <t>Carrier</t>
  </si>
  <si>
    <t>Marketing Consultant</t>
  </si>
  <si>
    <t>Product</t>
  </si>
  <si>
    <t>Invoice Date</t>
  </si>
  <si>
    <t>Ordered Qty</t>
  </si>
  <si>
    <t>Sold Qty</t>
  </si>
  <si>
    <t>Metered Qty</t>
  </si>
  <si>
    <t>Gross Profit</t>
  </si>
  <si>
    <t>Sold As</t>
  </si>
  <si>
    <t>Unit Price</t>
  </si>
  <si>
    <t>Qty Price</t>
  </si>
  <si>
    <t>Total Taxes Now</t>
  </si>
  <si>
    <t>Total Taxes Deferred</t>
  </si>
  <si>
    <t>Total Taxes</t>
  </si>
  <si>
    <t>Total Excise Taxes</t>
  </si>
  <si>
    <t>Total Sales Taxes</t>
  </si>
  <si>
    <t>Line Total</t>
  </si>
  <si>
    <t>Total Product</t>
  </si>
  <si>
    <t>Total Product Excise</t>
  </si>
  <si>
    <t>Ship To Name</t>
  </si>
  <si>
    <t>Address 1</t>
  </si>
  <si>
    <t>Destination State</t>
  </si>
  <si>
    <t>Bid ID</t>
  </si>
  <si>
    <t>Firm Contract</t>
  </si>
  <si>
    <t>Firm Contract Adjustment</t>
  </si>
  <si>
    <t>NYMEX Weekly Adjustment</t>
  </si>
  <si>
    <t>Sold Qty No Svc</t>
  </si>
  <si>
    <t>Gross Profit No Svc</t>
  </si>
  <si>
    <t>Total Product No Svc</t>
  </si>
  <si>
    <t>Total Product Excise No Svc</t>
  </si>
  <si>
    <t>Line Total No Svc</t>
  </si>
  <si>
    <t>cnt Order Item ID</t>
  </si>
  <si>
    <t>cnt Order ID</t>
  </si>
  <si>
    <t>Counted? (helper)</t>
  </si>
  <si>
    <t>Tax State</t>
  </si>
  <si>
    <t>Tax State Name</t>
  </si>
  <si>
    <t>Destination State Name</t>
  </si>
  <si>
    <t>Category</t>
  </si>
  <si>
    <t>Import Export</t>
  </si>
  <si>
    <t>Category Import Export</t>
  </si>
  <si>
    <t>Tax Name</t>
  </si>
  <si>
    <t>Tax Class</t>
  </si>
  <si>
    <t>Tax Exemption</t>
  </si>
  <si>
    <t>Ship To City State</t>
  </si>
  <si>
    <t>Invoice Total</t>
  </si>
  <si>
    <t>Non Taxable Sales</t>
  </si>
  <si>
    <t>Tax Rate</t>
  </si>
  <si>
    <t>Total Sales Tax</t>
  </si>
  <si>
    <t>lng Tax Class ID</t>
  </si>
  <si>
    <t>cnt Tax ID</t>
  </si>
  <si>
    <t>County (helper)</t>
  </si>
  <si>
    <t>Rate (helper)</t>
  </si>
  <si>
    <t>On the county list? (helper)</t>
  </si>
  <si>
    <t>County and rate (helper)</t>
  </si>
  <si>
    <t>Rate</t>
  </si>
  <si>
    <t>Jurisdiction code</t>
  </si>
  <si>
    <t>Name on the sheet</t>
  </si>
  <si>
    <t>Product types counted in total sales</t>
  </si>
  <si>
    <t>Product types left out</t>
  </si>
  <si>
    <t>Rate with no local tax</t>
  </si>
  <si>
    <t>Cedar</t>
  </si>
  <si>
    <t>2 - #2 Ultra Low Sulfur (clear)</t>
  </si>
  <si>
    <t>S - Services</t>
  </si>
  <si>
    <t>Wright</t>
  </si>
  <si>
    <t>4 - #2 Dyed Ultra Low Sulfur</t>
  </si>
  <si>
    <t>F - Non-Taxable Product</t>
  </si>
  <si>
    <t>Hickory</t>
  </si>
  <si>
    <t>H - 10% Gasohol</t>
  </si>
  <si>
    <t>8 - Differential - Gas &amp; Clear</t>
  </si>
  <si>
    <t>Christian</t>
  </si>
  <si>
    <t>B - Bio Diesel Clear</t>
  </si>
  <si>
    <t>Z - Charges not payable through Accounts Payable</t>
  </si>
  <si>
    <t>Nodaway</t>
  </si>
  <si>
    <t>00000-147-000</t>
  </si>
  <si>
    <t>D - Bio Diesel Dyed</t>
  </si>
  <si>
    <t>Bates</t>
  </si>
  <si>
    <t>Jasper</t>
  </si>
  <si>
    <t>Clay</t>
  </si>
  <si>
    <t>Stoddard</t>
  </si>
  <si>
    <t>00000-207-000</t>
  </si>
  <si>
    <t>Warren</t>
  </si>
  <si>
    <t>Greene</t>
  </si>
  <si>
    <t>Henry</t>
  </si>
  <si>
    <t>St. Charles</t>
  </si>
  <si>
    <t>Boone</t>
  </si>
  <si>
    <t>Franklin</t>
  </si>
  <si>
    <t>Cape Girardeau</t>
  </si>
  <si>
    <t>The list holds 25 county and rate pairs. Type a new pair in the first empty yellow row; the RECAP picks it up by itself.</t>
  </si>
  <si>
    <t>Product types: copy the name exactly as the TERSE report's Product Type Name column has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</si>
</sst>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mmmm\ yyyy"/>
  </numFmts>
  <fonts count="12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1"/>
      <name val="Arial"/>
    </font>
    <font>
      <i/>
      <sz val="11"/>
      <name val="Arial"/>
    </font>
    <font>
      <b/>
      <sz val="18"/>
      <name val="Arial"/>
    </font>
    <font>
      <i/>
      <sz val="10"/>
      <name val="Arial"/>
    </font>
    <font>
      <b/>
      <sz val="14"/>
      <name val="Arial"/>
    </font>
    <font>
      <b/>
      <sz val="10"/>
      <name val="Arial"/>
    </font>
    <font>
      <b/>
      <sz val="16"/>
      <name val="Arial"/>
    </font>
    <font>
      <b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/>
    <xf numFmtId="14" fontId="7" fillId="3" borderId="0" xfId="0" applyNumberFormat="1" applyFont="1" applyFill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4" fontId="2" fillId="0" borderId="0" xfId="0" applyNumberFormat="1" applyFont="1"/>
    <xf numFmtId="0" fontId="8" fillId="0" borderId="0" xfId="0" applyFont="1"/>
    <xf numFmtId="0" fontId="4" fillId="0" borderId="0" xfId="0" applyFont="1"/>
    <xf numFmtId="165" fontId="1" fillId="0" borderId="0" xfId="0" applyNumberFormat="1" applyFont="1"/>
    <xf numFmtId="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4" fontId="1" fillId="0" borderId="1" xfId="0" applyNumberFormat="1" applyFont="1" applyBorder="1"/>
    <xf numFmtId="4" fontId="1" fillId="0" borderId="0" xfId="0" applyNumberFormat="1" applyFont="1"/>
    <xf numFmtId="0" fontId="6" fillId="0" borderId="0" xfId="0" applyFont="1"/>
    <xf numFmtId="0" fontId="1" fillId="2" borderId="0" xfId="0" applyFont="1" applyFill="1" applyAlignment="1">
      <alignment vertical="top" wrapText="1"/>
    </xf>
    <xf numFmtId="0" fontId="3" fillId="3" borderId="0" xfId="0" applyFont="1" applyFill="1"/>
    <xf numFmtId="164" fontId="3" fillId="3" borderId="0" xfId="0" applyNumberFormat="1" applyFont="1" applyFill="1"/>
    <xf numFmtId="0" fontId="9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37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ont>
        <b/>
        <sz val="16"/>
        <color rgb="FFFFFFFF"/>
        <name val="Arial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  <outlinePr summaryBelow="0"/>
  </sheetPr>
  <dimension ref="B2:E67"/>
  <sheetViews>
    <sheetView tabSelected="1" workbookViewId="0"/>
  </sheetViews>
  <sheetFormatPr defaultRowHeight="15" outlineLevelRow="1" x14ac:dyDescent="0.25"/>
  <cols>
    <col min="1" max="1" width="3" customWidth="1"/>
    <col min="2" max="2" width="44" customWidth="1"/>
    <col min="3" max="3" width="22" customWidth="1"/>
    <col min="4" max="4" width="8" customWidth="1"/>
    <col min="5" max="5" width="100" customWidth="1"/>
  </cols>
  <sheetData>
    <row r="2" spans="2:5" ht="23.25" x14ac:dyDescent="0.35">
      <c r="B2" s="1" t="s">
        <v>0</v>
      </c>
      <c r="E2" s="2" t="s">
        <v>1</v>
      </c>
    </row>
    <row r="3" spans="2:5" ht="15.75" x14ac:dyDescent="0.25">
      <c r="E3" s="3" t="s">
        <v>2</v>
      </c>
    </row>
    <row r="4" spans="2:5" ht="18" x14ac:dyDescent="0.25">
      <c r="B4" s="4" t="s">
        <v>3</v>
      </c>
      <c r="C4" s="5"/>
      <c r="E4" s="3"/>
    </row>
    <row r="5" spans="2:5" ht="15.75" x14ac:dyDescent="0.25">
      <c r="E5" s="3" t="s">
        <v>4</v>
      </c>
    </row>
    <row r="6" spans="2:5" ht="30" customHeight="1" x14ac:dyDescent="0.25">
      <c r="B6" s="22" t="str">
        <f>IF('READ ME'!$C$4="","Type the quarter's first day in C4, like 7/1/2026.",IF(COUNTIF($D$34:$D$67,"LOOK")=0,"All clear. Months pasted: "&amp;(SIGN(COUNT('AR MONTH 1'!$K$2:$K$1500)+COUNT('TERSE MONTH 1'!$P$2:$P$3000))+SIGN(COUNT('AR MONTH 2'!$K$2:$K$1500)+COUNT('TERSE MONTH 2'!$P$2:$P$3000))+SIGN(COUNT('AR MONTH 3'!$K$2:$K$1500)+COUNT('TERSE MONTH 3'!$P$2:$P$3000)))&amp;" of 3.","RED: "&amp;INDEX($E$34:$E$67,MATCH("LOOK",$D$34:$D$67,0))&amp;IF(COUNTIF($D$34:$D$67,"LOOK")&gt;1,"  ("&amp;(COUNTIF($D$34:$D$67,"LOOK")-1)&amp;" more in the checks below)","")))</f>
        <v>Type the quarter's first day in C4, like 7/1/2026.</v>
      </c>
      <c r="C6" s="23"/>
      <c r="E6" s="3"/>
    </row>
    <row r="7" spans="2:5" ht="30" customHeight="1" x14ac:dyDescent="0.25">
      <c r="B7" s="23"/>
      <c r="C7" s="23"/>
      <c r="E7" s="2" t="s">
        <v>5</v>
      </c>
    </row>
    <row r="8" spans="2:5" ht="30" customHeight="1" x14ac:dyDescent="0.25">
      <c r="B8" s="23"/>
      <c r="C8" s="23"/>
      <c r="E8" s="3" t="s">
        <v>6</v>
      </c>
    </row>
    <row r="9" spans="2:5" ht="30" customHeight="1" x14ac:dyDescent="0.25">
      <c r="B9" s="23"/>
      <c r="C9" s="23"/>
      <c r="E9" s="3" t="s">
        <v>7</v>
      </c>
    </row>
    <row r="10" spans="2:5" ht="15.75" x14ac:dyDescent="0.25">
      <c r="E10" s="3" t="s">
        <v>8</v>
      </c>
    </row>
    <row r="11" spans="2:5" ht="15.75" x14ac:dyDescent="0.25">
      <c r="E11" s="3" t="s">
        <v>9</v>
      </c>
    </row>
    <row r="12" spans="2:5" ht="15.75" x14ac:dyDescent="0.25">
      <c r="E12" s="3" t="s">
        <v>10</v>
      </c>
    </row>
    <row r="13" spans="2:5" ht="15.75" x14ac:dyDescent="0.25">
      <c r="E13" s="3" t="s">
        <v>11</v>
      </c>
    </row>
    <row r="14" spans="2:5" ht="15.75" x14ac:dyDescent="0.25">
      <c r="E14" s="3"/>
    </row>
    <row r="15" spans="2:5" ht="15.75" x14ac:dyDescent="0.25">
      <c r="E15" s="2" t="s">
        <v>12</v>
      </c>
    </row>
    <row r="16" spans="2:5" ht="15.75" x14ac:dyDescent="0.25">
      <c r="E16" s="3" t="s">
        <v>13</v>
      </c>
    </row>
    <row r="17" spans="2:5" ht="15.75" x14ac:dyDescent="0.25">
      <c r="E17" s="3" t="s">
        <v>14</v>
      </c>
    </row>
    <row r="18" spans="2:5" ht="15.75" x14ac:dyDescent="0.25">
      <c r="E18" s="3" t="s">
        <v>15</v>
      </c>
    </row>
    <row r="19" spans="2:5" ht="15.75" x14ac:dyDescent="0.25">
      <c r="E19" s="3" t="s">
        <v>16</v>
      </c>
    </row>
    <row r="20" spans="2:5" ht="15.75" x14ac:dyDescent="0.25">
      <c r="E20" s="3" t="s">
        <v>17</v>
      </c>
    </row>
    <row r="21" spans="2:5" ht="15.75" x14ac:dyDescent="0.25">
      <c r="E21" s="3" t="s">
        <v>18</v>
      </c>
    </row>
    <row r="22" spans="2:5" ht="15.75" x14ac:dyDescent="0.25">
      <c r="E22" s="3" t="s">
        <v>19</v>
      </c>
    </row>
    <row r="23" spans="2:5" ht="15.75" x14ac:dyDescent="0.25">
      <c r="E23" s="3"/>
    </row>
    <row r="24" spans="2:5" ht="15.75" x14ac:dyDescent="0.25">
      <c r="E24" s="2" t="s">
        <v>20</v>
      </c>
    </row>
    <row r="25" spans="2:5" ht="15.75" x14ac:dyDescent="0.25">
      <c r="E25" s="3" t="s">
        <v>21</v>
      </c>
    </row>
    <row r="26" spans="2:5" ht="15.75" x14ac:dyDescent="0.25">
      <c r="E26" s="3" t="s">
        <v>22</v>
      </c>
    </row>
    <row r="27" spans="2:5" ht="15.75" x14ac:dyDescent="0.25">
      <c r="E27" s="3" t="s">
        <v>23</v>
      </c>
    </row>
    <row r="28" spans="2:5" ht="15.75" x14ac:dyDescent="0.25">
      <c r="E28" s="3" t="s">
        <v>24</v>
      </c>
    </row>
    <row r="29" spans="2:5" ht="15.75" x14ac:dyDescent="0.25">
      <c r="E29" s="3" t="s">
        <v>25</v>
      </c>
    </row>
    <row r="32" spans="2:5" collapsed="1" x14ac:dyDescent="0.25">
      <c r="B32" s="6" t="s">
        <v>26</v>
      </c>
    </row>
    <row r="33" spans="2:5" hidden="1" outlineLevel="1" x14ac:dyDescent="0.25">
      <c r="B33" s="7" t="s">
        <v>27</v>
      </c>
      <c r="C33" s="7" t="s">
        <v>28</v>
      </c>
      <c r="D33" s="7" t="s">
        <v>29</v>
      </c>
      <c r="E33" s="7" t="s">
        <v>30</v>
      </c>
    </row>
    <row r="34" spans="2:5" hidden="1" outlineLevel="1" x14ac:dyDescent="0.25">
      <c r="B34" s="8" t="s">
        <v>31</v>
      </c>
      <c r="C34" s="9" t="str">
        <f>IF('READ ME'!$C$4="","OK",IF(AND(DAY('READ ME'!$C$4)=1,MOD(MONTH('READ ME'!$C$4)-1,3)=0),"OK","LOOK"))</f>
        <v>OK</v>
      </c>
      <c r="D34" s="10" t="str">
        <f>IF(C34&lt;&gt;"OK","LOOK","")</f>
        <v/>
      </c>
      <c r="E34" s="8" t="str">
        <f>IF(D34="LOOK","C4 should be the first day of the quarter, like 7/1/2026.","")</f>
        <v/>
      </c>
    </row>
    <row r="35" spans="2:5" hidden="1" outlineLevel="1" x14ac:dyDescent="0.25">
      <c r="B35" s="8" t="s">
        <v>32</v>
      </c>
      <c r="C35" s="9" t="str">
        <f>IF(AND(AND(TRIM('TERSE MONTH 1'!$G$1)="Product Type Name",TRIM('TERSE MONTH 1'!$P$1)="Invoice Date",TRIM('TERSE MONTH 1'!$AB$1)="Total Sales Taxes",TRIM('TERSE MONTH 1'!$AD$1)="Total Product"),COUNTA('TERSE MONTH 1'!$A$3001:$A$5000)=0),"OK","LOOK")</f>
        <v>OK</v>
      </c>
      <c r="D35" s="10" t="str">
        <f>IF(C35&lt;&gt;"OK","LOOK","")</f>
        <v/>
      </c>
      <c r="E35" s="8" t="str">
        <f>IF(D35="LOOK","TERSE MONTH 1: the paste is the wrong shape. Paste the whole report at A1, headers and all (over 3000 rows: copy the last row of the grey helper columns further down).","")</f>
        <v/>
      </c>
    </row>
    <row r="36" spans="2:5" hidden="1" outlineLevel="1" x14ac:dyDescent="0.25">
      <c r="B36" s="8" t="s">
        <v>33</v>
      </c>
      <c r="C36" s="9" t="str">
        <f>IF(AND('TERSE MONTH 1'!$AU$1="Counted? (helper)"),"OK","LOOK")</f>
        <v>OK</v>
      </c>
      <c r="D36" s="10" t="str">
        <f>IF(C36&lt;&gt;"OK","LOOK","")</f>
        <v/>
      </c>
      <c r="E36" s="8" t="str">
        <f>IF(D36="LOOK","TERSE MONTH 1: the grey columns at the right are gone, so a whole sheet was pasted. Copy the grey columns over from the same tab of another month, or start from a fresh blank, then paste only the report's cells.","")</f>
        <v/>
      </c>
    </row>
    <row r="37" spans="2:5" hidden="1" outlineLevel="1" x14ac:dyDescent="0.25">
      <c r="B37" s="8" t="s">
        <v>34</v>
      </c>
      <c r="C37" s="9">
        <f>IF('READ ME'!$C$4="",0,COUNTIFS('TERSE MONTH 1'!$P$2:$P$3000,"&lt;"&amp;DATE(YEAR('READ ME'!$C$4),MONTH('READ ME'!$C$4)+0,1))+COUNTIFS('TERSE MONTH 1'!$P$2:$P$3000,"&gt;="&amp;DATE(YEAR('READ ME'!$C$4),MONTH('READ ME'!$C$4)+1,1))+COUNTA('TERSE MONTH 1'!$P$2:$P$3000)-COUNT('TERSE MONTH 1'!$P$2:$P$3000))</f>
        <v>0</v>
      </c>
      <c r="D37" s="10" t="str">
        <f>IF(C37&lt;&gt;0,"LOOK","")</f>
        <v/>
      </c>
      <c r="E37" s="8" t="str">
        <f>IF(D37="LOOK","TERSE MONTH 1: "&amp;C37&amp;" invoice dates fall outside "&amp;TEXT(DATE(YEAR('READ ME'!$C$4),MONTH('READ ME'!$C$4)+0,1),"mmmm yyyy")&amp;". Wrong month pasted, or the quarter in C4 is wrong.","")</f>
        <v/>
      </c>
    </row>
    <row r="38" spans="2:5" hidden="1" outlineLevel="1" x14ac:dyDescent="0.25">
      <c r="B38" s="8" t="s">
        <v>35</v>
      </c>
      <c r="C38" s="9" t="str">
        <f>IF(AND(AND(TRIM('AR MONTH 1'!$E$1)="Category",TRIM('AR MONTH 1'!$K$1)="Invoice Date",TRIM('AR MONTH 1'!$S$1)="County",TRIM('AR MONTH 1'!$Y$1)="Taxable Sales",TRIM('AR MONTH 1'!$Z$1)="Tax Rate",TRIM('AR MONTH 1'!$AA$1)="Total Sales Tax"),COUNTA('AR MONTH 1'!$A$1501:$A$3500)=0),"OK","LOOK")</f>
        <v>OK</v>
      </c>
      <c r="D38" s="10" t="str">
        <f>IF(C38&lt;&gt;"OK","LOOK","")</f>
        <v/>
      </c>
      <c r="E38" s="8" t="str">
        <f>IF(D38="LOOK","AR MONTH 1: the paste is the wrong shape. Paste the whole report at A1, headers and all (over 1500 rows: copy the last row of the grey helper columns further down).","")</f>
        <v/>
      </c>
    </row>
    <row r="39" spans="2:5" hidden="1" outlineLevel="1" x14ac:dyDescent="0.25">
      <c r="B39" s="8" t="s">
        <v>36</v>
      </c>
      <c r="C39" s="9" t="str">
        <f>IF(AND('AR MONTH 1'!$AE$1="County (helper)",'AR MONTH 1'!$AF$1="Rate (helper)",'AR MONTH 1'!$AG$1="On the county list? (helper)",'AR MONTH 1'!$AH$1="County and rate (helper)"),"OK","LOOK")</f>
        <v>OK</v>
      </c>
      <c r="D39" s="10" t="str">
        <f>IF(C39&lt;&gt;"OK","LOOK","")</f>
        <v/>
      </c>
      <c r="E39" s="8" t="str">
        <f>IF(D39="LOOK","AR MONTH 1: the grey columns at the right are gone, so a whole sheet was pasted. Copy the grey columns over from the same tab of another month, or start from a fresh blank, then paste only the report's cells.","")</f>
        <v/>
      </c>
    </row>
    <row r="40" spans="2:5" hidden="1" outlineLevel="1" x14ac:dyDescent="0.25">
      <c r="B40" s="8" t="s">
        <v>37</v>
      </c>
      <c r="C40" s="9">
        <f>IF('READ ME'!$C$4="",0,COUNTIFS('AR MONTH 1'!$K$2:$K$1500,"&lt;"&amp;DATE(YEAR('READ ME'!$C$4),MONTH('READ ME'!$C$4)+0,1))+COUNTIFS('AR MONTH 1'!$K$2:$K$1500,"&gt;="&amp;DATE(YEAR('READ ME'!$C$4),MONTH('READ ME'!$C$4)+1,1))+COUNTA('AR MONTH 1'!$K$2:$K$1500)-COUNT('AR MONTH 1'!$K$2:$K$1500))</f>
        <v>0</v>
      </c>
      <c r="D40" s="10" t="str">
        <f>IF(C40&lt;&gt;0,"LOOK","")</f>
        <v/>
      </c>
      <c r="E40" s="8" t="str">
        <f>IF(D40="LOOK","AR MONTH 1: "&amp;C40&amp;" invoice dates fall outside "&amp;TEXT(DATE(YEAR('READ ME'!$C$4),MONTH('READ ME'!$C$4)+0,1),"mmmm yyyy")&amp;". Wrong month pasted, or the quarter in C4 is wrong.","")</f>
        <v/>
      </c>
    </row>
    <row r="41" spans="2:5" hidden="1" outlineLevel="1" x14ac:dyDescent="0.25">
      <c r="B41" s="8" t="s">
        <v>38</v>
      </c>
      <c r="C41" s="9">
        <f>COUNTIF('AR MONTH 1'!$AG$2:$AG$1500,"NOT ON LIST")</f>
        <v>0</v>
      </c>
      <c r="D41" s="10" t="str">
        <f>IF(C41&lt;&gt;0,"LOOK","")</f>
        <v/>
      </c>
      <c r="E41" s="8" t="str">
        <f>IF(D41="LOOK","AR MONTH 1: "&amp;INDEX('AR MONTH 1'!$AH$2:$AH$1500,MATCH("NOT ON LIST",'AR MONTH 1'!$AG$2:$AG$1500,0))&amp;" is not on the county list"&amp;IF(C41&gt;1," ("&amp;C41&amp;" lines in all)","")&amp;". Add the county and rate on LISTS, or fix the county on the report.","")</f>
        <v/>
      </c>
    </row>
    <row r="42" spans="2:5" hidden="1" outlineLevel="1" x14ac:dyDescent="0.25">
      <c r="B42" s="8" t="s">
        <v>39</v>
      </c>
      <c r="C42" s="9">
        <f>ROUND(RECAP!F30-SUMIFS('AR MONTH 1'!$Y$2:$Y$1500,'AR MONTH 1'!$E$2:$E$1500,"Tax Paid"),2)</f>
        <v>0</v>
      </c>
      <c r="D42" s="10" t="str">
        <f>IF(AND(ROUND(C42,2)&lt;&gt;0,COUNTIF('AR MONTH 1'!$AG$2:$AG$1500,"NOT ON LIST")=0),"LOOK","")</f>
        <v/>
      </c>
      <c r="E42" s="8" t="str">
        <f>IF(D42="LOOK","Month 1: taxable sales on RECAP are "&amp;IF(C42&gt;0,"over","under")&amp;" the AR Tax Paid lines by "&amp;TEXT(ABS(C42),"#,##0.00")&amp;IF(C42&gt;0,". A county and rate is on LISTS twice.",". Some Tax Paid lines are not being counted; check the grey columns on AR MONTH 1."),"")</f>
        <v/>
      </c>
    </row>
    <row r="43" spans="2:5" hidden="1" outlineLevel="1" x14ac:dyDescent="0.25">
      <c r="B43" s="8" t="s">
        <v>40</v>
      </c>
      <c r="C43" s="9">
        <f>ROUND(RECAP!G30-SUMIFS('AR MONTH 1'!$AA$2:$AA$1500,'AR MONTH 1'!$E$2:$E$1500,"Tax Paid"),2)</f>
        <v>0</v>
      </c>
      <c r="D43" s="10" t="str">
        <f>IF(AND(ABS(C43)&gt;=1,COUNTIF('AR MONTH 1'!$AG$2:$AG$1500,"NOT ON LIST")=0),"LOOK","")</f>
        <v/>
      </c>
      <c r="E43" s="8" t="str">
        <f>IF(D43="LOOK","Month 1: RECAP's tax is off from the invoices' tax by "&amp;TEXT(C43,"#,##0.00")&amp;". Check the rates on LISTS against the AR report's Tax Rate.","")</f>
        <v/>
      </c>
    </row>
    <row r="44" spans="2:5" hidden="1" outlineLevel="1" x14ac:dyDescent="0.25">
      <c r="B44" s="8" t="s">
        <v>41</v>
      </c>
      <c r="C44" s="9">
        <f>ROUND(SUM('TERSE MONTH 1'!$AB$2:$AB$3000)-SUM('AR MONTH 1'!$AA$2:$AA$1500),2)</f>
        <v>0</v>
      </c>
      <c r="D44" s="10" t="str">
        <f>IF(ROUND(C44,2)&lt;&gt;0,"LOOK","")</f>
        <v/>
      </c>
      <c r="E44" s="8" t="str">
        <f>IF(D44="LOOK","Month 1: the TERSE and AR reports' sales tax differ by "&amp;TEXT(C44,"#,##0.00")&amp;". Run both for the same dates.","")</f>
        <v/>
      </c>
    </row>
    <row r="45" spans="2:5" hidden="1" outlineLevel="1" x14ac:dyDescent="0.25">
      <c r="B45" s="8" t="s">
        <v>42</v>
      </c>
      <c r="C45" s="9">
        <f>COUNTIF('TERSE MONTH 1'!$AU$2:$AU$3000,"NEW")</f>
        <v>0</v>
      </c>
      <c r="D45" s="10" t="str">
        <f>IF(C45&lt;&gt;0,"LOOK","")</f>
        <v/>
      </c>
      <c r="E45" s="8" t="str">
        <f>IF(D45="LOOK","TERSE MONTH 1: product type "&amp;INDEX('TERSE MONTH 1'!$G$2:$G$3000,MATCH("NEW",'TERSE MONTH 1'!$AU$2:$AU$3000,0))&amp;" is new. Add it on LISTS, counted in total sales or left out.","")</f>
        <v/>
      </c>
    </row>
    <row r="46" spans="2:5" hidden="1" outlineLevel="1" x14ac:dyDescent="0.25">
      <c r="B46" s="8" t="s">
        <v>43</v>
      </c>
      <c r="C46" s="9" t="str">
        <f>IF(AND(AND(TRIM('TERSE MONTH 2'!$G$1)="Product Type Name",TRIM('TERSE MONTH 2'!$P$1)="Invoice Date",TRIM('TERSE MONTH 2'!$AB$1)="Total Sales Taxes",TRIM('TERSE MONTH 2'!$AD$1)="Total Product"),COUNTA('TERSE MONTH 2'!$A$3001:$A$5000)=0),"OK","LOOK")</f>
        <v>OK</v>
      </c>
      <c r="D46" s="10" t="str">
        <f>IF(C46&lt;&gt;"OK","LOOK","")</f>
        <v/>
      </c>
      <c r="E46" s="8" t="str">
        <f>IF(D46="LOOK","TERSE MONTH 2: the paste is the wrong shape. Paste the whole report at A1, headers and all (over 3000 rows: copy the last row of the grey helper columns further down).","")</f>
        <v/>
      </c>
    </row>
    <row r="47" spans="2:5" hidden="1" outlineLevel="1" x14ac:dyDescent="0.25">
      <c r="B47" s="8" t="s">
        <v>44</v>
      </c>
      <c r="C47" s="9" t="str">
        <f>IF(AND('TERSE MONTH 2'!$AU$1="Counted? (helper)"),"OK","LOOK")</f>
        <v>OK</v>
      </c>
      <c r="D47" s="10" t="str">
        <f>IF(C47&lt;&gt;"OK","LOOK","")</f>
        <v/>
      </c>
      <c r="E47" s="8" t="str">
        <f>IF(D47="LOOK","TERSE MONTH 2: the grey columns at the right are gone, so a whole sheet was pasted. Copy the grey columns over from the same tab of another month, or start from a fresh blank, then paste only the report's cells.","")</f>
        <v/>
      </c>
    </row>
    <row r="48" spans="2:5" hidden="1" outlineLevel="1" x14ac:dyDescent="0.25">
      <c r="B48" s="8" t="s">
        <v>45</v>
      </c>
      <c r="C48" s="9">
        <f>IF('READ ME'!$C$4="",0,COUNTIFS('TERSE MONTH 2'!$P$2:$P$3000,"&lt;"&amp;DATE(YEAR('READ ME'!$C$4),MONTH('READ ME'!$C$4)+1,1))+COUNTIFS('TERSE MONTH 2'!$P$2:$P$3000,"&gt;="&amp;DATE(YEAR('READ ME'!$C$4),MONTH('READ ME'!$C$4)+2,1))+COUNTA('TERSE MONTH 2'!$P$2:$P$3000)-COUNT('TERSE MONTH 2'!$P$2:$P$3000))</f>
        <v>0</v>
      </c>
      <c r="D48" s="10" t="str">
        <f>IF(C48&lt;&gt;0,"LOOK","")</f>
        <v/>
      </c>
      <c r="E48" s="8" t="str">
        <f>IF(D48="LOOK","TERSE MONTH 2: "&amp;C48&amp;" invoice dates fall outside "&amp;TEXT(DATE(YEAR('READ ME'!$C$4),MONTH('READ ME'!$C$4)+1,1),"mmmm yyyy")&amp;". Wrong month pasted, or the quarter in C4 is wrong.","")</f>
        <v/>
      </c>
    </row>
    <row r="49" spans="2:5" hidden="1" outlineLevel="1" x14ac:dyDescent="0.25">
      <c r="B49" s="8" t="s">
        <v>46</v>
      </c>
      <c r="C49" s="9" t="str">
        <f>IF(AND(AND(TRIM('AR MONTH 2'!$E$1)="Category",TRIM('AR MONTH 2'!$K$1)="Invoice Date",TRIM('AR MONTH 2'!$S$1)="County",TRIM('AR MONTH 2'!$Y$1)="Taxable Sales",TRIM('AR MONTH 2'!$Z$1)="Tax Rate",TRIM('AR MONTH 2'!$AA$1)="Total Sales Tax"),COUNTA('AR MONTH 2'!$A$1501:$A$3500)=0),"OK","LOOK")</f>
        <v>OK</v>
      </c>
      <c r="D49" s="10" t="str">
        <f>IF(C49&lt;&gt;"OK","LOOK","")</f>
        <v/>
      </c>
      <c r="E49" s="8" t="str">
        <f>IF(D49="LOOK","AR MONTH 2: the paste is the wrong shape. Paste the whole report at A1, headers and all (over 1500 rows: copy the last row of the grey helper columns further down).","")</f>
        <v/>
      </c>
    </row>
    <row r="50" spans="2:5" hidden="1" outlineLevel="1" x14ac:dyDescent="0.25">
      <c r="B50" s="8" t="s">
        <v>47</v>
      </c>
      <c r="C50" s="9" t="str">
        <f>IF(AND('AR MONTH 2'!$AE$1="County (helper)",'AR MONTH 2'!$AF$1="Rate (helper)",'AR MONTH 2'!$AG$1="On the county list? (helper)",'AR MONTH 2'!$AH$1="County and rate (helper)"),"OK","LOOK")</f>
        <v>OK</v>
      </c>
      <c r="D50" s="10" t="str">
        <f>IF(C50&lt;&gt;"OK","LOOK","")</f>
        <v/>
      </c>
      <c r="E50" s="8" t="str">
        <f>IF(D50="LOOK","AR MONTH 2: the grey columns at the right are gone, so a whole sheet was pasted. Copy the grey columns over from the same tab of another month, or start from a fresh blank, then paste only the report's cells.","")</f>
        <v/>
      </c>
    </row>
    <row r="51" spans="2:5" hidden="1" outlineLevel="1" x14ac:dyDescent="0.25">
      <c r="B51" s="8" t="s">
        <v>48</v>
      </c>
      <c r="C51" s="9">
        <f>IF('READ ME'!$C$4="",0,COUNTIFS('AR MONTH 2'!$K$2:$K$1500,"&lt;"&amp;DATE(YEAR('READ ME'!$C$4),MONTH('READ ME'!$C$4)+1,1))+COUNTIFS('AR MONTH 2'!$K$2:$K$1500,"&gt;="&amp;DATE(YEAR('READ ME'!$C$4),MONTH('READ ME'!$C$4)+2,1))+COUNTA('AR MONTH 2'!$K$2:$K$1500)-COUNT('AR MONTH 2'!$K$2:$K$1500))</f>
        <v>0</v>
      </c>
      <c r="D51" s="10" t="str">
        <f>IF(C51&lt;&gt;0,"LOOK","")</f>
        <v/>
      </c>
      <c r="E51" s="8" t="str">
        <f>IF(D51="LOOK","AR MONTH 2: "&amp;C51&amp;" invoice dates fall outside "&amp;TEXT(DATE(YEAR('READ ME'!$C$4),MONTH('READ ME'!$C$4)+1,1),"mmmm yyyy")&amp;". Wrong month pasted, or the quarter in C4 is wrong.","")</f>
        <v/>
      </c>
    </row>
    <row r="52" spans="2:5" hidden="1" outlineLevel="1" x14ac:dyDescent="0.25">
      <c r="B52" s="8" t="s">
        <v>49</v>
      </c>
      <c r="C52" s="9">
        <f>COUNTIF('AR MONTH 2'!$AG$2:$AG$1500,"NOT ON LIST")</f>
        <v>0</v>
      </c>
      <c r="D52" s="10" t="str">
        <f>IF(C52&lt;&gt;0,"LOOK","")</f>
        <v/>
      </c>
      <c r="E52" s="8" t="str">
        <f>IF(D52="LOOK","AR MONTH 2: "&amp;INDEX('AR MONTH 2'!$AH$2:$AH$1500,MATCH("NOT ON LIST",'AR MONTH 2'!$AG$2:$AG$1500,0))&amp;" is not on the county list"&amp;IF(C52&gt;1," ("&amp;C52&amp;" lines in all)","")&amp;". Add the county and rate on LISTS, or fix the county on the report.","")</f>
        <v/>
      </c>
    </row>
    <row r="53" spans="2:5" hidden="1" outlineLevel="1" x14ac:dyDescent="0.25">
      <c r="B53" s="8" t="s">
        <v>50</v>
      </c>
      <c r="C53" s="9">
        <f>ROUND(RECAP!F58-SUMIFS('AR MONTH 2'!$Y$2:$Y$1500,'AR MONTH 2'!$E$2:$E$1500,"Tax Paid"),2)</f>
        <v>0</v>
      </c>
      <c r="D53" s="10" t="str">
        <f>IF(AND(ROUND(C53,2)&lt;&gt;0,COUNTIF('AR MONTH 2'!$AG$2:$AG$1500,"NOT ON LIST")=0),"LOOK","")</f>
        <v/>
      </c>
      <c r="E53" s="8" t="str">
        <f>IF(D53="LOOK","Month 2: taxable sales on RECAP are "&amp;IF(C53&gt;0,"over","under")&amp;" the AR Tax Paid lines by "&amp;TEXT(ABS(C53),"#,##0.00")&amp;IF(C53&gt;0,". A county and rate is on LISTS twice.",". Some Tax Paid lines are not being counted; check the grey columns on AR MONTH 2."),"")</f>
        <v/>
      </c>
    </row>
    <row r="54" spans="2:5" hidden="1" outlineLevel="1" x14ac:dyDescent="0.25">
      <c r="B54" s="8" t="s">
        <v>51</v>
      </c>
      <c r="C54" s="9">
        <f>ROUND(RECAP!G58-SUMIFS('AR MONTH 2'!$AA$2:$AA$1500,'AR MONTH 2'!$E$2:$E$1500,"Tax Paid"),2)</f>
        <v>0</v>
      </c>
      <c r="D54" s="10" t="str">
        <f>IF(AND(ABS(C54)&gt;=1,COUNTIF('AR MONTH 2'!$AG$2:$AG$1500,"NOT ON LIST")=0),"LOOK","")</f>
        <v/>
      </c>
      <c r="E54" s="8" t="str">
        <f>IF(D54="LOOK","Month 2: RECAP's tax is off from the invoices' tax by "&amp;TEXT(C54,"#,##0.00")&amp;". Check the rates on LISTS against the AR report's Tax Rate.","")</f>
        <v/>
      </c>
    </row>
    <row r="55" spans="2:5" hidden="1" outlineLevel="1" x14ac:dyDescent="0.25">
      <c r="B55" s="8" t="s">
        <v>52</v>
      </c>
      <c r="C55" s="9">
        <f>ROUND(SUM('TERSE MONTH 2'!$AB$2:$AB$3000)-SUM('AR MONTH 2'!$AA$2:$AA$1500),2)</f>
        <v>0</v>
      </c>
      <c r="D55" s="10" t="str">
        <f>IF(ROUND(C55,2)&lt;&gt;0,"LOOK","")</f>
        <v/>
      </c>
      <c r="E55" s="8" t="str">
        <f>IF(D55="LOOK","Month 2: the TERSE and AR reports' sales tax differ by "&amp;TEXT(C55,"#,##0.00")&amp;". Run both for the same dates.","")</f>
        <v/>
      </c>
    </row>
    <row r="56" spans="2:5" hidden="1" outlineLevel="1" x14ac:dyDescent="0.25">
      <c r="B56" s="8" t="s">
        <v>53</v>
      </c>
      <c r="C56" s="9">
        <f>COUNTIF('TERSE MONTH 2'!$AU$2:$AU$3000,"NEW")</f>
        <v>0</v>
      </c>
      <c r="D56" s="10" t="str">
        <f>IF(C56&lt;&gt;0,"LOOK","")</f>
        <v/>
      </c>
      <c r="E56" s="8" t="str">
        <f>IF(D56="LOOK","TERSE MONTH 2: product type "&amp;INDEX('TERSE MONTH 2'!$G$2:$G$3000,MATCH("NEW",'TERSE MONTH 2'!$AU$2:$AU$3000,0))&amp;" is new. Add it on LISTS, counted in total sales or left out.","")</f>
        <v/>
      </c>
    </row>
    <row r="57" spans="2:5" hidden="1" outlineLevel="1" x14ac:dyDescent="0.25">
      <c r="B57" s="8" t="s">
        <v>54</v>
      </c>
      <c r="C57" s="9" t="str">
        <f>IF(AND(AND(TRIM('TERSE MONTH 3'!$G$1)="Product Type Name",TRIM('TERSE MONTH 3'!$P$1)="Invoice Date",TRIM('TERSE MONTH 3'!$AB$1)="Total Sales Taxes",TRIM('TERSE MONTH 3'!$AD$1)="Total Product"),COUNTA('TERSE MONTH 3'!$A$3001:$A$5000)=0),"OK","LOOK")</f>
        <v>OK</v>
      </c>
      <c r="D57" s="10" t="str">
        <f>IF(C57&lt;&gt;"OK","LOOK","")</f>
        <v/>
      </c>
      <c r="E57" s="8" t="str">
        <f>IF(D57="LOOK","TERSE MONTH 3: the paste is the wrong shape. Paste the whole report at A1, headers and all (over 3000 rows: copy the last row of the grey helper columns further down).","")</f>
        <v/>
      </c>
    </row>
    <row r="58" spans="2:5" hidden="1" outlineLevel="1" x14ac:dyDescent="0.25">
      <c r="B58" s="8" t="s">
        <v>55</v>
      </c>
      <c r="C58" s="9" t="str">
        <f>IF(AND('TERSE MONTH 3'!$AU$1="Counted? (helper)"),"OK","LOOK")</f>
        <v>OK</v>
      </c>
      <c r="D58" s="10" t="str">
        <f>IF(C58&lt;&gt;"OK","LOOK","")</f>
        <v/>
      </c>
      <c r="E58" s="8" t="str">
        <f>IF(D58="LOOK","TERSE MONTH 3: the grey columns at the right are gone, so a whole sheet was pasted. Copy the grey columns over from the same tab of another month, or start from a fresh blank, then paste only the report's cells.","")</f>
        <v/>
      </c>
    </row>
    <row r="59" spans="2:5" hidden="1" outlineLevel="1" x14ac:dyDescent="0.25">
      <c r="B59" s="8" t="s">
        <v>56</v>
      </c>
      <c r="C59" s="9">
        <f>IF('READ ME'!$C$4="",0,COUNTIFS('TERSE MONTH 3'!$P$2:$P$3000,"&lt;"&amp;DATE(YEAR('READ ME'!$C$4),MONTH('READ ME'!$C$4)+2,1))+COUNTIFS('TERSE MONTH 3'!$P$2:$P$3000,"&gt;="&amp;DATE(YEAR('READ ME'!$C$4),MONTH('READ ME'!$C$4)+3,1))+COUNTA('TERSE MONTH 3'!$P$2:$P$3000)-COUNT('TERSE MONTH 3'!$P$2:$P$3000))</f>
        <v>0</v>
      </c>
      <c r="D59" s="10" t="str">
        <f>IF(C59&lt;&gt;0,"LOOK","")</f>
        <v/>
      </c>
      <c r="E59" s="8" t="str">
        <f>IF(D59="LOOK","TERSE MONTH 3: "&amp;C59&amp;" invoice dates fall outside "&amp;TEXT(DATE(YEAR('READ ME'!$C$4),MONTH('READ ME'!$C$4)+2,1),"mmmm yyyy")&amp;". Wrong month pasted, or the quarter in C4 is wrong.","")</f>
        <v/>
      </c>
    </row>
    <row r="60" spans="2:5" hidden="1" outlineLevel="1" x14ac:dyDescent="0.25">
      <c r="B60" s="8" t="s">
        <v>57</v>
      </c>
      <c r="C60" s="9" t="str">
        <f>IF(AND(AND(TRIM('AR MONTH 3'!$E$1)="Category",TRIM('AR MONTH 3'!$K$1)="Invoice Date",TRIM('AR MONTH 3'!$S$1)="County",TRIM('AR MONTH 3'!$Y$1)="Taxable Sales",TRIM('AR MONTH 3'!$Z$1)="Tax Rate",TRIM('AR MONTH 3'!$AA$1)="Total Sales Tax"),COUNTA('AR MONTH 3'!$A$1501:$A$3500)=0),"OK","LOOK")</f>
        <v>OK</v>
      </c>
      <c r="D60" s="10" t="str">
        <f>IF(C60&lt;&gt;"OK","LOOK","")</f>
        <v/>
      </c>
      <c r="E60" s="8" t="str">
        <f>IF(D60="LOOK","AR MONTH 3: the paste is the wrong shape. Paste the whole report at A1, headers and all (over 1500 rows: copy the last row of the grey helper columns further down).","")</f>
        <v/>
      </c>
    </row>
    <row r="61" spans="2:5" hidden="1" outlineLevel="1" x14ac:dyDescent="0.25">
      <c r="B61" s="8" t="s">
        <v>58</v>
      </c>
      <c r="C61" s="9" t="str">
        <f>IF(AND('AR MONTH 3'!$AE$1="County (helper)",'AR MONTH 3'!$AF$1="Rate (helper)",'AR MONTH 3'!$AG$1="On the county list? (helper)",'AR MONTH 3'!$AH$1="County and rate (helper)"),"OK","LOOK")</f>
        <v>OK</v>
      </c>
      <c r="D61" s="10" t="str">
        <f>IF(C61&lt;&gt;"OK","LOOK","")</f>
        <v/>
      </c>
      <c r="E61" s="8" t="str">
        <f>IF(D61="LOOK","AR MONTH 3: the grey columns at the right are gone, so a whole sheet was pasted. Copy the grey columns over from the same tab of another month, or start from a fresh blank, then paste only the report's cells.","")</f>
        <v/>
      </c>
    </row>
    <row r="62" spans="2:5" hidden="1" outlineLevel="1" x14ac:dyDescent="0.25">
      <c r="B62" s="8" t="s">
        <v>59</v>
      </c>
      <c r="C62" s="9">
        <f>IF('READ ME'!$C$4="",0,COUNTIFS('AR MONTH 3'!$K$2:$K$1500,"&lt;"&amp;DATE(YEAR('READ ME'!$C$4),MONTH('READ ME'!$C$4)+2,1))+COUNTIFS('AR MONTH 3'!$K$2:$K$1500,"&gt;="&amp;DATE(YEAR('READ ME'!$C$4),MONTH('READ ME'!$C$4)+3,1))+COUNTA('AR MONTH 3'!$K$2:$K$1500)-COUNT('AR MONTH 3'!$K$2:$K$1500))</f>
        <v>0</v>
      </c>
      <c r="D62" s="10" t="str">
        <f>IF(C62&lt;&gt;0,"LOOK","")</f>
        <v/>
      </c>
      <c r="E62" s="8" t="str">
        <f>IF(D62="LOOK","AR MONTH 3: "&amp;C62&amp;" invoice dates fall outside "&amp;TEXT(DATE(YEAR('READ ME'!$C$4),MONTH('READ ME'!$C$4)+2,1),"mmmm yyyy")&amp;". Wrong month pasted, or the quarter in C4 is wrong.","")</f>
        <v/>
      </c>
    </row>
    <row r="63" spans="2:5" hidden="1" outlineLevel="1" x14ac:dyDescent="0.25">
      <c r="B63" s="8" t="s">
        <v>60</v>
      </c>
      <c r="C63" s="9">
        <f>COUNTIF('AR MONTH 3'!$AG$2:$AG$1500,"NOT ON LIST")</f>
        <v>0</v>
      </c>
      <c r="D63" s="10" t="str">
        <f>IF(C63&lt;&gt;0,"LOOK","")</f>
        <v/>
      </c>
      <c r="E63" s="8" t="str">
        <f>IF(D63="LOOK","AR MONTH 3: "&amp;INDEX('AR MONTH 3'!$AH$2:$AH$1500,MATCH("NOT ON LIST",'AR MONTH 3'!$AG$2:$AG$1500,0))&amp;" is not on the county list"&amp;IF(C63&gt;1," ("&amp;C63&amp;" lines in all)","")&amp;". Add the county and rate on LISTS, or fix the county on the report.","")</f>
        <v/>
      </c>
    </row>
    <row r="64" spans="2:5" hidden="1" outlineLevel="1" x14ac:dyDescent="0.25">
      <c r="B64" s="8" t="s">
        <v>61</v>
      </c>
      <c r="C64" s="9">
        <f>ROUND(RECAP!F86-SUMIFS('AR MONTH 3'!$Y$2:$Y$1500,'AR MONTH 3'!$E$2:$E$1500,"Tax Paid"),2)</f>
        <v>0</v>
      </c>
      <c r="D64" s="10" t="str">
        <f>IF(AND(ROUND(C64,2)&lt;&gt;0,COUNTIF('AR MONTH 3'!$AG$2:$AG$1500,"NOT ON LIST")=0),"LOOK","")</f>
        <v/>
      </c>
      <c r="E64" s="8" t="str">
        <f>IF(D64="LOOK","Month 3: taxable sales on RECAP are "&amp;IF(C64&gt;0,"over","under")&amp;" the AR Tax Paid lines by "&amp;TEXT(ABS(C64),"#,##0.00")&amp;IF(C64&gt;0,". A county and rate is on LISTS twice.",". Some Tax Paid lines are not being counted; check the grey columns on AR MONTH 3."),"")</f>
        <v/>
      </c>
    </row>
    <row r="65" spans="2:5" hidden="1" outlineLevel="1" x14ac:dyDescent="0.25">
      <c r="B65" s="8" t="s">
        <v>62</v>
      </c>
      <c r="C65" s="9">
        <f>ROUND(RECAP!G86-SUMIFS('AR MONTH 3'!$AA$2:$AA$1500,'AR MONTH 3'!$E$2:$E$1500,"Tax Paid"),2)</f>
        <v>0</v>
      </c>
      <c r="D65" s="10" t="str">
        <f>IF(AND(ABS(C65)&gt;=1,COUNTIF('AR MONTH 3'!$AG$2:$AG$1500,"NOT ON LIST")=0),"LOOK","")</f>
        <v/>
      </c>
      <c r="E65" s="8" t="str">
        <f>IF(D65="LOOK","Month 3: RECAP's tax is off from the invoices' tax by "&amp;TEXT(C65,"#,##0.00")&amp;". Check the rates on LISTS against the AR report's Tax Rate.","")</f>
        <v/>
      </c>
    </row>
    <row r="66" spans="2:5" hidden="1" outlineLevel="1" x14ac:dyDescent="0.25">
      <c r="B66" s="8" t="s">
        <v>63</v>
      </c>
      <c r="C66" s="9">
        <f>ROUND(SUM('TERSE MONTH 3'!$AB$2:$AB$3000)-SUM('AR MONTH 3'!$AA$2:$AA$1500),2)</f>
        <v>0</v>
      </c>
      <c r="D66" s="10" t="str">
        <f>IF(ROUND(C66,2)&lt;&gt;0,"LOOK","")</f>
        <v/>
      </c>
      <c r="E66" s="8" t="str">
        <f>IF(D66="LOOK","Month 3: the TERSE and AR reports' sales tax differ by "&amp;TEXT(C66,"#,##0.00")&amp;". Run both for the same dates.","")</f>
        <v/>
      </c>
    </row>
    <row r="67" spans="2:5" hidden="1" outlineLevel="1" x14ac:dyDescent="0.25">
      <c r="B67" s="8" t="s">
        <v>64</v>
      </c>
      <c r="C67" s="9">
        <f>COUNTIF('TERSE MONTH 3'!$AU$2:$AU$3000,"NEW")</f>
        <v>0</v>
      </c>
      <c r="D67" s="10" t="str">
        <f>IF(C67&lt;&gt;0,"LOOK","")</f>
        <v/>
      </c>
      <c r="E67" s="8" t="str">
        <f>IF(D67="LOOK","TERSE MONTH 3: product type "&amp;INDEX('TERSE MONTH 3'!$G$2:$G$3000,MATCH("NEW",'TERSE MONTH 3'!$AU$2:$AU$3000,0))&amp;" is new. Add it on LISTS, counted in total sales or left out.","")</f>
        <v/>
      </c>
    </row>
  </sheetData>
  <mergeCells count="1">
    <mergeCell ref="B6:C9"/>
  </mergeCells>
  <conditionalFormatting sqref="B6:C9">
    <cfRule type="expression" dxfId="36" priority="37">
      <formula>LEFT($B$6,4)="Type"</formula>
    </cfRule>
    <cfRule type="expression" dxfId="35" priority="35">
      <formula>LEFT($B$6,3)="RED"</formula>
    </cfRule>
    <cfRule type="expression" dxfId="34" priority="36">
      <formula>LEFT($B$6,3)="All"</formula>
    </cfRule>
  </conditionalFormatting>
  <conditionalFormatting sqref="B34:E34">
    <cfRule type="expression" dxfId="33" priority="1">
      <formula>$D$34="LOOK"</formula>
    </cfRule>
  </conditionalFormatting>
  <conditionalFormatting sqref="B35:E35">
    <cfRule type="expression" dxfId="32" priority="2">
      <formula>$D$35="LOOK"</formula>
    </cfRule>
  </conditionalFormatting>
  <conditionalFormatting sqref="B36:E36">
    <cfRule type="expression" dxfId="31" priority="3">
      <formula>$D$36="LOOK"</formula>
    </cfRule>
  </conditionalFormatting>
  <conditionalFormatting sqref="B37:E37">
    <cfRule type="expression" dxfId="30" priority="4">
      <formula>$D$37="LOOK"</formula>
    </cfRule>
  </conditionalFormatting>
  <conditionalFormatting sqref="B38:E38">
    <cfRule type="expression" dxfId="29" priority="5">
      <formula>$D$38="LOOK"</formula>
    </cfRule>
  </conditionalFormatting>
  <conditionalFormatting sqref="B39:E39">
    <cfRule type="expression" dxfId="28" priority="6">
      <formula>$D$39="LOOK"</formula>
    </cfRule>
  </conditionalFormatting>
  <conditionalFormatting sqref="B40:E40">
    <cfRule type="expression" dxfId="27" priority="7">
      <formula>$D$40="LOOK"</formula>
    </cfRule>
  </conditionalFormatting>
  <conditionalFormatting sqref="B41:E41">
    <cfRule type="expression" dxfId="26" priority="8">
      <formula>$D$41="LOOK"</formula>
    </cfRule>
  </conditionalFormatting>
  <conditionalFormatting sqref="B42:E42">
    <cfRule type="expression" dxfId="25" priority="9">
      <formula>$D$42="LOOK"</formula>
    </cfRule>
  </conditionalFormatting>
  <conditionalFormatting sqref="B43:E43">
    <cfRule type="expression" dxfId="24" priority="10">
      <formula>$D$43="LOOK"</formula>
    </cfRule>
  </conditionalFormatting>
  <conditionalFormatting sqref="B44:E44">
    <cfRule type="expression" dxfId="23" priority="11">
      <formula>$D$44="LOOK"</formula>
    </cfRule>
  </conditionalFormatting>
  <conditionalFormatting sqref="B45:E45">
    <cfRule type="expression" dxfId="22" priority="12">
      <formula>$D$45="LOOK"</formula>
    </cfRule>
  </conditionalFormatting>
  <conditionalFormatting sqref="B46:E46">
    <cfRule type="expression" dxfId="21" priority="13">
      <formula>$D$46="LOOK"</formula>
    </cfRule>
  </conditionalFormatting>
  <conditionalFormatting sqref="B47:E47">
    <cfRule type="expression" dxfId="20" priority="14">
      <formula>$D$47="LOOK"</formula>
    </cfRule>
  </conditionalFormatting>
  <conditionalFormatting sqref="B48:E48">
    <cfRule type="expression" dxfId="19" priority="15">
      <formula>$D$48="LOOK"</formula>
    </cfRule>
  </conditionalFormatting>
  <conditionalFormatting sqref="B49:E49">
    <cfRule type="expression" dxfId="18" priority="16">
      <formula>$D$49="LOOK"</formula>
    </cfRule>
  </conditionalFormatting>
  <conditionalFormatting sqref="B50:E50">
    <cfRule type="expression" dxfId="17" priority="17">
      <formula>$D$50="LOOK"</formula>
    </cfRule>
  </conditionalFormatting>
  <conditionalFormatting sqref="B51:E51">
    <cfRule type="expression" dxfId="16" priority="18">
      <formula>$D$51="LOOK"</formula>
    </cfRule>
  </conditionalFormatting>
  <conditionalFormatting sqref="B52:E52">
    <cfRule type="expression" dxfId="15" priority="19">
      <formula>$D$52="LOOK"</formula>
    </cfRule>
  </conditionalFormatting>
  <conditionalFormatting sqref="B53:E53">
    <cfRule type="expression" dxfId="14" priority="20">
      <formula>$D$53="LOOK"</formula>
    </cfRule>
  </conditionalFormatting>
  <conditionalFormatting sqref="B54:E54">
    <cfRule type="expression" dxfId="13" priority="21">
      <formula>$D$54="LOOK"</formula>
    </cfRule>
  </conditionalFormatting>
  <conditionalFormatting sqref="B55:E55">
    <cfRule type="expression" dxfId="12" priority="22">
      <formula>$D$55="LOOK"</formula>
    </cfRule>
  </conditionalFormatting>
  <conditionalFormatting sqref="B56:E56">
    <cfRule type="expression" dxfId="11" priority="23">
      <formula>$D$56="LOOK"</formula>
    </cfRule>
  </conditionalFormatting>
  <conditionalFormatting sqref="B57:E57">
    <cfRule type="expression" dxfId="10" priority="24">
      <formula>$D$57="LOOK"</formula>
    </cfRule>
  </conditionalFormatting>
  <conditionalFormatting sqref="B58:E58">
    <cfRule type="expression" dxfId="9" priority="25">
      <formula>$D$58="LOOK"</formula>
    </cfRule>
  </conditionalFormatting>
  <conditionalFormatting sqref="B59:E59">
    <cfRule type="expression" dxfId="8" priority="26">
      <formula>$D$59="LOOK"</formula>
    </cfRule>
  </conditionalFormatting>
  <conditionalFormatting sqref="B60:E60">
    <cfRule type="expression" dxfId="7" priority="27">
      <formula>$D$60="LOOK"</formula>
    </cfRule>
  </conditionalFormatting>
  <conditionalFormatting sqref="B61:E61">
    <cfRule type="expression" dxfId="6" priority="28">
      <formula>$D$61="LOOK"</formula>
    </cfRule>
  </conditionalFormatting>
  <conditionalFormatting sqref="B62:E62">
    <cfRule type="expression" dxfId="5" priority="29">
      <formula>$D$62="LOOK"</formula>
    </cfRule>
  </conditionalFormatting>
  <conditionalFormatting sqref="B63:E63">
    <cfRule type="expression" dxfId="4" priority="30">
      <formula>$D$63="LOOK"</formula>
    </cfRule>
  </conditionalFormatting>
  <conditionalFormatting sqref="B64:E64">
    <cfRule type="expression" dxfId="3" priority="31">
      <formula>$D$64="LOOK"</formula>
    </cfRule>
  </conditionalFormatting>
  <conditionalFormatting sqref="B65:E65">
    <cfRule type="expression" dxfId="2" priority="32">
      <formula>$D$65="LOOK"</formula>
    </cfRule>
  </conditionalFormatting>
  <conditionalFormatting sqref="B66:E66">
    <cfRule type="expression" dxfId="1" priority="33">
      <formula>$D$66="LOOK"</formula>
    </cfRule>
  </conditionalFormatting>
  <conditionalFormatting sqref="B67:E67">
    <cfRule type="expression" dxfId="0" priority="34">
      <formula>$D$67="LOOK"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K11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26" customWidth="1"/>
    <col min="3" max="4" width="15" customWidth="1"/>
    <col min="5" max="5" width="16" customWidth="1"/>
    <col min="6" max="6" width="36" customWidth="1"/>
    <col min="7" max="7" width="15" customWidth="1"/>
    <col min="8" max="8" width="22" customWidth="1"/>
    <col min="9" max="9" width="10" customWidth="1"/>
    <col min="10" max="10" width="3" customWidth="1"/>
    <col min="11" max="11" width="18" customWidth="1"/>
  </cols>
  <sheetData>
    <row r="1" spans="1:11" ht="23.25" x14ac:dyDescent="0.35">
      <c r="A1" s="1" t="str">
        <f>"Missouri use tax  "&amp;IF('READ ME'!$C$4="","",CHOOSE(ROUNDUP(MONTH('READ ME'!$C$4)/3,0),"1st","2nd","3rd","4th")&amp;" QTR "&amp;YEAR('READ ME'!$C$4))</f>
        <v xml:space="preserve">Missouri use tax  </v>
      </c>
    </row>
    <row r="2" spans="1:11" x14ac:dyDescent="0.25">
      <c r="A2" s="11" t="s">
        <v>65</v>
      </c>
    </row>
    <row r="4" spans="1:11" x14ac:dyDescent="0.25">
      <c r="B4" s="6" t="s">
        <v>66</v>
      </c>
      <c r="D4" s="6" t="s">
        <v>67</v>
      </c>
      <c r="F4" s="6" t="s">
        <v>68</v>
      </c>
      <c r="G4" s="6" t="s">
        <v>69</v>
      </c>
      <c r="H4" s="6" t="s">
        <v>70</v>
      </c>
      <c r="I4" s="6" t="s">
        <v>71</v>
      </c>
      <c r="K4" s="6" t="s">
        <v>72</v>
      </c>
    </row>
    <row r="5" spans="1:11" x14ac:dyDescent="0.25">
      <c r="A5" s="12" t="str">
        <f>IF('READ ME'!$C$4="","Month 1",DATE(YEAR('READ ME'!$C$4),MONTH('READ ME'!$C$4)+0,1))</f>
        <v>Month 1</v>
      </c>
      <c r="B5" s="13">
        <f>SUMIFS('TERSE MONTH 1'!$AD$2:$AD$3000,'TERSE MONTH 1'!$AU$2:$AU$3000,"COUNTED")</f>
        <v>0</v>
      </c>
      <c r="D5" s="13">
        <f>B5-F30</f>
        <v>0</v>
      </c>
      <c r="F5" s="13">
        <f>IF(LISTS!$D$2="","",SUMIFS('AR MONTH 1'!$Y$2:$Y$1500,'AR MONTH 1'!$AE$2:$AE$1500,LISTS!$F$2,'AR MONTH 1'!$AF$2:$AF$1500,LISTS!$G$2))</f>
        <v>0</v>
      </c>
      <c r="G5" s="13">
        <f t="shared" ref="G5:G29" si="0">IF(F5="","",ROUND(F5*I5,2))</f>
        <v>0</v>
      </c>
      <c r="H5" s="14" t="str">
        <f>LISTS!$D$2</f>
        <v>Cedar (4.225%)</v>
      </c>
      <c r="I5" s="15">
        <f>IF(LISTS!$D$2="","",LISTS!$B$2)</f>
        <v>4.2250000000000003E-2</v>
      </c>
      <c r="K5" s="14" t="str">
        <f>IF(LISTS!$C$2="","",LISTS!$C$2)</f>
        <v/>
      </c>
    </row>
    <row r="6" spans="1:11" x14ac:dyDescent="0.25">
      <c r="F6" s="13">
        <f>IF(LISTS!$D$3="","",SUMIFS('AR MONTH 1'!$Y$2:$Y$1500,'AR MONTH 1'!$AE$2:$AE$1500,LISTS!$F$3,'AR MONTH 1'!$AF$2:$AF$1500,LISTS!$G$3))</f>
        <v>0</v>
      </c>
      <c r="G6" s="13">
        <f t="shared" si="0"/>
        <v>0</v>
      </c>
      <c r="H6" s="14" t="str">
        <f>LISTS!$D$3</f>
        <v>Wright (4.225%)</v>
      </c>
      <c r="I6" s="15">
        <f>IF(LISTS!$D$3="","",LISTS!$B$3)</f>
        <v>4.2250000000000003E-2</v>
      </c>
      <c r="K6" s="14" t="str">
        <f>IF(LISTS!$C$3="","",LISTS!$C$3)</f>
        <v/>
      </c>
    </row>
    <row r="7" spans="1:11" x14ac:dyDescent="0.25">
      <c r="F7" s="13">
        <f>IF(LISTS!$D$4="","",SUMIFS('AR MONTH 1'!$Y$2:$Y$1500,'AR MONTH 1'!$AE$2:$AE$1500,LISTS!$F$4,'AR MONTH 1'!$AF$2:$AF$1500,LISTS!$G$4))</f>
        <v>0</v>
      </c>
      <c r="G7" s="13">
        <f t="shared" si="0"/>
        <v>0</v>
      </c>
      <c r="H7" s="14" t="str">
        <f>LISTS!$D$4</f>
        <v>Hickory (4.225%)</v>
      </c>
      <c r="I7" s="15">
        <f>IF(LISTS!$D$4="","",LISTS!$B$4)</f>
        <v>4.2250000000000003E-2</v>
      </c>
      <c r="K7" s="14" t="str">
        <f>IF(LISTS!$C$4="","",LISTS!$C$4)</f>
        <v/>
      </c>
    </row>
    <row r="8" spans="1:11" x14ac:dyDescent="0.25">
      <c r="F8" s="13">
        <f>IF(LISTS!$D$5="","",SUMIFS('AR MONTH 1'!$Y$2:$Y$1500,'AR MONTH 1'!$AE$2:$AE$1500,LISTS!$F$5,'AR MONTH 1'!$AF$2:$AF$1500,LISTS!$G$5))</f>
        <v>0</v>
      </c>
      <c r="G8" s="13">
        <f t="shared" si="0"/>
        <v>0</v>
      </c>
      <c r="H8" s="14" t="str">
        <f>LISTS!$D$5</f>
        <v>Christian (4.225%)</v>
      </c>
      <c r="I8" s="15">
        <f>IF(LISTS!$D$5="","",LISTS!$B$5)</f>
        <v>4.2250000000000003E-2</v>
      </c>
      <c r="K8" s="14" t="str">
        <f>IF(LISTS!$C$5="","",LISTS!$C$5)</f>
        <v/>
      </c>
    </row>
    <row r="9" spans="1:11" x14ac:dyDescent="0.25">
      <c r="F9" s="13">
        <f>IF(LISTS!$D$6="","",SUMIFS('AR MONTH 1'!$Y$2:$Y$1500,'AR MONTH 1'!$AE$2:$AE$1500,LISTS!$F$6,'AR MONTH 1'!$AF$2:$AF$1500,LISTS!$G$6))</f>
        <v>0</v>
      </c>
      <c r="G9" s="13">
        <f t="shared" si="0"/>
        <v>0</v>
      </c>
      <c r="H9" s="14" t="str">
        <f>LISTS!$D$6</f>
        <v>Nodaway (6.1%)</v>
      </c>
      <c r="I9" s="15">
        <f>IF(LISTS!$D$6="","",LISTS!$B$6)</f>
        <v>6.0999999999999999E-2</v>
      </c>
      <c r="K9" s="14" t="str">
        <f>IF(LISTS!$C$6="","",LISTS!$C$6)</f>
        <v>00000-147-000</v>
      </c>
    </row>
    <row r="10" spans="1:11" x14ac:dyDescent="0.25">
      <c r="F10" s="13">
        <f>IF(LISTS!$D$7="","",SUMIFS('AR MONTH 1'!$Y$2:$Y$1500,'AR MONTH 1'!$AE$2:$AE$1500,LISTS!$F$7,'AR MONTH 1'!$AF$2:$AF$1500,LISTS!$G$7))</f>
        <v>0</v>
      </c>
      <c r="G10" s="13">
        <f t="shared" si="0"/>
        <v>0</v>
      </c>
      <c r="H10" s="14" t="str">
        <f>LISTS!$D$7</f>
        <v>Bates (5.225%)</v>
      </c>
      <c r="I10" s="15">
        <f>IF(LISTS!$D$7="","",LISTS!$B$7)</f>
        <v>5.2249999999999998E-2</v>
      </c>
      <c r="K10" s="14" t="str">
        <f>IF(LISTS!$C$7="","",LISTS!$C$7)</f>
        <v/>
      </c>
    </row>
    <row r="11" spans="1:11" x14ac:dyDescent="0.25">
      <c r="F11" s="13">
        <f>IF(LISTS!$D$8="","",SUMIFS('AR MONTH 1'!$Y$2:$Y$1500,'AR MONTH 1'!$AE$2:$AE$1500,LISTS!$F$8,'AR MONTH 1'!$AF$2:$AF$1500,LISTS!$G$8))</f>
        <v>0</v>
      </c>
      <c r="G11" s="13">
        <f t="shared" si="0"/>
        <v>0</v>
      </c>
      <c r="H11" s="14" t="str">
        <f>LISTS!$D$8</f>
        <v>Jasper (5.6%)</v>
      </c>
      <c r="I11" s="15">
        <f>IF(LISTS!$D$8="","",LISTS!$B$8)</f>
        <v>5.6000000000000001E-2</v>
      </c>
      <c r="K11" s="14" t="str">
        <f>IF(LISTS!$C$8="","",LISTS!$C$8)</f>
        <v/>
      </c>
    </row>
    <row r="12" spans="1:11" x14ac:dyDescent="0.25">
      <c r="F12" s="13">
        <f>IF(LISTS!$D$9="","",SUMIFS('AR MONTH 1'!$Y$2:$Y$1500,'AR MONTH 1'!$AE$2:$AE$1500,LISTS!$F$9,'AR MONTH 1'!$AF$2:$AF$1500,LISTS!$G$9))</f>
        <v>0</v>
      </c>
      <c r="G12" s="13">
        <f t="shared" si="0"/>
        <v>0</v>
      </c>
      <c r="H12" s="14" t="str">
        <f>LISTS!$D$9</f>
        <v>Clay (8.725%)</v>
      </c>
      <c r="I12" s="15">
        <f>IF(LISTS!$D$9="","",LISTS!$B$9)</f>
        <v>8.7249999999999994E-2</v>
      </c>
      <c r="K12" s="14" t="str">
        <f>IF(LISTS!$C$9="","",LISTS!$C$9)</f>
        <v/>
      </c>
    </row>
    <row r="13" spans="1:11" x14ac:dyDescent="0.25">
      <c r="F13" s="13">
        <f>IF(LISTS!$D$10="","",SUMIFS('AR MONTH 1'!$Y$2:$Y$1500,'AR MONTH 1'!$AE$2:$AE$1500,LISTS!$F$10,'AR MONTH 1'!$AF$2:$AF$1500,LISTS!$G$10))</f>
        <v>0</v>
      </c>
      <c r="G13" s="13">
        <f t="shared" si="0"/>
        <v>0</v>
      </c>
      <c r="H13" s="14" t="str">
        <f>LISTS!$D$10</f>
        <v>Clay (8.6%)</v>
      </c>
      <c r="I13" s="15">
        <f>IF(LISTS!$D$10="","",LISTS!$B$10)</f>
        <v>8.5999999999999993E-2</v>
      </c>
      <c r="K13" s="14" t="str">
        <f>IF(LISTS!$C$10="","",LISTS!$C$10)</f>
        <v/>
      </c>
    </row>
    <row r="14" spans="1:11" x14ac:dyDescent="0.25">
      <c r="F14" s="13">
        <f>IF(LISTS!$D$11="","",SUMIFS('AR MONTH 1'!$Y$2:$Y$1500,'AR MONTH 1'!$AE$2:$AE$1500,LISTS!$F$11,'AR MONTH 1'!$AF$2:$AF$1500,LISTS!$G$11))</f>
        <v>0</v>
      </c>
      <c r="G14" s="13">
        <f t="shared" si="0"/>
        <v>0</v>
      </c>
      <c r="H14" s="14" t="str">
        <f>LISTS!$D$11</f>
        <v>Clay (9.725%)</v>
      </c>
      <c r="I14" s="15">
        <f>IF(LISTS!$D$11="","",LISTS!$B$11)</f>
        <v>9.7250000000000003E-2</v>
      </c>
      <c r="K14" s="14" t="str">
        <f>IF(LISTS!$C$11="","",LISTS!$C$11)</f>
        <v/>
      </c>
    </row>
    <row r="15" spans="1:11" x14ac:dyDescent="0.25">
      <c r="F15" s="13">
        <f>IF(LISTS!$D$12="","",SUMIFS('AR MONTH 1'!$Y$2:$Y$1500,'AR MONTH 1'!$AE$2:$AE$1500,LISTS!$F$12,'AR MONTH 1'!$AF$2:$AF$1500,LISTS!$G$12))</f>
        <v>0</v>
      </c>
      <c r="G15" s="13">
        <f t="shared" si="0"/>
        <v>0</v>
      </c>
      <c r="H15" s="14" t="str">
        <f>LISTS!$D$12</f>
        <v>Stoddard (6.225%)</v>
      </c>
      <c r="I15" s="15">
        <f>IF(LISTS!$D$12="","",LISTS!$B$12)</f>
        <v>6.225E-2</v>
      </c>
      <c r="K15" s="14" t="str">
        <f>IF(LISTS!$C$12="","",LISTS!$C$12)</f>
        <v>00000-207-000</v>
      </c>
    </row>
    <row r="16" spans="1:11" x14ac:dyDescent="0.25">
      <c r="F16" s="13">
        <f>IF(LISTS!$D$13="","",SUMIFS('AR MONTH 1'!$Y$2:$Y$1500,'AR MONTH 1'!$AE$2:$AE$1500,LISTS!$F$13,'AR MONTH 1'!$AF$2:$AF$1500,LISTS!$G$13))</f>
        <v>0</v>
      </c>
      <c r="G16" s="13">
        <f t="shared" si="0"/>
        <v>0</v>
      </c>
      <c r="H16" s="14" t="str">
        <f>LISTS!$D$13</f>
        <v>Warren (6.225%)</v>
      </c>
      <c r="I16" s="15">
        <f>IF(LISTS!$D$13="","",LISTS!$B$13)</f>
        <v>6.225E-2</v>
      </c>
      <c r="K16" s="14" t="str">
        <f>IF(LISTS!$C$13="","",LISTS!$C$13)</f>
        <v/>
      </c>
    </row>
    <row r="17" spans="6:11" x14ac:dyDescent="0.25">
      <c r="F17" s="13">
        <f>IF(LISTS!$D$14="","",SUMIFS('AR MONTH 1'!$Y$2:$Y$1500,'AR MONTH 1'!$AE$2:$AE$1500,LISTS!$F$14,'AR MONTH 1'!$AF$2:$AF$1500,LISTS!$G$14))</f>
        <v>0</v>
      </c>
      <c r="G17" s="13">
        <f t="shared" si="0"/>
        <v>0</v>
      </c>
      <c r="H17" s="14" t="str">
        <f>LISTS!$D$14</f>
        <v>Greene (6.35%)</v>
      </c>
      <c r="I17" s="15">
        <f>IF(LISTS!$D$14="","",LISTS!$B$14)</f>
        <v>6.3500000000000001E-2</v>
      </c>
      <c r="K17" s="14" t="str">
        <f>IF(LISTS!$C$14="","",LISTS!$C$14)</f>
        <v/>
      </c>
    </row>
    <row r="18" spans="6:11" x14ac:dyDescent="0.25">
      <c r="F18" s="13">
        <f>IF(LISTS!$D$15="","",SUMIFS('AR MONTH 1'!$Y$2:$Y$1500,'AR MONTH 1'!$AE$2:$AE$1500,LISTS!$F$15,'AR MONTH 1'!$AF$2:$AF$1500,LISTS!$G$15))</f>
        <v>0</v>
      </c>
      <c r="G18" s="13">
        <f t="shared" si="0"/>
        <v>0</v>
      </c>
      <c r="H18" s="14" t="str">
        <f>LISTS!$D$15</f>
        <v>Henry (7.925%)</v>
      </c>
      <c r="I18" s="15">
        <f>IF(LISTS!$D$15="","",LISTS!$B$15)</f>
        <v>7.9250000000000001E-2</v>
      </c>
      <c r="K18" s="14" t="str">
        <f>IF(LISTS!$C$15="","",LISTS!$C$15)</f>
        <v/>
      </c>
    </row>
    <row r="19" spans="6:11" x14ac:dyDescent="0.25">
      <c r="F19" s="13">
        <f>IF(LISTS!$D$16="","",SUMIFS('AR MONTH 1'!$Y$2:$Y$1500,'AR MONTH 1'!$AE$2:$AE$1500,LISTS!$F$16,'AR MONTH 1'!$AF$2:$AF$1500,LISTS!$G$16))</f>
        <v>0</v>
      </c>
      <c r="G19" s="13">
        <f t="shared" si="0"/>
        <v>0</v>
      </c>
      <c r="H19" s="14" t="str">
        <f>LISTS!$D$16</f>
        <v>St. Charles (7.95%)</v>
      </c>
      <c r="I19" s="15">
        <f>IF(LISTS!$D$16="","",LISTS!$B$16)</f>
        <v>7.9500000000000001E-2</v>
      </c>
      <c r="K19" s="14" t="str">
        <f>IF(LISTS!$C$16="","",LISTS!$C$16)</f>
        <v/>
      </c>
    </row>
    <row r="20" spans="6:11" x14ac:dyDescent="0.25">
      <c r="F20" s="13">
        <f>IF(LISTS!$D$17="","",SUMIFS('AR MONTH 1'!$Y$2:$Y$1500,'AR MONTH 1'!$AE$2:$AE$1500,LISTS!$F$17,'AR MONTH 1'!$AF$2:$AF$1500,LISTS!$G$17))</f>
        <v>0</v>
      </c>
      <c r="G20" s="13">
        <f t="shared" si="0"/>
        <v>0</v>
      </c>
      <c r="H20" s="14" t="str">
        <f>LISTS!$D$17</f>
        <v>Boone (7.975%)</v>
      </c>
      <c r="I20" s="15">
        <f>IF(LISTS!$D$17="","",LISTS!$B$17)</f>
        <v>7.9750000000000001E-2</v>
      </c>
      <c r="K20" s="14" t="str">
        <f>IF(LISTS!$C$17="","",LISTS!$C$17)</f>
        <v/>
      </c>
    </row>
    <row r="21" spans="6:11" x14ac:dyDescent="0.25">
      <c r="F21" s="13">
        <f>IF(LISTS!$D$18="","",SUMIFS('AR MONTH 1'!$Y$2:$Y$1500,'AR MONTH 1'!$AE$2:$AE$1500,LISTS!$F$18,'AR MONTH 1'!$AF$2:$AF$1500,LISTS!$G$18))</f>
        <v>0</v>
      </c>
      <c r="G21" s="13">
        <f t="shared" si="0"/>
        <v>0</v>
      </c>
      <c r="H21" s="14" t="str">
        <f>LISTS!$D$18</f>
        <v>Wright (6.1%)</v>
      </c>
      <c r="I21" s="15">
        <f>IF(LISTS!$D$18="","",LISTS!$B$18)</f>
        <v>6.0999999999999999E-2</v>
      </c>
      <c r="K21" s="14" t="str">
        <f>IF(LISTS!$C$18="","",LISTS!$C$18)</f>
        <v/>
      </c>
    </row>
    <row r="22" spans="6:11" x14ac:dyDescent="0.25">
      <c r="F22" s="13">
        <f>IF(LISTS!$D$19="","",SUMIFS('AR MONTH 1'!$Y$2:$Y$1500,'AR MONTH 1'!$AE$2:$AE$1500,LISTS!$F$19,'AR MONTH 1'!$AF$2:$AF$1500,LISTS!$G$19))</f>
        <v>0</v>
      </c>
      <c r="G22" s="13">
        <f t="shared" si="0"/>
        <v>0</v>
      </c>
      <c r="H22" s="14" t="str">
        <f>LISTS!$D$19</f>
        <v>Franklin (6.475%)</v>
      </c>
      <c r="I22" s="15">
        <f>IF(LISTS!$D$19="","",LISTS!$B$19)</f>
        <v>6.4750000000000002E-2</v>
      </c>
      <c r="K22" s="14" t="str">
        <f>IF(LISTS!$C$19="","",LISTS!$C$19)</f>
        <v/>
      </c>
    </row>
    <row r="23" spans="6:11" x14ac:dyDescent="0.25">
      <c r="F23" s="13">
        <f>IF(LISTS!$D$20="","",SUMIFS('AR MONTH 1'!$Y$2:$Y$1500,'AR MONTH 1'!$AE$2:$AE$1500,LISTS!$F$20,'AR MONTH 1'!$AF$2:$AF$1500,LISTS!$G$20))</f>
        <v>0</v>
      </c>
      <c r="G23" s="13">
        <f t="shared" si="0"/>
        <v>0</v>
      </c>
      <c r="H23" s="14" t="str">
        <f>LISTS!$D$20</f>
        <v>Cape Girardeau (8.475%)</v>
      </c>
      <c r="I23" s="15">
        <f>IF(LISTS!$D$20="","",LISTS!$B$20)</f>
        <v>8.4750000000000006E-2</v>
      </c>
      <c r="K23" s="14" t="str">
        <f>IF(LISTS!$C$20="","",LISTS!$C$20)</f>
        <v/>
      </c>
    </row>
    <row r="24" spans="6:11" x14ac:dyDescent="0.25">
      <c r="F24" s="13" t="str">
        <f>IF(LISTS!$D$21="","",SUMIFS('AR MONTH 1'!$Y$2:$Y$1500,'AR MONTH 1'!$AE$2:$AE$1500,LISTS!$F$21,'AR MONTH 1'!$AF$2:$AF$1500,LISTS!$G$21))</f>
        <v/>
      </c>
      <c r="G24" s="13" t="str">
        <f t="shared" si="0"/>
        <v/>
      </c>
      <c r="H24" s="14" t="str">
        <f>LISTS!$D$21</f>
        <v/>
      </c>
      <c r="I24" s="15" t="str">
        <f>IF(LISTS!$D$21="","",LISTS!$B$21)</f>
        <v/>
      </c>
      <c r="K24" s="14" t="str">
        <f>IF(LISTS!$C$21="","",LISTS!$C$21)</f>
        <v/>
      </c>
    </row>
    <row r="25" spans="6:11" x14ac:dyDescent="0.25">
      <c r="F25" s="13" t="str">
        <f>IF(LISTS!$D$22="","",SUMIFS('AR MONTH 1'!$Y$2:$Y$1500,'AR MONTH 1'!$AE$2:$AE$1500,LISTS!$F$22,'AR MONTH 1'!$AF$2:$AF$1500,LISTS!$G$22))</f>
        <v/>
      </c>
      <c r="G25" s="13" t="str">
        <f t="shared" si="0"/>
        <v/>
      </c>
      <c r="H25" s="14" t="str">
        <f>LISTS!$D$22</f>
        <v/>
      </c>
      <c r="I25" s="15" t="str">
        <f>IF(LISTS!$D$22="","",LISTS!$B$22)</f>
        <v/>
      </c>
      <c r="K25" s="14" t="str">
        <f>IF(LISTS!$C$22="","",LISTS!$C$22)</f>
        <v/>
      </c>
    </row>
    <row r="26" spans="6:11" x14ac:dyDescent="0.25">
      <c r="F26" s="13" t="str">
        <f>IF(LISTS!$D$23="","",SUMIFS('AR MONTH 1'!$Y$2:$Y$1500,'AR MONTH 1'!$AE$2:$AE$1500,LISTS!$F$23,'AR MONTH 1'!$AF$2:$AF$1500,LISTS!$G$23))</f>
        <v/>
      </c>
      <c r="G26" s="13" t="str">
        <f t="shared" si="0"/>
        <v/>
      </c>
      <c r="H26" s="14" t="str">
        <f>LISTS!$D$23</f>
        <v/>
      </c>
      <c r="I26" s="15" t="str">
        <f>IF(LISTS!$D$23="","",LISTS!$B$23)</f>
        <v/>
      </c>
      <c r="K26" s="14" t="str">
        <f>IF(LISTS!$C$23="","",LISTS!$C$23)</f>
        <v/>
      </c>
    </row>
    <row r="27" spans="6:11" x14ac:dyDescent="0.25">
      <c r="F27" s="13" t="str">
        <f>IF(LISTS!$D$24="","",SUMIFS('AR MONTH 1'!$Y$2:$Y$1500,'AR MONTH 1'!$AE$2:$AE$1500,LISTS!$F$24,'AR MONTH 1'!$AF$2:$AF$1500,LISTS!$G$24))</f>
        <v/>
      </c>
      <c r="G27" s="13" t="str">
        <f t="shared" si="0"/>
        <v/>
      </c>
      <c r="H27" s="14" t="str">
        <f>LISTS!$D$24</f>
        <v/>
      </c>
      <c r="I27" s="15" t="str">
        <f>IF(LISTS!$D$24="","",LISTS!$B$24)</f>
        <v/>
      </c>
      <c r="K27" s="14" t="str">
        <f>IF(LISTS!$C$24="","",LISTS!$C$24)</f>
        <v/>
      </c>
    </row>
    <row r="28" spans="6:11" x14ac:dyDescent="0.25">
      <c r="F28" s="13" t="str">
        <f>IF(LISTS!$D$25="","",SUMIFS('AR MONTH 1'!$Y$2:$Y$1500,'AR MONTH 1'!$AE$2:$AE$1500,LISTS!$F$25,'AR MONTH 1'!$AF$2:$AF$1500,LISTS!$G$25))</f>
        <v/>
      </c>
      <c r="G28" s="13" t="str">
        <f t="shared" si="0"/>
        <v/>
      </c>
      <c r="H28" s="14" t="str">
        <f>LISTS!$D$25</f>
        <v/>
      </c>
      <c r="I28" s="15" t="str">
        <f>IF(LISTS!$D$25="","",LISTS!$B$25)</f>
        <v/>
      </c>
      <c r="K28" s="14" t="str">
        <f>IF(LISTS!$C$25="","",LISTS!$C$25)</f>
        <v/>
      </c>
    </row>
    <row r="29" spans="6:11" x14ac:dyDescent="0.25">
      <c r="F29" s="13" t="str">
        <f>IF(LISTS!$D$26="","",SUMIFS('AR MONTH 1'!$Y$2:$Y$1500,'AR MONTH 1'!$AE$2:$AE$1500,LISTS!$F$26,'AR MONTH 1'!$AF$2:$AF$1500,LISTS!$G$26))</f>
        <v/>
      </c>
      <c r="G29" s="13" t="str">
        <f t="shared" si="0"/>
        <v/>
      </c>
      <c r="H29" s="14" t="str">
        <f>LISTS!$D$26</f>
        <v/>
      </c>
      <c r="I29" s="15" t="str">
        <f>IF(LISTS!$D$26="","",LISTS!$B$26)</f>
        <v/>
      </c>
      <c r="K29" s="14" t="str">
        <f>IF(LISTS!$C$26="","",LISTS!$C$26)</f>
        <v/>
      </c>
    </row>
    <row r="30" spans="6:11" x14ac:dyDescent="0.25">
      <c r="F30" s="16">
        <f>SUM(F5:F29)</f>
        <v>0</v>
      </c>
      <c r="G30" s="16">
        <f>SUM(G5:G29)</f>
        <v>0</v>
      </c>
    </row>
    <row r="33" spans="1:11" x14ac:dyDescent="0.25">
      <c r="A33" s="12" t="str">
        <f>IF('READ ME'!$C$4="","Month 2",DATE(YEAR('READ ME'!$C$4),MONTH('READ ME'!$C$4)+1,1))</f>
        <v>Month 2</v>
      </c>
      <c r="B33" s="13">
        <f>SUMIFS('TERSE MONTH 2'!$AD$2:$AD$3000,'TERSE MONTH 2'!$AU$2:$AU$3000,"COUNTED")</f>
        <v>0</v>
      </c>
      <c r="D33" s="13">
        <f>B33-F58</f>
        <v>0</v>
      </c>
      <c r="F33" s="13">
        <f>IF(LISTS!$D$2="","",SUMIFS('AR MONTH 2'!$Y$2:$Y$1500,'AR MONTH 2'!$AE$2:$AE$1500,LISTS!$F$2,'AR MONTH 2'!$AF$2:$AF$1500,LISTS!$G$2))</f>
        <v>0</v>
      </c>
      <c r="G33" s="13">
        <f t="shared" ref="G33:G57" si="1">IF(F33="","",ROUND(F33*I33,2))</f>
        <v>0</v>
      </c>
      <c r="H33" s="14" t="str">
        <f>LISTS!$D$2</f>
        <v>Cedar (4.225%)</v>
      </c>
      <c r="I33" s="15">
        <f>IF(LISTS!$D$2="","",LISTS!$B$2)</f>
        <v>4.2250000000000003E-2</v>
      </c>
      <c r="K33" s="14" t="str">
        <f>IF(LISTS!$C$2="","",LISTS!$C$2)</f>
        <v/>
      </c>
    </row>
    <row r="34" spans="1:11" x14ac:dyDescent="0.25">
      <c r="F34" s="13">
        <f>IF(LISTS!$D$3="","",SUMIFS('AR MONTH 2'!$Y$2:$Y$1500,'AR MONTH 2'!$AE$2:$AE$1500,LISTS!$F$3,'AR MONTH 2'!$AF$2:$AF$1500,LISTS!$G$3))</f>
        <v>0</v>
      </c>
      <c r="G34" s="13">
        <f t="shared" si="1"/>
        <v>0</v>
      </c>
      <c r="H34" s="14" t="str">
        <f>LISTS!$D$3</f>
        <v>Wright (4.225%)</v>
      </c>
      <c r="I34" s="15">
        <f>IF(LISTS!$D$3="","",LISTS!$B$3)</f>
        <v>4.2250000000000003E-2</v>
      </c>
      <c r="K34" s="14" t="str">
        <f>IF(LISTS!$C$3="","",LISTS!$C$3)</f>
        <v/>
      </c>
    </row>
    <row r="35" spans="1:11" x14ac:dyDescent="0.25">
      <c r="F35" s="13">
        <f>IF(LISTS!$D$4="","",SUMIFS('AR MONTH 2'!$Y$2:$Y$1500,'AR MONTH 2'!$AE$2:$AE$1500,LISTS!$F$4,'AR MONTH 2'!$AF$2:$AF$1500,LISTS!$G$4))</f>
        <v>0</v>
      </c>
      <c r="G35" s="13">
        <f t="shared" si="1"/>
        <v>0</v>
      </c>
      <c r="H35" s="14" t="str">
        <f>LISTS!$D$4</f>
        <v>Hickory (4.225%)</v>
      </c>
      <c r="I35" s="15">
        <f>IF(LISTS!$D$4="","",LISTS!$B$4)</f>
        <v>4.2250000000000003E-2</v>
      </c>
      <c r="K35" s="14" t="str">
        <f>IF(LISTS!$C$4="","",LISTS!$C$4)</f>
        <v/>
      </c>
    </row>
    <row r="36" spans="1:11" x14ac:dyDescent="0.25">
      <c r="F36" s="13">
        <f>IF(LISTS!$D$5="","",SUMIFS('AR MONTH 2'!$Y$2:$Y$1500,'AR MONTH 2'!$AE$2:$AE$1500,LISTS!$F$5,'AR MONTH 2'!$AF$2:$AF$1500,LISTS!$G$5))</f>
        <v>0</v>
      </c>
      <c r="G36" s="13">
        <f t="shared" si="1"/>
        <v>0</v>
      </c>
      <c r="H36" s="14" t="str">
        <f>LISTS!$D$5</f>
        <v>Christian (4.225%)</v>
      </c>
      <c r="I36" s="15">
        <f>IF(LISTS!$D$5="","",LISTS!$B$5)</f>
        <v>4.2250000000000003E-2</v>
      </c>
      <c r="K36" s="14" t="str">
        <f>IF(LISTS!$C$5="","",LISTS!$C$5)</f>
        <v/>
      </c>
    </row>
    <row r="37" spans="1:11" x14ac:dyDescent="0.25">
      <c r="F37" s="13">
        <f>IF(LISTS!$D$6="","",SUMIFS('AR MONTH 2'!$Y$2:$Y$1500,'AR MONTH 2'!$AE$2:$AE$1500,LISTS!$F$6,'AR MONTH 2'!$AF$2:$AF$1500,LISTS!$G$6))</f>
        <v>0</v>
      </c>
      <c r="G37" s="13">
        <f t="shared" si="1"/>
        <v>0</v>
      </c>
      <c r="H37" s="14" t="str">
        <f>LISTS!$D$6</f>
        <v>Nodaway (6.1%)</v>
      </c>
      <c r="I37" s="15">
        <f>IF(LISTS!$D$6="","",LISTS!$B$6)</f>
        <v>6.0999999999999999E-2</v>
      </c>
      <c r="K37" s="14" t="str">
        <f>IF(LISTS!$C$6="","",LISTS!$C$6)</f>
        <v>00000-147-000</v>
      </c>
    </row>
    <row r="38" spans="1:11" x14ac:dyDescent="0.25">
      <c r="F38" s="13">
        <f>IF(LISTS!$D$7="","",SUMIFS('AR MONTH 2'!$Y$2:$Y$1500,'AR MONTH 2'!$AE$2:$AE$1500,LISTS!$F$7,'AR MONTH 2'!$AF$2:$AF$1500,LISTS!$G$7))</f>
        <v>0</v>
      </c>
      <c r="G38" s="13">
        <f t="shared" si="1"/>
        <v>0</v>
      </c>
      <c r="H38" s="14" t="str">
        <f>LISTS!$D$7</f>
        <v>Bates (5.225%)</v>
      </c>
      <c r="I38" s="15">
        <f>IF(LISTS!$D$7="","",LISTS!$B$7)</f>
        <v>5.2249999999999998E-2</v>
      </c>
      <c r="K38" s="14" t="str">
        <f>IF(LISTS!$C$7="","",LISTS!$C$7)</f>
        <v/>
      </c>
    </row>
    <row r="39" spans="1:11" x14ac:dyDescent="0.25">
      <c r="F39" s="13">
        <f>IF(LISTS!$D$8="","",SUMIFS('AR MONTH 2'!$Y$2:$Y$1500,'AR MONTH 2'!$AE$2:$AE$1500,LISTS!$F$8,'AR MONTH 2'!$AF$2:$AF$1500,LISTS!$G$8))</f>
        <v>0</v>
      </c>
      <c r="G39" s="13">
        <f t="shared" si="1"/>
        <v>0</v>
      </c>
      <c r="H39" s="14" t="str">
        <f>LISTS!$D$8</f>
        <v>Jasper (5.6%)</v>
      </c>
      <c r="I39" s="15">
        <f>IF(LISTS!$D$8="","",LISTS!$B$8)</f>
        <v>5.6000000000000001E-2</v>
      </c>
      <c r="K39" s="14" t="str">
        <f>IF(LISTS!$C$8="","",LISTS!$C$8)</f>
        <v/>
      </c>
    </row>
    <row r="40" spans="1:11" x14ac:dyDescent="0.25">
      <c r="F40" s="13">
        <f>IF(LISTS!$D$9="","",SUMIFS('AR MONTH 2'!$Y$2:$Y$1500,'AR MONTH 2'!$AE$2:$AE$1500,LISTS!$F$9,'AR MONTH 2'!$AF$2:$AF$1500,LISTS!$G$9))</f>
        <v>0</v>
      </c>
      <c r="G40" s="13">
        <f t="shared" si="1"/>
        <v>0</v>
      </c>
      <c r="H40" s="14" t="str">
        <f>LISTS!$D$9</f>
        <v>Clay (8.725%)</v>
      </c>
      <c r="I40" s="15">
        <f>IF(LISTS!$D$9="","",LISTS!$B$9)</f>
        <v>8.7249999999999994E-2</v>
      </c>
      <c r="K40" s="14" t="str">
        <f>IF(LISTS!$C$9="","",LISTS!$C$9)</f>
        <v/>
      </c>
    </row>
    <row r="41" spans="1:11" x14ac:dyDescent="0.25">
      <c r="F41" s="13">
        <f>IF(LISTS!$D$10="","",SUMIFS('AR MONTH 2'!$Y$2:$Y$1500,'AR MONTH 2'!$AE$2:$AE$1500,LISTS!$F$10,'AR MONTH 2'!$AF$2:$AF$1500,LISTS!$G$10))</f>
        <v>0</v>
      </c>
      <c r="G41" s="13">
        <f t="shared" si="1"/>
        <v>0</v>
      </c>
      <c r="H41" s="14" t="str">
        <f>LISTS!$D$10</f>
        <v>Clay (8.6%)</v>
      </c>
      <c r="I41" s="15">
        <f>IF(LISTS!$D$10="","",LISTS!$B$10)</f>
        <v>8.5999999999999993E-2</v>
      </c>
      <c r="K41" s="14" t="str">
        <f>IF(LISTS!$C$10="","",LISTS!$C$10)</f>
        <v/>
      </c>
    </row>
    <row r="42" spans="1:11" x14ac:dyDescent="0.25">
      <c r="F42" s="13">
        <f>IF(LISTS!$D$11="","",SUMIFS('AR MONTH 2'!$Y$2:$Y$1500,'AR MONTH 2'!$AE$2:$AE$1500,LISTS!$F$11,'AR MONTH 2'!$AF$2:$AF$1500,LISTS!$G$11))</f>
        <v>0</v>
      </c>
      <c r="G42" s="13">
        <f t="shared" si="1"/>
        <v>0</v>
      </c>
      <c r="H42" s="14" t="str">
        <f>LISTS!$D$11</f>
        <v>Clay (9.725%)</v>
      </c>
      <c r="I42" s="15">
        <f>IF(LISTS!$D$11="","",LISTS!$B$11)</f>
        <v>9.7250000000000003E-2</v>
      </c>
      <c r="K42" s="14" t="str">
        <f>IF(LISTS!$C$11="","",LISTS!$C$11)</f>
        <v/>
      </c>
    </row>
    <row r="43" spans="1:11" x14ac:dyDescent="0.25">
      <c r="F43" s="13">
        <f>IF(LISTS!$D$12="","",SUMIFS('AR MONTH 2'!$Y$2:$Y$1500,'AR MONTH 2'!$AE$2:$AE$1500,LISTS!$F$12,'AR MONTH 2'!$AF$2:$AF$1500,LISTS!$G$12))</f>
        <v>0</v>
      </c>
      <c r="G43" s="13">
        <f t="shared" si="1"/>
        <v>0</v>
      </c>
      <c r="H43" s="14" t="str">
        <f>LISTS!$D$12</f>
        <v>Stoddard (6.225%)</v>
      </c>
      <c r="I43" s="15">
        <f>IF(LISTS!$D$12="","",LISTS!$B$12)</f>
        <v>6.225E-2</v>
      </c>
      <c r="K43" s="14" t="str">
        <f>IF(LISTS!$C$12="","",LISTS!$C$12)</f>
        <v>00000-207-000</v>
      </c>
    </row>
    <row r="44" spans="1:11" x14ac:dyDescent="0.25">
      <c r="F44" s="13">
        <f>IF(LISTS!$D$13="","",SUMIFS('AR MONTH 2'!$Y$2:$Y$1500,'AR MONTH 2'!$AE$2:$AE$1500,LISTS!$F$13,'AR MONTH 2'!$AF$2:$AF$1500,LISTS!$G$13))</f>
        <v>0</v>
      </c>
      <c r="G44" s="13">
        <f t="shared" si="1"/>
        <v>0</v>
      </c>
      <c r="H44" s="14" t="str">
        <f>LISTS!$D$13</f>
        <v>Warren (6.225%)</v>
      </c>
      <c r="I44" s="15">
        <f>IF(LISTS!$D$13="","",LISTS!$B$13)</f>
        <v>6.225E-2</v>
      </c>
      <c r="K44" s="14" t="str">
        <f>IF(LISTS!$C$13="","",LISTS!$C$13)</f>
        <v/>
      </c>
    </row>
    <row r="45" spans="1:11" x14ac:dyDescent="0.25">
      <c r="F45" s="13">
        <f>IF(LISTS!$D$14="","",SUMIFS('AR MONTH 2'!$Y$2:$Y$1500,'AR MONTH 2'!$AE$2:$AE$1500,LISTS!$F$14,'AR MONTH 2'!$AF$2:$AF$1500,LISTS!$G$14))</f>
        <v>0</v>
      </c>
      <c r="G45" s="13">
        <f t="shared" si="1"/>
        <v>0</v>
      </c>
      <c r="H45" s="14" t="str">
        <f>LISTS!$D$14</f>
        <v>Greene (6.35%)</v>
      </c>
      <c r="I45" s="15">
        <f>IF(LISTS!$D$14="","",LISTS!$B$14)</f>
        <v>6.3500000000000001E-2</v>
      </c>
      <c r="K45" s="14" t="str">
        <f>IF(LISTS!$C$14="","",LISTS!$C$14)</f>
        <v/>
      </c>
    </row>
    <row r="46" spans="1:11" x14ac:dyDescent="0.25">
      <c r="F46" s="13">
        <f>IF(LISTS!$D$15="","",SUMIFS('AR MONTH 2'!$Y$2:$Y$1500,'AR MONTH 2'!$AE$2:$AE$1500,LISTS!$F$15,'AR MONTH 2'!$AF$2:$AF$1500,LISTS!$G$15))</f>
        <v>0</v>
      </c>
      <c r="G46" s="13">
        <f t="shared" si="1"/>
        <v>0</v>
      </c>
      <c r="H46" s="14" t="str">
        <f>LISTS!$D$15</f>
        <v>Henry (7.925%)</v>
      </c>
      <c r="I46" s="15">
        <f>IF(LISTS!$D$15="","",LISTS!$B$15)</f>
        <v>7.9250000000000001E-2</v>
      </c>
      <c r="K46" s="14" t="str">
        <f>IF(LISTS!$C$15="","",LISTS!$C$15)</f>
        <v/>
      </c>
    </row>
    <row r="47" spans="1:11" x14ac:dyDescent="0.25">
      <c r="F47" s="13">
        <f>IF(LISTS!$D$16="","",SUMIFS('AR MONTH 2'!$Y$2:$Y$1500,'AR MONTH 2'!$AE$2:$AE$1500,LISTS!$F$16,'AR MONTH 2'!$AF$2:$AF$1500,LISTS!$G$16))</f>
        <v>0</v>
      </c>
      <c r="G47" s="13">
        <f t="shared" si="1"/>
        <v>0</v>
      </c>
      <c r="H47" s="14" t="str">
        <f>LISTS!$D$16</f>
        <v>St. Charles (7.95%)</v>
      </c>
      <c r="I47" s="15">
        <f>IF(LISTS!$D$16="","",LISTS!$B$16)</f>
        <v>7.9500000000000001E-2</v>
      </c>
      <c r="K47" s="14" t="str">
        <f>IF(LISTS!$C$16="","",LISTS!$C$16)</f>
        <v/>
      </c>
    </row>
    <row r="48" spans="1:11" x14ac:dyDescent="0.25">
      <c r="F48" s="13">
        <f>IF(LISTS!$D$17="","",SUMIFS('AR MONTH 2'!$Y$2:$Y$1500,'AR MONTH 2'!$AE$2:$AE$1500,LISTS!$F$17,'AR MONTH 2'!$AF$2:$AF$1500,LISTS!$G$17))</f>
        <v>0</v>
      </c>
      <c r="G48" s="13">
        <f t="shared" si="1"/>
        <v>0</v>
      </c>
      <c r="H48" s="14" t="str">
        <f>LISTS!$D$17</f>
        <v>Boone (7.975%)</v>
      </c>
      <c r="I48" s="15">
        <f>IF(LISTS!$D$17="","",LISTS!$B$17)</f>
        <v>7.9750000000000001E-2</v>
      </c>
      <c r="K48" s="14" t="str">
        <f>IF(LISTS!$C$17="","",LISTS!$C$17)</f>
        <v/>
      </c>
    </row>
    <row r="49" spans="1:11" x14ac:dyDescent="0.25">
      <c r="F49" s="13">
        <f>IF(LISTS!$D$18="","",SUMIFS('AR MONTH 2'!$Y$2:$Y$1500,'AR MONTH 2'!$AE$2:$AE$1500,LISTS!$F$18,'AR MONTH 2'!$AF$2:$AF$1500,LISTS!$G$18))</f>
        <v>0</v>
      </c>
      <c r="G49" s="13">
        <f t="shared" si="1"/>
        <v>0</v>
      </c>
      <c r="H49" s="14" t="str">
        <f>LISTS!$D$18</f>
        <v>Wright (6.1%)</v>
      </c>
      <c r="I49" s="15">
        <f>IF(LISTS!$D$18="","",LISTS!$B$18)</f>
        <v>6.0999999999999999E-2</v>
      </c>
      <c r="K49" s="14" t="str">
        <f>IF(LISTS!$C$18="","",LISTS!$C$18)</f>
        <v/>
      </c>
    </row>
    <row r="50" spans="1:11" x14ac:dyDescent="0.25">
      <c r="F50" s="13">
        <f>IF(LISTS!$D$19="","",SUMIFS('AR MONTH 2'!$Y$2:$Y$1500,'AR MONTH 2'!$AE$2:$AE$1500,LISTS!$F$19,'AR MONTH 2'!$AF$2:$AF$1500,LISTS!$G$19))</f>
        <v>0</v>
      </c>
      <c r="G50" s="13">
        <f t="shared" si="1"/>
        <v>0</v>
      </c>
      <c r="H50" s="14" t="str">
        <f>LISTS!$D$19</f>
        <v>Franklin (6.475%)</v>
      </c>
      <c r="I50" s="15">
        <f>IF(LISTS!$D$19="","",LISTS!$B$19)</f>
        <v>6.4750000000000002E-2</v>
      </c>
      <c r="K50" s="14" t="str">
        <f>IF(LISTS!$C$19="","",LISTS!$C$19)</f>
        <v/>
      </c>
    </row>
    <row r="51" spans="1:11" x14ac:dyDescent="0.25">
      <c r="F51" s="13">
        <f>IF(LISTS!$D$20="","",SUMIFS('AR MONTH 2'!$Y$2:$Y$1500,'AR MONTH 2'!$AE$2:$AE$1500,LISTS!$F$20,'AR MONTH 2'!$AF$2:$AF$1500,LISTS!$G$20))</f>
        <v>0</v>
      </c>
      <c r="G51" s="13">
        <f t="shared" si="1"/>
        <v>0</v>
      </c>
      <c r="H51" s="14" t="str">
        <f>LISTS!$D$20</f>
        <v>Cape Girardeau (8.475%)</v>
      </c>
      <c r="I51" s="15">
        <f>IF(LISTS!$D$20="","",LISTS!$B$20)</f>
        <v>8.4750000000000006E-2</v>
      </c>
      <c r="K51" s="14" t="str">
        <f>IF(LISTS!$C$20="","",LISTS!$C$20)</f>
        <v/>
      </c>
    </row>
    <row r="52" spans="1:11" x14ac:dyDescent="0.25">
      <c r="F52" s="13" t="str">
        <f>IF(LISTS!$D$21="","",SUMIFS('AR MONTH 2'!$Y$2:$Y$1500,'AR MONTH 2'!$AE$2:$AE$1500,LISTS!$F$21,'AR MONTH 2'!$AF$2:$AF$1500,LISTS!$G$21))</f>
        <v/>
      </c>
      <c r="G52" s="13" t="str">
        <f t="shared" si="1"/>
        <v/>
      </c>
      <c r="H52" s="14" t="str">
        <f>LISTS!$D$21</f>
        <v/>
      </c>
      <c r="I52" s="15" t="str">
        <f>IF(LISTS!$D$21="","",LISTS!$B$21)</f>
        <v/>
      </c>
      <c r="K52" s="14" t="str">
        <f>IF(LISTS!$C$21="","",LISTS!$C$21)</f>
        <v/>
      </c>
    </row>
    <row r="53" spans="1:11" x14ac:dyDescent="0.25">
      <c r="F53" s="13" t="str">
        <f>IF(LISTS!$D$22="","",SUMIFS('AR MONTH 2'!$Y$2:$Y$1500,'AR MONTH 2'!$AE$2:$AE$1500,LISTS!$F$22,'AR MONTH 2'!$AF$2:$AF$1500,LISTS!$G$22))</f>
        <v/>
      </c>
      <c r="G53" s="13" t="str">
        <f t="shared" si="1"/>
        <v/>
      </c>
      <c r="H53" s="14" t="str">
        <f>LISTS!$D$22</f>
        <v/>
      </c>
      <c r="I53" s="15" t="str">
        <f>IF(LISTS!$D$22="","",LISTS!$B$22)</f>
        <v/>
      </c>
      <c r="K53" s="14" t="str">
        <f>IF(LISTS!$C$22="","",LISTS!$C$22)</f>
        <v/>
      </c>
    </row>
    <row r="54" spans="1:11" x14ac:dyDescent="0.25">
      <c r="F54" s="13" t="str">
        <f>IF(LISTS!$D$23="","",SUMIFS('AR MONTH 2'!$Y$2:$Y$1500,'AR MONTH 2'!$AE$2:$AE$1500,LISTS!$F$23,'AR MONTH 2'!$AF$2:$AF$1500,LISTS!$G$23))</f>
        <v/>
      </c>
      <c r="G54" s="13" t="str">
        <f t="shared" si="1"/>
        <v/>
      </c>
      <c r="H54" s="14" t="str">
        <f>LISTS!$D$23</f>
        <v/>
      </c>
      <c r="I54" s="15" t="str">
        <f>IF(LISTS!$D$23="","",LISTS!$B$23)</f>
        <v/>
      </c>
      <c r="K54" s="14" t="str">
        <f>IF(LISTS!$C$23="","",LISTS!$C$23)</f>
        <v/>
      </c>
    </row>
    <row r="55" spans="1:11" x14ac:dyDescent="0.25">
      <c r="F55" s="13" t="str">
        <f>IF(LISTS!$D$24="","",SUMIFS('AR MONTH 2'!$Y$2:$Y$1500,'AR MONTH 2'!$AE$2:$AE$1500,LISTS!$F$24,'AR MONTH 2'!$AF$2:$AF$1500,LISTS!$G$24))</f>
        <v/>
      </c>
      <c r="G55" s="13" t="str">
        <f t="shared" si="1"/>
        <v/>
      </c>
      <c r="H55" s="14" t="str">
        <f>LISTS!$D$24</f>
        <v/>
      </c>
      <c r="I55" s="15" t="str">
        <f>IF(LISTS!$D$24="","",LISTS!$B$24)</f>
        <v/>
      </c>
      <c r="K55" s="14" t="str">
        <f>IF(LISTS!$C$24="","",LISTS!$C$24)</f>
        <v/>
      </c>
    </row>
    <row r="56" spans="1:11" x14ac:dyDescent="0.25">
      <c r="F56" s="13" t="str">
        <f>IF(LISTS!$D$25="","",SUMIFS('AR MONTH 2'!$Y$2:$Y$1500,'AR MONTH 2'!$AE$2:$AE$1500,LISTS!$F$25,'AR MONTH 2'!$AF$2:$AF$1500,LISTS!$G$25))</f>
        <v/>
      </c>
      <c r="G56" s="13" t="str">
        <f t="shared" si="1"/>
        <v/>
      </c>
      <c r="H56" s="14" t="str">
        <f>LISTS!$D$25</f>
        <v/>
      </c>
      <c r="I56" s="15" t="str">
        <f>IF(LISTS!$D$25="","",LISTS!$B$25)</f>
        <v/>
      </c>
      <c r="K56" s="14" t="str">
        <f>IF(LISTS!$C$25="","",LISTS!$C$25)</f>
        <v/>
      </c>
    </row>
    <row r="57" spans="1:11" x14ac:dyDescent="0.25">
      <c r="F57" s="13" t="str">
        <f>IF(LISTS!$D$26="","",SUMIFS('AR MONTH 2'!$Y$2:$Y$1500,'AR MONTH 2'!$AE$2:$AE$1500,LISTS!$F$26,'AR MONTH 2'!$AF$2:$AF$1500,LISTS!$G$26))</f>
        <v/>
      </c>
      <c r="G57" s="13" t="str">
        <f t="shared" si="1"/>
        <v/>
      </c>
      <c r="H57" s="14" t="str">
        <f>LISTS!$D$26</f>
        <v/>
      </c>
      <c r="I57" s="15" t="str">
        <f>IF(LISTS!$D$26="","",LISTS!$B$26)</f>
        <v/>
      </c>
      <c r="K57" s="14" t="str">
        <f>IF(LISTS!$C$26="","",LISTS!$C$26)</f>
        <v/>
      </c>
    </row>
    <row r="58" spans="1:11" x14ac:dyDescent="0.25">
      <c r="F58" s="16">
        <f>SUM(F33:F57)</f>
        <v>0</v>
      </c>
      <c r="G58" s="16">
        <f>SUM(G33:G57)</f>
        <v>0</v>
      </c>
    </row>
    <row r="61" spans="1:11" x14ac:dyDescent="0.25">
      <c r="A61" s="12" t="str">
        <f>IF('READ ME'!$C$4="","Month 3",DATE(YEAR('READ ME'!$C$4),MONTH('READ ME'!$C$4)+2,1))</f>
        <v>Month 3</v>
      </c>
      <c r="B61" s="13">
        <f>SUMIFS('TERSE MONTH 3'!$AD$2:$AD$3000,'TERSE MONTH 3'!$AU$2:$AU$3000,"COUNTED")</f>
        <v>0</v>
      </c>
      <c r="D61" s="13">
        <f>B61-F86</f>
        <v>0</v>
      </c>
      <c r="F61" s="13">
        <f>IF(LISTS!$D$2="","",SUMIFS('AR MONTH 3'!$Y$2:$Y$1500,'AR MONTH 3'!$AE$2:$AE$1500,LISTS!$F$2,'AR MONTH 3'!$AF$2:$AF$1500,LISTS!$G$2))</f>
        <v>0</v>
      </c>
      <c r="G61" s="13">
        <f t="shared" ref="G61:G85" si="2">IF(F61="","",ROUND(F61*I61,2))</f>
        <v>0</v>
      </c>
      <c r="H61" s="14" t="str">
        <f>LISTS!$D$2</f>
        <v>Cedar (4.225%)</v>
      </c>
      <c r="I61" s="15">
        <f>IF(LISTS!$D$2="","",LISTS!$B$2)</f>
        <v>4.2250000000000003E-2</v>
      </c>
      <c r="K61" s="14" t="str">
        <f>IF(LISTS!$C$2="","",LISTS!$C$2)</f>
        <v/>
      </c>
    </row>
    <row r="62" spans="1:11" x14ac:dyDescent="0.25">
      <c r="F62" s="13">
        <f>IF(LISTS!$D$3="","",SUMIFS('AR MONTH 3'!$Y$2:$Y$1500,'AR MONTH 3'!$AE$2:$AE$1500,LISTS!$F$3,'AR MONTH 3'!$AF$2:$AF$1500,LISTS!$G$3))</f>
        <v>0</v>
      </c>
      <c r="G62" s="13">
        <f t="shared" si="2"/>
        <v>0</v>
      </c>
      <c r="H62" s="14" t="str">
        <f>LISTS!$D$3</f>
        <v>Wright (4.225%)</v>
      </c>
      <c r="I62" s="15">
        <f>IF(LISTS!$D$3="","",LISTS!$B$3)</f>
        <v>4.2250000000000003E-2</v>
      </c>
      <c r="K62" s="14" t="str">
        <f>IF(LISTS!$C$3="","",LISTS!$C$3)</f>
        <v/>
      </c>
    </row>
    <row r="63" spans="1:11" x14ac:dyDescent="0.25">
      <c r="F63" s="13">
        <f>IF(LISTS!$D$4="","",SUMIFS('AR MONTH 3'!$Y$2:$Y$1500,'AR MONTH 3'!$AE$2:$AE$1500,LISTS!$F$4,'AR MONTH 3'!$AF$2:$AF$1500,LISTS!$G$4))</f>
        <v>0</v>
      </c>
      <c r="G63" s="13">
        <f t="shared" si="2"/>
        <v>0</v>
      </c>
      <c r="H63" s="14" t="str">
        <f>LISTS!$D$4</f>
        <v>Hickory (4.225%)</v>
      </c>
      <c r="I63" s="15">
        <f>IF(LISTS!$D$4="","",LISTS!$B$4)</f>
        <v>4.2250000000000003E-2</v>
      </c>
      <c r="K63" s="14" t="str">
        <f>IF(LISTS!$C$4="","",LISTS!$C$4)</f>
        <v/>
      </c>
    </row>
    <row r="64" spans="1:11" x14ac:dyDescent="0.25">
      <c r="F64" s="13">
        <f>IF(LISTS!$D$5="","",SUMIFS('AR MONTH 3'!$Y$2:$Y$1500,'AR MONTH 3'!$AE$2:$AE$1500,LISTS!$F$5,'AR MONTH 3'!$AF$2:$AF$1500,LISTS!$G$5))</f>
        <v>0</v>
      </c>
      <c r="G64" s="13">
        <f t="shared" si="2"/>
        <v>0</v>
      </c>
      <c r="H64" s="14" t="str">
        <f>LISTS!$D$5</f>
        <v>Christian (4.225%)</v>
      </c>
      <c r="I64" s="15">
        <f>IF(LISTS!$D$5="","",LISTS!$B$5)</f>
        <v>4.2250000000000003E-2</v>
      </c>
      <c r="K64" s="14" t="str">
        <f>IF(LISTS!$C$5="","",LISTS!$C$5)</f>
        <v/>
      </c>
    </row>
    <row r="65" spans="6:11" x14ac:dyDescent="0.25">
      <c r="F65" s="13">
        <f>IF(LISTS!$D$6="","",SUMIFS('AR MONTH 3'!$Y$2:$Y$1500,'AR MONTH 3'!$AE$2:$AE$1500,LISTS!$F$6,'AR MONTH 3'!$AF$2:$AF$1500,LISTS!$G$6))</f>
        <v>0</v>
      </c>
      <c r="G65" s="13">
        <f t="shared" si="2"/>
        <v>0</v>
      </c>
      <c r="H65" s="14" t="str">
        <f>LISTS!$D$6</f>
        <v>Nodaway (6.1%)</v>
      </c>
      <c r="I65" s="15">
        <f>IF(LISTS!$D$6="","",LISTS!$B$6)</f>
        <v>6.0999999999999999E-2</v>
      </c>
      <c r="K65" s="14" t="str">
        <f>IF(LISTS!$C$6="","",LISTS!$C$6)</f>
        <v>00000-147-000</v>
      </c>
    </row>
    <row r="66" spans="6:11" x14ac:dyDescent="0.25">
      <c r="F66" s="13">
        <f>IF(LISTS!$D$7="","",SUMIFS('AR MONTH 3'!$Y$2:$Y$1500,'AR MONTH 3'!$AE$2:$AE$1500,LISTS!$F$7,'AR MONTH 3'!$AF$2:$AF$1500,LISTS!$G$7))</f>
        <v>0</v>
      </c>
      <c r="G66" s="13">
        <f t="shared" si="2"/>
        <v>0</v>
      </c>
      <c r="H66" s="14" t="str">
        <f>LISTS!$D$7</f>
        <v>Bates (5.225%)</v>
      </c>
      <c r="I66" s="15">
        <f>IF(LISTS!$D$7="","",LISTS!$B$7)</f>
        <v>5.2249999999999998E-2</v>
      </c>
      <c r="K66" s="14" t="str">
        <f>IF(LISTS!$C$7="","",LISTS!$C$7)</f>
        <v/>
      </c>
    </row>
    <row r="67" spans="6:11" x14ac:dyDescent="0.25">
      <c r="F67" s="13">
        <f>IF(LISTS!$D$8="","",SUMIFS('AR MONTH 3'!$Y$2:$Y$1500,'AR MONTH 3'!$AE$2:$AE$1500,LISTS!$F$8,'AR MONTH 3'!$AF$2:$AF$1500,LISTS!$G$8))</f>
        <v>0</v>
      </c>
      <c r="G67" s="13">
        <f t="shared" si="2"/>
        <v>0</v>
      </c>
      <c r="H67" s="14" t="str">
        <f>LISTS!$D$8</f>
        <v>Jasper (5.6%)</v>
      </c>
      <c r="I67" s="15">
        <f>IF(LISTS!$D$8="","",LISTS!$B$8)</f>
        <v>5.6000000000000001E-2</v>
      </c>
      <c r="K67" s="14" t="str">
        <f>IF(LISTS!$C$8="","",LISTS!$C$8)</f>
        <v/>
      </c>
    </row>
    <row r="68" spans="6:11" x14ac:dyDescent="0.25">
      <c r="F68" s="13">
        <f>IF(LISTS!$D$9="","",SUMIFS('AR MONTH 3'!$Y$2:$Y$1500,'AR MONTH 3'!$AE$2:$AE$1500,LISTS!$F$9,'AR MONTH 3'!$AF$2:$AF$1500,LISTS!$G$9))</f>
        <v>0</v>
      </c>
      <c r="G68" s="13">
        <f t="shared" si="2"/>
        <v>0</v>
      </c>
      <c r="H68" s="14" t="str">
        <f>LISTS!$D$9</f>
        <v>Clay (8.725%)</v>
      </c>
      <c r="I68" s="15">
        <f>IF(LISTS!$D$9="","",LISTS!$B$9)</f>
        <v>8.7249999999999994E-2</v>
      </c>
      <c r="K68" s="14" t="str">
        <f>IF(LISTS!$C$9="","",LISTS!$C$9)</f>
        <v/>
      </c>
    </row>
    <row r="69" spans="6:11" x14ac:dyDescent="0.25">
      <c r="F69" s="13">
        <f>IF(LISTS!$D$10="","",SUMIFS('AR MONTH 3'!$Y$2:$Y$1500,'AR MONTH 3'!$AE$2:$AE$1500,LISTS!$F$10,'AR MONTH 3'!$AF$2:$AF$1500,LISTS!$G$10))</f>
        <v>0</v>
      </c>
      <c r="G69" s="13">
        <f t="shared" si="2"/>
        <v>0</v>
      </c>
      <c r="H69" s="14" t="str">
        <f>LISTS!$D$10</f>
        <v>Clay (8.6%)</v>
      </c>
      <c r="I69" s="15">
        <f>IF(LISTS!$D$10="","",LISTS!$B$10)</f>
        <v>8.5999999999999993E-2</v>
      </c>
      <c r="K69" s="14" t="str">
        <f>IF(LISTS!$C$10="","",LISTS!$C$10)</f>
        <v/>
      </c>
    </row>
    <row r="70" spans="6:11" x14ac:dyDescent="0.25">
      <c r="F70" s="13">
        <f>IF(LISTS!$D$11="","",SUMIFS('AR MONTH 3'!$Y$2:$Y$1500,'AR MONTH 3'!$AE$2:$AE$1500,LISTS!$F$11,'AR MONTH 3'!$AF$2:$AF$1500,LISTS!$G$11))</f>
        <v>0</v>
      </c>
      <c r="G70" s="13">
        <f t="shared" si="2"/>
        <v>0</v>
      </c>
      <c r="H70" s="14" t="str">
        <f>LISTS!$D$11</f>
        <v>Clay (9.725%)</v>
      </c>
      <c r="I70" s="15">
        <f>IF(LISTS!$D$11="","",LISTS!$B$11)</f>
        <v>9.7250000000000003E-2</v>
      </c>
      <c r="K70" s="14" t="str">
        <f>IF(LISTS!$C$11="","",LISTS!$C$11)</f>
        <v/>
      </c>
    </row>
    <row r="71" spans="6:11" x14ac:dyDescent="0.25">
      <c r="F71" s="13">
        <f>IF(LISTS!$D$12="","",SUMIFS('AR MONTH 3'!$Y$2:$Y$1500,'AR MONTH 3'!$AE$2:$AE$1500,LISTS!$F$12,'AR MONTH 3'!$AF$2:$AF$1500,LISTS!$G$12))</f>
        <v>0</v>
      </c>
      <c r="G71" s="13">
        <f t="shared" si="2"/>
        <v>0</v>
      </c>
      <c r="H71" s="14" t="str">
        <f>LISTS!$D$12</f>
        <v>Stoddard (6.225%)</v>
      </c>
      <c r="I71" s="15">
        <f>IF(LISTS!$D$12="","",LISTS!$B$12)</f>
        <v>6.225E-2</v>
      </c>
      <c r="K71" s="14" t="str">
        <f>IF(LISTS!$C$12="","",LISTS!$C$12)</f>
        <v>00000-207-000</v>
      </c>
    </row>
    <row r="72" spans="6:11" x14ac:dyDescent="0.25">
      <c r="F72" s="13">
        <f>IF(LISTS!$D$13="","",SUMIFS('AR MONTH 3'!$Y$2:$Y$1500,'AR MONTH 3'!$AE$2:$AE$1500,LISTS!$F$13,'AR MONTH 3'!$AF$2:$AF$1500,LISTS!$G$13))</f>
        <v>0</v>
      </c>
      <c r="G72" s="13">
        <f t="shared" si="2"/>
        <v>0</v>
      </c>
      <c r="H72" s="14" t="str">
        <f>LISTS!$D$13</f>
        <v>Warren (6.225%)</v>
      </c>
      <c r="I72" s="15">
        <f>IF(LISTS!$D$13="","",LISTS!$B$13)</f>
        <v>6.225E-2</v>
      </c>
      <c r="K72" s="14" t="str">
        <f>IF(LISTS!$C$13="","",LISTS!$C$13)</f>
        <v/>
      </c>
    </row>
    <row r="73" spans="6:11" x14ac:dyDescent="0.25">
      <c r="F73" s="13">
        <f>IF(LISTS!$D$14="","",SUMIFS('AR MONTH 3'!$Y$2:$Y$1500,'AR MONTH 3'!$AE$2:$AE$1500,LISTS!$F$14,'AR MONTH 3'!$AF$2:$AF$1500,LISTS!$G$14))</f>
        <v>0</v>
      </c>
      <c r="G73" s="13">
        <f t="shared" si="2"/>
        <v>0</v>
      </c>
      <c r="H73" s="14" t="str">
        <f>LISTS!$D$14</f>
        <v>Greene (6.35%)</v>
      </c>
      <c r="I73" s="15">
        <f>IF(LISTS!$D$14="","",LISTS!$B$14)</f>
        <v>6.3500000000000001E-2</v>
      </c>
      <c r="K73" s="14" t="str">
        <f>IF(LISTS!$C$14="","",LISTS!$C$14)</f>
        <v/>
      </c>
    </row>
    <row r="74" spans="6:11" x14ac:dyDescent="0.25">
      <c r="F74" s="13">
        <f>IF(LISTS!$D$15="","",SUMIFS('AR MONTH 3'!$Y$2:$Y$1500,'AR MONTH 3'!$AE$2:$AE$1500,LISTS!$F$15,'AR MONTH 3'!$AF$2:$AF$1500,LISTS!$G$15))</f>
        <v>0</v>
      </c>
      <c r="G74" s="13">
        <f t="shared" si="2"/>
        <v>0</v>
      </c>
      <c r="H74" s="14" t="str">
        <f>LISTS!$D$15</f>
        <v>Henry (7.925%)</v>
      </c>
      <c r="I74" s="15">
        <f>IF(LISTS!$D$15="","",LISTS!$B$15)</f>
        <v>7.9250000000000001E-2</v>
      </c>
      <c r="K74" s="14" t="str">
        <f>IF(LISTS!$C$15="","",LISTS!$C$15)</f>
        <v/>
      </c>
    </row>
    <row r="75" spans="6:11" x14ac:dyDescent="0.25">
      <c r="F75" s="13">
        <f>IF(LISTS!$D$16="","",SUMIFS('AR MONTH 3'!$Y$2:$Y$1500,'AR MONTH 3'!$AE$2:$AE$1500,LISTS!$F$16,'AR MONTH 3'!$AF$2:$AF$1500,LISTS!$G$16))</f>
        <v>0</v>
      </c>
      <c r="G75" s="13">
        <f t="shared" si="2"/>
        <v>0</v>
      </c>
      <c r="H75" s="14" t="str">
        <f>LISTS!$D$16</f>
        <v>St. Charles (7.95%)</v>
      </c>
      <c r="I75" s="15">
        <f>IF(LISTS!$D$16="","",LISTS!$B$16)</f>
        <v>7.9500000000000001E-2</v>
      </c>
      <c r="K75" s="14" t="str">
        <f>IF(LISTS!$C$16="","",LISTS!$C$16)</f>
        <v/>
      </c>
    </row>
    <row r="76" spans="6:11" x14ac:dyDescent="0.25">
      <c r="F76" s="13">
        <f>IF(LISTS!$D$17="","",SUMIFS('AR MONTH 3'!$Y$2:$Y$1500,'AR MONTH 3'!$AE$2:$AE$1500,LISTS!$F$17,'AR MONTH 3'!$AF$2:$AF$1500,LISTS!$G$17))</f>
        <v>0</v>
      </c>
      <c r="G76" s="13">
        <f t="shared" si="2"/>
        <v>0</v>
      </c>
      <c r="H76" s="14" t="str">
        <f>LISTS!$D$17</f>
        <v>Boone (7.975%)</v>
      </c>
      <c r="I76" s="15">
        <f>IF(LISTS!$D$17="","",LISTS!$B$17)</f>
        <v>7.9750000000000001E-2</v>
      </c>
      <c r="K76" s="14" t="str">
        <f>IF(LISTS!$C$17="","",LISTS!$C$17)</f>
        <v/>
      </c>
    </row>
    <row r="77" spans="6:11" x14ac:dyDescent="0.25">
      <c r="F77" s="13">
        <f>IF(LISTS!$D$18="","",SUMIFS('AR MONTH 3'!$Y$2:$Y$1500,'AR MONTH 3'!$AE$2:$AE$1500,LISTS!$F$18,'AR MONTH 3'!$AF$2:$AF$1500,LISTS!$G$18))</f>
        <v>0</v>
      </c>
      <c r="G77" s="13">
        <f t="shared" si="2"/>
        <v>0</v>
      </c>
      <c r="H77" s="14" t="str">
        <f>LISTS!$D$18</f>
        <v>Wright (6.1%)</v>
      </c>
      <c r="I77" s="15">
        <f>IF(LISTS!$D$18="","",LISTS!$B$18)</f>
        <v>6.0999999999999999E-2</v>
      </c>
      <c r="K77" s="14" t="str">
        <f>IF(LISTS!$C$18="","",LISTS!$C$18)</f>
        <v/>
      </c>
    </row>
    <row r="78" spans="6:11" x14ac:dyDescent="0.25">
      <c r="F78" s="13">
        <f>IF(LISTS!$D$19="","",SUMIFS('AR MONTH 3'!$Y$2:$Y$1500,'AR MONTH 3'!$AE$2:$AE$1500,LISTS!$F$19,'AR MONTH 3'!$AF$2:$AF$1500,LISTS!$G$19))</f>
        <v>0</v>
      </c>
      <c r="G78" s="13">
        <f t="shared" si="2"/>
        <v>0</v>
      </c>
      <c r="H78" s="14" t="str">
        <f>LISTS!$D$19</f>
        <v>Franklin (6.475%)</v>
      </c>
      <c r="I78" s="15">
        <f>IF(LISTS!$D$19="","",LISTS!$B$19)</f>
        <v>6.4750000000000002E-2</v>
      </c>
      <c r="K78" s="14" t="str">
        <f>IF(LISTS!$C$19="","",LISTS!$C$19)</f>
        <v/>
      </c>
    </row>
    <row r="79" spans="6:11" x14ac:dyDescent="0.25">
      <c r="F79" s="13">
        <f>IF(LISTS!$D$20="","",SUMIFS('AR MONTH 3'!$Y$2:$Y$1500,'AR MONTH 3'!$AE$2:$AE$1500,LISTS!$F$20,'AR MONTH 3'!$AF$2:$AF$1500,LISTS!$G$20))</f>
        <v>0</v>
      </c>
      <c r="G79" s="13">
        <f t="shared" si="2"/>
        <v>0</v>
      </c>
      <c r="H79" s="14" t="str">
        <f>LISTS!$D$20</f>
        <v>Cape Girardeau (8.475%)</v>
      </c>
      <c r="I79" s="15">
        <f>IF(LISTS!$D$20="","",LISTS!$B$20)</f>
        <v>8.4750000000000006E-2</v>
      </c>
      <c r="K79" s="14" t="str">
        <f>IF(LISTS!$C$20="","",LISTS!$C$20)</f>
        <v/>
      </c>
    </row>
    <row r="80" spans="6:11" x14ac:dyDescent="0.25">
      <c r="F80" s="13" t="str">
        <f>IF(LISTS!$D$21="","",SUMIFS('AR MONTH 3'!$Y$2:$Y$1500,'AR MONTH 3'!$AE$2:$AE$1500,LISTS!$F$21,'AR MONTH 3'!$AF$2:$AF$1500,LISTS!$G$21))</f>
        <v/>
      </c>
      <c r="G80" s="13" t="str">
        <f t="shared" si="2"/>
        <v/>
      </c>
      <c r="H80" s="14" t="str">
        <f>LISTS!$D$21</f>
        <v/>
      </c>
      <c r="I80" s="15" t="str">
        <f>IF(LISTS!$D$21="","",LISTS!$B$21)</f>
        <v/>
      </c>
      <c r="K80" s="14" t="str">
        <f>IF(LISTS!$C$21="","",LISTS!$C$21)</f>
        <v/>
      </c>
    </row>
    <row r="81" spans="2:11" x14ac:dyDescent="0.25">
      <c r="F81" s="13" t="str">
        <f>IF(LISTS!$D$22="","",SUMIFS('AR MONTH 3'!$Y$2:$Y$1500,'AR MONTH 3'!$AE$2:$AE$1500,LISTS!$F$22,'AR MONTH 3'!$AF$2:$AF$1500,LISTS!$G$22))</f>
        <v/>
      </c>
      <c r="G81" s="13" t="str">
        <f t="shared" si="2"/>
        <v/>
      </c>
      <c r="H81" s="14" t="str">
        <f>LISTS!$D$22</f>
        <v/>
      </c>
      <c r="I81" s="15" t="str">
        <f>IF(LISTS!$D$22="","",LISTS!$B$22)</f>
        <v/>
      </c>
      <c r="K81" s="14" t="str">
        <f>IF(LISTS!$C$22="","",LISTS!$C$22)</f>
        <v/>
      </c>
    </row>
    <row r="82" spans="2:11" x14ac:dyDescent="0.25">
      <c r="F82" s="13" t="str">
        <f>IF(LISTS!$D$23="","",SUMIFS('AR MONTH 3'!$Y$2:$Y$1500,'AR MONTH 3'!$AE$2:$AE$1500,LISTS!$F$23,'AR MONTH 3'!$AF$2:$AF$1500,LISTS!$G$23))</f>
        <v/>
      </c>
      <c r="G82" s="13" t="str">
        <f t="shared" si="2"/>
        <v/>
      </c>
      <c r="H82" s="14" t="str">
        <f>LISTS!$D$23</f>
        <v/>
      </c>
      <c r="I82" s="15" t="str">
        <f>IF(LISTS!$D$23="","",LISTS!$B$23)</f>
        <v/>
      </c>
      <c r="K82" s="14" t="str">
        <f>IF(LISTS!$C$23="","",LISTS!$C$23)</f>
        <v/>
      </c>
    </row>
    <row r="83" spans="2:11" x14ac:dyDescent="0.25">
      <c r="F83" s="13" t="str">
        <f>IF(LISTS!$D$24="","",SUMIFS('AR MONTH 3'!$Y$2:$Y$1500,'AR MONTH 3'!$AE$2:$AE$1500,LISTS!$F$24,'AR MONTH 3'!$AF$2:$AF$1500,LISTS!$G$24))</f>
        <v/>
      </c>
      <c r="G83" s="13" t="str">
        <f t="shared" si="2"/>
        <v/>
      </c>
      <c r="H83" s="14" t="str">
        <f>LISTS!$D$24</f>
        <v/>
      </c>
      <c r="I83" s="15" t="str">
        <f>IF(LISTS!$D$24="","",LISTS!$B$24)</f>
        <v/>
      </c>
      <c r="K83" s="14" t="str">
        <f>IF(LISTS!$C$24="","",LISTS!$C$24)</f>
        <v/>
      </c>
    </row>
    <row r="84" spans="2:11" x14ac:dyDescent="0.25">
      <c r="F84" s="13" t="str">
        <f>IF(LISTS!$D$25="","",SUMIFS('AR MONTH 3'!$Y$2:$Y$1500,'AR MONTH 3'!$AE$2:$AE$1500,LISTS!$F$25,'AR MONTH 3'!$AF$2:$AF$1500,LISTS!$G$25))</f>
        <v/>
      </c>
      <c r="G84" s="13" t="str">
        <f t="shared" si="2"/>
        <v/>
      </c>
      <c r="H84" s="14" t="str">
        <f>LISTS!$D$25</f>
        <v/>
      </c>
      <c r="I84" s="15" t="str">
        <f>IF(LISTS!$D$25="","",LISTS!$B$25)</f>
        <v/>
      </c>
      <c r="K84" s="14" t="str">
        <f>IF(LISTS!$C$25="","",LISTS!$C$25)</f>
        <v/>
      </c>
    </row>
    <row r="85" spans="2:11" x14ac:dyDescent="0.25">
      <c r="F85" s="13" t="str">
        <f>IF(LISTS!$D$26="","",SUMIFS('AR MONTH 3'!$Y$2:$Y$1500,'AR MONTH 3'!$AE$2:$AE$1500,LISTS!$F$26,'AR MONTH 3'!$AF$2:$AF$1500,LISTS!$G$26))</f>
        <v/>
      </c>
      <c r="G85" s="13" t="str">
        <f t="shared" si="2"/>
        <v/>
      </c>
      <c r="H85" s="14" t="str">
        <f>LISTS!$D$26</f>
        <v/>
      </c>
      <c r="I85" s="15" t="str">
        <f>IF(LISTS!$D$26="","",LISTS!$B$26)</f>
        <v/>
      </c>
      <c r="K85" s="14" t="str">
        <f>IF(LISTS!$C$26="","",LISTS!$C$26)</f>
        <v/>
      </c>
    </row>
    <row r="86" spans="2:11" x14ac:dyDescent="0.25">
      <c r="F86" s="16">
        <f>SUM(F61:F85)</f>
        <v>0</v>
      </c>
      <c r="G86" s="16">
        <f>SUM(G61:G85)</f>
        <v>0</v>
      </c>
    </row>
    <row r="90" spans="2:11" x14ac:dyDescent="0.25">
      <c r="B90" s="16">
        <f>B5+B33+B61</f>
        <v>0</v>
      </c>
      <c r="D90" s="16">
        <f>D5+D33+D61</f>
        <v>0</v>
      </c>
      <c r="F90" s="16">
        <f>F30+F58+F86</f>
        <v>0</v>
      </c>
      <c r="G90" s="16">
        <f>G30+G58+G86</f>
        <v>0</v>
      </c>
    </row>
    <row r="91" spans="2:11" x14ac:dyDescent="0.25">
      <c r="B91" s="6" t="s">
        <v>73</v>
      </c>
      <c r="D91" s="6" t="s">
        <v>74</v>
      </c>
      <c r="F91" s="6" t="s">
        <v>75</v>
      </c>
      <c r="G91" s="6" t="s">
        <v>76</v>
      </c>
    </row>
    <row r="93" spans="2:11" x14ac:dyDescent="0.25">
      <c r="B93" s="6" t="s">
        <v>70</v>
      </c>
      <c r="C93" s="6" t="s">
        <v>68</v>
      </c>
      <c r="E93" s="6" t="s">
        <v>72</v>
      </c>
    </row>
    <row r="94" spans="2:11" x14ac:dyDescent="0.25">
      <c r="B94" s="14" t="str">
        <f>LISTS!$D$2</f>
        <v>Cedar (4.225%)</v>
      </c>
      <c r="C94" s="13">
        <f t="shared" ref="C94:C118" si="3">IF(B94="","",N(F5)+N(F33)+N(F61))</f>
        <v>0</v>
      </c>
      <c r="D94" s="14" t="str">
        <f>IF(B94="","",IF(ROUND(LISTS!$B$2,5)=ROUND(LISTS!$L$2,5),"NO LOCAL",""))</f>
        <v>NO LOCAL</v>
      </c>
      <c r="E94" s="14" t="str">
        <f>IF(LISTS!$C$2="","",LISTS!$C$2)</f>
        <v/>
      </c>
    </row>
    <row r="95" spans="2:11" x14ac:dyDescent="0.25">
      <c r="B95" s="14" t="str">
        <f>LISTS!$D$3</f>
        <v>Wright (4.225%)</v>
      </c>
      <c r="C95" s="13">
        <f t="shared" si="3"/>
        <v>0</v>
      </c>
      <c r="D95" s="14" t="str">
        <f>IF(B95="","",IF(ROUND(LISTS!$B$3,5)=ROUND(LISTS!$L$2,5),"NO LOCAL",""))</f>
        <v>NO LOCAL</v>
      </c>
      <c r="E95" s="14" t="str">
        <f>IF(LISTS!$C$3="","",LISTS!$C$3)</f>
        <v/>
      </c>
    </row>
    <row r="96" spans="2:11" x14ac:dyDescent="0.25">
      <c r="B96" s="14" t="str">
        <f>LISTS!$D$4</f>
        <v>Hickory (4.225%)</v>
      </c>
      <c r="C96" s="13">
        <f t="shared" si="3"/>
        <v>0</v>
      </c>
      <c r="D96" s="14" t="str">
        <f>IF(B96="","",IF(ROUND(LISTS!$B$4,5)=ROUND(LISTS!$L$2,5),"NO LOCAL",""))</f>
        <v>NO LOCAL</v>
      </c>
      <c r="E96" s="14" t="str">
        <f>IF(LISTS!$C$4="","",LISTS!$C$4)</f>
        <v/>
      </c>
      <c r="F96" s="6" t="s">
        <v>77</v>
      </c>
      <c r="G96" s="17">
        <f>SUMIFS(C94:C118,D94:D118,"NO LOCAL")</f>
        <v>0</v>
      </c>
    </row>
    <row r="97" spans="2:7" x14ac:dyDescent="0.25">
      <c r="B97" s="14" t="str">
        <f>LISTS!$D$5</f>
        <v>Christian (4.225%)</v>
      </c>
      <c r="C97" s="13">
        <f t="shared" si="3"/>
        <v>0</v>
      </c>
      <c r="D97" s="14" t="str">
        <f>IF(B97="","",IF(ROUND(LISTS!$B$5,5)=ROUND(LISTS!$L$2,5),"NO LOCAL",""))</f>
        <v>NO LOCAL</v>
      </c>
      <c r="E97" s="14" t="str">
        <f>IF(LISTS!$C$5="","",LISTS!$C$5)</f>
        <v/>
      </c>
    </row>
    <row r="98" spans="2:7" x14ac:dyDescent="0.25">
      <c r="B98" s="14" t="str">
        <f>LISTS!$D$6</f>
        <v>Nodaway (6.1%)</v>
      </c>
      <c r="C98" s="13">
        <f t="shared" si="3"/>
        <v>0</v>
      </c>
      <c r="D98" s="14" t="str">
        <f>IF(B98="","",IF(ROUND(LISTS!$B$6,5)=ROUND(LISTS!$L$2,5),"NO LOCAL",""))</f>
        <v/>
      </c>
      <c r="E98" s="14" t="str">
        <f>IF(LISTS!$C$6="","",LISTS!$C$6)</f>
        <v>00000-147-000</v>
      </c>
      <c r="F98" s="6" t="s">
        <v>78</v>
      </c>
      <c r="G98" s="17">
        <f>G96+D90</f>
        <v>0</v>
      </c>
    </row>
    <row r="99" spans="2:7" x14ac:dyDescent="0.25">
      <c r="B99" s="14" t="str">
        <f>LISTS!$D$7</f>
        <v>Bates (5.225%)</v>
      </c>
      <c r="C99" s="13">
        <f t="shared" si="3"/>
        <v>0</v>
      </c>
      <c r="D99" s="14" t="str">
        <f>IF(B99="","",IF(ROUND(LISTS!$B$7,5)=ROUND(LISTS!$L$2,5),"NO LOCAL",""))</f>
        <v/>
      </c>
      <c r="E99" s="14" t="str">
        <f>IF(LISTS!$C$7="","",LISTS!$C$7)</f>
        <v/>
      </c>
      <c r="F99" s="18" t="s">
        <v>79</v>
      </c>
    </row>
    <row r="100" spans="2:7" x14ac:dyDescent="0.25">
      <c r="B100" s="14" t="str">
        <f>LISTS!$D$8</f>
        <v>Jasper (5.6%)</v>
      </c>
      <c r="C100" s="13">
        <f t="shared" si="3"/>
        <v>0</v>
      </c>
      <c r="D100" s="14" t="str">
        <f>IF(B100="","",IF(ROUND(LISTS!$B$8,5)=ROUND(LISTS!$L$2,5),"NO LOCAL",""))</f>
        <v/>
      </c>
      <c r="E100" s="14" t="str">
        <f>IF(LISTS!$C$8="","",LISTS!$C$8)</f>
        <v/>
      </c>
    </row>
    <row r="101" spans="2:7" x14ac:dyDescent="0.25">
      <c r="B101" s="14" t="str">
        <f>LISTS!$D$9</f>
        <v>Clay (8.725%)</v>
      </c>
      <c r="C101" s="13">
        <f t="shared" si="3"/>
        <v>0</v>
      </c>
      <c r="D101" s="14" t="str">
        <f>IF(B101="","",IF(ROUND(LISTS!$B$9,5)=ROUND(LISTS!$L$2,5),"NO LOCAL",""))</f>
        <v/>
      </c>
      <c r="E101" s="14" t="str">
        <f>IF(LISTS!$C$9="","",LISTS!$C$9)</f>
        <v/>
      </c>
    </row>
    <row r="102" spans="2:7" x14ac:dyDescent="0.25">
      <c r="B102" s="14" t="str">
        <f>LISTS!$D$10</f>
        <v>Clay (8.6%)</v>
      </c>
      <c r="C102" s="13">
        <f t="shared" si="3"/>
        <v>0</v>
      </c>
      <c r="D102" s="14" t="str">
        <f>IF(B102="","",IF(ROUND(LISTS!$B$10,5)=ROUND(LISTS!$L$2,5),"NO LOCAL",""))</f>
        <v/>
      </c>
      <c r="E102" s="14" t="str">
        <f>IF(LISTS!$C$10="","",LISTS!$C$10)</f>
        <v/>
      </c>
    </row>
    <row r="103" spans="2:7" x14ac:dyDescent="0.25">
      <c r="B103" s="14" t="str">
        <f>LISTS!$D$11</f>
        <v>Clay (9.725%)</v>
      </c>
      <c r="C103" s="13">
        <f t="shared" si="3"/>
        <v>0</v>
      </c>
      <c r="D103" s="14" t="str">
        <f>IF(B103="","",IF(ROUND(LISTS!$B$11,5)=ROUND(LISTS!$L$2,5),"NO LOCAL",""))</f>
        <v/>
      </c>
      <c r="E103" s="14" t="str">
        <f>IF(LISTS!$C$11="","",LISTS!$C$11)</f>
        <v/>
      </c>
    </row>
    <row r="104" spans="2:7" x14ac:dyDescent="0.25">
      <c r="B104" s="14" t="str">
        <f>LISTS!$D$12</f>
        <v>Stoddard (6.225%)</v>
      </c>
      <c r="C104" s="13">
        <f t="shared" si="3"/>
        <v>0</v>
      </c>
      <c r="D104" s="14" t="str">
        <f>IF(B104="","",IF(ROUND(LISTS!$B$12,5)=ROUND(LISTS!$L$2,5),"NO LOCAL",""))</f>
        <v/>
      </c>
      <c r="E104" s="14" t="str">
        <f>IF(LISTS!$C$12="","",LISTS!$C$12)</f>
        <v>00000-207-000</v>
      </c>
    </row>
    <row r="105" spans="2:7" x14ac:dyDescent="0.25">
      <c r="B105" s="14" t="str">
        <f>LISTS!$D$13</f>
        <v>Warren (6.225%)</v>
      </c>
      <c r="C105" s="13">
        <f t="shared" si="3"/>
        <v>0</v>
      </c>
      <c r="D105" s="14" t="str">
        <f>IF(B105="","",IF(ROUND(LISTS!$B$13,5)=ROUND(LISTS!$L$2,5),"NO LOCAL",""))</f>
        <v/>
      </c>
      <c r="E105" s="14" t="str">
        <f>IF(LISTS!$C$13="","",LISTS!$C$13)</f>
        <v/>
      </c>
    </row>
    <row r="106" spans="2:7" x14ac:dyDescent="0.25">
      <c r="B106" s="14" t="str">
        <f>LISTS!$D$14</f>
        <v>Greene (6.35%)</v>
      </c>
      <c r="C106" s="13">
        <f t="shared" si="3"/>
        <v>0</v>
      </c>
      <c r="D106" s="14" t="str">
        <f>IF(B106="","",IF(ROUND(LISTS!$B$14,5)=ROUND(LISTS!$L$2,5),"NO LOCAL",""))</f>
        <v/>
      </c>
      <c r="E106" s="14" t="str">
        <f>IF(LISTS!$C$14="","",LISTS!$C$14)</f>
        <v/>
      </c>
    </row>
    <row r="107" spans="2:7" x14ac:dyDescent="0.25">
      <c r="B107" s="14" t="str">
        <f>LISTS!$D$15</f>
        <v>Henry (7.925%)</v>
      </c>
      <c r="C107" s="13">
        <f t="shared" si="3"/>
        <v>0</v>
      </c>
      <c r="D107" s="14" t="str">
        <f>IF(B107="","",IF(ROUND(LISTS!$B$15,5)=ROUND(LISTS!$L$2,5),"NO LOCAL",""))</f>
        <v/>
      </c>
      <c r="E107" s="14" t="str">
        <f>IF(LISTS!$C$15="","",LISTS!$C$15)</f>
        <v/>
      </c>
    </row>
    <row r="108" spans="2:7" x14ac:dyDescent="0.25">
      <c r="B108" s="14" t="str">
        <f>LISTS!$D$16</f>
        <v>St. Charles (7.95%)</v>
      </c>
      <c r="C108" s="13">
        <f t="shared" si="3"/>
        <v>0</v>
      </c>
      <c r="D108" s="14" t="str">
        <f>IF(B108="","",IF(ROUND(LISTS!$B$16,5)=ROUND(LISTS!$L$2,5),"NO LOCAL",""))</f>
        <v/>
      </c>
      <c r="E108" s="14" t="str">
        <f>IF(LISTS!$C$16="","",LISTS!$C$16)</f>
        <v/>
      </c>
    </row>
    <row r="109" spans="2:7" x14ac:dyDescent="0.25">
      <c r="B109" s="14" t="str">
        <f>LISTS!$D$17</f>
        <v>Boone (7.975%)</v>
      </c>
      <c r="C109" s="13">
        <f t="shared" si="3"/>
        <v>0</v>
      </c>
      <c r="D109" s="14" t="str">
        <f>IF(B109="","",IF(ROUND(LISTS!$B$17,5)=ROUND(LISTS!$L$2,5),"NO LOCAL",""))</f>
        <v/>
      </c>
      <c r="E109" s="14" t="str">
        <f>IF(LISTS!$C$17="","",LISTS!$C$17)</f>
        <v/>
      </c>
    </row>
    <row r="110" spans="2:7" x14ac:dyDescent="0.25">
      <c r="B110" s="14" t="str">
        <f>LISTS!$D$18</f>
        <v>Wright (6.1%)</v>
      </c>
      <c r="C110" s="13">
        <f t="shared" si="3"/>
        <v>0</v>
      </c>
      <c r="D110" s="14" t="str">
        <f>IF(B110="","",IF(ROUND(LISTS!$B$18,5)=ROUND(LISTS!$L$2,5),"NO LOCAL",""))</f>
        <v/>
      </c>
      <c r="E110" s="14" t="str">
        <f>IF(LISTS!$C$18="","",LISTS!$C$18)</f>
        <v/>
      </c>
    </row>
    <row r="111" spans="2:7" x14ac:dyDescent="0.25">
      <c r="B111" s="14" t="str">
        <f>LISTS!$D$19</f>
        <v>Franklin (6.475%)</v>
      </c>
      <c r="C111" s="13">
        <f t="shared" si="3"/>
        <v>0</v>
      </c>
      <c r="D111" s="14" t="str">
        <f>IF(B111="","",IF(ROUND(LISTS!$B$19,5)=ROUND(LISTS!$L$2,5),"NO LOCAL",""))</f>
        <v/>
      </c>
      <c r="E111" s="14" t="str">
        <f>IF(LISTS!$C$19="","",LISTS!$C$19)</f>
        <v/>
      </c>
    </row>
    <row r="112" spans="2:7" x14ac:dyDescent="0.25">
      <c r="B112" s="14" t="str">
        <f>LISTS!$D$20</f>
        <v>Cape Girardeau (8.475%)</v>
      </c>
      <c r="C112" s="13">
        <f t="shared" si="3"/>
        <v>0</v>
      </c>
      <c r="D112" s="14" t="str">
        <f>IF(B112="","",IF(ROUND(LISTS!$B$20,5)=ROUND(LISTS!$L$2,5),"NO LOCAL",""))</f>
        <v/>
      </c>
      <c r="E112" s="14" t="str">
        <f>IF(LISTS!$C$20="","",LISTS!$C$20)</f>
        <v/>
      </c>
    </row>
    <row r="113" spans="2:5" x14ac:dyDescent="0.25">
      <c r="B113" s="14" t="str">
        <f>LISTS!$D$21</f>
        <v/>
      </c>
      <c r="C113" s="13" t="str">
        <f t="shared" si="3"/>
        <v/>
      </c>
      <c r="D113" s="14" t="str">
        <f>IF(B113="","",IF(ROUND(LISTS!$B$21,5)=ROUND(LISTS!$L$2,5),"NO LOCAL",""))</f>
        <v/>
      </c>
      <c r="E113" s="14" t="str">
        <f>IF(LISTS!$C$21="","",LISTS!$C$21)</f>
        <v/>
      </c>
    </row>
    <row r="114" spans="2:5" x14ac:dyDescent="0.25">
      <c r="B114" s="14" t="str">
        <f>LISTS!$D$22</f>
        <v/>
      </c>
      <c r="C114" s="13" t="str">
        <f t="shared" si="3"/>
        <v/>
      </c>
      <c r="D114" s="14" t="str">
        <f>IF(B114="","",IF(ROUND(LISTS!$B$22,5)=ROUND(LISTS!$L$2,5),"NO LOCAL",""))</f>
        <v/>
      </c>
      <c r="E114" s="14" t="str">
        <f>IF(LISTS!$C$22="","",LISTS!$C$22)</f>
        <v/>
      </c>
    </row>
    <row r="115" spans="2:5" x14ac:dyDescent="0.25">
      <c r="B115" s="14" t="str">
        <f>LISTS!$D$23</f>
        <v/>
      </c>
      <c r="C115" s="13" t="str">
        <f t="shared" si="3"/>
        <v/>
      </c>
      <c r="D115" s="14" t="str">
        <f>IF(B115="","",IF(ROUND(LISTS!$B$23,5)=ROUND(LISTS!$L$2,5),"NO LOCAL",""))</f>
        <v/>
      </c>
      <c r="E115" s="14" t="str">
        <f>IF(LISTS!$C$23="","",LISTS!$C$23)</f>
        <v/>
      </c>
    </row>
    <row r="116" spans="2:5" x14ac:dyDescent="0.25">
      <c r="B116" s="14" t="str">
        <f>LISTS!$D$24</f>
        <v/>
      </c>
      <c r="C116" s="13" t="str">
        <f t="shared" si="3"/>
        <v/>
      </c>
      <c r="D116" s="14" t="str">
        <f>IF(B116="","",IF(ROUND(LISTS!$B$24,5)=ROUND(LISTS!$L$2,5),"NO LOCAL",""))</f>
        <v/>
      </c>
      <c r="E116" s="14" t="str">
        <f>IF(LISTS!$C$24="","",LISTS!$C$24)</f>
        <v/>
      </c>
    </row>
    <row r="117" spans="2:5" x14ac:dyDescent="0.25">
      <c r="B117" s="14" t="str">
        <f>LISTS!$D$25</f>
        <v/>
      </c>
      <c r="C117" s="13" t="str">
        <f t="shared" si="3"/>
        <v/>
      </c>
      <c r="D117" s="14" t="str">
        <f>IF(B117="","",IF(ROUND(LISTS!$B$25,5)=ROUND(LISTS!$L$2,5),"NO LOCAL",""))</f>
        <v/>
      </c>
      <c r="E117" s="14" t="str">
        <f>IF(LISTS!$C$25="","",LISTS!$C$25)</f>
        <v/>
      </c>
    </row>
    <row r="118" spans="2:5" x14ac:dyDescent="0.25">
      <c r="B118" s="14" t="str">
        <f>LISTS!$D$26</f>
        <v/>
      </c>
      <c r="C118" s="13" t="str">
        <f t="shared" si="3"/>
        <v/>
      </c>
      <c r="D118" s="14" t="str">
        <f>IF(B118="","",IF(ROUND(LISTS!$B$26,5)=ROUND(LISTS!$L$2,5),"NO LOCAL",""))</f>
        <v/>
      </c>
      <c r="E118" s="14" t="str">
        <f>IF(LISTS!$C$26="","",LISTS!$C$26)</f>
        <v/>
      </c>
    </row>
    <row r="119" spans="2:5" x14ac:dyDescent="0.25">
      <c r="C119" s="16">
        <f>SUM(C94:C118)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U3000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47" max="47" width="18" hidden="1" customWidth="1" outlineLevel="1"/>
  </cols>
  <sheetData>
    <row r="1" spans="1:47" x14ac:dyDescent="0.25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  <c r="H1" s="7" t="s">
        <v>87</v>
      </c>
      <c r="I1" s="7" t="s">
        <v>88</v>
      </c>
      <c r="J1" s="7" t="s">
        <v>89</v>
      </c>
      <c r="K1" s="7" t="s">
        <v>90</v>
      </c>
      <c r="L1" s="7" t="s">
        <v>91</v>
      </c>
      <c r="M1" s="7" t="s">
        <v>92</v>
      </c>
      <c r="N1" s="7" t="s">
        <v>93</v>
      </c>
      <c r="O1" s="7" t="s">
        <v>94</v>
      </c>
      <c r="P1" s="7" t="s">
        <v>95</v>
      </c>
      <c r="Q1" s="7" t="s">
        <v>96</v>
      </c>
      <c r="R1" s="7" t="s">
        <v>97</v>
      </c>
      <c r="S1" s="7" t="s">
        <v>98</v>
      </c>
      <c r="T1" s="7" t="s">
        <v>99</v>
      </c>
      <c r="U1" s="7" t="s">
        <v>100</v>
      </c>
      <c r="V1" s="7" t="s">
        <v>101</v>
      </c>
      <c r="W1" s="7" t="s">
        <v>102</v>
      </c>
      <c r="X1" s="7" t="s">
        <v>103</v>
      </c>
      <c r="Y1" s="7" t="s">
        <v>104</v>
      </c>
      <c r="Z1" s="7" t="s">
        <v>105</v>
      </c>
      <c r="AA1" s="7" t="s">
        <v>106</v>
      </c>
      <c r="AB1" s="7" t="s">
        <v>107</v>
      </c>
      <c r="AC1" s="7" t="s">
        <v>108</v>
      </c>
      <c r="AD1" s="7" t="s">
        <v>109</v>
      </c>
      <c r="AE1" s="7" t="s">
        <v>110</v>
      </c>
      <c r="AF1" s="7" t="s">
        <v>111</v>
      </c>
      <c r="AG1" s="7" t="s">
        <v>112</v>
      </c>
      <c r="AH1" s="7" t="s">
        <v>113</v>
      </c>
      <c r="AI1" s="7" t="s">
        <v>114</v>
      </c>
      <c r="AJ1" s="7" t="s">
        <v>115</v>
      </c>
      <c r="AK1" s="7" t="s">
        <v>116</v>
      </c>
      <c r="AL1" s="7" t="s">
        <v>117</v>
      </c>
      <c r="AM1" s="7" t="s">
        <v>118</v>
      </c>
      <c r="AN1" s="7" t="s">
        <v>119</v>
      </c>
      <c r="AO1" s="7" t="s">
        <v>120</v>
      </c>
      <c r="AP1" s="7" t="s">
        <v>121</v>
      </c>
      <c r="AQ1" s="7" t="s">
        <v>122</v>
      </c>
      <c r="AR1" s="7" t="s">
        <v>123</v>
      </c>
      <c r="AS1" s="7" t="s">
        <v>124</v>
      </c>
      <c r="AU1" s="7" t="s">
        <v>125</v>
      </c>
    </row>
    <row r="2" spans="1:47" x14ac:dyDescent="0.25">
      <c r="AU2" s="8" t="str">
        <f>IF(TRIM($G2)="","",IF(COUNTIF(LISTS!$I$2:$I$16,TRIM($G2))&gt;0,"COUNTED",IF(COUNTIF(LISTS!$J$2:$J$16,TRIM($G2))&gt;0,"LEFT OUT","NEW")))</f>
        <v/>
      </c>
    </row>
    <row r="3" spans="1:47" x14ac:dyDescent="0.25">
      <c r="AU3" s="8" t="str">
        <f>IF(TRIM($G3)="","",IF(COUNTIF(LISTS!$I$2:$I$16,TRIM($G3))&gt;0,"COUNTED",IF(COUNTIF(LISTS!$J$2:$J$16,TRIM($G3))&gt;0,"LEFT OUT","NEW")))</f>
        <v/>
      </c>
    </row>
    <row r="4" spans="1:47" x14ac:dyDescent="0.25">
      <c r="AU4" s="8" t="str">
        <f>IF(TRIM($G4)="","",IF(COUNTIF(LISTS!$I$2:$I$16,TRIM($G4))&gt;0,"COUNTED",IF(COUNTIF(LISTS!$J$2:$J$16,TRIM($G4))&gt;0,"LEFT OUT","NEW")))</f>
        <v/>
      </c>
    </row>
    <row r="5" spans="1:47" x14ac:dyDescent="0.25">
      <c r="AU5" s="8" t="str">
        <f>IF(TRIM($G5)="","",IF(COUNTIF(LISTS!$I$2:$I$16,TRIM($G5))&gt;0,"COUNTED",IF(COUNTIF(LISTS!$J$2:$J$16,TRIM($G5))&gt;0,"LEFT OUT","NEW")))</f>
        <v/>
      </c>
    </row>
    <row r="6" spans="1:47" x14ac:dyDescent="0.25">
      <c r="AU6" s="8" t="str">
        <f>IF(TRIM($G6)="","",IF(COUNTIF(LISTS!$I$2:$I$16,TRIM($G6))&gt;0,"COUNTED",IF(COUNTIF(LISTS!$J$2:$J$16,TRIM($G6))&gt;0,"LEFT OUT","NEW")))</f>
        <v/>
      </c>
    </row>
    <row r="7" spans="1:47" x14ac:dyDescent="0.25">
      <c r="AU7" s="8" t="str">
        <f>IF(TRIM($G7)="","",IF(COUNTIF(LISTS!$I$2:$I$16,TRIM($G7))&gt;0,"COUNTED",IF(COUNTIF(LISTS!$J$2:$J$16,TRIM($G7))&gt;0,"LEFT OUT","NEW")))</f>
        <v/>
      </c>
    </row>
    <row r="8" spans="1:47" x14ac:dyDescent="0.25">
      <c r="AU8" s="8" t="str">
        <f>IF(TRIM($G8)="","",IF(COUNTIF(LISTS!$I$2:$I$16,TRIM($G8))&gt;0,"COUNTED",IF(COUNTIF(LISTS!$J$2:$J$16,TRIM($G8))&gt;0,"LEFT OUT","NEW")))</f>
        <v/>
      </c>
    </row>
    <row r="9" spans="1:47" x14ac:dyDescent="0.25">
      <c r="AU9" s="8" t="str">
        <f>IF(TRIM($G9)="","",IF(COUNTIF(LISTS!$I$2:$I$16,TRIM($G9))&gt;0,"COUNTED",IF(COUNTIF(LISTS!$J$2:$J$16,TRIM($G9))&gt;0,"LEFT OUT","NEW")))</f>
        <v/>
      </c>
    </row>
    <row r="10" spans="1:47" x14ac:dyDescent="0.25">
      <c r="AU10" s="8" t="str">
        <f>IF(TRIM($G10)="","",IF(COUNTIF(LISTS!$I$2:$I$16,TRIM($G10))&gt;0,"COUNTED",IF(COUNTIF(LISTS!$J$2:$J$16,TRIM($G10))&gt;0,"LEFT OUT","NEW")))</f>
        <v/>
      </c>
    </row>
    <row r="11" spans="1:47" x14ac:dyDescent="0.25">
      <c r="AU11" s="8" t="str">
        <f>IF(TRIM($G11)="","",IF(COUNTIF(LISTS!$I$2:$I$16,TRIM($G11))&gt;0,"COUNTED",IF(COUNTIF(LISTS!$J$2:$J$16,TRIM($G11))&gt;0,"LEFT OUT","NEW")))</f>
        <v/>
      </c>
    </row>
    <row r="12" spans="1:47" x14ac:dyDescent="0.25">
      <c r="AU12" s="8" t="str">
        <f>IF(TRIM($G12)="","",IF(COUNTIF(LISTS!$I$2:$I$16,TRIM($G12))&gt;0,"COUNTED",IF(COUNTIF(LISTS!$J$2:$J$16,TRIM($G12))&gt;0,"LEFT OUT","NEW")))</f>
        <v/>
      </c>
    </row>
    <row r="13" spans="1:47" x14ac:dyDescent="0.25">
      <c r="AU13" s="8" t="str">
        <f>IF(TRIM($G13)="","",IF(COUNTIF(LISTS!$I$2:$I$16,TRIM($G13))&gt;0,"COUNTED",IF(COUNTIF(LISTS!$J$2:$J$16,TRIM($G13))&gt;0,"LEFT OUT","NEW")))</f>
        <v/>
      </c>
    </row>
    <row r="14" spans="1:47" x14ac:dyDescent="0.25">
      <c r="AU14" s="8" t="str">
        <f>IF(TRIM($G14)="","",IF(COUNTIF(LISTS!$I$2:$I$16,TRIM($G14))&gt;0,"COUNTED",IF(COUNTIF(LISTS!$J$2:$J$16,TRIM($G14))&gt;0,"LEFT OUT","NEW")))</f>
        <v/>
      </c>
    </row>
    <row r="15" spans="1:47" x14ac:dyDescent="0.25">
      <c r="AU15" s="8" t="str">
        <f>IF(TRIM($G15)="","",IF(COUNTIF(LISTS!$I$2:$I$16,TRIM($G15))&gt;0,"COUNTED",IF(COUNTIF(LISTS!$J$2:$J$16,TRIM($G15))&gt;0,"LEFT OUT","NEW")))</f>
        <v/>
      </c>
    </row>
    <row r="16" spans="1:47" x14ac:dyDescent="0.25">
      <c r="AU16" s="8" t="str">
        <f>IF(TRIM($G16)="","",IF(COUNTIF(LISTS!$I$2:$I$16,TRIM($G16))&gt;0,"COUNTED",IF(COUNTIF(LISTS!$J$2:$J$16,TRIM($G16))&gt;0,"LEFT OUT","NEW")))</f>
        <v/>
      </c>
    </row>
    <row r="17" spans="47:47" x14ac:dyDescent="0.25">
      <c r="AU17" s="8" t="str">
        <f>IF(TRIM($G17)="","",IF(COUNTIF(LISTS!$I$2:$I$16,TRIM($G17))&gt;0,"COUNTED",IF(COUNTIF(LISTS!$J$2:$J$16,TRIM($G17))&gt;0,"LEFT OUT","NEW")))</f>
        <v/>
      </c>
    </row>
    <row r="18" spans="47:47" x14ac:dyDescent="0.25">
      <c r="AU18" s="8" t="str">
        <f>IF(TRIM($G18)="","",IF(COUNTIF(LISTS!$I$2:$I$16,TRIM($G18))&gt;0,"COUNTED",IF(COUNTIF(LISTS!$J$2:$J$16,TRIM($G18))&gt;0,"LEFT OUT","NEW")))</f>
        <v/>
      </c>
    </row>
    <row r="19" spans="47:47" x14ac:dyDescent="0.25">
      <c r="AU19" s="8" t="str">
        <f>IF(TRIM($G19)="","",IF(COUNTIF(LISTS!$I$2:$I$16,TRIM($G19))&gt;0,"COUNTED",IF(COUNTIF(LISTS!$J$2:$J$16,TRIM($G19))&gt;0,"LEFT OUT","NEW")))</f>
        <v/>
      </c>
    </row>
    <row r="20" spans="47:47" x14ac:dyDescent="0.25">
      <c r="AU20" s="8" t="str">
        <f>IF(TRIM($G20)="","",IF(COUNTIF(LISTS!$I$2:$I$16,TRIM($G20))&gt;0,"COUNTED",IF(COUNTIF(LISTS!$J$2:$J$16,TRIM($G20))&gt;0,"LEFT OUT","NEW")))</f>
        <v/>
      </c>
    </row>
    <row r="21" spans="47:47" x14ac:dyDescent="0.25">
      <c r="AU21" s="8" t="str">
        <f>IF(TRIM($G21)="","",IF(COUNTIF(LISTS!$I$2:$I$16,TRIM($G21))&gt;0,"COUNTED",IF(COUNTIF(LISTS!$J$2:$J$16,TRIM($G21))&gt;0,"LEFT OUT","NEW")))</f>
        <v/>
      </c>
    </row>
    <row r="22" spans="47:47" x14ac:dyDescent="0.25">
      <c r="AU22" s="8" t="str">
        <f>IF(TRIM($G22)="","",IF(COUNTIF(LISTS!$I$2:$I$16,TRIM($G22))&gt;0,"COUNTED",IF(COUNTIF(LISTS!$J$2:$J$16,TRIM($G22))&gt;0,"LEFT OUT","NEW")))</f>
        <v/>
      </c>
    </row>
    <row r="23" spans="47:47" x14ac:dyDescent="0.25">
      <c r="AU23" s="8" t="str">
        <f>IF(TRIM($G23)="","",IF(COUNTIF(LISTS!$I$2:$I$16,TRIM($G23))&gt;0,"COUNTED",IF(COUNTIF(LISTS!$J$2:$J$16,TRIM($G23))&gt;0,"LEFT OUT","NEW")))</f>
        <v/>
      </c>
    </row>
    <row r="24" spans="47:47" x14ac:dyDescent="0.25">
      <c r="AU24" s="8" t="str">
        <f>IF(TRIM($G24)="","",IF(COUNTIF(LISTS!$I$2:$I$16,TRIM($G24))&gt;0,"COUNTED",IF(COUNTIF(LISTS!$J$2:$J$16,TRIM($G24))&gt;0,"LEFT OUT","NEW")))</f>
        <v/>
      </c>
    </row>
    <row r="25" spans="47:47" x14ac:dyDescent="0.25">
      <c r="AU25" s="8" t="str">
        <f>IF(TRIM($G25)="","",IF(COUNTIF(LISTS!$I$2:$I$16,TRIM($G25))&gt;0,"COUNTED",IF(COUNTIF(LISTS!$J$2:$J$16,TRIM($G25))&gt;0,"LEFT OUT","NEW")))</f>
        <v/>
      </c>
    </row>
    <row r="26" spans="47:47" x14ac:dyDescent="0.25">
      <c r="AU26" s="8" t="str">
        <f>IF(TRIM($G26)="","",IF(COUNTIF(LISTS!$I$2:$I$16,TRIM($G26))&gt;0,"COUNTED",IF(COUNTIF(LISTS!$J$2:$J$16,TRIM($G26))&gt;0,"LEFT OUT","NEW")))</f>
        <v/>
      </c>
    </row>
    <row r="27" spans="47:47" x14ac:dyDescent="0.25">
      <c r="AU27" s="8" t="str">
        <f>IF(TRIM($G27)="","",IF(COUNTIF(LISTS!$I$2:$I$16,TRIM($G27))&gt;0,"COUNTED",IF(COUNTIF(LISTS!$J$2:$J$16,TRIM($G27))&gt;0,"LEFT OUT","NEW")))</f>
        <v/>
      </c>
    </row>
    <row r="28" spans="47:47" x14ac:dyDescent="0.25">
      <c r="AU28" s="8" t="str">
        <f>IF(TRIM($G28)="","",IF(COUNTIF(LISTS!$I$2:$I$16,TRIM($G28))&gt;0,"COUNTED",IF(COUNTIF(LISTS!$J$2:$J$16,TRIM($G28))&gt;0,"LEFT OUT","NEW")))</f>
        <v/>
      </c>
    </row>
    <row r="29" spans="47:47" x14ac:dyDescent="0.25">
      <c r="AU29" s="8" t="str">
        <f>IF(TRIM($G29)="","",IF(COUNTIF(LISTS!$I$2:$I$16,TRIM($G29))&gt;0,"COUNTED",IF(COUNTIF(LISTS!$J$2:$J$16,TRIM($G29))&gt;0,"LEFT OUT","NEW")))</f>
        <v/>
      </c>
    </row>
    <row r="30" spans="47:47" x14ac:dyDescent="0.25">
      <c r="AU30" s="8" t="str">
        <f>IF(TRIM($G30)="","",IF(COUNTIF(LISTS!$I$2:$I$16,TRIM($G30))&gt;0,"COUNTED",IF(COUNTIF(LISTS!$J$2:$J$16,TRIM($G30))&gt;0,"LEFT OUT","NEW")))</f>
        <v/>
      </c>
    </row>
    <row r="31" spans="47:47" x14ac:dyDescent="0.25">
      <c r="AU31" s="8" t="str">
        <f>IF(TRIM($G31)="","",IF(COUNTIF(LISTS!$I$2:$I$16,TRIM($G31))&gt;0,"COUNTED",IF(COUNTIF(LISTS!$J$2:$J$16,TRIM($G31))&gt;0,"LEFT OUT","NEW")))</f>
        <v/>
      </c>
    </row>
    <row r="32" spans="47:47" x14ac:dyDescent="0.25">
      <c r="AU32" s="8" t="str">
        <f>IF(TRIM($G32)="","",IF(COUNTIF(LISTS!$I$2:$I$16,TRIM($G32))&gt;0,"COUNTED",IF(COUNTIF(LISTS!$J$2:$J$16,TRIM($G32))&gt;0,"LEFT OUT","NEW")))</f>
        <v/>
      </c>
    </row>
    <row r="33" spans="47:47" x14ac:dyDescent="0.25">
      <c r="AU33" s="8" t="str">
        <f>IF(TRIM($G33)="","",IF(COUNTIF(LISTS!$I$2:$I$16,TRIM($G33))&gt;0,"COUNTED",IF(COUNTIF(LISTS!$J$2:$J$16,TRIM($G33))&gt;0,"LEFT OUT","NEW")))</f>
        <v/>
      </c>
    </row>
    <row r="34" spans="47:47" x14ac:dyDescent="0.25">
      <c r="AU34" s="8" t="str">
        <f>IF(TRIM($G34)="","",IF(COUNTIF(LISTS!$I$2:$I$16,TRIM($G34))&gt;0,"COUNTED",IF(COUNTIF(LISTS!$J$2:$J$16,TRIM($G34))&gt;0,"LEFT OUT","NEW")))</f>
        <v/>
      </c>
    </row>
    <row r="35" spans="47:47" x14ac:dyDescent="0.25">
      <c r="AU35" s="8" t="str">
        <f>IF(TRIM($G35)="","",IF(COUNTIF(LISTS!$I$2:$I$16,TRIM($G35))&gt;0,"COUNTED",IF(COUNTIF(LISTS!$J$2:$J$16,TRIM($G35))&gt;0,"LEFT OUT","NEW")))</f>
        <v/>
      </c>
    </row>
    <row r="36" spans="47:47" x14ac:dyDescent="0.25">
      <c r="AU36" s="8" t="str">
        <f>IF(TRIM($G36)="","",IF(COUNTIF(LISTS!$I$2:$I$16,TRIM($G36))&gt;0,"COUNTED",IF(COUNTIF(LISTS!$J$2:$J$16,TRIM($G36))&gt;0,"LEFT OUT","NEW")))</f>
        <v/>
      </c>
    </row>
    <row r="37" spans="47:47" x14ac:dyDescent="0.25">
      <c r="AU37" s="8" t="str">
        <f>IF(TRIM($G37)="","",IF(COUNTIF(LISTS!$I$2:$I$16,TRIM($G37))&gt;0,"COUNTED",IF(COUNTIF(LISTS!$J$2:$J$16,TRIM($G37))&gt;0,"LEFT OUT","NEW")))</f>
        <v/>
      </c>
    </row>
    <row r="38" spans="47:47" x14ac:dyDescent="0.25">
      <c r="AU38" s="8" t="str">
        <f>IF(TRIM($G38)="","",IF(COUNTIF(LISTS!$I$2:$I$16,TRIM($G38))&gt;0,"COUNTED",IF(COUNTIF(LISTS!$J$2:$J$16,TRIM($G38))&gt;0,"LEFT OUT","NEW")))</f>
        <v/>
      </c>
    </row>
    <row r="39" spans="47:47" x14ac:dyDescent="0.25">
      <c r="AU39" s="8" t="str">
        <f>IF(TRIM($G39)="","",IF(COUNTIF(LISTS!$I$2:$I$16,TRIM($G39))&gt;0,"COUNTED",IF(COUNTIF(LISTS!$J$2:$J$16,TRIM($G39))&gt;0,"LEFT OUT","NEW")))</f>
        <v/>
      </c>
    </row>
    <row r="40" spans="47:47" x14ac:dyDescent="0.25">
      <c r="AU40" s="8" t="str">
        <f>IF(TRIM($G40)="","",IF(COUNTIF(LISTS!$I$2:$I$16,TRIM($G40))&gt;0,"COUNTED",IF(COUNTIF(LISTS!$J$2:$J$16,TRIM($G40))&gt;0,"LEFT OUT","NEW")))</f>
        <v/>
      </c>
    </row>
    <row r="41" spans="47:47" x14ac:dyDescent="0.25">
      <c r="AU41" s="8" t="str">
        <f>IF(TRIM($G41)="","",IF(COUNTIF(LISTS!$I$2:$I$16,TRIM($G41))&gt;0,"COUNTED",IF(COUNTIF(LISTS!$J$2:$J$16,TRIM($G41))&gt;0,"LEFT OUT","NEW")))</f>
        <v/>
      </c>
    </row>
    <row r="42" spans="47:47" x14ac:dyDescent="0.25">
      <c r="AU42" s="8" t="str">
        <f>IF(TRIM($G42)="","",IF(COUNTIF(LISTS!$I$2:$I$16,TRIM($G42))&gt;0,"COUNTED",IF(COUNTIF(LISTS!$J$2:$J$16,TRIM($G42))&gt;0,"LEFT OUT","NEW")))</f>
        <v/>
      </c>
    </row>
    <row r="43" spans="47:47" x14ac:dyDescent="0.25">
      <c r="AU43" s="8" t="str">
        <f>IF(TRIM($G43)="","",IF(COUNTIF(LISTS!$I$2:$I$16,TRIM($G43))&gt;0,"COUNTED",IF(COUNTIF(LISTS!$J$2:$J$16,TRIM($G43))&gt;0,"LEFT OUT","NEW")))</f>
        <v/>
      </c>
    </row>
    <row r="44" spans="47:47" x14ac:dyDescent="0.25">
      <c r="AU44" s="8" t="str">
        <f>IF(TRIM($G44)="","",IF(COUNTIF(LISTS!$I$2:$I$16,TRIM($G44))&gt;0,"COUNTED",IF(COUNTIF(LISTS!$J$2:$J$16,TRIM($G44))&gt;0,"LEFT OUT","NEW")))</f>
        <v/>
      </c>
    </row>
    <row r="45" spans="47:47" x14ac:dyDescent="0.25">
      <c r="AU45" s="8" t="str">
        <f>IF(TRIM($G45)="","",IF(COUNTIF(LISTS!$I$2:$I$16,TRIM($G45))&gt;0,"COUNTED",IF(COUNTIF(LISTS!$J$2:$J$16,TRIM($G45))&gt;0,"LEFT OUT","NEW")))</f>
        <v/>
      </c>
    </row>
    <row r="46" spans="47:47" x14ac:dyDescent="0.25">
      <c r="AU46" s="8" t="str">
        <f>IF(TRIM($G46)="","",IF(COUNTIF(LISTS!$I$2:$I$16,TRIM($G46))&gt;0,"COUNTED",IF(COUNTIF(LISTS!$J$2:$J$16,TRIM($G46))&gt;0,"LEFT OUT","NEW")))</f>
        <v/>
      </c>
    </row>
    <row r="47" spans="47:47" x14ac:dyDescent="0.25">
      <c r="AU47" s="8" t="str">
        <f>IF(TRIM($G47)="","",IF(COUNTIF(LISTS!$I$2:$I$16,TRIM($G47))&gt;0,"COUNTED",IF(COUNTIF(LISTS!$J$2:$J$16,TRIM($G47))&gt;0,"LEFT OUT","NEW")))</f>
        <v/>
      </c>
    </row>
    <row r="48" spans="47:47" x14ac:dyDescent="0.25">
      <c r="AU48" s="8" t="str">
        <f>IF(TRIM($G48)="","",IF(COUNTIF(LISTS!$I$2:$I$16,TRIM($G48))&gt;0,"COUNTED",IF(COUNTIF(LISTS!$J$2:$J$16,TRIM($G48))&gt;0,"LEFT OUT","NEW")))</f>
        <v/>
      </c>
    </row>
    <row r="49" spans="47:47" x14ac:dyDescent="0.25">
      <c r="AU49" s="8" t="str">
        <f>IF(TRIM($G49)="","",IF(COUNTIF(LISTS!$I$2:$I$16,TRIM($G49))&gt;0,"COUNTED",IF(COUNTIF(LISTS!$J$2:$J$16,TRIM($G49))&gt;0,"LEFT OUT","NEW")))</f>
        <v/>
      </c>
    </row>
    <row r="50" spans="47:47" x14ac:dyDescent="0.25">
      <c r="AU50" s="8" t="str">
        <f>IF(TRIM($G50)="","",IF(COUNTIF(LISTS!$I$2:$I$16,TRIM($G50))&gt;0,"COUNTED",IF(COUNTIF(LISTS!$J$2:$J$16,TRIM($G50))&gt;0,"LEFT OUT","NEW")))</f>
        <v/>
      </c>
    </row>
    <row r="51" spans="47:47" x14ac:dyDescent="0.25">
      <c r="AU51" s="8" t="str">
        <f>IF(TRIM($G51)="","",IF(COUNTIF(LISTS!$I$2:$I$16,TRIM($G51))&gt;0,"COUNTED",IF(COUNTIF(LISTS!$J$2:$J$16,TRIM($G51))&gt;0,"LEFT OUT","NEW")))</f>
        <v/>
      </c>
    </row>
    <row r="52" spans="47:47" x14ac:dyDescent="0.25">
      <c r="AU52" s="8" t="str">
        <f>IF(TRIM($G52)="","",IF(COUNTIF(LISTS!$I$2:$I$16,TRIM($G52))&gt;0,"COUNTED",IF(COUNTIF(LISTS!$J$2:$J$16,TRIM($G52))&gt;0,"LEFT OUT","NEW")))</f>
        <v/>
      </c>
    </row>
    <row r="53" spans="47:47" x14ac:dyDescent="0.25">
      <c r="AU53" s="8" t="str">
        <f>IF(TRIM($G53)="","",IF(COUNTIF(LISTS!$I$2:$I$16,TRIM($G53))&gt;0,"COUNTED",IF(COUNTIF(LISTS!$J$2:$J$16,TRIM($G53))&gt;0,"LEFT OUT","NEW")))</f>
        <v/>
      </c>
    </row>
    <row r="54" spans="47:47" x14ac:dyDescent="0.25">
      <c r="AU54" s="8" t="str">
        <f>IF(TRIM($G54)="","",IF(COUNTIF(LISTS!$I$2:$I$16,TRIM($G54))&gt;0,"COUNTED",IF(COUNTIF(LISTS!$J$2:$J$16,TRIM($G54))&gt;0,"LEFT OUT","NEW")))</f>
        <v/>
      </c>
    </row>
    <row r="55" spans="47:47" x14ac:dyDescent="0.25">
      <c r="AU55" s="8" t="str">
        <f>IF(TRIM($G55)="","",IF(COUNTIF(LISTS!$I$2:$I$16,TRIM($G55))&gt;0,"COUNTED",IF(COUNTIF(LISTS!$J$2:$J$16,TRIM($G55))&gt;0,"LEFT OUT","NEW")))</f>
        <v/>
      </c>
    </row>
    <row r="56" spans="47:47" x14ac:dyDescent="0.25">
      <c r="AU56" s="8" t="str">
        <f>IF(TRIM($G56)="","",IF(COUNTIF(LISTS!$I$2:$I$16,TRIM($G56))&gt;0,"COUNTED",IF(COUNTIF(LISTS!$J$2:$J$16,TRIM($G56))&gt;0,"LEFT OUT","NEW")))</f>
        <v/>
      </c>
    </row>
    <row r="57" spans="47:47" x14ac:dyDescent="0.25">
      <c r="AU57" s="8" t="str">
        <f>IF(TRIM($G57)="","",IF(COUNTIF(LISTS!$I$2:$I$16,TRIM($G57))&gt;0,"COUNTED",IF(COUNTIF(LISTS!$J$2:$J$16,TRIM($G57))&gt;0,"LEFT OUT","NEW")))</f>
        <v/>
      </c>
    </row>
    <row r="58" spans="47:47" x14ac:dyDescent="0.25">
      <c r="AU58" s="8" t="str">
        <f>IF(TRIM($G58)="","",IF(COUNTIF(LISTS!$I$2:$I$16,TRIM($G58))&gt;0,"COUNTED",IF(COUNTIF(LISTS!$J$2:$J$16,TRIM($G58))&gt;0,"LEFT OUT","NEW")))</f>
        <v/>
      </c>
    </row>
    <row r="59" spans="47:47" x14ac:dyDescent="0.25">
      <c r="AU59" s="8" t="str">
        <f>IF(TRIM($G59)="","",IF(COUNTIF(LISTS!$I$2:$I$16,TRIM($G59))&gt;0,"COUNTED",IF(COUNTIF(LISTS!$J$2:$J$16,TRIM($G59))&gt;0,"LEFT OUT","NEW")))</f>
        <v/>
      </c>
    </row>
    <row r="60" spans="47:47" x14ac:dyDescent="0.25">
      <c r="AU60" s="8" t="str">
        <f>IF(TRIM($G60)="","",IF(COUNTIF(LISTS!$I$2:$I$16,TRIM($G60))&gt;0,"COUNTED",IF(COUNTIF(LISTS!$J$2:$J$16,TRIM($G60))&gt;0,"LEFT OUT","NEW")))</f>
        <v/>
      </c>
    </row>
    <row r="61" spans="47:47" x14ac:dyDescent="0.25">
      <c r="AU61" s="8" t="str">
        <f>IF(TRIM($G61)="","",IF(COUNTIF(LISTS!$I$2:$I$16,TRIM($G61))&gt;0,"COUNTED",IF(COUNTIF(LISTS!$J$2:$J$16,TRIM($G61))&gt;0,"LEFT OUT","NEW")))</f>
        <v/>
      </c>
    </row>
    <row r="62" spans="47:47" x14ac:dyDescent="0.25">
      <c r="AU62" s="8" t="str">
        <f>IF(TRIM($G62)="","",IF(COUNTIF(LISTS!$I$2:$I$16,TRIM($G62))&gt;0,"COUNTED",IF(COUNTIF(LISTS!$J$2:$J$16,TRIM($G62))&gt;0,"LEFT OUT","NEW")))</f>
        <v/>
      </c>
    </row>
    <row r="63" spans="47:47" x14ac:dyDescent="0.25">
      <c r="AU63" s="8" t="str">
        <f>IF(TRIM($G63)="","",IF(COUNTIF(LISTS!$I$2:$I$16,TRIM($G63))&gt;0,"COUNTED",IF(COUNTIF(LISTS!$J$2:$J$16,TRIM($G63))&gt;0,"LEFT OUT","NEW")))</f>
        <v/>
      </c>
    </row>
    <row r="64" spans="47:47" x14ac:dyDescent="0.25">
      <c r="AU64" s="8" t="str">
        <f>IF(TRIM($G64)="","",IF(COUNTIF(LISTS!$I$2:$I$16,TRIM($G64))&gt;0,"COUNTED",IF(COUNTIF(LISTS!$J$2:$J$16,TRIM($G64))&gt;0,"LEFT OUT","NEW")))</f>
        <v/>
      </c>
    </row>
    <row r="65" spans="47:47" x14ac:dyDescent="0.25">
      <c r="AU65" s="8" t="str">
        <f>IF(TRIM($G65)="","",IF(COUNTIF(LISTS!$I$2:$I$16,TRIM($G65))&gt;0,"COUNTED",IF(COUNTIF(LISTS!$J$2:$J$16,TRIM($G65))&gt;0,"LEFT OUT","NEW")))</f>
        <v/>
      </c>
    </row>
    <row r="66" spans="47:47" x14ac:dyDescent="0.25">
      <c r="AU66" s="8" t="str">
        <f>IF(TRIM($G66)="","",IF(COUNTIF(LISTS!$I$2:$I$16,TRIM($G66))&gt;0,"COUNTED",IF(COUNTIF(LISTS!$J$2:$J$16,TRIM($G66))&gt;0,"LEFT OUT","NEW")))</f>
        <v/>
      </c>
    </row>
    <row r="67" spans="47:47" x14ac:dyDescent="0.25">
      <c r="AU67" s="8" t="str">
        <f>IF(TRIM($G67)="","",IF(COUNTIF(LISTS!$I$2:$I$16,TRIM($G67))&gt;0,"COUNTED",IF(COUNTIF(LISTS!$J$2:$J$16,TRIM($G67))&gt;0,"LEFT OUT","NEW")))</f>
        <v/>
      </c>
    </row>
    <row r="68" spans="47:47" x14ac:dyDescent="0.25">
      <c r="AU68" s="8" t="str">
        <f>IF(TRIM($G68)="","",IF(COUNTIF(LISTS!$I$2:$I$16,TRIM($G68))&gt;0,"COUNTED",IF(COUNTIF(LISTS!$J$2:$J$16,TRIM($G68))&gt;0,"LEFT OUT","NEW")))</f>
        <v/>
      </c>
    </row>
    <row r="69" spans="47:47" x14ac:dyDescent="0.25">
      <c r="AU69" s="8" t="str">
        <f>IF(TRIM($G69)="","",IF(COUNTIF(LISTS!$I$2:$I$16,TRIM($G69))&gt;0,"COUNTED",IF(COUNTIF(LISTS!$J$2:$J$16,TRIM($G69))&gt;0,"LEFT OUT","NEW")))</f>
        <v/>
      </c>
    </row>
    <row r="70" spans="47:47" x14ac:dyDescent="0.25">
      <c r="AU70" s="8" t="str">
        <f>IF(TRIM($G70)="","",IF(COUNTIF(LISTS!$I$2:$I$16,TRIM($G70))&gt;0,"COUNTED",IF(COUNTIF(LISTS!$J$2:$J$16,TRIM($G70))&gt;0,"LEFT OUT","NEW")))</f>
        <v/>
      </c>
    </row>
    <row r="71" spans="47:47" x14ac:dyDescent="0.25">
      <c r="AU71" s="8" t="str">
        <f>IF(TRIM($G71)="","",IF(COUNTIF(LISTS!$I$2:$I$16,TRIM($G71))&gt;0,"COUNTED",IF(COUNTIF(LISTS!$J$2:$J$16,TRIM($G71))&gt;0,"LEFT OUT","NEW")))</f>
        <v/>
      </c>
    </row>
    <row r="72" spans="47:47" x14ac:dyDescent="0.25">
      <c r="AU72" s="8" t="str">
        <f>IF(TRIM($G72)="","",IF(COUNTIF(LISTS!$I$2:$I$16,TRIM($G72))&gt;0,"COUNTED",IF(COUNTIF(LISTS!$J$2:$J$16,TRIM($G72))&gt;0,"LEFT OUT","NEW")))</f>
        <v/>
      </c>
    </row>
    <row r="73" spans="47:47" x14ac:dyDescent="0.25">
      <c r="AU73" s="8" t="str">
        <f>IF(TRIM($G73)="","",IF(COUNTIF(LISTS!$I$2:$I$16,TRIM($G73))&gt;0,"COUNTED",IF(COUNTIF(LISTS!$J$2:$J$16,TRIM($G73))&gt;0,"LEFT OUT","NEW")))</f>
        <v/>
      </c>
    </row>
    <row r="74" spans="47:47" x14ac:dyDescent="0.25">
      <c r="AU74" s="8" t="str">
        <f>IF(TRIM($G74)="","",IF(COUNTIF(LISTS!$I$2:$I$16,TRIM($G74))&gt;0,"COUNTED",IF(COUNTIF(LISTS!$J$2:$J$16,TRIM($G74))&gt;0,"LEFT OUT","NEW")))</f>
        <v/>
      </c>
    </row>
    <row r="75" spans="47:47" x14ac:dyDescent="0.25">
      <c r="AU75" s="8" t="str">
        <f>IF(TRIM($G75)="","",IF(COUNTIF(LISTS!$I$2:$I$16,TRIM($G75))&gt;0,"COUNTED",IF(COUNTIF(LISTS!$J$2:$J$16,TRIM($G75))&gt;0,"LEFT OUT","NEW")))</f>
        <v/>
      </c>
    </row>
    <row r="76" spans="47:47" x14ac:dyDescent="0.25">
      <c r="AU76" s="8" t="str">
        <f>IF(TRIM($G76)="","",IF(COUNTIF(LISTS!$I$2:$I$16,TRIM($G76))&gt;0,"COUNTED",IF(COUNTIF(LISTS!$J$2:$J$16,TRIM($G76))&gt;0,"LEFT OUT","NEW")))</f>
        <v/>
      </c>
    </row>
    <row r="77" spans="47:47" x14ac:dyDescent="0.25">
      <c r="AU77" s="8" t="str">
        <f>IF(TRIM($G77)="","",IF(COUNTIF(LISTS!$I$2:$I$16,TRIM($G77))&gt;0,"COUNTED",IF(COUNTIF(LISTS!$J$2:$J$16,TRIM($G77))&gt;0,"LEFT OUT","NEW")))</f>
        <v/>
      </c>
    </row>
    <row r="78" spans="47:47" x14ac:dyDescent="0.25">
      <c r="AU78" s="8" t="str">
        <f>IF(TRIM($G78)="","",IF(COUNTIF(LISTS!$I$2:$I$16,TRIM($G78))&gt;0,"COUNTED",IF(COUNTIF(LISTS!$J$2:$J$16,TRIM($G78))&gt;0,"LEFT OUT","NEW")))</f>
        <v/>
      </c>
    </row>
    <row r="79" spans="47:47" x14ac:dyDescent="0.25">
      <c r="AU79" s="8" t="str">
        <f>IF(TRIM($G79)="","",IF(COUNTIF(LISTS!$I$2:$I$16,TRIM($G79))&gt;0,"COUNTED",IF(COUNTIF(LISTS!$J$2:$J$16,TRIM($G79))&gt;0,"LEFT OUT","NEW")))</f>
        <v/>
      </c>
    </row>
    <row r="80" spans="47:47" x14ac:dyDescent="0.25">
      <c r="AU80" s="8" t="str">
        <f>IF(TRIM($G80)="","",IF(COUNTIF(LISTS!$I$2:$I$16,TRIM($G80))&gt;0,"COUNTED",IF(COUNTIF(LISTS!$J$2:$J$16,TRIM($G80))&gt;0,"LEFT OUT","NEW")))</f>
        <v/>
      </c>
    </row>
    <row r="81" spans="47:47" x14ac:dyDescent="0.25">
      <c r="AU81" s="8" t="str">
        <f>IF(TRIM($G81)="","",IF(COUNTIF(LISTS!$I$2:$I$16,TRIM($G81))&gt;0,"COUNTED",IF(COUNTIF(LISTS!$J$2:$J$16,TRIM($G81))&gt;0,"LEFT OUT","NEW")))</f>
        <v/>
      </c>
    </row>
    <row r="82" spans="47:47" x14ac:dyDescent="0.25">
      <c r="AU82" s="8" t="str">
        <f>IF(TRIM($G82)="","",IF(COUNTIF(LISTS!$I$2:$I$16,TRIM($G82))&gt;0,"COUNTED",IF(COUNTIF(LISTS!$J$2:$J$16,TRIM($G82))&gt;0,"LEFT OUT","NEW")))</f>
        <v/>
      </c>
    </row>
    <row r="83" spans="47:47" x14ac:dyDescent="0.25">
      <c r="AU83" s="8" t="str">
        <f>IF(TRIM($G83)="","",IF(COUNTIF(LISTS!$I$2:$I$16,TRIM($G83))&gt;0,"COUNTED",IF(COUNTIF(LISTS!$J$2:$J$16,TRIM($G83))&gt;0,"LEFT OUT","NEW")))</f>
        <v/>
      </c>
    </row>
    <row r="84" spans="47:47" x14ac:dyDescent="0.25">
      <c r="AU84" s="8" t="str">
        <f>IF(TRIM($G84)="","",IF(COUNTIF(LISTS!$I$2:$I$16,TRIM($G84))&gt;0,"COUNTED",IF(COUNTIF(LISTS!$J$2:$J$16,TRIM($G84))&gt;0,"LEFT OUT","NEW")))</f>
        <v/>
      </c>
    </row>
    <row r="85" spans="47:47" x14ac:dyDescent="0.25">
      <c r="AU85" s="8" t="str">
        <f>IF(TRIM($G85)="","",IF(COUNTIF(LISTS!$I$2:$I$16,TRIM($G85))&gt;0,"COUNTED",IF(COUNTIF(LISTS!$J$2:$J$16,TRIM($G85))&gt;0,"LEFT OUT","NEW")))</f>
        <v/>
      </c>
    </row>
    <row r="86" spans="47:47" x14ac:dyDescent="0.25">
      <c r="AU86" s="8" t="str">
        <f>IF(TRIM($G86)="","",IF(COUNTIF(LISTS!$I$2:$I$16,TRIM($G86))&gt;0,"COUNTED",IF(COUNTIF(LISTS!$J$2:$J$16,TRIM($G86))&gt;0,"LEFT OUT","NEW")))</f>
        <v/>
      </c>
    </row>
    <row r="87" spans="47:47" x14ac:dyDescent="0.25">
      <c r="AU87" s="8" t="str">
        <f>IF(TRIM($G87)="","",IF(COUNTIF(LISTS!$I$2:$I$16,TRIM($G87))&gt;0,"COUNTED",IF(COUNTIF(LISTS!$J$2:$J$16,TRIM($G87))&gt;0,"LEFT OUT","NEW")))</f>
        <v/>
      </c>
    </row>
    <row r="88" spans="47:47" x14ac:dyDescent="0.25">
      <c r="AU88" s="8" t="str">
        <f>IF(TRIM($G88)="","",IF(COUNTIF(LISTS!$I$2:$I$16,TRIM($G88))&gt;0,"COUNTED",IF(COUNTIF(LISTS!$J$2:$J$16,TRIM($G88))&gt;0,"LEFT OUT","NEW")))</f>
        <v/>
      </c>
    </row>
    <row r="89" spans="47:47" x14ac:dyDescent="0.25">
      <c r="AU89" s="8" t="str">
        <f>IF(TRIM($G89)="","",IF(COUNTIF(LISTS!$I$2:$I$16,TRIM($G89))&gt;0,"COUNTED",IF(COUNTIF(LISTS!$J$2:$J$16,TRIM($G89))&gt;0,"LEFT OUT","NEW")))</f>
        <v/>
      </c>
    </row>
    <row r="90" spans="47:47" x14ac:dyDescent="0.25">
      <c r="AU90" s="8" t="str">
        <f>IF(TRIM($G90)="","",IF(COUNTIF(LISTS!$I$2:$I$16,TRIM($G90))&gt;0,"COUNTED",IF(COUNTIF(LISTS!$J$2:$J$16,TRIM($G90))&gt;0,"LEFT OUT","NEW")))</f>
        <v/>
      </c>
    </row>
    <row r="91" spans="47:47" x14ac:dyDescent="0.25">
      <c r="AU91" s="8" t="str">
        <f>IF(TRIM($G91)="","",IF(COUNTIF(LISTS!$I$2:$I$16,TRIM($G91))&gt;0,"COUNTED",IF(COUNTIF(LISTS!$J$2:$J$16,TRIM($G91))&gt;0,"LEFT OUT","NEW")))</f>
        <v/>
      </c>
    </row>
    <row r="92" spans="47:47" x14ac:dyDescent="0.25">
      <c r="AU92" s="8" t="str">
        <f>IF(TRIM($G92)="","",IF(COUNTIF(LISTS!$I$2:$I$16,TRIM($G92))&gt;0,"COUNTED",IF(COUNTIF(LISTS!$J$2:$J$16,TRIM($G92))&gt;0,"LEFT OUT","NEW")))</f>
        <v/>
      </c>
    </row>
    <row r="93" spans="47:47" x14ac:dyDescent="0.25">
      <c r="AU93" s="8" t="str">
        <f>IF(TRIM($G93)="","",IF(COUNTIF(LISTS!$I$2:$I$16,TRIM($G93))&gt;0,"COUNTED",IF(COUNTIF(LISTS!$J$2:$J$16,TRIM($G93))&gt;0,"LEFT OUT","NEW")))</f>
        <v/>
      </c>
    </row>
    <row r="94" spans="47:47" x14ac:dyDescent="0.25">
      <c r="AU94" s="8" t="str">
        <f>IF(TRIM($G94)="","",IF(COUNTIF(LISTS!$I$2:$I$16,TRIM($G94))&gt;0,"COUNTED",IF(COUNTIF(LISTS!$J$2:$J$16,TRIM($G94))&gt;0,"LEFT OUT","NEW")))</f>
        <v/>
      </c>
    </row>
    <row r="95" spans="47:47" x14ac:dyDescent="0.25">
      <c r="AU95" s="8" t="str">
        <f>IF(TRIM($G95)="","",IF(COUNTIF(LISTS!$I$2:$I$16,TRIM($G95))&gt;0,"COUNTED",IF(COUNTIF(LISTS!$J$2:$J$16,TRIM($G95))&gt;0,"LEFT OUT","NEW")))</f>
        <v/>
      </c>
    </row>
    <row r="96" spans="47:47" x14ac:dyDescent="0.25">
      <c r="AU96" s="8" t="str">
        <f>IF(TRIM($G96)="","",IF(COUNTIF(LISTS!$I$2:$I$16,TRIM($G96))&gt;0,"COUNTED",IF(COUNTIF(LISTS!$J$2:$J$16,TRIM($G96))&gt;0,"LEFT OUT","NEW")))</f>
        <v/>
      </c>
    </row>
    <row r="97" spans="47:47" x14ac:dyDescent="0.25">
      <c r="AU97" s="8" t="str">
        <f>IF(TRIM($G97)="","",IF(COUNTIF(LISTS!$I$2:$I$16,TRIM($G97))&gt;0,"COUNTED",IF(COUNTIF(LISTS!$J$2:$J$16,TRIM($G97))&gt;0,"LEFT OUT","NEW")))</f>
        <v/>
      </c>
    </row>
    <row r="98" spans="47:47" x14ac:dyDescent="0.25">
      <c r="AU98" s="8" t="str">
        <f>IF(TRIM($G98)="","",IF(COUNTIF(LISTS!$I$2:$I$16,TRIM($G98))&gt;0,"COUNTED",IF(COUNTIF(LISTS!$J$2:$J$16,TRIM($G98))&gt;0,"LEFT OUT","NEW")))</f>
        <v/>
      </c>
    </row>
    <row r="99" spans="47:47" x14ac:dyDescent="0.25">
      <c r="AU99" s="8" t="str">
        <f>IF(TRIM($G99)="","",IF(COUNTIF(LISTS!$I$2:$I$16,TRIM($G99))&gt;0,"COUNTED",IF(COUNTIF(LISTS!$J$2:$J$16,TRIM($G99))&gt;0,"LEFT OUT","NEW")))</f>
        <v/>
      </c>
    </row>
    <row r="100" spans="47:47" x14ac:dyDescent="0.25">
      <c r="AU100" s="8" t="str">
        <f>IF(TRIM($G100)="","",IF(COUNTIF(LISTS!$I$2:$I$16,TRIM($G100))&gt;0,"COUNTED",IF(COUNTIF(LISTS!$J$2:$J$16,TRIM($G100))&gt;0,"LEFT OUT","NEW")))</f>
        <v/>
      </c>
    </row>
    <row r="101" spans="47:47" x14ac:dyDescent="0.25">
      <c r="AU101" s="8" t="str">
        <f>IF(TRIM($G101)="","",IF(COUNTIF(LISTS!$I$2:$I$16,TRIM($G101))&gt;0,"COUNTED",IF(COUNTIF(LISTS!$J$2:$J$16,TRIM($G101))&gt;0,"LEFT OUT","NEW")))</f>
        <v/>
      </c>
    </row>
    <row r="102" spans="47:47" x14ac:dyDescent="0.25">
      <c r="AU102" s="8" t="str">
        <f>IF(TRIM($G102)="","",IF(COUNTIF(LISTS!$I$2:$I$16,TRIM($G102))&gt;0,"COUNTED",IF(COUNTIF(LISTS!$J$2:$J$16,TRIM($G102))&gt;0,"LEFT OUT","NEW")))</f>
        <v/>
      </c>
    </row>
    <row r="103" spans="47:47" x14ac:dyDescent="0.25">
      <c r="AU103" s="8" t="str">
        <f>IF(TRIM($G103)="","",IF(COUNTIF(LISTS!$I$2:$I$16,TRIM($G103))&gt;0,"COUNTED",IF(COUNTIF(LISTS!$J$2:$J$16,TRIM($G103))&gt;0,"LEFT OUT","NEW")))</f>
        <v/>
      </c>
    </row>
    <row r="104" spans="47:47" x14ac:dyDescent="0.25">
      <c r="AU104" s="8" t="str">
        <f>IF(TRIM($G104)="","",IF(COUNTIF(LISTS!$I$2:$I$16,TRIM($G104))&gt;0,"COUNTED",IF(COUNTIF(LISTS!$J$2:$J$16,TRIM($G104))&gt;0,"LEFT OUT","NEW")))</f>
        <v/>
      </c>
    </row>
    <row r="105" spans="47:47" x14ac:dyDescent="0.25">
      <c r="AU105" s="8" t="str">
        <f>IF(TRIM($G105)="","",IF(COUNTIF(LISTS!$I$2:$I$16,TRIM($G105))&gt;0,"COUNTED",IF(COUNTIF(LISTS!$J$2:$J$16,TRIM($G105))&gt;0,"LEFT OUT","NEW")))</f>
        <v/>
      </c>
    </row>
    <row r="106" spans="47:47" x14ac:dyDescent="0.25">
      <c r="AU106" s="8" t="str">
        <f>IF(TRIM($G106)="","",IF(COUNTIF(LISTS!$I$2:$I$16,TRIM($G106))&gt;0,"COUNTED",IF(COUNTIF(LISTS!$J$2:$J$16,TRIM($G106))&gt;0,"LEFT OUT","NEW")))</f>
        <v/>
      </c>
    </row>
    <row r="107" spans="47:47" x14ac:dyDescent="0.25">
      <c r="AU107" s="8" t="str">
        <f>IF(TRIM($G107)="","",IF(COUNTIF(LISTS!$I$2:$I$16,TRIM($G107))&gt;0,"COUNTED",IF(COUNTIF(LISTS!$J$2:$J$16,TRIM($G107))&gt;0,"LEFT OUT","NEW")))</f>
        <v/>
      </c>
    </row>
    <row r="108" spans="47:47" x14ac:dyDescent="0.25">
      <c r="AU108" s="8" t="str">
        <f>IF(TRIM($G108)="","",IF(COUNTIF(LISTS!$I$2:$I$16,TRIM($G108))&gt;0,"COUNTED",IF(COUNTIF(LISTS!$J$2:$J$16,TRIM($G108))&gt;0,"LEFT OUT","NEW")))</f>
        <v/>
      </c>
    </row>
    <row r="109" spans="47:47" x14ac:dyDescent="0.25">
      <c r="AU109" s="8" t="str">
        <f>IF(TRIM($G109)="","",IF(COUNTIF(LISTS!$I$2:$I$16,TRIM($G109))&gt;0,"COUNTED",IF(COUNTIF(LISTS!$J$2:$J$16,TRIM($G109))&gt;0,"LEFT OUT","NEW")))</f>
        <v/>
      </c>
    </row>
    <row r="110" spans="47:47" x14ac:dyDescent="0.25">
      <c r="AU110" s="8" t="str">
        <f>IF(TRIM($G110)="","",IF(COUNTIF(LISTS!$I$2:$I$16,TRIM($G110))&gt;0,"COUNTED",IF(COUNTIF(LISTS!$J$2:$J$16,TRIM($G110))&gt;0,"LEFT OUT","NEW")))</f>
        <v/>
      </c>
    </row>
    <row r="111" spans="47:47" x14ac:dyDescent="0.25">
      <c r="AU111" s="8" t="str">
        <f>IF(TRIM($G111)="","",IF(COUNTIF(LISTS!$I$2:$I$16,TRIM($G111))&gt;0,"COUNTED",IF(COUNTIF(LISTS!$J$2:$J$16,TRIM($G111))&gt;0,"LEFT OUT","NEW")))</f>
        <v/>
      </c>
    </row>
    <row r="112" spans="47:47" x14ac:dyDescent="0.25">
      <c r="AU112" s="8" t="str">
        <f>IF(TRIM($G112)="","",IF(COUNTIF(LISTS!$I$2:$I$16,TRIM($G112))&gt;0,"COUNTED",IF(COUNTIF(LISTS!$J$2:$J$16,TRIM($G112))&gt;0,"LEFT OUT","NEW")))</f>
        <v/>
      </c>
    </row>
    <row r="113" spans="47:47" x14ac:dyDescent="0.25">
      <c r="AU113" s="8" t="str">
        <f>IF(TRIM($G113)="","",IF(COUNTIF(LISTS!$I$2:$I$16,TRIM($G113))&gt;0,"COUNTED",IF(COUNTIF(LISTS!$J$2:$J$16,TRIM($G113))&gt;0,"LEFT OUT","NEW")))</f>
        <v/>
      </c>
    </row>
    <row r="114" spans="47:47" x14ac:dyDescent="0.25">
      <c r="AU114" s="8" t="str">
        <f>IF(TRIM($G114)="","",IF(COUNTIF(LISTS!$I$2:$I$16,TRIM($G114))&gt;0,"COUNTED",IF(COUNTIF(LISTS!$J$2:$J$16,TRIM($G114))&gt;0,"LEFT OUT","NEW")))</f>
        <v/>
      </c>
    </row>
    <row r="115" spans="47:47" x14ac:dyDescent="0.25">
      <c r="AU115" s="8" t="str">
        <f>IF(TRIM($G115)="","",IF(COUNTIF(LISTS!$I$2:$I$16,TRIM($G115))&gt;0,"COUNTED",IF(COUNTIF(LISTS!$J$2:$J$16,TRIM($G115))&gt;0,"LEFT OUT","NEW")))</f>
        <v/>
      </c>
    </row>
    <row r="116" spans="47:47" x14ac:dyDescent="0.25">
      <c r="AU116" s="8" t="str">
        <f>IF(TRIM($G116)="","",IF(COUNTIF(LISTS!$I$2:$I$16,TRIM($G116))&gt;0,"COUNTED",IF(COUNTIF(LISTS!$J$2:$J$16,TRIM($G116))&gt;0,"LEFT OUT","NEW")))</f>
        <v/>
      </c>
    </row>
    <row r="117" spans="47:47" x14ac:dyDescent="0.25">
      <c r="AU117" s="8" t="str">
        <f>IF(TRIM($G117)="","",IF(COUNTIF(LISTS!$I$2:$I$16,TRIM($G117))&gt;0,"COUNTED",IF(COUNTIF(LISTS!$J$2:$J$16,TRIM($G117))&gt;0,"LEFT OUT","NEW")))</f>
        <v/>
      </c>
    </row>
    <row r="118" spans="47:47" x14ac:dyDescent="0.25">
      <c r="AU118" s="8" t="str">
        <f>IF(TRIM($G118)="","",IF(COUNTIF(LISTS!$I$2:$I$16,TRIM($G118))&gt;0,"COUNTED",IF(COUNTIF(LISTS!$J$2:$J$16,TRIM($G118))&gt;0,"LEFT OUT","NEW")))</f>
        <v/>
      </c>
    </row>
    <row r="119" spans="47:47" x14ac:dyDescent="0.25">
      <c r="AU119" s="8" t="str">
        <f>IF(TRIM($G119)="","",IF(COUNTIF(LISTS!$I$2:$I$16,TRIM($G119))&gt;0,"COUNTED",IF(COUNTIF(LISTS!$J$2:$J$16,TRIM($G119))&gt;0,"LEFT OUT","NEW")))</f>
        <v/>
      </c>
    </row>
    <row r="120" spans="47:47" x14ac:dyDescent="0.25">
      <c r="AU120" s="8" t="str">
        <f>IF(TRIM($G120)="","",IF(COUNTIF(LISTS!$I$2:$I$16,TRIM($G120))&gt;0,"COUNTED",IF(COUNTIF(LISTS!$J$2:$J$16,TRIM($G120))&gt;0,"LEFT OUT","NEW")))</f>
        <v/>
      </c>
    </row>
    <row r="121" spans="47:47" x14ac:dyDescent="0.25">
      <c r="AU121" s="8" t="str">
        <f>IF(TRIM($G121)="","",IF(COUNTIF(LISTS!$I$2:$I$16,TRIM($G121))&gt;0,"COUNTED",IF(COUNTIF(LISTS!$J$2:$J$16,TRIM($G121))&gt;0,"LEFT OUT","NEW")))</f>
        <v/>
      </c>
    </row>
    <row r="122" spans="47:47" x14ac:dyDescent="0.25">
      <c r="AU122" s="8" t="str">
        <f>IF(TRIM($G122)="","",IF(COUNTIF(LISTS!$I$2:$I$16,TRIM($G122))&gt;0,"COUNTED",IF(COUNTIF(LISTS!$J$2:$J$16,TRIM($G122))&gt;0,"LEFT OUT","NEW")))</f>
        <v/>
      </c>
    </row>
    <row r="123" spans="47:47" x14ac:dyDescent="0.25">
      <c r="AU123" s="8" t="str">
        <f>IF(TRIM($G123)="","",IF(COUNTIF(LISTS!$I$2:$I$16,TRIM($G123))&gt;0,"COUNTED",IF(COUNTIF(LISTS!$J$2:$J$16,TRIM($G123))&gt;0,"LEFT OUT","NEW")))</f>
        <v/>
      </c>
    </row>
    <row r="124" spans="47:47" x14ac:dyDescent="0.25">
      <c r="AU124" s="8" t="str">
        <f>IF(TRIM($G124)="","",IF(COUNTIF(LISTS!$I$2:$I$16,TRIM($G124))&gt;0,"COUNTED",IF(COUNTIF(LISTS!$J$2:$J$16,TRIM($G124))&gt;0,"LEFT OUT","NEW")))</f>
        <v/>
      </c>
    </row>
    <row r="125" spans="47:47" x14ac:dyDescent="0.25">
      <c r="AU125" s="8" t="str">
        <f>IF(TRIM($G125)="","",IF(COUNTIF(LISTS!$I$2:$I$16,TRIM($G125))&gt;0,"COUNTED",IF(COUNTIF(LISTS!$J$2:$J$16,TRIM($G125))&gt;0,"LEFT OUT","NEW")))</f>
        <v/>
      </c>
    </row>
    <row r="126" spans="47:47" x14ac:dyDescent="0.25">
      <c r="AU126" s="8" t="str">
        <f>IF(TRIM($G126)="","",IF(COUNTIF(LISTS!$I$2:$I$16,TRIM($G126))&gt;0,"COUNTED",IF(COUNTIF(LISTS!$J$2:$J$16,TRIM($G126))&gt;0,"LEFT OUT","NEW")))</f>
        <v/>
      </c>
    </row>
    <row r="127" spans="47:47" x14ac:dyDescent="0.25">
      <c r="AU127" s="8" t="str">
        <f>IF(TRIM($G127)="","",IF(COUNTIF(LISTS!$I$2:$I$16,TRIM($G127))&gt;0,"COUNTED",IF(COUNTIF(LISTS!$J$2:$J$16,TRIM($G127))&gt;0,"LEFT OUT","NEW")))</f>
        <v/>
      </c>
    </row>
    <row r="128" spans="47:47" x14ac:dyDescent="0.25">
      <c r="AU128" s="8" t="str">
        <f>IF(TRIM($G128)="","",IF(COUNTIF(LISTS!$I$2:$I$16,TRIM($G128))&gt;0,"COUNTED",IF(COUNTIF(LISTS!$J$2:$J$16,TRIM($G128))&gt;0,"LEFT OUT","NEW")))</f>
        <v/>
      </c>
    </row>
    <row r="129" spans="47:47" x14ac:dyDescent="0.25">
      <c r="AU129" s="8" t="str">
        <f>IF(TRIM($G129)="","",IF(COUNTIF(LISTS!$I$2:$I$16,TRIM($G129))&gt;0,"COUNTED",IF(COUNTIF(LISTS!$J$2:$J$16,TRIM($G129))&gt;0,"LEFT OUT","NEW")))</f>
        <v/>
      </c>
    </row>
    <row r="130" spans="47:47" x14ac:dyDescent="0.25">
      <c r="AU130" s="8" t="str">
        <f>IF(TRIM($G130)="","",IF(COUNTIF(LISTS!$I$2:$I$16,TRIM($G130))&gt;0,"COUNTED",IF(COUNTIF(LISTS!$J$2:$J$16,TRIM($G130))&gt;0,"LEFT OUT","NEW")))</f>
        <v/>
      </c>
    </row>
    <row r="131" spans="47:47" x14ac:dyDescent="0.25">
      <c r="AU131" s="8" t="str">
        <f>IF(TRIM($G131)="","",IF(COUNTIF(LISTS!$I$2:$I$16,TRIM($G131))&gt;0,"COUNTED",IF(COUNTIF(LISTS!$J$2:$J$16,TRIM($G131))&gt;0,"LEFT OUT","NEW")))</f>
        <v/>
      </c>
    </row>
    <row r="132" spans="47:47" x14ac:dyDescent="0.25">
      <c r="AU132" s="8" t="str">
        <f>IF(TRIM($G132)="","",IF(COUNTIF(LISTS!$I$2:$I$16,TRIM($G132))&gt;0,"COUNTED",IF(COUNTIF(LISTS!$J$2:$J$16,TRIM($G132))&gt;0,"LEFT OUT","NEW")))</f>
        <v/>
      </c>
    </row>
    <row r="133" spans="47:47" x14ac:dyDescent="0.25">
      <c r="AU133" s="8" t="str">
        <f>IF(TRIM($G133)="","",IF(COUNTIF(LISTS!$I$2:$I$16,TRIM($G133))&gt;0,"COUNTED",IF(COUNTIF(LISTS!$J$2:$J$16,TRIM($G133))&gt;0,"LEFT OUT","NEW")))</f>
        <v/>
      </c>
    </row>
    <row r="134" spans="47:47" x14ac:dyDescent="0.25">
      <c r="AU134" s="8" t="str">
        <f>IF(TRIM($G134)="","",IF(COUNTIF(LISTS!$I$2:$I$16,TRIM($G134))&gt;0,"COUNTED",IF(COUNTIF(LISTS!$J$2:$J$16,TRIM($G134))&gt;0,"LEFT OUT","NEW")))</f>
        <v/>
      </c>
    </row>
    <row r="135" spans="47:47" x14ac:dyDescent="0.25">
      <c r="AU135" s="8" t="str">
        <f>IF(TRIM($G135)="","",IF(COUNTIF(LISTS!$I$2:$I$16,TRIM($G135))&gt;0,"COUNTED",IF(COUNTIF(LISTS!$J$2:$J$16,TRIM($G135))&gt;0,"LEFT OUT","NEW")))</f>
        <v/>
      </c>
    </row>
    <row r="136" spans="47:47" x14ac:dyDescent="0.25">
      <c r="AU136" s="8" t="str">
        <f>IF(TRIM($G136)="","",IF(COUNTIF(LISTS!$I$2:$I$16,TRIM($G136))&gt;0,"COUNTED",IF(COUNTIF(LISTS!$J$2:$J$16,TRIM($G136))&gt;0,"LEFT OUT","NEW")))</f>
        <v/>
      </c>
    </row>
    <row r="137" spans="47:47" x14ac:dyDescent="0.25">
      <c r="AU137" s="8" t="str">
        <f>IF(TRIM($G137)="","",IF(COUNTIF(LISTS!$I$2:$I$16,TRIM($G137))&gt;0,"COUNTED",IF(COUNTIF(LISTS!$J$2:$J$16,TRIM($G137))&gt;0,"LEFT OUT","NEW")))</f>
        <v/>
      </c>
    </row>
    <row r="138" spans="47:47" x14ac:dyDescent="0.25">
      <c r="AU138" s="8" t="str">
        <f>IF(TRIM($G138)="","",IF(COUNTIF(LISTS!$I$2:$I$16,TRIM($G138))&gt;0,"COUNTED",IF(COUNTIF(LISTS!$J$2:$J$16,TRIM($G138))&gt;0,"LEFT OUT","NEW")))</f>
        <v/>
      </c>
    </row>
    <row r="139" spans="47:47" x14ac:dyDescent="0.25">
      <c r="AU139" s="8" t="str">
        <f>IF(TRIM($G139)="","",IF(COUNTIF(LISTS!$I$2:$I$16,TRIM($G139))&gt;0,"COUNTED",IF(COUNTIF(LISTS!$J$2:$J$16,TRIM($G139))&gt;0,"LEFT OUT","NEW")))</f>
        <v/>
      </c>
    </row>
    <row r="140" spans="47:47" x14ac:dyDescent="0.25">
      <c r="AU140" s="8" t="str">
        <f>IF(TRIM($G140)="","",IF(COUNTIF(LISTS!$I$2:$I$16,TRIM($G140))&gt;0,"COUNTED",IF(COUNTIF(LISTS!$J$2:$J$16,TRIM($G140))&gt;0,"LEFT OUT","NEW")))</f>
        <v/>
      </c>
    </row>
    <row r="141" spans="47:47" x14ac:dyDescent="0.25">
      <c r="AU141" s="8" t="str">
        <f>IF(TRIM($G141)="","",IF(COUNTIF(LISTS!$I$2:$I$16,TRIM($G141))&gt;0,"COUNTED",IF(COUNTIF(LISTS!$J$2:$J$16,TRIM($G141))&gt;0,"LEFT OUT","NEW")))</f>
        <v/>
      </c>
    </row>
    <row r="142" spans="47:47" x14ac:dyDescent="0.25">
      <c r="AU142" s="8" t="str">
        <f>IF(TRIM($G142)="","",IF(COUNTIF(LISTS!$I$2:$I$16,TRIM($G142))&gt;0,"COUNTED",IF(COUNTIF(LISTS!$J$2:$J$16,TRIM($G142))&gt;0,"LEFT OUT","NEW")))</f>
        <v/>
      </c>
    </row>
    <row r="143" spans="47:47" x14ac:dyDescent="0.25">
      <c r="AU143" s="8" t="str">
        <f>IF(TRIM($G143)="","",IF(COUNTIF(LISTS!$I$2:$I$16,TRIM($G143))&gt;0,"COUNTED",IF(COUNTIF(LISTS!$J$2:$J$16,TRIM($G143))&gt;0,"LEFT OUT","NEW")))</f>
        <v/>
      </c>
    </row>
    <row r="144" spans="47:47" x14ac:dyDescent="0.25">
      <c r="AU144" s="8" t="str">
        <f>IF(TRIM($G144)="","",IF(COUNTIF(LISTS!$I$2:$I$16,TRIM($G144))&gt;0,"COUNTED",IF(COUNTIF(LISTS!$J$2:$J$16,TRIM($G144))&gt;0,"LEFT OUT","NEW")))</f>
        <v/>
      </c>
    </row>
    <row r="145" spans="47:47" x14ac:dyDescent="0.25">
      <c r="AU145" s="8" t="str">
        <f>IF(TRIM($G145)="","",IF(COUNTIF(LISTS!$I$2:$I$16,TRIM($G145))&gt;0,"COUNTED",IF(COUNTIF(LISTS!$J$2:$J$16,TRIM($G145))&gt;0,"LEFT OUT","NEW")))</f>
        <v/>
      </c>
    </row>
    <row r="146" spans="47:47" x14ac:dyDescent="0.25">
      <c r="AU146" s="8" t="str">
        <f>IF(TRIM($G146)="","",IF(COUNTIF(LISTS!$I$2:$I$16,TRIM($G146))&gt;0,"COUNTED",IF(COUNTIF(LISTS!$J$2:$J$16,TRIM($G146))&gt;0,"LEFT OUT","NEW")))</f>
        <v/>
      </c>
    </row>
    <row r="147" spans="47:47" x14ac:dyDescent="0.25">
      <c r="AU147" s="8" t="str">
        <f>IF(TRIM($G147)="","",IF(COUNTIF(LISTS!$I$2:$I$16,TRIM($G147))&gt;0,"COUNTED",IF(COUNTIF(LISTS!$J$2:$J$16,TRIM($G147))&gt;0,"LEFT OUT","NEW")))</f>
        <v/>
      </c>
    </row>
    <row r="148" spans="47:47" x14ac:dyDescent="0.25">
      <c r="AU148" s="8" t="str">
        <f>IF(TRIM($G148)="","",IF(COUNTIF(LISTS!$I$2:$I$16,TRIM($G148))&gt;0,"COUNTED",IF(COUNTIF(LISTS!$J$2:$J$16,TRIM($G148))&gt;0,"LEFT OUT","NEW")))</f>
        <v/>
      </c>
    </row>
    <row r="149" spans="47:47" x14ac:dyDescent="0.25">
      <c r="AU149" s="8" t="str">
        <f>IF(TRIM($G149)="","",IF(COUNTIF(LISTS!$I$2:$I$16,TRIM($G149))&gt;0,"COUNTED",IF(COUNTIF(LISTS!$J$2:$J$16,TRIM($G149))&gt;0,"LEFT OUT","NEW")))</f>
        <v/>
      </c>
    </row>
    <row r="150" spans="47:47" x14ac:dyDescent="0.25">
      <c r="AU150" s="8" t="str">
        <f>IF(TRIM($G150)="","",IF(COUNTIF(LISTS!$I$2:$I$16,TRIM($G150))&gt;0,"COUNTED",IF(COUNTIF(LISTS!$J$2:$J$16,TRIM($G150))&gt;0,"LEFT OUT","NEW")))</f>
        <v/>
      </c>
    </row>
    <row r="151" spans="47:47" x14ac:dyDescent="0.25">
      <c r="AU151" s="8" t="str">
        <f>IF(TRIM($G151)="","",IF(COUNTIF(LISTS!$I$2:$I$16,TRIM($G151))&gt;0,"COUNTED",IF(COUNTIF(LISTS!$J$2:$J$16,TRIM($G151))&gt;0,"LEFT OUT","NEW")))</f>
        <v/>
      </c>
    </row>
    <row r="152" spans="47:47" x14ac:dyDescent="0.25">
      <c r="AU152" s="8" t="str">
        <f>IF(TRIM($G152)="","",IF(COUNTIF(LISTS!$I$2:$I$16,TRIM($G152))&gt;0,"COUNTED",IF(COUNTIF(LISTS!$J$2:$J$16,TRIM($G152))&gt;0,"LEFT OUT","NEW")))</f>
        <v/>
      </c>
    </row>
    <row r="153" spans="47:47" x14ac:dyDescent="0.25">
      <c r="AU153" s="8" t="str">
        <f>IF(TRIM($G153)="","",IF(COUNTIF(LISTS!$I$2:$I$16,TRIM($G153))&gt;0,"COUNTED",IF(COUNTIF(LISTS!$J$2:$J$16,TRIM($G153))&gt;0,"LEFT OUT","NEW")))</f>
        <v/>
      </c>
    </row>
    <row r="154" spans="47:47" x14ac:dyDescent="0.25">
      <c r="AU154" s="8" t="str">
        <f>IF(TRIM($G154)="","",IF(COUNTIF(LISTS!$I$2:$I$16,TRIM($G154))&gt;0,"COUNTED",IF(COUNTIF(LISTS!$J$2:$J$16,TRIM($G154))&gt;0,"LEFT OUT","NEW")))</f>
        <v/>
      </c>
    </row>
    <row r="155" spans="47:47" x14ac:dyDescent="0.25">
      <c r="AU155" s="8" t="str">
        <f>IF(TRIM($G155)="","",IF(COUNTIF(LISTS!$I$2:$I$16,TRIM($G155))&gt;0,"COUNTED",IF(COUNTIF(LISTS!$J$2:$J$16,TRIM($G155))&gt;0,"LEFT OUT","NEW")))</f>
        <v/>
      </c>
    </row>
    <row r="156" spans="47:47" x14ac:dyDescent="0.25">
      <c r="AU156" s="8" t="str">
        <f>IF(TRIM($G156)="","",IF(COUNTIF(LISTS!$I$2:$I$16,TRIM($G156))&gt;0,"COUNTED",IF(COUNTIF(LISTS!$J$2:$J$16,TRIM($G156))&gt;0,"LEFT OUT","NEW")))</f>
        <v/>
      </c>
    </row>
    <row r="157" spans="47:47" x14ac:dyDescent="0.25">
      <c r="AU157" s="8" t="str">
        <f>IF(TRIM($G157)="","",IF(COUNTIF(LISTS!$I$2:$I$16,TRIM($G157))&gt;0,"COUNTED",IF(COUNTIF(LISTS!$J$2:$J$16,TRIM($G157))&gt;0,"LEFT OUT","NEW")))</f>
        <v/>
      </c>
    </row>
    <row r="158" spans="47:47" x14ac:dyDescent="0.25">
      <c r="AU158" s="8" t="str">
        <f>IF(TRIM($G158)="","",IF(COUNTIF(LISTS!$I$2:$I$16,TRIM($G158))&gt;0,"COUNTED",IF(COUNTIF(LISTS!$J$2:$J$16,TRIM($G158))&gt;0,"LEFT OUT","NEW")))</f>
        <v/>
      </c>
    </row>
    <row r="159" spans="47:47" x14ac:dyDescent="0.25">
      <c r="AU159" s="8" t="str">
        <f>IF(TRIM($G159)="","",IF(COUNTIF(LISTS!$I$2:$I$16,TRIM($G159))&gt;0,"COUNTED",IF(COUNTIF(LISTS!$J$2:$J$16,TRIM($G159))&gt;0,"LEFT OUT","NEW")))</f>
        <v/>
      </c>
    </row>
    <row r="160" spans="47:47" x14ac:dyDescent="0.25">
      <c r="AU160" s="8" t="str">
        <f>IF(TRIM($G160)="","",IF(COUNTIF(LISTS!$I$2:$I$16,TRIM($G160))&gt;0,"COUNTED",IF(COUNTIF(LISTS!$J$2:$J$16,TRIM($G160))&gt;0,"LEFT OUT","NEW")))</f>
        <v/>
      </c>
    </row>
    <row r="161" spans="47:47" x14ac:dyDescent="0.25">
      <c r="AU161" s="8" t="str">
        <f>IF(TRIM($G161)="","",IF(COUNTIF(LISTS!$I$2:$I$16,TRIM($G161))&gt;0,"COUNTED",IF(COUNTIF(LISTS!$J$2:$J$16,TRIM($G161))&gt;0,"LEFT OUT","NEW")))</f>
        <v/>
      </c>
    </row>
    <row r="162" spans="47:47" x14ac:dyDescent="0.25">
      <c r="AU162" s="8" t="str">
        <f>IF(TRIM($G162)="","",IF(COUNTIF(LISTS!$I$2:$I$16,TRIM($G162))&gt;0,"COUNTED",IF(COUNTIF(LISTS!$J$2:$J$16,TRIM($G162))&gt;0,"LEFT OUT","NEW")))</f>
        <v/>
      </c>
    </row>
    <row r="163" spans="47:47" x14ac:dyDescent="0.25">
      <c r="AU163" s="8" t="str">
        <f>IF(TRIM($G163)="","",IF(COUNTIF(LISTS!$I$2:$I$16,TRIM($G163))&gt;0,"COUNTED",IF(COUNTIF(LISTS!$J$2:$J$16,TRIM($G163))&gt;0,"LEFT OUT","NEW")))</f>
        <v/>
      </c>
    </row>
    <row r="164" spans="47:47" x14ac:dyDescent="0.25">
      <c r="AU164" s="8" t="str">
        <f>IF(TRIM($G164)="","",IF(COUNTIF(LISTS!$I$2:$I$16,TRIM($G164))&gt;0,"COUNTED",IF(COUNTIF(LISTS!$J$2:$J$16,TRIM($G164))&gt;0,"LEFT OUT","NEW")))</f>
        <v/>
      </c>
    </row>
    <row r="165" spans="47:47" x14ac:dyDescent="0.25">
      <c r="AU165" s="8" t="str">
        <f>IF(TRIM($G165)="","",IF(COUNTIF(LISTS!$I$2:$I$16,TRIM($G165))&gt;0,"COUNTED",IF(COUNTIF(LISTS!$J$2:$J$16,TRIM($G165))&gt;0,"LEFT OUT","NEW")))</f>
        <v/>
      </c>
    </row>
    <row r="166" spans="47:47" x14ac:dyDescent="0.25">
      <c r="AU166" s="8" t="str">
        <f>IF(TRIM($G166)="","",IF(COUNTIF(LISTS!$I$2:$I$16,TRIM($G166))&gt;0,"COUNTED",IF(COUNTIF(LISTS!$J$2:$J$16,TRIM($G166))&gt;0,"LEFT OUT","NEW")))</f>
        <v/>
      </c>
    </row>
    <row r="167" spans="47:47" x14ac:dyDescent="0.25">
      <c r="AU167" s="8" t="str">
        <f>IF(TRIM($G167)="","",IF(COUNTIF(LISTS!$I$2:$I$16,TRIM($G167))&gt;0,"COUNTED",IF(COUNTIF(LISTS!$J$2:$J$16,TRIM($G167))&gt;0,"LEFT OUT","NEW")))</f>
        <v/>
      </c>
    </row>
    <row r="168" spans="47:47" x14ac:dyDescent="0.25">
      <c r="AU168" s="8" t="str">
        <f>IF(TRIM($G168)="","",IF(COUNTIF(LISTS!$I$2:$I$16,TRIM($G168))&gt;0,"COUNTED",IF(COUNTIF(LISTS!$J$2:$J$16,TRIM($G168))&gt;0,"LEFT OUT","NEW")))</f>
        <v/>
      </c>
    </row>
    <row r="169" spans="47:47" x14ac:dyDescent="0.25">
      <c r="AU169" s="8" t="str">
        <f>IF(TRIM($G169)="","",IF(COUNTIF(LISTS!$I$2:$I$16,TRIM($G169))&gt;0,"COUNTED",IF(COUNTIF(LISTS!$J$2:$J$16,TRIM($G169))&gt;0,"LEFT OUT","NEW")))</f>
        <v/>
      </c>
    </row>
    <row r="170" spans="47:47" x14ac:dyDescent="0.25">
      <c r="AU170" s="8" t="str">
        <f>IF(TRIM($G170)="","",IF(COUNTIF(LISTS!$I$2:$I$16,TRIM($G170))&gt;0,"COUNTED",IF(COUNTIF(LISTS!$J$2:$J$16,TRIM($G170))&gt;0,"LEFT OUT","NEW")))</f>
        <v/>
      </c>
    </row>
    <row r="171" spans="47:47" x14ac:dyDescent="0.25">
      <c r="AU171" s="8" t="str">
        <f>IF(TRIM($G171)="","",IF(COUNTIF(LISTS!$I$2:$I$16,TRIM($G171))&gt;0,"COUNTED",IF(COUNTIF(LISTS!$J$2:$J$16,TRIM($G171))&gt;0,"LEFT OUT","NEW")))</f>
        <v/>
      </c>
    </row>
    <row r="172" spans="47:47" x14ac:dyDescent="0.25">
      <c r="AU172" s="8" t="str">
        <f>IF(TRIM($G172)="","",IF(COUNTIF(LISTS!$I$2:$I$16,TRIM($G172))&gt;0,"COUNTED",IF(COUNTIF(LISTS!$J$2:$J$16,TRIM($G172))&gt;0,"LEFT OUT","NEW")))</f>
        <v/>
      </c>
    </row>
    <row r="173" spans="47:47" x14ac:dyDescent="0.25">
      <c r="AU173" s="8" t="str">
        <f>IF(TRIM($G173)="","",IF(COUNTIF(LISTS!$I$2:$I$16,TRIM($G173))&gt;0,"COUNTED",IF(COUNTIF(LISTS!$J$2:$J$16,TRIM($G173))&gt;0,"LEFT OUT","NEW")))</f>
        <v/>
      </c>
    </row>
    <row r="174" spans="47:47" x14ac:dyDescent="0.25">
      <c r="AU174" s="8" t="str">
        <f>IF(TRIM($G174)="","",IF(COUNTIF(LISTS!$I$2:$I$16,TRIM($G174))&gt;0,"COUNTED",IF(COUNTIF(LISTS!$J$2:$J$16,TRIM($G174))&gt;0,"LEFT OUT","NEW")))</f>
        <v/>
      </c>
    </row>
    <row r="175" spans="47:47" x14ac:dyDescent="0.25">
      <c r="AU175" s="8" t="str">
        <f>IF(TRIM($G175)="","",IF(COUNTIF(LISTS!$I$2:$I$16,TRIM($G175))&gt;0,"COUNTED",IF(COUNTIF(LISTS!$J$2:$J$16,TRIM($G175))&gt;0,"LEFT OUT","NEW")))</f>
        <v/>
      </c>
    </row>
    <row r="176" spans="47:47" x14ac:dyDescent="0.25">
      <c r="AU176" s="8" t="str">
        <f>IF(TRIM($G176)="","",IF(COUNTIF(LISTS!$I$2:$I$16,TRIM($G176))&gt;0,"COUNTED",IF(COUNTIF(LISTS!$J$2:$J$16,TRIM($G176))&gt;0,"LEFT OUT","NEW")))</f>
        <v/>
      </c>
    </row>
    <row r="177" spans="47:47" x14ac:dyDescent="0.25">
      <c r="AU177" s="8" t="str">
        <f>IF(TRIM($G177)="","",IF(COUNTIF(LISTS!$I$2:$I$16,TRIM($G177))&gt;0,"COUNTED",IF(COUNTIF(LISTS!$J$2:$J$16,TRIM($G177))&gt;0,"LEFT OUT","NEW")))</f>
        <v/>
      </c>
    </row>
    <row r="178" spans="47:47" x14ac:dyDescent="0.25">
      <c r="AU178" s="8" t="str">
        <f>IF(TRIM($G178)="","",IF(COUNTIF(LISTS!$I$2:$I$16,TRIM($G178))&gt;0,"COUNTED",IF(COUNTIF(LISTS!$J$2:$J$16,TRIM($G178))&gt;0,"LEFT OUT","NEW")))</f>
        <v/>
      </c>
    </row>
    <row r="179" spans="47:47" x14ac:dyDescent="0.25">
      <c r="AU179" s="8" t="str">
        <f>IF(TRIM($G179)="","",IF(COUNTIF(LISTS!$I$2:$I$16,TRIM($G179))&gt;0,"COUNTED",IF(COUNTIF(LISTS!$J$2:$J$16,TRIM($G179))&gt;0,"LEFT OUT","NEW")))</f>
        <v/>
      </c>
    </row>
    <row r="180" spans="47:47" x14ac:dyDescent="0.25">
      <c r="AU180" s="8" t="str">
        <f>IF(TRIM($G180)="","",IF(COUNTIF(LISTS!$I$2:$I$16,TRIM($G180))&gt;0,"COUNTED",IF(COUNTIF(LISTS!$J$2:$J$16,TRIM($G180))&gt;0,"LEFT OUT","NEW")))</f>
        <v/>
      </c>
    </row>
    <row r="181" spans="47:47" x14ac:dyDescent="0.25">
      <c r="AU181" s="8" t="str">
        <f>IF(TRIM($G181)="","",IF(COUNTIF(LISTS!$I$2:$I$16,TRIM($G181))&gt;0,"COUNTED",IF(COUNTIF(LISTS!$J$2:$J$16,TRIM($G181))&gt;0,"LEFT OUT","NEW")))</f>
        <v/>
      </c>
    </row>
    <row r="182" spans="47:47" x14ac:dyDescent="0.25">
      <c r="AU182" s="8" t="str">
        <f>IF(TRIM($G182)="","",IF(COUNTIF(LISTS!$I$2:$I$16,TRIM($G182))&gt;0,"COUNTED",IF(COUNTIF(LISTS!$J$2:$J$16,TRIM($G182))&gt;0,"LEFT OUT","NEW")))</f>
        <v/>
      </c>
    </row>
    <row r="183" spans="47:47" x14ac:dyDescent="0.25">
      <c r="AU183" s="8" t="str">
        <f>IF(TRIM($G183)="","",IF(COUNTIF(LISTS!$I$2:$I$16,TRIM($G183))&gt;0,"COUNTED",IF(COUNTIF(LISTS!$J$2:$J$16,TRIM($G183))&gt;0,"LEFT OUT","NEW")))</f>
        <v/>
      </c>
    </row>
    <row r="184" spans="47:47" x14ac:dyDescent="0.25">
      <c r="AU184" s="8" t="str">
        <f>IF(TRIM($G184)="","",IF(COUNTIF(LISTS!$I$2:$I$16,TRIM($G184))&gt;0,"COUNTED",IF(COUNTIF(LISTS!$J$2:$J$16,TRIM($G184))&gt;0,"LEFT OUT","NEW")))</f>
        <v/>
      </c>
    </row>
    <row r="185" spans="47:47" x14ac:dyDescent="0.25">
      <c r="AU185" s="8" t="str">
        <f>IF(TRIM($G185)="","",IF(COUNTIF(LISTS!$I$2:$I$16,TRIM($G185))&gt;0,"COUNTED",IF(COUNTIF(LISTS!$J$2:$J$16,TRIM($G185))&gt;0,"LEFT OUT","NEW")))</f>
        <v/>
      </c>
    </row>
    <row r="186" spans="47:47" x14ac:dyDescent="0.25">
      <c r="AU186" s="8" t="str">
        <f>IF(TRIM($G186)="","",IF(COUNTIF(LISTS!$I$2:$I$16,TRIM($G186))&gt;0,"COUNTED",IF(COUNTIF(LISTS!$J$2:$J$16,TRIM($G186))&gt;0,"LEFT OUT","NEW")))</f>
        <v/>
      </c>
    </row>
    <row r="187" spans="47:47" x14ac:dyDescent="0.25">
      <c r="AU187" s="8" t="str">
        <f>IF(TRIM($G187)="","",IF(COUNTIF(LISTS!$I$2:$I$16,TRIM($G187))&gt;0,"COUNTED",IF(COUNTIF(LISTS!$J$2:$J$16,TRIM($G187))&gt;0,"LEFT OUT","NEW")))</f>
        <v/>
      </c>
    </row>
    <row r="188" spans="47:47" x14ac:dyDescent="0.25">
      <c r="AU188" s="8" t="str">
        <f>IF(TRIM($G188)="","",IF(COUNTIF(LISTS!$I$2:$I$16,TRIM($G188))&gt;0,"COUNTED",IF(COUNTIF(LISTS!$J$2:$J$16,TRIM($G188))&gt;0,"LEFT OUT","NEW")))</f>
        <v/>
      </c>
    </row>
    <row r="189" spans="47:47" x14ac:dyDescent="0.25">
      <c r="AU189" s="8" t="str">
        <f>IF(TRIM($G189)="","",IF(COUNTIF(LISTS!$I$2:$I$16,TRIM($G189))&gt;0,"COUNTED",IF(COUNTIF(LISTS!$J$2:$J$16,TRIM($G189))&gt;0,"LEFT OUT","NEW")))</f>
        <v/>
      </c>
    </row>
    <row r="190" spans="47:47" x14ac:dyDescent="0.25">
      <c r="AU190" s="8" t="str">
        <f>IF(TRIM($G190)="","",IF(COUNTIF(LISTS!$I$2:$I$16,TRIM($G190))&gt;0,"COUNTED",IF(COUNTIF(LISTS!$J$2:$J$16,TRIM($G190))&gt;0,"LEFT OUT","NEW")))</f>
        <v/>
      </c>
    </row>
    <row r="191" spans="47:47" x14ac:dyDescent="0.25">
      <c r="AU191" s="8" t="str">
        <f>IF(TRIM($G191)="","",IF(COUNTIF(LISTS!$I$2:$I$16,TRIM($G191))&gt;0,"COUNTED",IF(COUNTIF(LISTS!$J$2:$J$16,TRIM($G191))&gt;0,"LEFT OUT","NEW")))</f>
        <v/>
      </c>
    </row>
    <row r="192" spans="47:47" x14ac:dyDescent="0.25">
      <c r="AU192" s="8" t="str">
        <f>IF(TRIM($G192)="","",IF(COUNTIF(LISTS!$I$2:$I$16,TRIM($G192))&gt;0,"COUNTED",IF(COUNTIF(LISTS!$J$2:$J$16,TRIM($G192))&gt;0,"LEFT OUT","NEW")))</f>
        <v/>
      </c>
    </row>
    <row r="193" spans="47:47" x14ac:dyDescent="0.25">
      <c r="AU193" s="8" t="str">
        <f>IF(TRIM($G193)="","",IF(COUNTIF(LISTS!$I$2:$I$16,TRIM($G193))&gt;0,"COUNTED",IF(COUNTIF(LISTS!$J$2:$J$16,TRIM($G193))&gt;0,"LEFT OUT","NEW")))</f>
        <v/>
      </c>
    </row>
    <row r="194" spans="47:47" x14ac:dyDescent="0.25">
      <c r="AU194" s="8" t="str">
        <f>IF(TRIM($G194)="","",IF(COUNTIF(LISTS!$I$2:$I$16,TRIM($G194))&gt;0,"COUNTED",IF(COUNTIF(LISTS!$J$2:$J$16,TRIM($G194))&gt;0,"LEFT OUT","NEW")))</f>
        <v/>
      </c>
    </row>
    <row r="195" spans="47:47" x14ac:dyDescent="0.25">
      <c r="AU195" s="8" t="str">
        <f>IF(TRIM($G195)="","",IF(COUNTIF(LISTS!$I$2:$I$16,TRIM($G195))&gt;0,"COUNTED",IF(COUNTIF(LISTS!$J$2:$J$16,TRIM($G195))&gt;0,"LEFT OUT","NEW")))</f>
        <v/>
      </c>
    </row>
    <row r="196" spans="47:47" x14ac:dyDescent="0.25">
      <c r="AU196" s="8" t="str">
        <f>IF(TRIM($G196)="","",IF(COUNTIF(LISTS!$I$2:$I$16,TRIM($G196))&gt;0,"COUNTED",IF(COUNTIF(LISTS!$J$2:$J$16,TRIM($G196))&gt;0,"LEFT OUT","NEW")))</f>
        <v/>
      </c>
    </row>
    <row r="197" spans="47:47" x14ac:dyDescent="0.25">
      <c r="AU197" s="8" t="str">
        <f>IF(TRIM($G197)="","",IF(COUNTIF(LISTS!$I$2:$I$16,TRIM($G197))&gt;0,"COUNTED",IF(COUNTIF(LISTS!$J$2:$J$16,TRIM($G197))&gt;0,"LEFT OUT","NEW")))</f>
        <v/>
      </c>
    </row>
    <row r="198" spans="47:47" x14ac:dyDescent="0.25">
      <c r="AU198" s="8" t="str">
        <f>IF(TRIM($G198)="","",IF(COUNTIF(LISTS!$I$2:$I$16,TRIM($G198))&gt;0,"COUNTED",IF(COUNTIF(LISTS!$J$2:$J$16,TRIM($G198))&gt;0,"LEFT OUT","NEW")))</f>
        <v/>
      </c>
    </row>
    <row r="199" spans="47:47" x14ac:dyDescent="0.25">
      <c r="AU199" s="8" t="str">
        <f>IF(TRIM($G199)="","",IF(COUNTIF(LISTS!$I$2:$I$16,TRIM($G199))&gt;0,"COUNTED",IF(COUNTIF(LISTS!$J$2:$J$16,TRIM($G199))&gt;0,"LEFT OUT","NEW")))</f>
        <v/>
      </c>
    </row>
    <row r="200" spans="47:47" x14ac:dyDescent="0.25">
      <c r="AU200" s="8" t="str">
        <f>IF(TRIM($G200)="","",IF(COUNTIF(LISTS!$I$2:$I$16,TRIM($G200))&gt;0,"COUNTED",IF(COUNTIF(LISTS!$J$2:$J$16,TRIM($G200))&gt;0,"LEFT OUT","NEW")))</f>
        <v/>
      </c>
    </row>
    <row r="201" spans="47:47" x14ac:dyDescent="0.25">
      <c r="AU201" s="8" t="str">
        <f>IF(TRIM($G201)="","",IF(COUNTIF(LISTS!$I$2:$I$16,TRIM($G201))&gt;0,"COUNTED",IF(COUNTIF(LISTS!$J$2:$J$16,TRIM($G201))&gt;0,"LEFT OUT","NEW")))</f>
        <v/>
      </c>
    </row>
    <row r="202" spans="47:47" x14ac:dyDescent="0.25">
      <c r="AU202" s="8" t="str">
        <f>IF(TRIM($G202)="","",IF(COUNTIF(LISTS!$I$2:$I$16,TRIM($G202))&gt;0,"COUNTED",IF(COUNTIF(LISTS!$J$2:$J$16,TRIM($G202))&gt;0,"LEFT OUT","NEW")))</f>
        <v/>
      </c>
    </row>
    <row r="203" spans="47:47" x14ac:dyDescent="0.25">
      <c r="AU203" s="8" t="str">
        <f>IF(TRIM($G203)="","",IF(COUNTIF(LISTS!$I$2:$I$16,TRIM($G203))&gt;0,"COUNTED",IF(COUNTIF(LISTS!$J$2:$J$16,TRIM($G203))&gt;0,"LEFT OUT","NEW")))</f>
        <v/>
      </c>
    </row>
    <row r="204" spans="47:47" x14ac:dyDescent="0.25">
      <c r="AU204" s="8" t="str">
        <f>IF(TRIM($G204)="","",IF(COUNTIF(LISTS!$I$2:$I$16,TRIM($G204))&gt;0,"COUNTED",IF(COUNTIF(LISTS!$J$2:$J$16,TRIM($G204))&gt;0,"LEFT OUT","NEW")))</f>
        <v/>
      </c>
    </row>
    <row r="205" spans="47:47" x14ac:dyDescent="0.25">
      <c r="AU205" s="8" t="str">
        <f>IF(TRIM($G205)="","",IF(COUNTIF(LISTS!$I$2:$I$16,TRIM($G205))&gt;0,"COUNTED",IF(COUNTIF(LISTS!$J$2:$J$16,TRIM($G205))&gt;0,"LEFT OUT","NEW")))</f>
        <v/>
      </c>
    </row>
    <row r="206" spans="47:47" x14ac:dyDescent="0.25">
      <c r="AU206" s="8" t="str">
        <f>IF(TRIM($G206)="","",IF(COUNTIF(LISTS!$I$2:$I$16,TRIM($G206))&gt;0,"COUNTED",IF(COUNTIF(LISTS!$J$2:$J$16,TRIM($G206))&gt;0,"LEFT OUT","NEW")))</f>
        <v/>
      </c>
    </row>
    <row r="207" spans="47:47" x14ac:dyDescent="0.25">
      <c r="AU207" s="8" t="str">
        <f>IF(TRIM($G207)="","",IF(COUNTIF(LISTS!$I$2:$I$16,TRIM($G207))&gt;0,"COUNTED",IF(COUNTIF(LISTS!$J$2:$J$16,TRIM($G207))&gt;0,"LEFT OUT","NEW")))</f>
        <v/>
      </c>
    </row>
    <row r="208" spans="47:47" x14ac:dyDescent="0.25">
      <c r="AU208" s="8" t="str">
        <f>IF(TRIM($G208)="","",IF(COUNTIF(LISTS!$I$2:$I$16,TRIM($G208))&gt;0,"COUNTED",IF(COUNTIF(LISTS!$J$2:$J$16,TRIM($G208))&gt;0,"LEFT OUT","NEW")))</f>
        <v/>
      </c>
    </row>
    <row r="209" spans="47:47" x14ac:dyDescent="0.25">
      <c r="AU209" s="8" t="str">
        <f>IF(TRIM($G209)="","",IF(COUNTIF(LISTS!$I$2:$I$16,TRIM($G209))&gt;0,"COUNTED",IF(COUNTIF(LISTS!$J$2:$J$16,TRIM($G209))&gt;0,"LEFT OUT","NEW")))</f>
        <v/>
      </c>
    </row>
    <row r="210" spans="47:47" x14ac:dyDescent="0.25">
      <c r="AU210" s="8" t="str">
        <f>IF(TRIM($G210)="","",IF(COUNTIF(LISTS!$I$2:$I$16,TRIM($G210))&gt;0,"COUNTED",IF(COUNTIF(LISTS!$J$2:$J$16,TRIM($G210))&gt;0,"LEFT OUT","NEW")))</f>
        <v/>
      </c>
    </row>
    <row r="211" spans="47:47" x14ac:dyDescent="0.25">
      <c r="AU211" s="8" t="str">
        <f>IF(TRIM($G211)="","",IF(COUNTIF(LISTS!$I$2:$I$16,TRIM($G211))&gt;0,"COUNTED",IF(COUNTIF(LISTS!$J$2:$J$16,TRIM($G211))&gt;0,"LEFT OUT","NEW")))</f>
        <v/>
      </c>
    </row>
    <row r="212" spans="47:47" x14ac:dyDescent="0.25">
      <c r="AU212" s="8" t="str">
        <f>IF(TRIM($G212)="","",IF(COUNTIF(LISTS!$I$2:$I$16,TRIM($G212))&gt;0,"COUNTED",IF(COUNTIF(LISTS!$J$2:$J$16,TRIM($G212))&gt;0,"LEFT OUT","NEW")))</f>
        <v/>
      </c>
    </row>
    <row r="213" spans="47:47" x14ac:dyDescent="0.25">
      <c r="AU213" s="8" t="str">
        <f>IF(TRIM($G213)="","",IF(COUNTIF(LISTS!$I$2:$I$16,TRIM($G213))&gt;0,"COUNTED",IF(COUNTIF(LISTS!$J$2:$J$16,TRIM($G213))&gt;0,"LEFT OUT","NEW")))</f>
        <v/>
      </c>
    </row>
    <row r="214" spans="47:47" x14ac:dyDescent="0.25">
      <c r="AU214" s="8" t="str">
        <f>IF(TRIM($G214)="","",IF(COUNTIF(LISTS!$I$2:$I$16,TRIM($G214))&gt;0,"COUNTED",IF(COUNTIF(LISTS!$J$2:$J$16,TRIM($G214))&gt;0,"LEFT OUT","NEW")))</f>
        <v/>
      </c>
    </row>
    <row r="215" spans="47:47" x14ac:dyDescent="0.25">
      <c r="AU215" s="8" t="str">
        <f>IF(TRIM($G215)="","",IF(COUNTIF(LISTS!$I$2:$I$16,TRIM($G215))&gt;0,"COUNTED",IF(COUNTIF(LISTS!$J$2:$J$16,TRIM($G215))&gt;0,"LEFT OUT","NEW")))</f>
        <v/>
      </c>
    </row>
    <row r="216" spans="47:47" x14ac:dyDescent="0.25">
      <c r="AU216" s="8" t="str">
        <f>IF(TRIM($G216)="","",IF(COUNTIF(LISTS!$I$2:$I$16,TRIM($G216))&gt;0,"COUNTED",IF(COUNTIF(LISTS!$J$2:$J$16,TRIM($G216))&gt;0,"LEFT OUT","NEW")))</f>
        <v/>
      </c>
    </row>
    <row r="217" spans="47:47" x14ac:dyDescent="0.25">
      <c r="AU217" s="8" t="str">
        <f>IF(TRIM($G217)="","",IF(COUNTIF(LISTS!$I$2:$I$16,TRIM($G217))&gt;0,"COUNTED",IF(COUNTIF(LISTS!$J$2:$J$16,TRIM($G217))&gt;0,"LEFT OUT","NEW")))</f>
        <v/>
      </c>
    </row>
    <row r="218" spans="47:47" x14ac:dyDescent="0.25">
      <c r="AU218" s="8" t="str">
        <f>IF(TRIM($G218)="","",IF(COUNTIF(LISTS!$I$2:$I$16,TRIM($G218))&gt;0,"COUNTED",IF(COUNTIF(LISTS!$J$2:$J$16,TRIM($G218))&gt;0,"LEFT OUT","NEW")))</f>
        <v/>
      </c>
    </row>
    <row r="219" spans="47:47" x14ac:dyDescent="0.25">
      <c r="AU219" s="8" t="str">
        <f>IF(TRIM($G219)="","",IF(COUNTIF(LISTS!$I$2:$I$16,TRIM($G219))&gt;0,"COUNTED",IF(COUNTIF(LISTS!$J$2:$J$16,TRIM($G219))&gt;0,"LEFT OUT","NEW")))</f>
        <v/>
      </c>
    </row>
    <row r="220" spans="47:47" x14ac:dyDescent="0.25">
      <c r="AU220" s="8" t="str">
        <f>IF(TRIM($G220)="","",IF(COUNTIF(LISTS!$I$2:$I$16,TRIM($G220))&gt;0,"COUNTED",IF(COUNTIF(LISTS!$J$2:$J$16,TRIM($G220))&gt;0,"LEFT OUT","NEW")))</f>
        <v/>
      </c>
    </row>
    <row r="221" spans="47:47" x14ac:dyDescent="0.25">
      <c r="AU221" s="8" t="str">
        <f>IF(TRIM($G221)="","",IF(COUNTIF(LISTS!$I$2:$I$16,TRIM($G221))&gt;0,"COUNTED",IF(COUNTIF(LISTS!$J$2:$J$16,TRIM($G221))&gt;0,"LEFT OUT","NEW")))</f>
        <v/>
      </c>
    </row>
    <row r="222" spans="47:47" x14ac:dyDescent="0.25">
      <c r="AU222" s="8" t="str">
        <f>IF(TRIM($G222)="","",IF(COUNTIF(LISTS!$I$2:$I$16,TRIM($G222))&gt;0,"COUNTED",IF(COUNTIF(LISTS!$J$2:$J$16,TRIM($G222))&gt;0,"LEFT OUT","NEW")))</f>
        <v/>
      </c>
    </row>
    <row r="223" spans="47:47" x14ac:dyDescent="0.25">
      <c r="AU223" s="8" t="str">
        <f>IF(TRIM($G223)="","",IF(COUNTIF(LISTS!$I$2:$I$16,TRIM($G223))&gt;0,"COUNTED",IF(COUNTIF(LISTS!$J$2:$J$16,TRIM($G223))&gt;0,"LEFT OUT","NEW")))</f>
        <v/>
      </c>
    </row>
    <row r="224" spans="47:47" x14ac:dyDescent="0.25">
      <c r="AU224" s="8" t="str">
        <f>IF(TRIM($G224)="","",IF(COUNTIF(LISTS!$I$2:$I$16,TRIM($G224))&gt;0,"COUNTED",IF(COUNTIF(LISTS!$J$2:$J$16,TRIM($G224))&gt;0,"LEFT OUT","NEW")))</f>
        <v/>
      </c>
    </row>
    <row r="225" spans="47:47" x14ac:dyDescent="0.25">
      <c r="AU225" s="8" t="str">
        <f>IF(TRIM($G225)="","",IF(COUNTIF(LISTS!$I$2:$I$16,TRIM($G225))&gt;0,"COUNTED",IF(COUNTIF(LISTS!$J$2:$J$16,TRIM($G225))&gt;0,"LEFT OUT","NEW")))</f>
        <v/>
      </c>
    </row>
    <row r="226" spans="47:47" x14ac:dyDescent="0.25">
      <c r="AU226" s="8" t="str">
        <f>IF(TRIM($G226)="","",IF(COUNTIF(LISTS!$I$2:$I$16,TRIM($G226))&gt;0,"COUNTED",IF(COUNTIF(LISTS!$J$2:$J$16,TRIM($G226))&gt;0,"LEFT OUT","NEW")))</f>
        <v/>
      </c>
    </row>
    <row r="227" spans="47:47" x14ac:dyDescent="0.25">
      <c r="AU227" s="8" t="str">
        <f>IF(TRIM($G227)="","",IF(COUNTIF(LISTS!$I$2:$I$16,TRIM($G227))&gt;0,"COUNTED",IF(COUNTIF(LISTS!$J$2:$J$16,TRIM($G227))&gt;0,"LEFT OUT","NEW")))</f>
        <v/>
      </c>
    </row>
    <row r="228" spans="47:47" x14ac:dyDescent="0.25">
      <c r="AU228" s="8" t="str">
        <f>IF(TRIM($G228)="","",IF(COUNTIF(LISTS!$I$2:$I$16,TRIM($G228))&gt;0,"COUNTED",IF(COUNTIF(LISTS!$J$2:$J$16,TRIM($G228))&gt;0,"LEFT OUT","NEW")))</f>
        <v/>
      </c>
    </row>
    <row r="229" spans="47:47" x14ac:dyDescent="0.25">
      <c r="AU229" s="8" t="str">
        <f>IF(TRIM($G229)="","",IF(COUNTIF(LISTS!$I$2:$I$16,TRIM($G229))&gt;0,"COUNTED",IF(COUNTIF(LISTS!$J$2:$J$16,TRIM($G229))&gt;0,"LEFT OUT","NEW")))</f>
        <v/>
      </c>
    </row>
    <row r="230" spans="47:47" x14ac:dyDescent="0.25">
      <c r="AU230" s="8" t="str">
        <f>IF(TRIM($G230)="","",IF(COUNTIF(LISTS!$I$2:$I$16,TRIM($G230))&gt;0,"COUNTED",IF(COUNTIF(LISTS!$J$2:$J$16,TRIM($G230))&gt;0,"LEFT OUT","NEW")))</f>
        <v/>
      </c>
    </row>
    <row r="231" spans="47:47" x14ac:dyDescent="0.25">
      <c r="AU231" s="8" t="str">
        <f>IF(TRIM($G231)="","",IF(COUNTIF(LISTS!$I$2:$I$16,TRIM($G231))&gt;0,"COUNTED",IF(COUNTIF(LISTS!$J$2:$J$16,TRIM($G231))&gt;0,"LEFT OUT","NEW")))</f>
        <v/>
      </c>
    </row>
    <row r="232" spans="47:47" x14ac:dyDescent="0.25">
      <c r="AU232" s="8" t="str">
        <f>IF(TRIM($G232)="","",IF(COUNTIF(LISTS!$I$2:$I$16,TRIM($G232))&gt;0,"COUNTED",IF(COUNTIF(LISTS!$J$2:$J$16,TRIM($G232))&gt;0,"LEFT OUT","NEW")))</f>
        <v/>
      </c>
    </row>
    <row r="233" spans="47:47" x14ac:dyDescent="0.25">
      <c r="AU233" s="8" t="str">
        <f>IF(TRIM($G233)="","",IF(COUNTIF(LISTS!$I$2:$I$16,TRIM($G233))&gt;0,"COUNTED",IF(COUNTIF(LISTS!$J$2:$J$16,TRIM($G233))&gt;0,"LEFT OUT","NEW")))</f>
        <v/>
      </c>
    </row>
    <row r="234" spans="47:47" x14ac:dyDescent="0.25">
      <c r="AU234" s="8" t="str">
        <f>IF(TRIM($G234)="","",IF(COUNTIF(LISTS!$I$2:$I$16,TRIM($G234))&gt;0,"COUNTED",IF(COUNTIF(LISTS!$J$2:$J$16,TRIM($G234))&gt;0,"LEFT OUT","NEW")))</f>
        <v/>
      </c>
    </row>
    <row r="235" spans="47:47" x14ac:dyDescent="0.25">
      <c r="AU235" s="8" t="str">
        <f>IF(TRIM($G235)="","",IF(COUNTIF(LISTS!$I$2:$I$16,TRIM($G235))&gt;0,"COUNTED",IF(COUNTIF(LISTS!$J$2:$J$16,TRIM($G235))&gt;0,"LEFT OUT","NEW")))</f>
        <v/>
      </c>
    </row>
    <row r="236" spans="47:47" x14ac:dyDescent="0.25">
      <c r="AU236" s="8" t="str">
        <f>IF(TRIM($G236)="","",IF(COUNTIF(LISTS!$I$2:$I$16,TRIM($G236))&gt;0,"COUNTED",IF(COUNTIF(LISTS!$J$2:$J$16,TRIM($G236))&gt;0,"LEFT OUT","NEW")))</f>
        <v/>
      </c>
    </row>
    <row r="237" spans="47:47" x14ac:dyDescent="0.25">
      <c r="AU237" s="8" t="str">
        <f>IF(TRIM($G237)="","",IF(COUNTIF(LISTS!$I$2:$I$16,TRIM($G237))&gt;0,"COUNTED",IF(COUNTIF(LISTS!$J$2:$J$16,TRIM($G237))&gt;0,"LEFT OUT","NEW")))</f>
        <v/>
      </c>
    </row>
    <row r="238" spans="47:47" x14ac:dyDescent="0.25">
      <c r="AU238" s="8" t="str">
        <f>IF(TRIM($G238)="","",IF(COUNTIF(LISTS!$I$2:$I$16,TRIM($G238))&gt;0,"COUNTED",IF(COUNTIF(LISTS!$J$2:$J$16,TRIM($G238))&gt;0,"LEFT OUT","NEW")))</f>
        <v/>
      </c>
    </row>
    <row r="239" spans="47:47" x14ac:dyDescent="0.25">
      <c r="AU239" s="8" t="str">
        <f>IF(TRIM($G239)="","",IF(COUNTIF(LISTS!$I$2:$I$16,TRIM($G239))&gt;0,"COUNTED",IF(COUNTIF(LISTS!$J$2:$J$16,TRIM($G239))&gt;0,"LEFT OUT","NEW")))</f>
        <v/>
      </c>
    </row>
    <row r="240" spans="47:47" x14ac:dyDescent="0.25">
      <c r="AU240" s="8" t="str">
        <f>IF(TRIM($G240)="","",IF(COUNTIF(LISTS!$I$2:$I$16,TRIM($G240))&gt;0,"COUNTED",IF(COUNTIF(LISTS!$J$2:$J$16,TRIM($G240))&gt;0,"LEFT OUT","NEW")))</f>
        <v/>
      </c>
    </row>
    <row r="241" spans="47:47" x14ac:dyDescent="0.25">
      <c r="AU241" s="8" t="str">
        <f>IF(TRIM($G241)="","",IF(COUNTIF(LISTS!$I$2:$I$16,TRIM($G241))&gt;0,"COUNTED",IF(COUNTIF(LISTS!$J$2:$J$16,TRIM($G241))&gt;0,"LEFT OUT","NEW")))</f>
        <v/>
      </c>
    </row>
    <row r="242" spans="47:47" x14ac:dyDescent="0.25">
      <c r="AU242" s="8" t="str">
        <f>IF(TRIM($G242)="","",IF(COUNTIF(LISTS!$I$2:$I$16,TRIM($G242))&gt;0,"COUNTED",IF(COUNTIF(LISTS!$J$2:$J$16,TRIM($G242))&gt;0,"LEFT OUT","NEW")))</f>
        <v/>
      </c>
    </row>
    <row r="243" spans="47:47" x14ac:dyDescent="0.25">
      <c r="AU243" s="8" t="str">
        <f>IF(TRIM($G243)="","",IF(COUNTIF(LISTS!$I$2:$I$16,TRIM($G243))&gt;0,"COUNTED",IF(COUNTIF(LISTS!$J$2:$J$16,TRIM($G243))&gt;0,"LEFT OUT","NEW")))</f>
        <v/>
      </c>
    </row>
    <row r="244" spans="47:47" x14ac:dyDescent="0.25">
      <c r="AU244" s="8" t="str">
        <f>IF(TRIM($G244)="","",IF(COUNTIF(LISTS!$I$2:$I$16,TRIM($G244))&gt;0,"COUNTED",IF(COUNTIF(LISTS!$J$2:$J$16,TRIM($G244))&gt;0,"LEFT OUT","NEW")))</f>
        <v/>
      </c>
    </row>
    <row r="245" spans="47:47" x14ac:dyDescent="0.25">
      <c r="AU245" s="8" t="str">
        <f>IF(TRIM($G245)="","",IF(COUNTIF(LISTS!$I$2:$I$16,TRIM($G245))&gt;0,"COUNTED",IF(COUNTIF(LISTS!$J$2:$J$16,TRIM($G245))&gt;0,"LEFT OUT","NEW")))</f>
        <v/>
      </c>
    </row>
    <row r="246" spans="47:47" x14ac:dyDescent="0.25">
      <c r="AU246" s="8" t="str">
        <f>IF(TRIM($G246)="","",IF(COUNTIF(LISTS!$I$2:$I$16,TRIM($G246))&gt;0,"COUNTED",IF(COUNTIF(LISTS!$J$2:$J$16,TRIM($G246))&gt;0,"LEFT OUT","NEW")))</f>
        <v/>
      </c>
    </row>
    <row r="247" spans="47:47" x14ac:dyDescent="0.25">
      <c r="AU247" s="8" t="str">
        <f>IF(TRIM($G247)="","",IF(COUNTIF(LISTS!$I$2:$I$16,TRIM($G247))&gt;0,"COUNTED",IF(COUNTIF(LISTS!$J$2:$J$16,TRIM($G247))&gt;0,"LEFT OUT","NEW")))</f>
        <v/>
      </c>
    </row>
    <row r="248" spans="47:47" x14ac:dyDescent="0.25">
      <c r="AU248" s="8" t="str">
        <f>IF(TRIM($G248)="","",IF(COUNTIF(LISTS!$I$2:$I$16,TRIM($G248))&gt;0,"COUNTED",IF(COUNTIF(LISTS!$J$2:$J$16,TRIM($G248))&gt;0,"LEFT OUT","NEW")))</f>
        <v/>
      </c>
    </row>
    <row r="249" spans="47:47" x14ac:dyDescent="0.25">
      <c r="AU249" s="8" t="str">
        <f>IF(TRIM($G249)="","",IF(COUNTIF(LISTS!$I$2:$I$16,TRIM($G249))&gt;0,"COUNTED",IF(COUNTIF(LISTS!$J$2:$J$16,TRIM($G249))&gt;0,"LEFT OUT","NEW")))</f>
        <v/>
      </c>
    </row>
    <row r="250" spans="47:47" x14ac:dyDescent="0.25">
      <c r="AU250" s="8" t="str">
        <f>IF(TRIM($G250)="","",IF(COUNTIF(LISTS!$I$2:$I$16,TRIM($G250))&gt;0,"COUNTED",IF(COUNTIF(LISTS!$J$2:$J$16,TRIM($G250))&gt;0,"LEFT OUT","NEW")))</f>
        <v/>
      </c>
    </row>
    <row r="251" spans="47:47" x14ac:dyDescent="0.25">
      <c r="AU251" s="8" t="str">
        <f>IF(TRIM($G251)="","",IF(COUNTIF(LISTS!$I$2:$I$16,TRIM($G251))&gt;0,"COUNTED",IF(COUNTIF(LISTS!$J$2:$J$16,TRIM($G251))&gt;0,"LEFT OUT","NEW")))</f>
        <v/>
      </c>
    </row>
    <row r="252" spans="47:47" x14ac:dyDescent="0.25">
      <c r="AU252" s="8" t="str">
        <f>IF(TRIM($G252)="","",IF(COUNTIF(LISTS!$I$2:$I$16,TRIM($G252))&gt;0,"COUNTED",IF(COUNTIF(LISTS!$J$2:$J$16,TRIM($G252))&gt;0,"LEFT OUT","NEW")))</f>
        <v/>
      </c>
    </row>
    <row r="253" spans="47:47" x14ac:dyDescent="0.25">
      <c r="AU253" s="8" t="str">
        <f>IF(TRIM($G253)="","",IF(COUNTIF(LISTS!$I$2:$I$16,TRIM($G253))&gt;0,"COUNTED",IF(COUNTIF(LISTS!$J$2:$J$16,TRIM($G253))&gt;0,"LEFT OUT","NEW")))</f>
        <v/>
      </c>
    </row>
    <row r="254" spans="47:47" x14ac:dyDescent="0.25">
      <c r="AU254" s="8" t="str">
        <f>IF(TRIM($G254)="","",IF(COUNTIF(LISTS!$I$2:$I$16,TRIM($G254))&gt;0,"COUNTED",IF(COUNTIF(LISTS!$J$2:$J$16,TRIM($G254))&gt;0,"LEFT OUT","NEW")))</f>
        <v/>
      </c>
    </row>
    <row r="255" spans="47:47" x14ac:dyDescent="0.25">
      <c r="AU255" s="8" t="str">
        <f>IF(TRIM($G255)="","",IF(COUNTIF(LISTS!$I$2:$I$16,TRIM($G255))&gt;0,"COUNTED",IF(COUNTIF(LISTS!$J$2:$J$16,TRIM($G255))&gt;0,"LEFT OUT","NEW")))</f>
        <v/>
      </c>
    </row>
    <row r="256" spans="47:47" x14ac:dyDescent="0.25">
      <c r="AU256" s="8" t="str">
        <f>IF(TRIM($G256)="","",IF(COUNTIF(LISTS!$I$2:$I$16,TRIM($G256))&gt;0,"COUNTED",IF(COUNTIF(LISTS!$J$2:$J$16,TRIM($G256))&gt;0,"LEFT OUT","NEW")))</f>
        <v/>
      </c>
    </row>
    <row r="257" spans="47:47" x14ac:dyDescent="0.25">
      <c r="AU257" s="8" t="str">
        <f>IF(TRIM($G257)="","",IF(COUNTIF(LISTS!$I$2:$I$16,TRIM($G257))&gt;0,"COUNTED",IF(COUNTIF(LISTS!$J$2:$J$16,TRIM($G257))&gt;0,"LEFT OUT","NEW")))</f>
        <v/>
      </c>
    </row>
    <row r="258" spans="47:47" x14ac:dyDescent="0.25">
      <c r="AU258" s="8" t="str">
        <f>IF(TRIM($G258)="","",IF(COUNTIF(LISTS!$I$2:$I$16,TRIM($G258))&gt;0,"COUNTED",IF(COUNTIF(LISTS!$J$2:$J$16,TRIM($G258))&gt;0,"LEFT OUT","NEW")))</f>
        <v/>
      </c>
    </row>
    <row r="259" spans="47:47" x14ac:dyDescent="0.25">
      <c r="AU259" s="8" t="str">
        <f>IF(TRIM($G259)="","",IF(COUNTIF(LISTS!$I$2:$I$16,TRIM($G259))&gt;0,"COUNTED",IF(COUNTIF(LISTS!$J$2:$J$16,TRIM($G259))&gt;0,"LEFT OUT","NEW")))</f>
        <v/>
      </c>
    </row>
    <row r="260" spans="47:47" x14ac:dyDescent="0.25">
      <c r="AU260" s="8" t="str">
        <f>IF(TRIM($G260)="","",IF(COUNTIF(LISTS!$I$2:$I$16,TRIM($G260))&gt;0,"COUNTED",IF(COUNTIF(LISTS!$J$2:$J$16,TRIM($G260))&gt;0,"LEFT OUT","NEW")))</f>
        <v/>
      </c>
    </row>
    <row r="261" spans="47:47" x14ac:dyDescent="0.25">
      <c r="AU261" s="8" t="str">
        <f>IF(TRIM($G261)="","",IF(COUNTIF(LISTS!$I$2:$I$16,TRIM($G261))&gt;0,"COUNTED",IF(COUNTIF(LISTS!$J$2:$J$16,TRIM($G261))&gt;0,"LEFT OUT","NEW")))</f>
        <v/>
      </c>
    </row>
    <row r="262" spans="47:47" x14ac:dyDescent="0.25">
      <c r="AU262" s="8" t="str">
        <f>IF(TRIM($G262)="","",IF(COUNTIF(LISTS!$I$2:$I$16,TRIM($G262))&gt;0,"COUNTED",IF(COUNTIF(LISTS!$J$2:$J$16,TRIM($G262))&gt;0,"LEFT OUT","NEW")))</f>
        <v/>
      </c>
    </row>
    <row r="263" spans="47:47" x14ac:dyDescent="0.25">
      <c r="AU263" s="8" t="str">
        <f>IF(TRIM($G263)="","",IF(COUNTIF(LISTS!$I$2:$I$16,TRIM($G263))&gt;0,"COUNTED",IF(COUNTIF(LISTS!$J$2:$J$16,TRIM($G263))&gt;0,"LEFT OUT","NEW")))</f>
        <v/>
      </c>
    </row>
    <row r="264" spans="47:47" x14ac:dyDescent="0.25">
      <c r="AU264" s="8" t="str">
        <f>IF(TRIM($G264)="","",IF(COUNTIF(LISTS!$I$2:$I$16,TRIM($G264))&gt;0,"COUNTED",IF(COUNTIF(LISTS!$J$2:$J$16,TRIM($G264))&gt;0,"LEFT OUT","NEW")))</f>
        <v/>
      </c>
    </row>
    <row r="265" spans="47:47" x14ac:dyDescent="0.25">
      <c r="AU265" s="8" t="str">
        <f>IF(TRIM($G265)="","",IF(COUNTIF(LISTS!$I$2:$I$16,TRIM($G265))&gt;0,"COUNTED",IF(COUNTIF(LISTS!$J$2:$J$16,TRIM($G265))&gt;0,"LEFT OUT","NEW")))</f>
        <v/>
      </c>
    </row>
    <row r="266" spans="47:47" x14ac:dyDescent="0.25">
      <c r="AU266" s="8" t="str">
        <f>IF(TRIM($G266)="","",IF(COUNTIF(LISTS!$I$2:$I$16,TRIM($G266))&gt;0,"COUNTED",IF(COUNTIF(LISTS!$J$2:$J$16,TRIM($G266))&gt;0,"LEFT OUT","NEW")))</f>
        <v/>
      </c>
    </row>
    <row r="267" spans="47:47" x14ac:dyDescent="0.25">
      <c r="AU267" s="8" t="str">
        <f>IF(TRIM($G267)="","",IF(COUNTIF(LISTS!$I$2:$I$16,TRIM($G267))&gt;0,"COUNTED",IF(COUNTIF(LISTS!$J$2:$J$16,TRIM($G267))&gt;0,"LEFT OUT","NEW")))</f>
        <v/>
      </c>
    </row>
    <row r="268" spans="47:47" x14ac:dyDescent="0.25">
      <c r="AU268" s="8" t="str">
        <f>IF(TRIM($G268)="","",IF(COUNTIF(LISTS!$I$2:$I$16,TRIM($G268))&gt;0,"COUNTED",IF(COUNTIF(LISTS!$J$2:$J$16,TRIM($G268))&gt;0,"LEFT OUT","NEW")))</f>
        <v/>
      </c>
    </row>
    <row r="269" spans="47:47" x14ac:dyDescent="0.25">
      <c r="AU269" s="8" t="str">
        <f>IF(TRIM($G269)="","",IF(COUNTIF(LISTS!$I$2:$I$16,TRIM($G269))&gt;0,"COUNTED",IF(COUNTIF(LISTS!$J$2:$J$16,TRIM($G269))&gt;0,"LEFT OUT","NEW")))</f>
        <v/>
      </c>
    </row>
    <row r="270" spans="47:47" x14ac:dyDescent="0.25">
      <c r="AU270" s="8" t="str">
        <f>IF(TRIM($G270)="","",IF(COUNTIF(LISTS!$I$2:$I$16,TRIM($G270))&gt;0,"COUNTED",IF(COUNTIF(LISTS!$J$2:$J$16,TRIM($G270))&gt;0,"LEFT OUT","NEW")))</f>
        <v/>
      </c>
    </row>
    <row r="271" spans="47:47" x14ac:dyDescent="0.25">
      <c r="AU271" s="8" t="str">
        <f>IF(TRIM($G271)="","",IF(COUNTIF(LISTS!$I$2:$I$16,TRIM($G271))&gt;0,"COUNTED",IF(COUNTIF(LISTS!$J$2:$J$16,TRIM($G271))&gt;0,"LEFT OUT","NEW")))</f>
        <v/>
      </c>
    </row>
    <row r="272" spans="47:47" x14ac:dyDescent="0.25">
      <c r="AU272" s="8" t="str">
        <f>IF(TRIM($G272)="","",IF(COUNTIF(LISTS!$I$2:$I$16,TRIM($G272))&gt;0,"COUNTED",IF(COUNTIF(LISTS!$J$2:$J$16,TRIM($G272))&gt;0,"LEFT OUT","NEW")))</f>
        <v/>
      </c>
    </row>
    <row r="273" spans="47:47" x14ac:dyDescent="0.25">
      <c r="AU273" s="8" t="str">
        <f>IF(TRIM($G273)="","",IF(COUNTIF(LISTS!$I$2:$I$16,TRIM($G273))&gt;0,"COUNTED",IF(COUNTIF(LISTS!$J$2:$J$16,TRIM($G273))&gt;0,"LEFT OUT","NEW")))</f>
        <v/>
      </c>
    </row>
    <row r="274" spans="47:47" x14ac:dyDescent="0.25">
      <c r="AU274" s="8" t="str">
        <f>IF(TRIM($G274)="","",IF(COUNTIF(LISTS!$I$2:$I$16,TRIM($G274))&gt;0,"COUNTED",IF(COUNTIF(LISTS!$J$2:$J$16,TRIM($G274))&gt;0,"LEFT OUT","NEW")))</f>
        <v/>
      </c>
    </row>
    <row r="275" spans="47:47" x14ac:dyDescent="0.25">
      <c r="AU275" s="8" t="str">
        <f>IF(TRIM($G275)="","",IF(COUNTIF(LISTS!$I$2:$I$16,TRIM($G275))&gt;0,"COUNTED",IF(COUNTIF(LISTS!$J$2:$J$16,TRIM($G275))&gt;0,"LEFT OUT","NEW")))</f>
        <v/>
      </c>
    </row>
    <row r="276" spans="47:47" x14ac:dyDescent="0.25">
      <c r="AU276" s="8" t="str">
        <f>IF(TRIM($G276)="","",IF(COUNTIF(LISTS!$I$2:$I$16,TRIM($G276))&gt;0,"COUNTED",IF(COUNTIF(LISTS!$J$2:$J$16,TRIM($G276))&gt;0,"LEFT OUT","NEW")))</f>
        <v/>
      </c>
    </row>
    <row r="277" spans="47:47" x14ac:dyDescent="0.25">
      <c r="AU277" s="8" t="str">
        <f>IF(TRIM($G277)="","",IF(COUNTIF(LISTS!$I$2:$I$16,TRIM($G277))&gt;0,"COUNTED",IF(COUNTIF(LISTS!$J$2:$J$16,TRIM($G277))&gt;0,"LEFT OUT","NEW")))</f>
        <v/>
      </c>
    </row>
    <row r="278" spans="47:47" x14ac:dyDescent="0.25">
      <c r="AU278" s="8" t="str">
        <f>IF(TRIM($G278)="","",IF(COUNTIF(LISTS!$I$2:$I$16,TRIM($G278))&gt;0,"COUNTED",IF(COUNTIF(LISTS!$J$2:$J$16,TRIM($G278))&gt;0,"LEFT OUT","NEW")))</f>
        <v/>
      </c>
    </row>
    <row r="279" spans="47:47" x14ac:dyDescent="0.25">
      <c r="AU279" s="8" t="str">
        <f>IF(TRIM($G279)="","",IF(COUNTIF(LISTS!$I$2:$I$16,TRIM($G279))&gt;0,"COUNTED",IF(COUNTIF(LISTS!$J$2:$J$16,TRIM($G279))&gt;0,"LEFT OUT","NEW")))</f>
        <v/>
      </c>
    </row>
    <row r="280" spans="47:47" x14ac:dyDescent="0.25">
      <c r="AU280" s="8" t="str">
        <f>IF(TRIM($G280)="","",IF(COUNTIF(LISTS!$I$2:$I$16,TRIM($G280))&gt;0,"COUNTED",IF(COUNTIF(LISTS!$J$2:$J$16,TRIM($G280))&gt;0,"LEFT OUT","NEW")))</f>
        <v/>
      </c>
    </row>
    <row r="281" spans="47:47" x14ac:dyDescent="0.25">
      <c r="AU281" s="8" t="str">
        <f>IF(TRIM($G281)="","",IF(COUNTIF(LISTS!$I$2:$I$16,TRIM($G281))&gt;0,"COUNTED",IF(COUNTIF(LISTS!$J$2:$J$16,TRIM($G281))&gt;0,"LEFT OUT","NEW")))</f>
        <v/>
      </c>
    </row>
    <row r="282" spans="47:47" x14ac:dyDescent="0.25">
      <c r="AU282" s="8" t="str">
        <f>IF(TRIM($G282)="","",IF(COUNTIF(LISTS!$I$2:$I$16,TRIM($G282))&gt;0,"COUNTED",IF(COUNTIF(LISTS!$J$2:$J$16,TRIM($G282))&gt;0,"LEFT OUT","NEW")))</f>
        <v/>
      </c>
    </row>
    <row r="283" spans="47:47" x14ac:dyDescent="0.25">
      <c r="AU283" s="8" t="str">
        <f>IF(TRIM($G283)="","",IF(COUNTIF(LISTS!$I$2:$I$16,TRIM($G283))&gt;0,"COUNTED",IF(COUNTIF(LISTS!$J$2:$J$16,TRIM($G283))&gt;0,"LEFT OUT","NEW")))</f>
        <v/>
      </c>
    </row>
    <row r="284" spans="47:47" x14ac:dyDescent="0.25">
      <c r="AU284" s="8" t="str">
        <f>IF(TRIM($G284)="","",IF(COUNTIF(LISTS!$I$2:$I$16,TRIM($G284))&gt;0,"COUNTED",IF(COUNTIF(LISTS!$J$2:$J$16,TRIM($G284))&gt;0,"LEFT OUT","NEW")))</f>
        <v/>
      </c>
    </row>
    <row r="285" spans="47:47" x14ac:dyDescent="0.25">
      <c r="AU285" s="8" t="str">
        <f>IF(TRIM($G285)="","",IF(COUNTIF(LISTS!$I$2:$I$16,TRIM($G285))&gt;0,"COUNTED",IF(COUNTIF(LISTS!$J$2:$J$16,TRIM($G285))&gt;0,"LEFT OUT","NEW")))</f>
        <v/>
      </c>
    </row>
    <row r="286" spans="47:47" x14ac:dyDescent="0.25">
      <c r="AU286" s="8" t="str">
        <f>IF(TRIM($G286)="","",IF(COUNTIF(LISTS!$I$2:$I$16,TRIM($G286))&gt;0,"COUNTED",IF(COUNTIF(LISTS!$J$2:$J$16,TRIM($G286))&gt;0,"LEFT OUT","NEW")))</f>
        <v/>
      </c>
    </row>
    <row r="287" spans="47:47" x14ac:dyDescent="0.25">
      <c r="AU287" s="8" t="str">
        <f>IF(TRIM($G287)="","",IF(COUNTIF(LISTS!$I$2:$I$16,TRIM($G287))&gt;0,"COUNTED",IF(COUNTIF(LISTS!$J$2:$J$16,TRIM($G287))&gt;0,"LEFT OUT","NEW")))</f>
        <v/>
      </c>
    </row>
    <row r="288" spans="47:47" x14ac:dyDescent="0.25">
      <c r="AU288" s="8" t="str">
        <f>IF(TRIM($G288)="","",IF(COUNTIF(LISTS!$I$2:$I$16,TRIM($G288))&gt;0,"COUNTED",IF(COUNTIF(LISTS!$J$2:$J$16,TRIM($G288))&gt;0,"LEFT OUT","NEW")))</f>
        <v/>
      </c>
    </row>
    <row r="289" spans="47:47" x14ac:dyDescent="0.25">
      <c r="AU289" s="8" t="str">
        <f>IF(TRIM($G289)="","",IF(COUNTIF(LISTS!$I$2:$I$16,TRIM($G289))&gt;0,"COUNTED",IF(COUNTIF(LISTS!$J$2:$J$16,TRIM($G289))&gt;0,"LEFT OUT","NEW")))</f>
        <v/>
      </c>
    </row>
    <row r="290" spans="47:47" x14ac:dyDescent="0.25">
      <c r="AU290" s="8" t="str">
        <f>IF(TRIM($G290)="","",IF(COUNTIF(LISTS!$I$2:$I$16,TRIM($G290))&gt;0,"COUNTED",IF(COUNTIF(LISTS!$J$2:$J$16,TRIM($G290))&gt;0,"LEFT OUT","NEW")))</f>
        <v/>
      </c>
    </row>
    <row r="291" spans="47:47" x14ac:dyDescent="0.25">
      <c r="AU291" s="8" t="str">
        <f>IF(TRIM($G291)="","",IF(COUNTIF(LISTS!$I$2:$I$16,TRIM($G291))&gt;0,"COUNTED",IF(COUNTIF(LISTS!$J$2:$J$16,TRIM($G291))&gt;0,"LEFT OUT","NEW")))</f>
        <v/>
      </c>
    </row>
    <row r="292" spans="47:47" x14ac:dyDescent="0.25">
      <c r="AU292" s="8" t="str">
        <f>IF(TRIM($G292)="","",IF(COUNTIF(LISTS!$I$2:$I$16,TRIM($G292))&gt;0,"COUNTED",IF(COUNTIF(LISTS!$J$2:$J$16,TRIM($G292))&gt;0,"LEFT OUT","NEW")))</f>
        <v/>
      </c>
    </row>
    <row r="293" spans="47:47" x14ac:dyDescent="0.25">
      <c r="AU293" s="8" t="str">
        <f>IF(TRIM($G293)="","",IF(COUNTIF(LISTS!$I$2:$I$16,TRIM($G293))&gt;0,"COUNTED",IF(COUNTIF(LISTS!$J$2:$J$16,TRIM($G293))&gt;0,"LEFT OUT","NEW")))</f>
        <v/>
      </c>
    </row>
    <row r="294" spans="47:47" x14ac:dyDescent="0.25">
      <c r="AU294" s="8" t="str">
        <f>IF(TRIM($G294)="","",IF(COUNTIF(LISTS!$I$2:$I$16,TRIM($G294))&gt;0,"COUNTED",IF(COUNTIF(LISTS!$J$2:$J$16,TRIM($G294))&gt;0,"LEFT OUT","NEW")))</f>
        <v/>
      </c>
    </row>
    <row r="295" spans="47:47" x14ac:dyDescent="0.25">
      <c r="AU295" s="8" t="str">
        <f>IF(TRIM($G295)="","",IF(COUNTIF(LISTS!$I$2:$I$16,TRIM($G295))&gt;0,"COUNTED",IF(COUNTIF(LISTS!$J$2:$J$16,TRIM($G295))&gt;0,"LEFT OUT","NEW")))</f>
        <v/>
      </c>
    </row>
    <row r="296" spans="47:47" x14ac:dyDescent="0.25">
      <c r="AU296" s="8" t="str">
        <f>IF(TRIM($G296)="","",IF(COUNTIF(LISTS!$I$2:$I$16,TRIM($G296))&gt;0,"COUNTED",IF(COUNTIF(LISTS!$J$2:$J$16,TRIM($G296))&gt;0,"LEFT OUT","NEW")))</f>
        <v/>
      </c>
    </row>
    <row r="297" spans="47:47" x14ac:dyDescent="0.25">
      <c r="AU297" s="8" t="str">
        <f>IF(TRIM($G297)="","",IF(COUNTIF(LISTS!$I$2:$I$16,TRIM($G297))&gt;0,"COUNTED",IF(COUNTIF(LISTS!$J$2:$J$16,TRIM($G297))&gt;0,"LEFT OUT","NEW")))</f>
        <v/>
      </c>
    </row>
    <row r="298" spans="47:47" x14ac:dyDescent="0.25">
      <c r="AU298" s="8" t="str">
        <f>IF(TRIM($G298)="","",IF(COUNTIF(LISTS!$I$2:$I$16,TRIM($G298))&gt;0,"COUNTED",IF(COUNTIF(LISTS!$J$2:$J$16,TRIM($G298))&gt;0,"LEFT OUT","NEW")))</f>
        <v/>
      </c>
    </row>
    <row r="299" spans="47:47" x14ac:dyDescent="0.25">
      <c r="AU299" s="8" t="str">
        <f>IF(TRIM($G299)="","",IF(COUNTIF(LISTS!$I$2:$I$16,TRIM($G299))&gt;0,"COUNTED",IF(COUNTIF(LISTS!$J$2:$J$16,TRIM($G299))&gt;0,"LEFT OUT","NEW")))</f>
        <v/>
      </c>
    </row>
    <row r="300" spans="47:47" x14ac:dyDescent="0.25">
      <c r="AU300" s="8" t="str">
        <f>IF(TRIM($G300)="","",IF(COUNTIF(LISTS!$I$2:$I$16,TRIM($G300))&gt;0,"COUNTED",IF(COUNTIF(LISTS!$J$2:$J$16,TRIM($G300))&gt;0,"LEFT OUT","NEW")))</f>
        <v/>
      </c>
    </row>
    <row r="301" spans="47:47" x14ac:dyDescent="0.25">
      <c r="AU301" s="8" t="str">
        <f>IF(TRIM($G301)="","",IF(COUNTIF(LISTS!$I$2:$I$16,TRIM($G301))&gt;0,"COUNTED",IF(COUNTIF(LISTS!$J$2:$J$16,TRIM($G301))&gt;0,"LEFT OUT","NEW")))</f>
        <v/>
      </c>
    </row>
    <row r="302" spans="47:47" x14ac:dyDescent="0.25">
      <c r="AU302" s="8" t="str">
        <f>IF(TRIM($G302)="","",IF(COUNTIF(LISTS!$I$2:$I$16,TRIM($G302))&gt;0,"COUNTED",IF(COUNTIF(LISTS!$J$2:$J$16,TRIM($G302))&gt;0,"LEFT OUT","NEW")))</f>
        <v/>
      </c>
    </row>
    <row r="303" spans="47:47" x14ac:dyDescent="0.25">
      <c r="AU303" s="8" t="str">
        <f>IF(TRIM($G303)="","",IF(COUNTIF(LISTS!$I$2:$I$16,TRIM($G303))&gt;0,"COUNTED",IF(COUNTIF(LISTS!$J$2:$J$16,TRIM($G303))&gt;0,"LEFT OUT","NEW")))</f>
        <v/>
      </c>
    </row>
    <row r="304" spans="47:47" x14ac:dyDescent="0.25">
      <c r="AU304" s="8" t="str">
        <f>IF(TRIM($G304)="","",IF(COUNTIF(LISTS!$I$2:$I$16,TRIM($G304))&gt;0,"COUNTED",IF(COUNTIF(LISTS!$J$2:$J$16,TRIM($G304))&gt;0,"LEFT OUT","NEW")))</f>
        <v/>
      </c>
    </row>
    <row r="305" spans="47:47" x14ac:dyDescent="0.25">
      <c r="AU305" s="8" t="str">
        <f>IF(TRIM($G305)="","",IF(COUNTIF(LISTS!$I$2:$I$16,TRIM($G305))&gt;0,"COUNTED",IF(COUNTIF(LISTS!$J$2:$J$16,TRIM($G305))&gt;0,"LEFT OUT","NEW")))</f>
        <v/>
      </c>
    </row>
    <row r="306" spans="47:47" x14ac:dyDescent="0.25">
      <c r="AU306" s="8" t="str">
        <f>IF(TRIM($G306)="","",IF(COUNTIF(LISTS!$I$2:$I$16,TRIM($G306))&gt;0,"COUNTED",IF(COUNTIF(LISTS!$J$2:$J$16,TRIM($G306))&gt;0,"LEFT OUT","NEW")))</f>
        <v/>
      </c>
    </row>
    <row r="307" spans="47:47" x14ac:dyDescent="0.25">
      <c r="AU307" s="8" t="str">
        <f>IF(TRIM($G307)="","",IF(COUNTIF(LISTS!$I$2:$I$16,TRIM($G307))&gt;0,"COUNTED",IF(COUNTIF(LISTS!$J$2:$J$16,TRIM($G307))&gt;0,"LEFT OUT","NEW")))</f>
        <v/>
      </c>
    </row>
    <row r="308" spans="47:47" x14ac:dyDescent="0.25">
      <c r="AU308" s="8" t="str">
        <f>IF(TRIM($G308)="","",IF(COUNTIF(LISTS!$I$2:$I$16,TRIM($G308))&gt;0,"COUNTED",IF(COUNTIF(LISTS!$J$2:$J$16,TRIM($G308))&gt;0,"LEFT OUT","NEW")))</f>
        <v/>
      </c>
    </row>
    <row r="309" spans="47:47" x14ac:dyDescent="0.25">
      <c r="AU309" s="8" t="str">
        <f>IF(TRIM($G309)="","",IF(COUNTIF(LISTS!$I$2:$I$16,TRIM($G309))&gt;0,"COUNTED",IF(COUNTIF(LISTS!$J$2:$J$16,TRIM($G309))&gt;0,"LEFT OUT","NEW")))</f>
        <v/>
      </c>
    </row>
    <row r="310" spans="47:47" x14ac:dyDescent="0.25">
      <c r="AU310" s="8" t="str">
        <f>IF(TRIM($G310)="","",IF(COUNTIF(LISTS!$I$2:$I$16,TRIM($G310))&gt;0,"COUNTED",IF(COUNTIF(LISTS!$J$2:$J$16,TRIM($G310))&gt;0,"LEFT OUT","NEW")))</f>
        <v/>
      </c>
    </row>
    <row r="311" spans="47:47" x14ac:dyDescent="0.25">
      <c r="AU311" s="8" t="str">
        <f>IF(TRIM($G311)="","",IF(COUNTIF(LISTS!$I$2:$I$16,TRIM($G311))&gt;0,"COUNTED",IF(COUNTIF(LISTS!$J$2:$J$16,TRIM($G311))&gt;0,"LEFT OUT","NEW")))</f>
        <v/>
      </c>
    </row>
    <row r="312" spans="47:47" x14ac:dyDescent="0.25">
      <c r="AU312" s="8" t="str">
        <f>IF(TRIM($G312)="","",IF(COUNTIF(LISTS!$I$2:$I$16,TRIM($G312))&gt;0,"COUNTED",IF(COUNTIF(LISTS!$J$2:$J$16,TRIM($G312))&gt;0,"LEFT OUT","NEW")))</f>
        <v/>
      </c>
    </row>
    <row r="313" spans="47:47" x14ac:dyDescent="0.25">
      <c r="AU313" s="8" t="str">
        <f>IF(TRIM($G313)="","",IF(COUNTIF(LISTS!$I$2:$I$16,TRIM($G313))&gt;0,"COUNTED",IF(COUNTIF(LISTS!$J$2:$J$16,TRIM($G313))&gt;0,"LEFT OUT","NEW")))</f>
        <v/>
      </c>
    </row>
    <row r="314" spans="47:47" x14ac:dyDescent="0.25">
      <c r="AU314" s="8" t="str">
        <f>IF(TRIM($G314)="","",IF(COUNTIF(LISTS!$I$2:$I$16,TRIM($G314))&gt;0,"COUNTED",IF(COUNTIF(LISTS!$J$2:$J$16,TRIM($G314))&gt;0,"LEFT OUT","NEW")))</f>
        <v/>
      </c>
    </row>
    <row r="315" spans="47:47" x14ac:dyDescent="0.25">
      <c r="AU315" s="8" t="str">
        <f>IF(TRIM($G315)="","",IF(COUNTIF(LISTS!$I$2:$I$16,TRIM($G315))&gt;0,"COUNTED",IF(COUNTIF(LISTS!$J$2:$J$16,TRIM($G315))&gt;0,"LEFT OUT","NEW")))</f>
        <v/>
      </c>
    </row>
    <row r="316" spans="47:47" x14ac:dyDescent="0.25">
      <c r="AU316" s="8" t="str">
        <f>IF(TRIM($G316)="","",IF(COUNTIF(LISTS!$I$2:$I$16,TRIM($G316))&gt;0,"COUNTED",IF(COUNTIF(LISTS!$J$2:$J$16,TRIM($G316))&gt;0,"LEFT OUT","NEW")))</f>
        <v/>
      </c>
    </row>
    <row r="317" spans="47:47" x14ac:dyDescent="0.25">
      <c r="AU317" s="8" t="str">
        <f>IF(TRIM($G317)="","",IF(COUNTIF(LISTS!$I$2:$I$16,TRIM($G317))&gt;0,"COUNTED",IF(COUNTIF(LISTS!$J$2:$J$16,TRIM($G317))&gt;0,"LEFT OUT","NEW")))</f>
        <v/>
      </c>
    </row>
    <row r="318" spans="47:47" x14ac:dyDescent="0.25">
      <c r="AU318" s="8" t="str">
        <f>IF(TRIM($G318)="","",IF(COUNTIF(LISTS!$I$2:$I$16,TRIM($G318))&gt;0,"COUNTED",IF(COUNTIF(LISTS!$J$2:$J$16,TRIM($G318))&gt;0,"LEFT OUT","NEW")))</f>
        <v/>
      </c>
    </row>
    <row r="319" spans="47:47" x14ac:dyDescent="0.25">
      <c r="AU319" s="8" t="str">
        <f>IF(TRIM($G319)="","",IF(COUNTIF(LISTS!$I$2:$I$16,TRIM($G319))&gt;0,"COUNTED",IF(COUNTIF(LISTS!$J$2:$J$16,TRIM($G319))&gt;0,"LEFT OUT","NEW")))</f>
        <v/>
      </c>
    </row>
    <row r="320" spans="47:47" x14ac:dyDescent="0.25">
      <c r="AU320" s="8" t="str">
        <f>IF(TRIM($G320)="","",IF(COUNTIF(LISTS!$I$2:$I$16,TRIM($G320))&gt;0,"COUNTED",IF(COUNTIF(LISTS!$J$2:$J$16,TRIM($G320))&gt;0,"LEFT OUT","NEW")))</f>
        <v/>
      </c>
    </row>
    <row r="321" spans="47:47" x14ac:dyDescent="0.25">
      <c r="AU321" s="8" t="str">
        <f>IF(TRIM($G321)="","",IF(COUNTIF(LISTS!$I$2:$I$16,TRIM($G321))&gt;0,"COUNTED",IF(COUNTIF(LISTS!$J$2:$J$16,TRIM($G321))&gt;0,"LEFT OUT","NEW")))</f>
        <v/>
      </c>
    </row>
    <row r="322" spans="47:47" x14ac:dyDescent="0.25">
      <c r="AU322" s="8" t="str">
        <f>IF(TRIM($G322)="","",IF(COUNTIF(LISTS!$I$2:$I$16,TRIM($G322))&gt;0,"COUNTED",IF(COUNTIF(LISTS!$J$2:$J$16,TRIM($G322))&gt;0,"LEFT OUT","NEW")))</f>
        <v/>
      </c>
    </row>
    <row r="323" spans="47:47" x14ac:dyDescent="0.25">
      <c r="AU323" s="8" t="str">
        <f>IF(TRIM($G323)="","",IF(COUNTIF(LISTS!$I$2:$I$16,TRIM($G323))&gt;0,"COUNTED",IF(COUNTIF(LISTS!$J$2:$J$16,TRIM($G323))&gt;0,"LEFT OUT","NEW")))</f>
        <v/>
      </c>
    </row>
    <row r="324" spans="47:47" x14ac:dyDescent="0.25">
      <c r="AU324" s="8" t="str">
        <f>IF(TRIM($G324)="","",IF(COUNTIF(LISTS!$I$2:$I$16,TRIM($G324))&gt;0,"COUNTED",IF(COUNTIF(LISTS!$J$2:$J$16,TRIM($G324))&gt;0,"LEFT OUT","NEW")))</f>
        <v/>
      </c>
    </row>
    <row r="325" spans="47:47" x14ac:dyDescent="0.25">
      <c r="AU325" s="8" t="str">
        <f>IF(TRIM($G325)="","",IF(COUNTIF(LISTS!$I$2:$I$16,TRIM($G325))&gt;0,"COUNTED",IF(COUNTIF(LISTS!$J$2:$J$16,TRIM($G325))&gt;0,"LEFT OUT","NEW")))</f>
        <v/>
      </c>
    </row>
    <row r="326" spans="47:47" x14ac:dyDescent="0.25">
      <c r="AU326" s="8" t="str">
        <f>IF(TRIM($G326)="","",IF(COUNTIF(LISTS!$I$2:$I$16,TRIM($G326))&gt;0,"COUNTED",IF(COUNTIF(LISTS!$J$2:$J$16,TRIM($G326))&gt;0,"LEFT OUT","NEW")))</f>
        <v/>
      </c>
    </row>
    <row r="327" spans="47:47" x14ac:dyDescent="0.25">
      <c r="AU327" s="8" t="str">
        <f>IF(TRIM($G327)="","",IF(COUNTIF(LISTS!$I$2:$I$16,TRIM($G327))&gt;0,"COUNTED",IF(COUNTIF(LISTS!$J$2:$J$16,TRIM($G327))&gt;0,"LEFT OUT","NEW")))</f>
        <v/>
      </c>
    </row>
    <row r="328" spans="47:47" x14ac:dyDescent="0.25">
      <c r="AU328" s="8" t="str">
        <f>IF(TRIM($G328)="","",IF(COUNTIF(LISTS!$I$2:$I$16,TRIM($G328))&gt;0,"COUNTED",IF(COUNTIF(LISTS!$J$2:$J$16,TRIM($G328))&gt;0,"LEFT OUT","NEW")))</f>
        <v/>
      </c>
    </row>
    <row r="329" spans="47:47" x14ac:dyDescent="0.25">
      <c r="AU329" s="8" t="str">
        <f>IF(TRIM($G329)="","",IF(COUNTIF(LISTS!$I$2:$I$16,TRIM($G329))&gt;0,"COUNTED",IF(COUNTIF(LISTS!$J$2:$J$16,TRIM($G329))&gt;0,"LEFT OUT","NEW")))</f>
        <v/>
      </c>
    </row>
    <row r="330" spans="47:47" x14ac:dyDescent="0.25">
      <c r="AU330" s="8" t="str">
        <f>IF(TRIM($G330)="","",IF(COUNTIF(LISTS!$I$2:$I$16,TRIM($G330))&gt;0,"COUNTED",IF(COUNTIF(LISTS!$J$2:$J$16,TRIM($G330))&gt;0,"LEFT OUT","NEW")))</f>
        <v/>
      </c>
    </row>
    <row r="331" spans="47:47" x14ac:dyDescent="0.25">
      <c r="AU331" s="8" t="str">
        <f>IF(TRIM($G331)="","",IF(COUNTIF(LISTS!$I$2:$I$16,TRIM($G331))&gt;0,"COUNTED",IF(COUNTIF(LISTS!$J$2:$J$16,TRIM($G331))&gt;0,"LEFT OUT","NEW")))</f>
        <v/>
      </c>
    </row>
    <row r="332" spans="47:47" x14ac:dyDescent="0.25">
      <c r="AU332" s="8" t="str">
        <f>IF(TRIM($G332)="","",IF(COUNTIF(LISTS!$I$2:$I$16,TRIM($G332))&gt;0,"COUNTED",IF(COUNTIF(LISTS!$J$2:$J$16,TRIM($G332))&gt;0,"LEFT OUT","NEW")))</f>
        <v/>
      </c>
    </row>
    <row r="333" spans="47:47" x14ac:dyDescent="0.25">
      <c r="AU333" s="8" t="str">
        <f>IF(TRIM($G333)="","",IF(COUNTIF(LISTS!$I$2:$I$16,TRIM($G333))&gt;0,"COUNTED",IF(COUNTIF(LISTS!$J$2:$J$16,TRIM($G333))&gt;0,"LEFT OUT","NEW")))</f>
        <v/>
      </c>
    </row>
    <row r="334" spans="47:47" x14ac:dyDescent="0.25">
      <c r="AU334" s="8" t="str">
        <f>IF(TRIM($G334)="","",IF(COUNTIF(LISTS!$I$2:$I$16,TRIM($G334))&gt;0,"COUNTED",IF(COUNTIF(LISTS!$J$2:$J$16,TRIM($G334))&gt;0,"LEFT OUT","NEW")))</f>
        <v/>
      </c>
    </row>
    <row r="335" spans="47:47" x14ac:dyDescent="0.25">
      <c r="AU335" s="8" t="str">
        <f>IF(TRIM($G335)="","",IF(COUNTIF(LISTS!$I$2:$I$16,TRIM($G335))&gt;0,"COUNTED",IF(COUNTIF(LISTS!$J$2:$J$16,TRIM($G335))&gt;0,"LEFT OUT","NEW")))</f>
        <v/>
      </c>
    </row>
    <row r="336" spans="47:47" x14ac:dyDescent="0.25">
      <c r="AU336" s="8" t="str">
        <f>IF(TRIM($G336)="","",IF(COUNTIF(LISTS!$I$2:$I$16,TRIM($G336))&gt;0,"COUNTED",IF(COUNTIF(LISTS!$J$2:$J$16,TRIM($G336))&gt;0,"LEFT OUT","NEW")))</f>
        <v/>
      </c>
    </row>
    <row r="337" spans="47:47" x14ac:dyDescent="0.25">
      <c r="AU337" s="8" t="str">
        <f>IF(TRIM($G337)="","",IF(COUNTIF(LISTS!$I$2:$I$16,TRIM($G337))&gt;0,"COUNTED",IF(COUNTIF(LISTS!$J$2:$J$16,TRIM($G337))&gt;0,"LEFT OUT","NEW")))</f>
        <v/>
      </c>
    </row>
    <row r="338" spans="47:47" x14ac:dyDescent="0.25">
      <c r="AU338" s="8" t="str">
        <f>IF(TRIM($G338)="","",IF(COUNTIF(LISTS!$I$2:$I$16,TRIM($G338))&gt;0,"COUNTED",IF(COUNTIF(LISTS!$J$2:$J$16,TRIM($G338))&gt;0,"LEFT OUT","NEW")))</f>
        <v/>
      </c>
    </row>
    <row r="339" spans="47:47" x14ac:dyDescent="0.25">
      <c r="AU339" s="8" t="str">
        <f>IF(TRIM($G339)="","",IF(COUNTIF(LISTS!$I$2:$I$16,TRIM($G339))&gt;0,"COUNTED",IF(COUNTIF(LISTS!$J$2:$J$16,TRIM($G339))&gt;0,"LEFT OUT","NEW")))</f>
        <v/>
      </c>
    </row>
    <row r="340" spans="47:47" x14ac:dyDescent="0.25">
      <c r="AU340" s="8" t="str">
        <f>IF(TRIM($G340)="","",IF(COUNTIF(LISTS!$I$2:$I$16,TRIM($G340))&gt;0,"COUNTED",IF(COUNTIF(LISTS!$J$2:$J$16,TRIM($G340))&gt;0,"LEFT OUT","NEW")))</f>
        <v/>
      </c>
    </row>
    <row r="341" spans="47:47" x14ac:dyDescent="0.25">
      <c r="AU341" s="8" t="str">
        <f>IF(TRIM($G341)="","",IF(COUNTIF(LISTS!$I$2:$I$16,TRIM($G341))&gt;0,"COUNTED",IF(COUNTIF(LISTS!$J$2:$J$16,TRIM($G341))&gt;0,"LEFT OUT","NEW")))</f>
        <v/>
      </c>
    </row>
    <row r="342" spans="47:47" x14ac:dyDescent="0.25">
      <c r="AU342" s="8" t="str">
        <f>IF(TRIM($G342)="","",IF(COUNTIF(LISTS!$I$2:$I$16,TRIM($G342))&gt;0,"COUNTED",IF(COUNTIF(LISTS!$J$2:$J$16,TRIM($G342))&gt;0,"LEFT OUT","NEW")))</f>
        <v/>
      </c>
    </row>
    <row r="343" spans="47:47" x14ac:dyDescent="0.25">
      <c r="AU343" s="8" t="str">
        <f>IF(TRIM($G343)="","",IF(COUNTIF(LISTS!$I$2:$I$16,TRIM($G343))&gt;0,"COUNTED",IF(COUNTIF(LISTS!$J$2:$J$16,TRIM($G343))&gt;0,"LEFT OUT","NEW")))</f>
        <v/>
      </c>
    </row>
    <row r="344" spans="47:47" x14ac:dyDescent="0.25">
      <c r="AU344" s="8" t="str">
        <f>IF(TRIM($G344)="","",IF(COUNTIF(LISTS!$I$2:$I$16,TRIM($G344))&gt;0,"COUNTED",IF(COUNTIF(LISTS!$J$2:$J$16,TRIM($G344))&gt;0,"LEFT OUT","NEW")))</f>
        <v/>
      </c>
    </row>
    <row r="345" spans="47:47" x14ac:dyDescent="0.25">
      <c r="AU345" s="8" t="str">
        <f>IF(TRIM($G345)="","",IF(COUNTIF(LISTS!$I$2:$I$16,TRIM($G345))&gt;0,"COUNTED",IF(COUNTIF(LISTS!$J$2:$J$16,TRIM($G345))&gt;0,"LEFT OUT","NEW")))</f>
        <v/>
      </c>
    </row>
    <row r="346" spans="47:47" x14ac:dyDescent="0.25">
      <c r="AU346" s="8" t="str">
        <f>IF(TRIM($G346)="","",IF(COUNTIF(LISTS!$I$2:$I$16,TRIM($G346))&gt;0,"COUNTED",IF(COUNTIF(LISTS!$J$2:$J$16,TRIM($G346))&gt;0,"LEFT OUT","NEW")))</f>
        <v/>
      </c>
    </row>
    <row r="347" spans="47:47" x14ac:dyDescent="0.25">
      <c r="AU347" s="8" t="str">
        <f>IF(TRIM($G347)="","",IF(COUNTIF(LISTS!$I$2:$I$16,TRIM($G347))&gt;0,"COUNTED",IF(COUNTIF(LISTS!$J$2:$J$16,TRIM($G347))&gt;0,"LEFT OUT","NEW")))</f>
        <v/>
      </c>
    </row>
    <row r="348" spans="47:47" x14ac:dyDescent="0.25">
      <c r="AU348" s="8" t="str">
        <f>IF(TRIM($G348)="","",IF(COUNTIF(LISTS!$I$2:$I$16,TRIM($G348))&gt;0,"COUNTED",IF(COUNTIF(LISTS!$J$2:$J$16,TRIM($G348))&gt;0,"LEFT OUT","NEW")))</f>
        <v/>
      </c>
    </row>
    <row r="349" spans="47:47" x14ac:dyDescent="0.25">
      <c r="AU349" s="8" t="str">
        <f>IF(TRIM($G349)="","",IF(COUNTIF(LISTS!$I$2:$I$16,TRIM($G349))&gt;0,"COUNTED",IF(COUNTIF(LISTS!$J$2:$J$16,TRIM($G349))&gt;0,"LEFT OUT","NEW")))</f>
        <v/>
      </c>
    </row>
    <row r="350" spans="47:47" x14ac:dyDescent="0.25">
      <c r="AU350" s="8" t="str">
        <f>IF(TRIM($G350)="","",IF(COUNTIF(LISTS!$I$2:$I$16,TRIM($G350))&gt;0,"COUNTED",IF(COUNTIF(LISTS!$J$2:$J$16,TRIM($G350))&gt;0,"LEFT OUT","NEW")))</f>
        <v/>
      </c>
    </row>
    <row r="351" spans="47:47" x14ac:dyDescent="0.25">
      <c r="AU351" s="8" t="str">
        <f>IF(TRIM($G351)="","",IF(COUNTIF(LISTS!$I$2:$I$16,TRIM($G351))&gt;0,"COUNTED",IF(COUNTIF(LISTS!$J$2:$J$16,TRIM($G351))&gt;0,"LEFT OUT","NEW")))</f>
        <v/>
      </c>
    </row>
    <row r="352" spans="47:47" x14ac:dyDescent="0.25">
      <c r="AU352" s="8" t="str">
        <f>IF(TRIM($G352)="","",IF(COUNTIF(LISTS!$I$2:$I$16,TRIM($G352))&gt;0,"COUNTED",IF(COUNTIF(LISTS!$J$2:$J$16,TRIM($G352))&gt;0,"LEFT OUT","NEW")))</f>
        <v/>
      </c>
    </row>
    <row r="353" spans="47:47" x14ac:dyDescent="0.25">
      <c r="AU353" s="8" t="str">
        <f>IF(TRIM($G353)="","",IF(COUNTIF(LISTS!$I$2:$I$16,TRIM($G353))&gt;0,"COUNTED",IF(COUNTIF(LISTS!$J$2:$J$16,TRIM($G353))&gt;0,"LEFT OUT","NEW")))</f>
        <v/>
      </c>
    </row>
    <row r="354" spans="47:47" x14ac:dyDescent="0.25">
      <c r="AU354" s="8" t="str">
        <f>IF(TRIM($G354)="","",IF(COUNTIF(LISTS!$I$2:$I$16,TRIM($G354))&gt;0,"COUNTED",IF(COUNTIF(LISTS!$J$2:$J$16,TRIM($G354))&gt;0,"LEFT OUT","NEW")))</f>
        <v/>
      </c>
    </row>
    <row r="355" spans="47:47" x14ac:dyDescent="0.25">
      <c r="AU355" s="8" t="str">
        <f>IF(TRIM($G355)="","",IF(COUNTIF(LISTS!$I$2:$I$16,TRIM($G355))&gt;0,"COUNTED",IF(COUNTIF(LISTS!$J$2:$J$16,TRIM($G355))&gt;0,"LEFT OUT","NEW")))</f>
        <v/>
      </c>
    </row>
    <row r="356" spans="47:47" x14ac:dyDescent="0.25">
      <c r="AU356" s="8" t="str">
        <f>IF(TRIM($G356)="","",IF(COUNTIF(LISTS!$I$2:$I$16,TRIM($G356))&gt;0,"COUNTED",IF(COUNTIF(LISTS!$J$2:$J$16,TRIM($G356))&gt;0,"LEFT OUT","NEW")))</f>
        <v/>
      </c>
    </row>
    <row r="357" spans="47:47" x14ac:dyDescent="0.25">
      <c r="AU357" s="8" t="str">
        <f>IF(TRIM($G357)="","",IF(COUNTIF(LISTS!$I$2:$I$16,TRIM($G357))&gt;0,"COUNTED",IF(COUNTIF(LISTS!$J$2:$J$16,TRIM($G357))&gt;0,"LEFT OUT","NEW")))</f>
        <v/>
      </c>
    </row>
    <row r="358" spans="47:47" x14ac:dyDescent="0.25">
      <c r="AU358" s="8" t="str">
        <f>IF(TRIM($G358)="","",IF(COUNTIF(LISTS!$I$2:$I$16,TRIM($G358))&gt;0,"COUNTED",IF(COUNTIF(LISTS!$J$2:$J$16,TRIM($G358))&gt;0,"LEFT OUT","NEW")))</f>
        <v/>
      </c>
    </row>
    <row r="359" spans="47:47" x14ac:dyDescent="0.25">
      <c r="AU359" s="8" t="str">
        <f>IF(TRIM($G359)="","",IF(COUNTIF(LISTS!$I$2:$I$16,TRIM($G359))&gt;0,"COUNTED",IF(COUNTIF(LISTS!$J$2:$J$16,TRIM($G359))&gt;0,"LEFT OUT","NEW")))</f>
        <v/>
      </c>
    </row>
    <row r="360" spans="47:47" x14ac:dyDescent="0.25">
      <c r="AU360" s="8" t="str">
        <f>IF(TRIM($G360)="","",IF(COUNTIF(LISTS!$I$2:$I$16,TRIM($G360))&gt;0,"COUNTED",IF(COUNTIF(LISTS!$J$2:$J$16,TRIM($G360))&gt;0,"LEFT OUT","NEW")))</f>
        <v/>
      </c>
    </row>
    <row r="361" spans="47:47" x14ac:dyDescent="0.25">
      <c r="AU361" s="8" t="str">
        <f>IF(TRIM($G361)="","",IF(COUNTIF(LISTS!$I$2:$I$16,TRIM($G361))&gt;0,"COUNTED",IF(COUNTIF(LISTS!$J$2:$J$16,TRIM($G361))&gt;0,"LEFT OUT","NEW")))</f>
        <v/>
      </c>
    </row>
    <row r="362" spans="47:47" x14ac:dyDescent="0.25">
      <c r="AU362" s="8" t="str">
        <f>IF(TRIM($G362)="","",IF(COUNTIF(LISTS!$I$2:$I$16,TRIM($G362))&gt;0,"COUNTED",IF(COUNTIF(LISTS!$J$2:$J$16,TRIM($G362))&gt;0,"LEFT OUT","NEW")))</f>
        <v/>
      </c>
    </row>
    <row r="363" spans="47:47" x14ac:dyDescent="0.25">
      <c r="AU363" s="8" t="str">
        <f>IF(TRIM($G363)="","",IF(COUNTIF(LISTS!$I$2:$I$16,TRIM($G363))&gt;0,"COUNTED",IF(COUNTIF(LISTS!$J$2:$J$16,TRIM($G363))&gt;0,"LEFT OUT","NEW")))</f>
        <v/>
      </c>
    </row>
    <row r="364" spans="47:47" x14ac:dyDescent="0.25">
      <c r="AU364" s="8" t="str">
        <f>IF(TRIM($G364)="","",IF(COUNTIF(LISTS!$I$2:$I$16,TRIM($G364))&gt;0,"COUNTED",IF(COUNTIF(LISTS!$J$2:$J$16,TRIM($G364))&gt;0,"LEFT OUT","NEW")))</f>
        <v/>
      </c>
    </row>
    <row r="365" spans="47:47" x14ac:dyDescent="0.25">
      <c r="AU365" s="8" t="str">
        <f>IF(TRIM($G365)="","",IF(COUNTIF(LISTS!$I$2:$I$16,TRIM($G365))&gt;0,"COUNTED",IF(COUNTIF(LISTS!$J$2:$J$16,TRIM($G365))&gt;0,"LEFT OUT","NEW")))</f>
        <v/>
      </c>
    </row>
    <row r="366" spans="47:47" x14ac:dyDescent="0.25">
      <c r="AU366" s="8" t="str">
        <f>IF(TRIM($G366)="","",IF(COUNTIF(LISTS!$I$2:$I$16,TRIM($G366))&gt;0,"COUNTED",IF(COUNTIF(LISTS!$J$2:$J$16,TRIM($G366))&gt;0,"LEFT OUT","NEW")))</f>
        <v/>
      </c>
    </row>
    <row r="367" spans="47:47" x14ac:dyDescent="0.25">
      <c r="AU367" s="8" t="str">
        <f>IF(TRIM($G367)="","",IF(COUNTIF(LISTS!$I$2:$I$16,TRIM($G367))&gt;0,"COUNTED",IF(COUNTIF(LISTS!$J$2:$J$16,TRIM($G367))&gt;0,"LEFT OUT","NEW")))</f>
        <v/>
      </c>
    </row>
    <row r="368" spans="47:47" x14ac:dyDescent="0.25">
      <c r="AU368" s="8" t="str">
        <f>IF(TRIM($G368)="","",IF(COUNTIF(LISTS!$I$2:$I$16,TRIM($G368))&gt;0,"COUNTED",IF(COUNTIF(LISTS!$J$2:$J$16,TRIM($G368))&gt;0,"LEFT OUT","NEW")))</f>
        <v/>
      </c>
    </row>
    <row r="369" spans="47:47" x14ac:dyDescent="0.25">
      <c r="AU369" s="8" t="str">
        <f>IF(TRIM($G369)="","",IF(COUNTIF(LISTS!$I$2:$I$16,TRIM($G369))&gt;0,"COUNTED",IF(COUNTIF(LISTS!$J$2:$J$16,TRIM($G369))&gt;0,"LEFT OUT","NEW")))</f>
        <v/>
      </c>
    </row>
    <row r="370" spans="47:47" x14ac:dyDescent="0.25">
      <c r="AU370" s="8" t="str">
        <f>IF(TRIM($G370)="","",IF(COUNTIF(LISTS!$I$2:$I$16,TRIM($G370))&gt;0,"COUNTED",IF(COUNTIF(LISTS!$J$2:$J$16,TRIM($G370))&gt;0,"LEFT OUT","NEW")))</f>
        <v/>
      </c>
    </row>
    <row r="371" spans="47:47" x14ac:dyDescent="0.25">
      <c r="AU371" s="8" t="str">
        <f>IF(TRIM($G371)="","",IF(COUNTIF(LISTS!$I$2:$I$16,TRIM($G371))&gt;0,"COUNTED",IF(COUNTIF(LISTS!$J$2:$J$16,TRIM($G371))&gt;0,"LEFT OUT","NEW")))</f>
        <v/>
      </c>
    </row>
    <row r="372" spans="47:47" x14ac:dyDescent="0.25">
      <c r="AU372" s="8" t="str">
        <f>IF(TRIM($G372)="","",IF(COUNTIF(LISTS!$I$2:$I$16,TRIM($G372))&gt;0,"COUNTED",IF(COUNTIF(LISTS!$J$2:$J$16,TRIM($G372))&gt;0,"LEFT OUT","NEW")))</f>
        <v/>
      </c>
    </row>
    <row r="373" spans="47:47" x14ac:dyDescent="0.25">
      <c r="AU373" s="8" t="str">
        <f>IF(TRIM($G373)="","",IF(COUNTIF(LISTS!$I$2:$I$16,TRIM($G373))&gt;0,"COUNTED",IF(COUNTIF(LISTS!$J$2:$J$16,TRIM($G373))&gt;0,"LEFT OUT","NEW")))</f>
        <v/>
      </c>
    </row>
    <row r="374" spans="47:47" x14ac:dyDescent="0.25">
      <c r="AU374" s="8" t="str">
        <f>IF(TRIM($G374)="","",IF(COUNTIF(LISTS!$I$2:$I$16,TRIM($G374))&gt;0,"COUNTED",IF(COUNTIF(LISTS!$J$2:$J$16,TRIM($G374))&gt;0,"LEFT OUT","NEW")))</f>
        <v/>
      </c>
    </row>
    <row r="375" spans="47:47" x14ac:dyDescent="0.25">
      <c r="AU375" s="8" t="str">
        <f>IF(TRIM($G375)="","",IF(COUNTIF(LISTS!$I$2:$I$16,TRIM($G375))&gt;0,"COUNTED",IF(COUNTIF(LISTS!$J$2:$J$16,TRIM($G375))&gt;0,"LEFT OUT","NEW")))</f>
        <v/>
      </c>
    </row>
    <row r="376" spans="47:47" x14ac:dyDescent="0.25">
      <c r="AU376" s="8" t="str">
        <f>IF(TRIM($G376)="","",IF(COUNTIF(LISTS!$I$2:$I$16,TRIM($G376))&gt;0,"COUNTED",IF(COUNTIF(LISTS!$J$2:$J$16,TRIM($G376))&gt;0,"LEFT OUT","NEW")))</f>
        <v/>
      </c>
    </row>
    <row r="377" spans="47:47" x14ac:dyDescent="0.25">
      <c r="AU377" s="8" t="str">
        <f>IF(TRIM($G377)="","",IF(COUNTIF(LISTS!$I$2:$I$16,TRIM($G377))&gt;0,"COUNTED",IF(COUNTIF(LISTS!$J$2:$J$16,TRIM($G377))&gt;0,"LEFT OUT","NEW")))</f>
        <v/>
      </c>
    </row>
    <row r="378" spans="47:47" x14ac:dyDescent="0.25">
      <c r="AU378" s="8" t="str">
        <f>IF(TRIM($G378)="","",IF(COUNTIF(LISTS!$I$2:$I$16,TRIM($G378))&gt;0,"COUNTED",IF(COUNTIF(LISTS!$J$2:$J$16,TRIM($G378))&gt;0,"LEFT OUT","NEW")))</f>
        <v/>
      </c>
    </row>
    <row r="379" spans="47:47" x14ac:dyDescent="0.25">
      <c r="AU379" s="8" t="str">
        <f>IF(TRIM($G379)="","",IF(COUNTIF(LISTS!$I$2:$I$16,TRIM($G379))&gt;0,"COUNTED",IF(COUNTIF(LISTS!$J$2:$J$16,TRIM($G379))&gt;0,"LEFT OUT","NEW")))</f>
        <v/>
      </c>
    </row>
    <row r="380" spans="47:47" x14ac:dyDescent="0.25">
      <c r="AU380" s="8" t="str">
        <f>IF(TRIM($G380)="","",IF(COUNTIF(LISTS!$I$2:$I$16,TRIM($G380))&gt;0,"COUNTED",IF(COUNTIF(LISTS!$J$2:$J$16,TRIM($G380))&gt;0,"LEFT OUT","NEW")))</f>
        <v/>
      </c>
    </row>
    <row r="381" spans="47:47" x14ac:dyDescent="0.25">
      <c r="AU381" s="8" t="str">
        <f>IF(TRIM($G381)="","",IF(COUNTIF(LISTS!$I$2:$I$16,TRIM($G381))&gt;0,"COUNTED",IF(COUNTIF(LISTS!$J$2:$J$16,TRIM($G381))&gt;0,"LEFT OUT","NEW")))</f>
        <v/>
      </c>
    </row>
    <row r="382" spans="47:47" x14ac:dyDescent="0.25">
      <c r="AU382" s="8" t="str">
        <f>IF(TRIM($G382)="","",IF(COUNTIF(LISTS!$I$2:$I$16,TRIM($G382))&gt;0,"COUNTED",IF(COUNTIF(LISTS!$J$2:$J$16,TRIM($G382))&gt;0,"LEFT OUT","NEW")))</f>
        <v/>
      </c>
    </row>
    <row r="383" spans="47:47" x14ac:dyDescent="0.25">
      <c r="AU383" s="8" t="str">
        <f>IF(TRIM($G383)="","",IF(COUNTIF(LISTS!$I$2:$I$16,TRIM($G383))&gt;0,"COUNTED",IF(COUNTIF(LISTS!$J$2:$J$16,TRIM($G383))&gt;0,"LEFT OUT","NEW")))</f>
        <v/>
      </c>
    </row>
    <row r="384" spans="47:47" x14ac:dyDescent="0.25">
      <c r="AU384" s="8" t="str">
        <f>IF(TRIM($G384)="","",IF(COUNTIF(LISTS!$I$2:$I$16,TRIM($G384))&gt;0,"COUNTED",IF(COUNTIF(LISTS!$J$2:$J$16,TRIM($G384))&gt;0,"LEFT OUT","NEW")))</f>
        <v/>
      </c>
    </row>
    <row r="385" spans="47:47" x14ac:dyDescent="0.25">
      <c r="AU385" s="8" t="str">
        <f>IF(TRIM($G385)="","",IF(COUNTIF(LISTS!$I$2:$I$16,TRIM($G385))&gt;0,"COUNTED",IF(COUNTIF(LISTS!$J$2:$J$16,TRIM($G385))&gt;0,"LEFT OUT","NEW")))</f>
        <v/>
      </c>
    </row>
    <row r="386" spans="47:47" x14ac:dyDescent="0.25">
      <c r="AU386" s="8" t="str">
        <f>IF(TRIM($G386)="","",IF(COUNTIF(LISTS!$I$2:$I$16,TRIM($G386))&gt;0,"COUNTED",IF(COUNTIF(LISTS!$J$2:$J$16,TRIM($G386))&gt;0,"LEFT OUT","NEW")))</f>
        <v/>
      </c>
    </row>
    <row r="387" spans="47:47" x14ac:dyDescent="0.25">
      <c r="AU387" s="8" t="str">
        <f>IF(TRIM($G387)="","",IF(COUNTIF(LISTS!$I$2:$I$16,TRIM($G387))&gt;0,"COUNTED",IF(COUNTIF(LISTS!$J$2:$J$16,TRIM($G387))&gt;0,"LEFT OUT","NEW")))</f>
        <v/>
      </c>
    </row>
    <row r="388" spans="47:47" x14ac:dyDescent="0.25">
      <c r="AU388" s="8" t="str">
        <f>IF(TRIM($G388)="","",IF(COUNTIF(LISTS!$I$2:$I$16,TRIM($G388))&gt;0,"COUNTED",IF(COUNTIF(LISTS!$J$2:$J$16,TRIM($G388))&gt;0,"LEFT OUT","NEW")))</f>
        <v/>
      </c>
    </row>
    <row r="389" spans="47:47" x14ac:dyDescent="0.25">
      <c r="AU389" s="8" t="str">
        <f>IF(TRIM($G389)="","",IF(COUNTIF(LISTS!$I$2:$I$16,TRIM($G389))&gt;0,"COUNTED",IF(COUNTIF(LISTS!$J$2:$J$16,TRIM($G389))&gt;0,"LEFT OUT","NEW")))</f>
        <v/>
      </c>
    </row>
    <row r="390" spans="47:47" x14ac:dyDescent="0.25">
      <c r="AU390" s="8" t="str">
        <f>IF(TRIM($G390)="","",IF(COUNTIF(LISTS!$I$2:$I$16,TRIM($G390))&gt;0,"COUNTED",IF(COUNTIF(LISTS!$J$2:$J$16,TRIM($G390))&gt;0,"LEFT OUT","NEW")))</f>
        <v/>
      </c>
    </row>
    <row r="391" spans="47:47" x14ac:dyDescent="0.25">
      <c r="AU391" s="8" t="str">
        <f>IF(TRIM($G391)="","",IF(COUNTIF(LISTS!$I$2:$I$16,TRIM($G391))&gt;0,"COUNTED",IF(COUNTIF(LISTS!$J$2:$J$16,TRIM($G391))&gt;0,"LEFT OUT","NEW")))</f>
        <v/>
      </c>
    </row>
    <row r="392" spans="47:47" x14ac:dyDescent="0.25">
      <c r="AU392" s="8" t="str">
        <f>IF(TRIM($G392)="","",IF(COUNTIF(LISTS!$I$2:$I$16,TRIM($G392))&gt;0,"COUNTED",IF(COUNTIF(LISTS!$J$2:$J$16,TRIM($G392))&gt;0,"LEFT OUT","NEW")))</f>
        <v/>
      </c>
    </row>
    <row r="393" spans="47:47" x14ac:dyDescent="0.25">
      <c r="AU393" s="8" t="str">
        <f>IF(TRIM($G393)="","",IF(COUNTIF(LISTS!$I$2:$I$16,TRIM($G393))&gt;0,"COUNTED",IF(COUNTIF(LISTS!$J$2:$J$16,TRIM($G393))&gt;0,"LEFT OUT","NEW")))</f>
        <v/>
      </c>
    </row>
    <row r="394" spans="47:47" x14ac:dyDescent="0.25">
      <c r="AU394" s="8" t="str">
        <f>IF(TRIM($G394)="","",IF(COUNTIF(LISTS!$I$2:$I$16,TRIM($G394))&gt;0,"COUNTED",IF(COUNTIF(LISTS!$J$2:$J$16,TRIM($G394))&gt;0,"LEFT OUT","NEW")))</f>
        <v/>
      </c>
    </row>
    <row r="395" spans="47:47" x14ac:dyDescent="0.25">
      <c r="AU395" s="8" t="str">
        <f>IF(TRIM($G395)="","",IF(COUNTIF(LISTS!$I$2:$I$16,TRIM($G395))&gt;0,"COUNTED",IF(COUNTIF(LISTS!$J$2:$J$16,TRIM($G395))&gt;0,"LEFT OUT","NEW")))</f>
        <v/>
      </c>
    </row>
    <row r="396" spans="47:47" x14ac:dyDescent="0.25">
      <c r="AU396" s="8" t="str">
        <f>IF(TRIM($G396)="","",IF(COUNTIF(LISTS!$I$2:$I$16,TRIM($G396))&gt;0,"COUNTED",IF(COUNTIF(LISTS!$J$2:$J$16,TRIM($G396))&gt;0,"LEFT OUT","NEW")))</f>
        <v/>
      </c>
    </row>
    <row r="397" spans="47:47" x14ac:dyDescent="0.25">
      <c r="AU397" s="8" t="str">
        <f>IF(TRIM($G397)="","",IF(COUNTIF(LISTS!$I$2:$I$16,TRIM($G397))&gt;0,"COUNTED",IF(COUNTIF(LISTS!$J$2:$J$16,TRIM($G397))&gt;0,"LEFT OUT","NEW")))</f>
        <v/>
      </c>
    </row>
    <row r="398" spans="47:47" x14ac:dyDescent="0.25">
      <c r="AU398" s="8" t="str">
        <f>IF(TRIM($G398)="","",IF(COUNTIF(LISTS!$I$2:$I$16,TRIM($G398))&gt;0,"COUNTED",IF(COUNTIF(LISTS!$J$2:$J$16,TRIM($G398))&gt;0,"LEFT OUT","NEW")))</f>
        <v/>
      </c>
    </row>
    <row r="399" spans="47:47" x14ac:dyDescent="0.25">
      <c r="AU399" s="8" t="str">
        <f>IF(TRIM($G399)="","",IF(COUNTIF(LISTS!$I$2:$I$16,TRIM($G399))&gt;0,"COUNTED",IF(COUNTIF(LISTS!$J$2:$J$16,TRIM($G399))&gt;0,"LEFT OUT","NEW")))</f>
        <v/>
      </c>
    </row>
    <row r="400" spans="47:47" x14ac:dyDescent="0.25">
      <c r="AU400" s="8" t="str">
        <f>IF(TRIM($G400)="","",IF(COUNTIF(LISTS!$I$2:$I$16,TRIM($G400))&gt;0,"COUNTED",IF(COUNTIF(LISTS!$J$2:$J$16,TRIM($G400))&gt;0,"LEFT OUT","NEW")))</f>
        <v/>
      </c>
    </row>
    <row r="401" spans="47:47" x14ac:dyDescent="0.25">
      <c r="AU401" s="8" t="str">
        <f>IF(TRIM($G401)="","",IF(COUNTIF(LISTS!$I$2:$I$16,TRIM($G401))&gt;0,"COUNTED",IF(COUNTIF(LISTS!$J$2:$J$16,TRIM($G401))&gt;0,"LEFT OUT","NEW")))</f>
        <v/>
      </c>
    </row>
    <row r="402" spans="47:47" x14ac:dyDescent="0.25">
      <c r="AU402" s="8" t="str">
        <f>IF(TRIM($G402)="","",IF(COUNTIF(LISTS!$I$2:$I$16,TRIM($G402))&gt;0,"COUNTED",IF(COUNTIF(LISTS!$J$2:$J$16,TRIM($G402))&gt;0,"LEFT OUT","NEW")))</f>
        <v/>
      </c>
    </row>
    <row r="403" spans="47:47" x14ac:dyDescent="0.25">
      <c r="AU403" s="8" t="str">
        <f>IF(TRIM($G403)="","",IF(COUNTIF(LISTS!$I$2:$I$16,TRIM($G403))&gt;0,"COUNTED",IF(COUNTIF(LISTS!$J$2:$J$16,TRIM($G403))&gt;0,"LEFT OUT","NEW")))</f>
        <v/>
      </c>
    </row>
    <row r="404" spans="47:47" x14ac:dyDescent="0.25">
      <c r="AU404" s="8" t="str">
        <f>IF(TRIM($G404)="","",IF(COUNTIF(LISTS!$I$2:$I$16,TRIM($G404))&gt;0,"COUNTED",IF(COUNTIF(LISTS!$J$2:$J$16,TRIM($G404))&gt;0,"LEFT OUT","NEW")))</f>
        <v/>
      </c>
    </row>
    <row r="405" spans="47:47" x14ac:dyDescent="0.25">
      <c r="AU405" s="8" t="str">
        <f>IF(TRIM($G405)="","",IF(COUNTIF(LISTS!$I$2:$I$16,TRIM($G405))&gt;0,"COUNTED",IF(COUNTIF(LISTS!$J$2:$J$16,TRIM($G405))&gt;0,"LEFT OUT","NEW")))</f>
        <v/>
      </c>
    </row>
    <row r="406" spans="47:47" x14ac:dyDescent="0.25">
      <c r="AU406" s="8" t="str">
        <f>IF(TRIM($G406)="","",IF(COUNTIF(LISTS!$I$2:$I$16,TRIM($G406))&gt;0,"COUNTED",IF(COUNTIF(LISTS!$J$2:$J$16,TRIM($G406))&gt;0,"LEFT OUT","NEW")))</f>
        <v/>
      </c>
    </row>
    <row r="407" spans="47:47" x14ac:dyDescent="0.25">
      <c r="AU407" s="8" t="str">
        <f>IF(TRIM($G407)="","",IF(COUNTIF(LISTS!$I$2:$I$16,TRIM($G407))&gt;0,"COUNTED",IF(COUNTIF(LISTS!$J$2:$J$16,TRIM($G407))&gt;0,"LEFT OUT","NEW")))</f>
        <v/>
      </c>
    </row>
    <row r="408" spans="47:47" x14ac:dyDescent="0.25">
      <c r="AU408" s="8" t="str">
        <f>IF(TRIM($G408)="","",IF(COUNTIF(LISTS!$I$2:$I$16,TRIM($G408))&gt;0,"COUNTED",IF(COUNTIF(LISTS!$J$2:$J$16,TRIM($G408))&gt;0,"LEFT OUT","NEW")))</f>
        <v/>
      </c>
    </row>
    <row r="409" spans="47:47" x14ac:dyDescent="0.25">
      <c r="AU409" s="8" t="str">
        <f>IF(TRIM($G409)="","",IF(COUNTIF(LISTS!$I$2:$I$16,TRIM($G409))&gt;0,"COUNTED",IF(COUNTIF(LISTS!$J$2:$J$16,TRIM($G409))&gt;0,"LEFT OUT","NEW")))</f>
        <v/>
      </c>
    </row>
    <row r="410" spans="47:47" x14ac:dyDescent="0.25">
      <c r="AU410" s="8" t="str">
        <f>IF(TRIM($G410)="","",IF(COUNTIF(LISTS!$I$2:$I$16,TRIM($G410))&gt;0,"COUNTED",IF(COUNTIF(LISTS!$J$2:$J$16,TRIM($G410))&gt;0,"LEFT OUT","NEW")))</f>
        <v/>
      </c>
    </row>
    <row r="411" spans="47:47" x14ac:dyDescent="0.25">
      <c r="AU411" s="8" t="str">
        <f>IF(TRIM($G411)="","",IF(COUNTIF(LISTS!$I$2:$I$16,TRIM($G411))&gt;0,"COUNTED",IF(COUNTIF(LISTS!$J$2:$J$16,TRIM($G411))&gt;0,"LEFT OUT","NEW")))</f>
        <v/>
      </c>
    </row>
    <row r="412" spans="47:47" x14ac:dyDescent="0.25">
      <c r="AU412" s="8" t="str">
        <f>IF(TRIM($G412)="","",IF(COUNTIF(LISTS!$I$2:$I$16,TRIM($G412))&gt;0,"COUNTED",IF(COUNTIF(LISTS!$J$2:$J$16,TRIM($G412))&gt;0,"LEFT OUT","NEW")))</f>
        <v/>
      </c>
    </row>
    <row r="413" spans="47:47" x14ac:dyDescent="0.25">
      <c r="AU413" s="8" t="str">
        <f>IF(TRIM($G413)="","",IF(COUNTIF(LISTS!$I$2:$I$16,TRIM($G413))&gt;0,"COUNTED",IF(COUNTIF(LISTS!$J$2:$J$16,TRIM($G413))&gt;0,"LEFT OUT","NEW")))</f>
        <v/>
      </c>
    </row>
    <row r="414" spans="47:47" x14ac:dyDescent="0.25">
      <c r="AU414" s="8" t="str">
        <f>IF(TRIM($G414)="","",IF(COUNTIF(LISTS!$I$2:$I$16,TRIM($G414))&gt;0,"COUNTED",IF(COUNTIF(LISTS!$J$2:$J$16,TRIM($G414))&gt;0,"LEFT OUT","NEW")))</f>
        <v/>
      </c>
    </row>
    <row r="415" spans="47:47" x14ac:dyDescent="0.25">
      <c r="AU415" s="8" t="str">
        <f>IF(TRIM($G415)="","",IF(COUNTIF(LISTS!$I$2:$I$16,TRIM($G415))&gt;0,"COUNTED",IF(COUNTIF(LISTS!$J$2:$J$16,TRIM($G415))&gt;0,"LEFT OUT","NEW")))</f>
        <v/>
      </c>
    </row>
    <row r="416" spans="47:47" x14ac:dyDescent="0.25">
      <c r="AU416" s="8" t="str">
        <f>IF(TRIM($G416)="","",IF(COUNTIF(LISTS!$I$2:$I$16,TRIM($G416))&gt;0,"COUNTED",IF(COUNTIF(LISTS!$J$2:$J$16,TRIM($G416))&gt;0,"LEFT OUT","NEW")))</f>
        <v/>
      </c>
    </row>
    <row r="417" spans="47:47" x14ac:dyDescent="0.25">
      <c r="AU417" s="8" t="str">
        <f>IF(TRIM($G417)="","",IF(COUNTIF(LISTS!$I$2:$I$16,TRIM($G417))&gt;0,"COUNTED",IF(COUNTIF(LISTS!$J$2:$J$16,TRIM($G417))&gt;0,"LEFT OUT","NEW")))</f>
        <v/>
      </c>
    </row>
    <row r="418" spans="47:47" x14ac:dyDescent="0.25">
      <c r="AU418" s="8" t="str">
        <f>IF(TRIM($G418)="","",IF(COUNTIF(LISTS!$I$2:$I$16,TRIM($G418))&gt;0,"COUNTED",IF(COUNTIF(LISTS!$J$2:$J$16,TRIM($G418))&gt;0,"LEFT OUT","NEW")))</f>
        <v/>
      </c>
    </row>
    <row r="419" spans="47:47" x14ac:dyDescent="0.25">
      <c r="AU419" s="8" t="str">
        <f>IF(TRIM($G419)="","",IF(COUNTIF(LISTS!$I$2:$I$16,TRIM($G419))&gt;0,"COUNTED",IF(COUNTIF(LISTS!$J$2:$J$16,TRIM($G419))&gt;0,"LEFT OUT","NEW")))</f>
        <v/>
      </c>
    </row>
    <row r="420" spans="47:47" x14ac:dyDescent="0.25">
      <c r="AU420" s="8" t="str">
        <f>IF(TRIM($G420)="","",IF(COUNTIF(LISTS!$I$2:$I$16,TRIM($G420))&gt;0,"COUNTED",IF(COUNTIF(LISTS!$J$2:$J$16,TRIM($G420))&gt;0,"LEFT OUT","NEW")))</f>
        <v/>
      </c>
    </row>
    <row r="421" spans="47:47" x14ac:dyDescent="0.25">
      <c r="AU421" s="8" t="str">
        <f>IF(TRIM($G421)="","",IF(COUNTIF(LISTS!$I$2:$I$16,TRIM($G421))&gt;0,"COUNTED",IF(COUNTIF(LISTS!$J$2:$J$16,TRIM($G421))&gt;0,"LEFT OUT","NEW")))</f>
        <v/>
      </c>
    </row>
    <row r="422" spans="47:47" x14ac:dyDescent="0.25">
      <c r="AU422" s="8" t="str">
        <f>IF(TRIM($G422)="","",IF(COUNTIF(LISTS!$I$2:$I$16,TRIM($G422))&gt;0,"COUNTED",IF(COUNTIF(LISTS!$J$2:$J$16,TRIM($G422))&gt;0,"LEFT OUT","NEW")))</f>
        <v/>
      </c>
    </row>
    <row r="423" spans="47:47" x14ac:dyDescent="0.25">
      <c r="AU423" s="8" t="str">
        <f>IF(TRIM($G423)="","",IF(COUNTIF(LISTS!$I$2:$I$16,TRIM($G423))&gt;0,"COUNTED",IF(COUNTIF(LISTS!$J$2:$J$16,TRIM($G423))&gt;0,"LEFT OUT","NEW")))</f>
        <v/>
      </c>
    </row>
    <row r="424" spans="47:47" x14ac:dyDescent="0.25">
      <c r="AU424" s="8" t="str">
        <f>IF(TRIM($G424)="","",IF(COUNTIF(LISTS!$I$2:$I$16,TRIM($G424))&gt;0,"COUNTED",IF(COUNTIF(LISTS!$J$2:$J$16,TRIM($G424))&gt;0,"LEFT OUT","NEW")))</f>
        <v/>
      </c>
    </row>
    <row r="425" spans="47:47" x14ac:dyDescent="0.25">
      <c r="AU425" s="8" t="str">
        <f>IF(TRIM($G425)="","",IF(COUNTIF(LISTS!$I$2:$I$16,TRIM($G425))&gt;0,"COUNTED",IF(COUNTIF(LISTS!$J$2:$J$16,TRIM($G425))&gt;0,"LEFT OUT","NEW")))</f>
        <v/>
      </c>
    </row>
    <row r="426" spans="47:47" x14ac:dyDescent="0.25">
      <c r="AU426" s="8" t="str">
        <f>IF(TRIM($G426)="","",IF(COUNTIF(LISTS!$I$2:$I$16,TRIM($G426))&gt;0,"COUNTED",IF(COUNTIF(LISTS!$J$2:$J$16,TRIM($G426))&gt;0,"LEFT OUT","NEW")))</f>
        <v/>
      </c>
    </row>
    <row r="427" spans="47:47" x14ac:dyDescent="0.25">
      <c r="AU427" s="8" t="str">
        <f>IF(TRIM($G427)="","",IF(COUNTIF(LISTS!$I$2:$I$16,TRIM($G427))&gt;0,"COUNTED",IF(COUNTIF(LISTS!$J$2:$J$16,TRIM($G427))&gt;0,"LEFT OUT","NEW")))</f>
        <v/>
      </c>
    </row>
    <row r="428" spans="47:47" x14ac:dyDescent="0.25">
      <c r="AU428" s="8" t="str">
        <f>IF(TRIM($G428)="","",IF(COUNTIF(LISTS!$I$2:$I$16,TRIM($G428))&gt;0,"COUNTED",IF(COUNTIF(LISTS!$J$2:$J$16,TRIM($G428))&gt;0,"LEFT OUT","NEW")))</f>
        <v/>
      </c>
    </row>
    <row r="429" spans="47:47" x14ac:dyDescent="0.25">
      <c r="AU429" s="8" t="str">
        <f>IF(TRIM($G429)="","",IF(COUNTIF(LISTS!$I$2:$I$16,TRIM($G429))&gt;0,"COUNTED",IF(COUNTIF(LISTS!$J$2:$J$16,TRIM($G429))&gt;0,"LEFT OUT","NEW")))</f>
        <v/>
      </c>
    </row>
    <row r="430" spans="47:47" x14ac:dyDescent="0.25">
      <c r="AU430" s="8" t="str">
        <f>IF(TRIM($G430)="","",IF(COUNTIF(LISTS!$I$2:$I$16,TRIM($G430))&gt;0,"COUNTED",IF(COUNTIF(LISTS!$J$2:$J$16,TRIM($G430))&gt;0,"LEFT OUT","NEW")))</f>
        <v/>
      </c>
    </row>
    <row r="431" spans="47:47" x14ac:dyDescent="0.25">
      <c r="AU431" s="8" t="str">
        <f>IF(TRIM($G431)="","",IF(COUNTIF(LISTS!$I$2:$I$16,TRIM($G431))&gt;0,"COUNTED",IF(COUNTIF(LISTS!$J$2:$J$16,TRIM($G431))&gt;0,"LEFT OUT","NEW")))</f>
        <v/>
      </c>
    </row>
    <row r="432" spans="47:47" x14ac:dyDescent="0.25">
      <c r="AU432" s="8" t="str">
        <f>IF(TRIM($G432)="","",IF(COUNTIF(LISTS!$I$2:$I$16,TRIM($G432))&gt;0,"COUNTED",IF(COUNTIF(LISTS!$J$2:$J$16,TRIM($G432))&gt;0,"LEFT OUT","NEW")))</f>
        <v/>
      </c>
    </row>
    <row r="433" spans="47:47" x14ac:dyDescent="0.25">
      <c r="AU433" s="8" t="str">
        <f>IF(TRIM($G433)="","",IF(COUNTIF(LISTS!$I$2:$I$16,TRIM($G433))&gt;0,"COUNTED",IF(COUNTIF(LISTS!$J$2:$J$16,TRIM($G433))&gt;0,"LEFT OUT","NEW")))</f>
        <v/>
      </c>
    </row>
    <row r="434" spans="47:47" x14ac:dyDescent="0.25">
      <c r="AU434" s="8" t="str">
        <f>IF(TRIM($G434)="","",IF(COUNTIF(LISTS!$I$2:$I$16,TRIM($G434))&gt;0,"COUNTED",IF(COUNTIF(LISTS!$J$2:$J$16,TRIM($G434))&gt;0,"LEFT OUT","NEW")))</f>
        <v/>
      </c>
    </row>
    <row r="435" spans="47:47" x14ac:dyDescent="0.25">
      <c r="AU435" s="8" t="str">
        <f>IF(TRIM($G435)="","",IF(COUNTIF(LISTS!$I$2:$I$16,TRIM($G435))&gt;0,"COUNTED",IF(COUNTIF(LISTS!$J$2:$J$16,TRIM($G435))&gt;0,"LEFT OUT","NEW")))</f>
        <v/>
      </c>
    </row>
    <row r="436" spans="47:47" x14ac:dyDescent="0.25">
      <c r="AU436" s="8" t="str">
        <f>IF(TRIM($G436)="","",IF(COUNTIF(LISTS!$I$2:$I$16,TRIM($G436))&gt;0,"COUNTED",IF(COUNTIF(LISTS!$J$2:$J$16,TRIM($G436))&gt;0,"LEFT OUT","NEW")))</f>
        <v/>
      </c>
    </row>
    <row r="437" spans="47:47" x14ac:dyDescent="0.25">
      <c r="AU437" s="8" t="str">
        <f>IF(TRIM($G437)="","",IF(COUNTIF(LISTS!$I$2:$I$16,TRIM($G437))&gt;0,"COUNTED",IF(COUNTIF(LISTS!$J$2:$J$16,TRIM($G437))&gt;0,"LEFT OUT","NEW")))</f>
        <v/>
      </c>
    </row>
    <row r="438" spans="47:47" x14ac:dyDescent="0.25">
      <c r="AU438" s="8" t="str">
        <f>IF(TRIM($G438)="","",IF(COUNTIF(LISTS!$I$2:$I$16,TRIM($G438))&gt;0,"COUNTED",IF(COUNTIF(LISTS!$J$2:$J$16,TRIM($G438))&gt;0,"LEFT OUT","NEW")))</f>
        <v/>
      </c>
    </row>
    <row r="439" spans="47:47" x14ac:dyDescent="0.25">
      <c r="AU439" s="8" t="str">
        <f>IF(TRIM($G439)="","",IF(COUNTIF(LISTS!$I$2:$I$16,TRIM($G439))&gt;0,"COUNTED",IF(COUNTIF(LISTS!$J$2:$J$16,TRIM($G439))&gt;0,"LEFT OUT","NEW")))</f>
        <v/>
      </c>
    </row>
    <row r="440" spans="47:47" x14ac:dyDescent="0.25">
      <c r="AU440" s="8" t="str">
        <f>IF(TRIM($G440)="","",IF(COUNTIF(LISTS!$I$2:$I$16,TRIM($G440))&gt;0,"COUNTED",IF(COUNTIF(LISTS!$J$2:$J$16,TRIM($G440))&gt;0,"LEFT OUT","NEW")))</f>
        <v/>
      </c>
    </row>
    <row r="441" spans="47:47" x14ac:dyDescent="0.25">
      <c r="AU441" s="8" t="str">
        <f>IF(TRIM($G441)="","",IF(COUNTIF(LISTS!$I$2:$I$16,TRIM($G441))&gt;0,"COUNTED",IF(COUNTIF(LISTS!$J$2:$J$16,TRIM($G441))&gt;0,"LEFT OUT","NEW")))</f>
        <v/>
      </c>
    </row>
    <row r="442" spans="47:47" x14ac:dyDescent="0.25">
      <c r="AU442" s="8" t="str">
        <f>IF(TRIM($G442)="","",IF(COUNTIF(LISTS!$I$2:$I$16,TRIM($G442))&gt;0,"COUNTED",IF(COUNTIF(LISTS!$J$2:$J$16,TRIM($G442))&gt;0,"LEFT OUT","NEW")))</f>
        <v/>
      </c>
    </row>
    <row r="443" spans="47:47" x14ac:dyDescent="0.25">
      <c r="AU443" s="8" t="str">
        <f>IF(TRIM($G443)="","",IF(COUNTIF(LISTS!$I$2:$I$16,TRIM($G443))&gt;0,"COUNTED",IF(COUNTIF(LISTS!$J$2:$J$16,TRIM($G443))&gt;0,"LEFT OUT","NEW")))</f>
        <v/>
      </c>
    </row>
    <row r="444" spans="47:47" x14ac:dyDescent="0.25">
      <c r="AU444" s="8" t="str">
        <f>IF(TRIM($G444)="","",IF(COUNTIF(LISTS!$I$2:$I$16,TRIM($G444))&gt;0,"COUNTED",IF(COUNTIF(LISTS!$J$2:$J$16,TRIM($G444))&gt;0,"LEFT OUT","NEW")))</f>
        <v/>
      </c>
    </row>
    <row r="445" spans="47:47" x14ac:dyDescent="0.25">
      <c r="AU445" s="8" t="str">
        <f>IF(TRIM($G445)="","",IF(COUNTIF(LISTS!$I$2:$I$16,TRIM($G445))&gt;0,"COUNTED",IF(COUNTIF(LISTS!$J$2:$J$16,TRIM($G445))&gt;0,"LEFT OUT","NEW")))</f>
        <v/>
      </c>
    </row>
    <row r="446" spans="47:47" x14ac:dyDescent="0.25">
      <c r="AU446" s="8" t="str">
        <f>IF(TRIM($G446)="","",IF(COUNTIF(LISTS!$I$2:$I$16,TRIM($G446))&gt;0,"COUNTED",IF(COUNTIF(LISTS!$J$2:$J$16,TRIM($G446))&gt;0,"LEFT OUT","NEW")))</f>
        <v/>
      </c>
    </row>
    <row r="447" spans="47:47" x14ac:dyDescent="0.25">
      <c r="AU447" s="8" t="str">
        <f>IF(TRIM($G447)="","",IF(COUNTIF(LISTS!$I$2:$I$16,TRIM($G447))&gt;0,"COUNTED",IF(COUNTIF(LISTS!$J$2:$J$16,TRIM($G447))&gt;0,"LEFT OUT","NEW")))</f>
        <v/>
      </c>
    </row>
    <row r="448" spans="47:47" x14ac:dyDescent="0.25">
      <c r="AU448" s="8" t="str">
        <f>IF(TRIM($G448)="","",IF(COUNTIF(LISTS!$I$2:$I$16,TRIM($G448))&gt;0,"COUNTED",IF(COUNTIF(LISTS!$J$2:$J$16,TRIM($G448))&gt;0,"LEFT OUT","NEW")))</f>
        <v/>
      </c>
    </row>
    <row r="449" spans="47:47" x14ac:dyDescent="0.25">
      <c r="AU449" s="8" t="str">
        <f>IF(TRIM($G449)="","",IF(COUNTIF(LISTS!$I$2:$I$16,TRIM($G449))&gt;0,"COUNTED",IF(COUNTIF(LISTS!$J$2:$J$16,TRIM($G449))&gt;0,"LEFT OUT","NEW")))</f>
        <v/>
      </c>
    </row>
    <row r="450" spans="47:47" x14ac:dyDescent="0.25">
      <c r="AU450" s="8" t="str">
        <f>IF(TRIM($G450)="","",IF(COUNTIF(LISTS!$I$2:$I$16,TRIM($G450))&gt;0,"COUNTED",IF(COUNTIF(LISTS!$J$2:$J$16,TRIM($G450))&gt;0,"LEFT OUT","NEW")))</f>
        <v/>
      </c>
    </row>
    <row r="451" spans="47:47" x14ac:dyDescent="0.25">
      <c r="AU451" s="8" t="str">
        <f>IF(TRIM($G451)="","",IF(COUNTIF(LISTS!$I$2:$I$16,TRIM($G451))&gt;0,"COUNTED",IF(COUNTIF(LISTS!$J$2:$J$16,TRIM($G451))&gt;0,"LEFT OUT","NEW")))</f>
        <v/>
      </c>
    </row>
    <row r="452" spans="47:47" x14ac:dyDescent="0.25">
      <c r="AU452" s="8" t="str">
        <f>IF(TRIM($G452)="","",IF(COUNTIF(LISTS!$I$2:$I$16,TRIM($G452))&gt;0,"COUNTED",IF(COUNTIF(LISTS!$J$2:$J$16,TRIM($G452))&gt;0,"LEFT OUT","NEW")))</f>
        <v/>
      </c>
    </row>
    <row r="453" spans="47:47" x14ac:dyDescent="0.25">
      <c r="AU453" s="8" t="str">
        <f>IF(TRIM($G453)="","",IF(COUNTIF(LISTS!$I$2:$I$16,TRIM($G453))&gt;0,"COUNTED",IF(COUNTIF(LISTS!$J$2:$J$16,TRIM($G453))&gt;0,"LEFT OUT","NEW")))</f>
        <v/>
      </c>
    </row>
    <row r="454" spans="47:47" x14ac:dyDescent="0.25">
      <c r="AU454" s="8" t="str">
        <f>IF(TRIM($G454)="","",IF(COUNTIF(LISTS!$I$2:$I$16,TRIM($G454))&gt;0,"COUNTED",IF(COUNTIF(LISTS!$J$2:$J$16,TRIM($G454))&gt;0,"LEFT OUT","NEW")))</f>
        <v/>
      </c>
    </row>
    <row r="455" spans="47:47" x14ac:dyDescent="0.25">
      <c r="AU455" s="8" t="str">
        <f>IF(TRIM($G455)="","",IF(COUNTIF(LISTS!$I$2:$I$16,TRIM($G455))&gt;0,"COUNTED",IF(COUNTIF(LISTS!$J$2:$J$16,TRIM($G455))&gt;0,"LEFT OUT","NEW")))</f>
        <v/>
      </c>
    </row>
    <row r="456" spans="47:47" x14ac:dyDescent="0.25">
      <c r="AU456" s="8" t="str">
        <f>IF(TRIM($G456)="","",IF(COUNTIF(LISTS!$I$2:$I$16,TRIM($G456))&gt;0,"COUNTED",IF(COUNTIF(LISTS!$J$2:$J$16,TRIM($G456))&gt;0,"LEFT OUT","NEW")))</f>
        <v/>
      </c>
    </row>
    <row r="457" spans="47:47" x14ac:dyDescent="0.25">
      <c r="AU457" s="8" t="str">
        <f>IF(TRIM($G457)="","",IF(COUNTIF(LISTS!$I$2:$I$16,TRIM($G457))&gt;0,"COUNTED",IF(COUNTIF(LISTS!$J$2:$J$16,TRIM($G457))&gt;0,"LEFT OUT","NEW")))</f>
        <v/>
      </c>
    </row>
    <row r="458" spans="47:47" x14ac:dyDescent="0.25">
      <c r="AU458" s="8" t="str">
        <f>IF(TRIM($G458)="","",IF(COUNTIF(LISTS!$I$2:$I$16,TRIM($G458))&gt;0,"COUNTED",IF(COUNTIF(LISTS!$J$2:$J$16,TRIM($G458))&gt;0,"LEFT OUT","NEW")))</f>
        <v/>
      </c>
    </row>
    <row r="459" spans="47:47" x14ac:dyDescent="0.25">
      <c r="AU459" s="8" t="str">
        <f>IF(TRIM($G459)="","",IF(COUNTIF(LISTS!$I$2:$I$16,TRIM($G459))&gt;0,"COUNTED",IF(COUNTIF(LISTS!$J$2:$J$16,TRIM($G459))&gt;0,"LEFT OUT","NEW")))</f>
        <v/>
      </c>
    </row>
    <row r="460" spans="47:47" x14ac:dyDescent="0.25">
      <c r="AU460" s="8" t="str">
        <f>IF(TRIM($G460)="","",IF(COUNTIF(LISTS!$I$2:$I$16,TRIM($G460))&gt;0,"COUNTED",IF(COUNTIF(LISTS!$J$2:$J$16,TRIM($G460))&gt;0,"LEFT OUT","NEW")))</f>
        <v/>
      </c>
    </row>
    <row r="461" spans="47:47" x14ac:dyDescent="0.25">
      <c r="AU461" s="8" t="str">
        <f>IF(TRIM($G461)="","",IF(COUNTIF(LISTS!$I$2:$I$16,TRIM($G461))&gt;0,"COUNTED",IF(COUNTIF(LISTS!$J$2:$J$16,TRIM($G461))&gt;0,"LEFT OUT","NEW")))</f>
        <v/>
      </c>
    </row>
    <row r="462" spans="47:47" x14ac:dyDescent="0.25">
      <c r="AU462" s="8" t="str">
        <f>IF(TRIM($G462)="","",IF(COUNTIF(LISTS!$I$2:$I$16,TRIM($G462))&gt;0,"COUNTED",IF(COUNTIF(LISTS!$J$2:$J$16,TRIM($G462))&gt;0,"LEFT OUT","NEW")))</f>
        <v/>
      </c>
    </row>
    <row r="463" spans="47:47" x14ac:dyDescent="0.25">
      <c r="AU463" s="8" t="str">
        <f>IF(TRIM($G463)="","",IF(COUNTIF(LISTS!$I$2:$I$16,TRIM($G463))&gt;0,"COUNTED",IF(COUNTIF(LISTS!$J$2:$J$16,TRIM($G463))&gt;0,"LEFT OUT","NEW")))</f>
        <v/>
      </c>
    </row>
    <row r="464" spans="47:47" x14ac:dyDescent="0.25">
      <c r="AU464" s="8" t="str">
        <f>IF(TRIM($G464)="","",IF(COUNTIF(LISTS!$I$2:$I$16,TRIM($G464))&gt;0,"COUNTED",IF(COUNTIF(LISTS!$J$2:$J$16,TRIM($G464))&gt;0,"LEFT OUT","NEW")))</f>
        <v/>
      </c>
    </row>
    <row r="465" spans="47:47" x14ac:dyDescent="0.25">
      <c r="AU465" s="8" t="str">
        <f>IF(TRIM($G465)="","",IF(COUNTIF(LISTS!$I$2:$I$16,TRIM($G465))&gt;0,"COUNTED",IF(COUNTIF(LISTS!$J$2:$J$16,TRIM($G465))&gt;0,"LEFT OUT","NEW")))</f>
        <v/>
      </c>
    </row>
    <row r="466" spans="47:47" x14ac:dyDescent="0.25">
      <c r="AU466" s="8" t="str">
        <f>IF(TRIM($G466)="","",IF(COUNTIF(LISTS!$I$2:$I$16,TRIM($G466))&gt;0,"COUNTED",IF(COUNTIF(LISTS!$J$2:$J$16,TRIM($G466))&gt;0,"LEFT OUT","NEW")))</f>
        <v/>
      </c>
    </row>
    <row r="467" spans="47:47" x14ac:dyDescent="0.25">
      <c r="AU467" s="8" t="str">
        <f>IF(TRIM($G467)="","",IF(COUNTIF(LISTS!$I$2:$I$16,TRIM($G467))&gt;0,"COUNTED",IF(COUNTIF(LISTS!$J$2:$J$16,TRIM($G467))&gt;0,"LEFT OUT","NEW")))</f>
        <v/>
      </c>
    </row>
    <row r="468" spans="47:47" x14ac:dyDescent="0.25">
      <c r="AU468" s="8" t="str">
        <f>IF(TRIM($G468)="","",IF(COUNTIF(LISTS!$I$2:$I$16,TRIM($G468))&gt;0,"COUNTED",IF(COUNTIF(LISTS!$J$2:$J$16,TRIM($G468))&gt;0,"LEFT OUT","NEW")))</f>
        <v/>
      </c>
    </row>
    <row r="469" spans="47:47" x14ac:dyDescent="0.25">
      <c r="AU469" s="8" t="str">
        <f>IF(TRIM($G469)="","",IF(COUNTIF(LISTS!$I$2:$I$16,TRIM($G469))&gt;0,"COUNTED",IF(COUNTIF(LISTS!$J$2:$J$16,TRIM($G469))&gt;0,"LEFT OUT","NEW")))</f>
        <v/>
      </c>
    </row>
    <row r="470" spans="47:47" x14ac:dyDescent="0.25">
      <c r="AU470" s="8" t="str">
        <f>IF(TRIM($G470)="","",IF(COUNTIF(LISTS!$I$2:$I$16,TRIM($G470))&gt;0,"COUNTED",IF(COUNTIF(LISTS!$J$2:$J$16,TRIM($G470))&gt;0,"LEFT OUT","NEW")))</f>
        <v/>
      </c>
    </row>
    <row r="471" spans="47:47" x14ac:dyDescent="0.25">
      <c r="AU471" s="8" t="str">
        <f>IF(TRIM($G471)="","",IF(COUNTIF(LISTS!$I$2:$I$16,TRIM($G471))&gt;0,"COUNTED",IF(COUNTIF(LISTS!$J$2:$J$16,TRIM($G471))&gt;0,"LEFT OUT","NEW")))</f>
        <v/>
      </c>
    </row>
    <row r="472" spans="47:47" x14ac:dyDescent="0.25">
      <c r="AU472" s="8" t="str">
        <f>IF(TRIM($G472)="","",IF(COUNTIF(LISTS!$I$2:$I$16,TRIM($G472))&gt;0,"COUNTED",IF(COUNTIF(LISTS!$J$2:$J$16,TRIM($G472))&gt;0,"LEFT OUT","NEW")))</f>
        <v/>
      </c>
    </row>
    <row r="473" spans="47:47" x14ac:dyDescent="0.25">
      <c r="AU473" s="8" t="str">
        <f>IF(TRIM($G473)="","",IF(COUNTIF(LISTS!$I$2:$I$16,TRIM($G473))&gt;0,"COUNTED",IF(COUNTIF(LISTS!$J$2:$J$16,TRIM($G473))&gt;0,"LEFT OUT","NEW")))</f>
        <v/>
      </c>
    </row>
    <row r="474" spans="47:47" x14ac:dyDescent="0.25">
      <c r="AU474" s="8" t="str">
        <f>IF(TRIM($G474)="","",IF(COUNTIF(LISTS!$I$2:$I$16,TRIM($G474))&gt;0,"COUNTED",IF(COUNTIF(LISTS!$J$2:$J$16,TRIM($G474))&gt;0,"LEFT OUT","NEW")))</f>
        <v/>
      </c>
    </row>
    <row r="475" spans="47:47" x14ac:dyDescent="0.25">
      <c r="AU475" s="8" t="str">
        <f>IF(TRIM($G475)="","",IF(COUNTIF(LISTS!$I$2:$I$16,TRIM($G475))&gt;0,"COUNTED",IF(COUNTIF(LISTS!$J$2:$J$16,TRIM($G475))&gt;0,"LEFT OUT","NEW")))</f>
        <v/>
      </c>
    </row>
    <row r="476" spans="47:47" x14ac:dyDescent="0.25">
      <c r="AU476" s="8" t="str">
        <f>IF(TRIM($G476)="","",IF(COUNTIF(LISTS!$I$2:$I$16,TRIM($G476))&gt;0,"COUNTED",IF(COUNTIF(LISTS!$J$2:$J$16,TRIM($G476))&gt;0,"LEFT OUT","NEW")))</f>
        <v/>
      </c>
    </row>
    <row r="477" spans="47:47" x14ac:dyDescent="0.25">
      <c r="AU477" s="8" t="str">
        <f>IF(TRIM($G477)="","",IF(COUNTIF(LISTS!$I$2:$I$16,TRIM($G477))&gt;0,"COUNTED",IF(COUNTIF(LISTS!$J$2:$J$16,TRIM($G477))&gt;0,"LEFT OUT","NEW")))</f>
        <v/>
      </c>
    </row>
    <row r="478" spans="47:47" x14ac:dyDescent="0.25">
      <c r="AU478" s="8" t="str">
        <f>IF(TRIM($G478)="","",IF(COUNTIF(LISTS!$I$2:$I$16,TRIM($G478))&gt;0,"COUNTED",IF(COUNTIF(LISTS!$J$2:$J$16,TRIM($G478))&gt;0,"LEFT OUT","NEW")))</f>
        <v/>
      </c>
    </row>
    <row r="479" spans="47:47" x14ac:dyDescent="0.25">
      <c r="AU479" s="8" t="str">
        <f>IF(TRIM($G479)="","",IF(COUNTIF(LISTS!$I$2:$I$16,TRIM($G479))&gt;0,"COUNTED",IF(COUNTIF(LISTS!$J$2:$J$16,TRIM($G479))&gt;0,"LEFT OUT","NEW")))</f>
        <v/>
      </c>
    </row>
    <row r="480" spans="47:47" x14ac:dyDescent="0.25">
      <c r="AU480" s="8" t="str">
        <f>IF(TRIM($G480)="","",IF(COUNTIF(LISTS!$I$2:$I$16,TRIM($G480))&gt;0,"COUNTED",IF(COUNTIF(LISTS!$J$2:$J$16,TRIM($G480))&gt;0,"LEFT OUT","NEW")))</f>
        <v/>
      </c>
    </row>
    <row r="481" spans="47:47" x14ac:dyDescent="0.25">
      <c r="AU481" s="8" t="str">
        <f>IF(TRIM($G481)="","",IF(COUNTIF(LISTS!$I$2:$I$16,TRIM($G481))&gt;0,"COUNTED",IF(COUNTIF(LISTS!$J$2:$J$16,TRIM($G481))&gt;0,"LEFT OUT","NEW")))</f>
        <v/>
      </c>
    </row>
    <row r="482" spans="47:47" x14ac:dyDescent="0.25">
      <c r="AU482" s="8" t="str">
        <f>IF(TRIM($G482)="","",IF(COUNTIF(LISTS!$I$2:$I$16,TRIM($G482))&gt;0,"COUNTED",IF(COUNTIF(LISTS!$J$2:$J$16,TRIM($G482))&gt;0,"LEFT OUT","NEW")))</f>
        <v/>
      </c>
    </row>
    <row r="483" spans="47:47" x14ac:dyDescent="0.25">
      <c r="AU483" s="8" t="str">
        <f>IF(TRIM($G483)="","",IF(COUNTIF(LISTS!$I$2:$I$16,TRIM($G483))&gt;0,"COUNTED",IF(COUNTIF(LISTS!$J$2:$J$16,TRIM($G483))&gt;0,"LEFT OUT","NEW")))</f>
        <v/>
      </c>
    </row>
    <row r="484" spans="47:47" x14ac:dyDescent="0.25">
      <c r="AU484" s="8" t="str">
        <f>IF(TRIM($G484)="","",IF(COUNTIF(LISTS!$I$2:$I$16,TRIM($G484))&gt;0,"COUNTED",IF(COUNTIF(LISTS!$J$2:$J$16,TRIM($G484))&gt;0,"LEFT OUT","NEW")))</f>
        <v/>
      </c>
    </row>
    <row r="485" spans="47:47" x14ac:dyDescent="0.25">
      <c r="AU485" s="8" t="str">
        <f>IF(TRIM($G485)="","",IF(COUNTIF(LISTS!$I$2:$I$16,TRIM($G485))&gt;0,"COUNTED",IF(COUNTIF(LISTS!$J$2:$J$16,TRIM($G485))&gt;0,"LEFT OUT","NEW")))</f>
        <v/>
      </c>
    </row>
    <row r="486" spans="47:47" x14ac:dyDescent="0.25">
      <c r="AU486" s="8" t="str">
        <f>IF(TRIM($G486)="","",IF(COUNTIF(LISTS!$I$2:$I$16,TRIM($G486))&gt;0,"COUNTED",IF(COUNTIF(LISTS!$J$2:$J$16,TRIM($G486))&gt;0,"LEFT OUT","NEW")))</f>
        <v/>
      </c>
    </row>
    <row r="487" spans="47:47" x14ac:dyDescent="0.25">
      <c r="AU487" s="8" t="str">
        <f>IF(TRIM($G487)="","",IF(COUNTIF(LISTS!$I$2:$I$16,TRIM($G487))&gt;0,"COUNTED",IF(COUNTIF(LISTS!$J$2:$J$16,TRIM($G487))&gt;0,"LEFT OUT","NEW")))</f>
        <v/>
      </c>
    </row>
    <row r="488" spans="47:47" x14ac:dyDescent="0.25">
      <c r="AU488" s="8" t="str">
        <f>IF(TRIM($G488)="","",IF(COUNTIF(LISTS!$I$2:$I$16,TRIM($G488))&gt;0,"COUNTED",IF(COUNTIF(LISTS!$J$2:$J$16,TRIM($G488))&gt;0,"LEFT OUT","NEW")))</f>
        <v/>
      </c>
    </row>
    <row r="489" spans="47:47" x14ac:dyDescent="0.25">
      <c r="AU489" s="8" t="str">
        <f>IF(TRIM($G489)="","",IF(COUNTIF(LISTS!$I$2:$I$16,TRIM($G489))&gt;0,"COUNTED",IF(COUNTIF(LISTS!$J$2:$J$16,TRIM($G489))&gt;0,"LEFT OUT","NEW")))</f>
        <v/>
      </c>
    </row>
    <row r="490" spans="47:47" x14ac:dyDescent="0.25">
      <c r="AU490" s="8" t="str">
        <f>IF(TRIM($G490)="","",IF(COUNTIF(LISTS!$I$2:$I$16,TRIM($G490))&gt;0,"COUNTED",IF(COUNTIF(LISTS!$J$2:$J$16,TRIM($G490))&gt;0,"LEFT OUT","NEW")))</f>
        <v/>
      </c>
    </row>
    <row r="491" spans="47:47" x14ac:dyDescent="0.25">
      <c r="AU491" s="8" t="str">
        <f>IF(TRIM($G491)="","",IF(COUNTIF(LISTS!$I$2:$I$16,TRIM($G491))&gt;0,"COUNTED",IF(COUNTIF(LISTS!$J$2:$J$16,TRIM($G491))&gt;0,"LEFT OUT","NEW")))</f>
        <v/>
      </c>
    </row>
    <row r="492" spans="47:47" x14ac:dyDescent="0.25">
      <c r="AU492" s="8" t="str">
        <f>IF(TRIM($G492)="","",IF(COUNTIF(LISTS!$I$2:$I$16,TRIM($G492))&gt;0,"COUNTED",IF(COUNTIF(LISTS!$J$2:$J$16,TRIM($G492))&gt;0,"LEFT OUT","NEW")))</f>
        <v/>
      </c>
    </row>
    <row r="493" spans="47:47" x14ac:dyDescent="0.25">
      <c r="AU493" s="8" t="str">
        <f>IF(TRIM($G493)="","",IF(COUNTIF(LISTS!$I$2:$I$16,TRIM($G493))&gt;0,"COUNTED",IF(COUNTIF(LISTS!$J$2:$J$16,TRIM($G493))&gt;0,"LEFT OUT","NEW")))</f>
        <v/>
      </c>
    </row>
    <row r="494" spans="47:47" x14ac:dyDescent="0.25">
      <c r="AU494" s="8" t="str">
        <f>IF(TRIM($G494)="","",IF(COUNTIF(LISTS!$I$2:$I$16,TRIM($G494))&gt;0,"COUNTED",IF(COUNTIF(LISTS!$J$2:$J$16,TRIM($G494))&gt;0,"LEFT OUT","NEW")))</f>
        <v/>
      </c>
    </row>
    <row r="495" spans="47:47" x14ac:dyDescent="0.25">
      <c r="AU495" s="8" t="str">
        <f>IF(TRIM($G495)="","",IF(COUNTIF(LISTS!$I$2:$I$16,TRIM($G495))&gt;0,"COUNTED",IF(COUNTIF(LISTS!$J$2:$J$16,TRIM($G495))&gt;0,"LEFT OUT","NEW")))</f>
        <v/>
      </c>
    </row>
    <row r="496" spans="47:47" x14ac:dyDescent="0.25">
      <c r="AU496" s="8" t="str">
        <f>IF(TRIM($G496)="","",IF(COUNTIF(LISTS!$I$2:$I$16,TRIM($G496))&gt;0,"COUNTED",IF(COUNTIF(LISTS!$J$2:$J$16,TRIM($G496))&gt;0,"LEFT OUT","NEW")))</f>
        <v/>
      </c>
    </row>
    <row r="497" spans="47:47" x14ac:dyDescent="0.25">
      <c r="AU497" s="8" t="str">
        <f>IF(TRIM($G497)="","",IF(COUNTIF(LISTS!$I$2:$I$16,TRIM($G497))&gt;0,"COUNTED",IF(COUNTIF(LISTS!$J$2:$J$16,TRIM($G497))&gt;0,"LEFT OUT","NEW")))</f>
        <v/>
      </c>
    </row>
    <row r="498" spans="47:47" x14ac:dyDescent="0.25">
      <c r="AU498" s="8" t="str">
        <f>IF(TRIM($G498)="","",IF(COUNTIF(LISTS!$I$2:$I$16,TRIM($G498))&gt;0,"COUNTED",IF(COUNTIF(LISTS!$J$2:$J$16,TRIM($G498))&gt;0,"LEFT OUT","NEW")))</f>
        <v/>
      </c>
    </row>
    <row r="499" spans="47:47" x14ac:dyDescent="0.25">
      <c r="AU499" s="8" t="str">
        <f>IF(TRIM($G499)="","",IF(COUNTIF(LISTS!$I$2:$I$16,TRIM($G499))&gt;0,"COUNTED",IF(COUNTIF(LISTS!$J$2:$J$16,TRIM($G499))&gt;0,"LEFT OUT","NEW")))</f>
        <v/>
      </c>
    </row>
    <row r="500" spans="47:47" x14ac:dyDescent="0.25">
      <c r="AU500" s="8" t="str">
        <f>IF(TRIM($G500)="","",IF(COUNTIF(LISTS!$I$2:$I$16,TRIM($G500))&gt;0,"COUNTED",IF(COUNTIF(LISTS!$J$2:$J$16,TRIM($G500))&gt;0,"LEFT OUT","NEW")))</f>
        <v/>
      </c>
    </row>
    <row r="501" spans="47:47" x14ac:dyDescent="0.25">
      <c r="AU501" s="8" t="str">
        <f>IF(TRIM($G501)="","",IF(COUNTIF(LISTS!$I$2:$I$16,TRIM($G501))&gt;0,"COUNTED",IF(COUNTIF(LISTS!$J$2:$J$16,TRIM($G501))&gt;0,"LEFT OUT","NEW")))</f>
        <v/>
      </c>
    </row>
    <row r="502" spans="47:47" x14ac:dyDescent="0.25">
      <c r="AU502" s="8" t="str">
        <f>IF(TRIM($G502)="","",IF(COUNTIF(LISTS!$I$2:$I$16,TRIM($G502))&gt;0,"COUNTED",IF(COUNTIF(LISTS!$J$2:$J$16,TRIM($G502))&gt;0,"LEFT OUT","NEW")))</f>
        <v/>
      </c>
    </row>
    <row r="503" spans="47:47" x14ac:dyDescent="0.25">
      <c r="AU503" s="8" t="str">
        <f>IF(TRIM($G503)="","",IF(COUNTIF(LISTS!$I$2:$I$16,TRIM($G503))&gt;0,"COUNTED",IF(COUNTIF(LISTS!$J$2:$J$16,TRIM($G503))&gt;0,"LEFT OUT","NEW")))</f>
        <v/>
      </c>
    </row>
    <row r="504" spans="47:47" x14ac:dyDescent="0.25">
      <c r="AU504" s="8" t="str">
        <f>IF(TRIM($G504)="","",IF(COUNTIF(LISTS!$I$2:$I$16,TRIM($G504))&gt;0,"COUNTED",IF(COUNTIF(LISTS!$J$2:$J$16,TRIM($G504))&gt;0,"LEFT OUT","NEW")))</f>
        <v/>
      </c>
    </row>
    <row r="505" spans="47:47" x14ac:dyDescent="0.25">
      <c r="AU505" s="8" t="str">
        <f>IF(TRIM($G505)="","",IF(COUNTIF(LISTS!$I$2:$I$16,TRIM($G505))&gt;0,"COUNTED",IF(COUNTIF(LISTS!$J$2:$J$16,TRIM($G505))&gt;0,"LEFT OUT","NEW")))</f>
        <v/>
      </c>
    </row>
    <row r="506" spans="47:47" x14ac:dyDescent="0.25">
      <c r="AU506" s="8" t="str">
        <f>IF(TRIM($G506)="","",IF(COUNTIF(LISTS!$I$2:$I$16,TRIM($G506))&gt;0,"COUNTED",IF(COUNTIF(LISTS!$J$2:$J$16,TRIM($G506))&gt;0,"LEFT OUT","NEW")))</f>
        <v/>
      </c>
    </row>
    <row r="507" spans="47:47" x14ac:dyDescent="0.25">
      <c r="AU507" s="8" t="str">
        <f>IF(TRIM($G507)="","",IF(COUNTIF(LISTS!$I$2:$I$16,TRIM($G507))&gt;0,"COUNTED",IF(COUNTIF(LISTS!$J$2:$J$16,TRIM($G507))&gt;0,"LEFT OUT","NEW")))</f>
        <v/>
      </c>
    </row>
    <row r="508" spans="47:47" x14ac:dyDescent="0.25">
      <c r="AU508" s="8" t="str">
        <f>IF(TRIM($G508)="","",IF(COUNTIF(LISTS!$I$2:$I$16,TRIM($G508))&gt;0,"COUNTED",IF(COUNTIF(LISTS!$J$2:$J$16,TRIM($G508))&gt;0,"LEFT OUT","NEW")))</f>
        <v/>
      </c>
    </row>
    <row r="509" spans="47:47" x14ac:dyDescent="0.25">
      <c r="AU509" s="8" t="str">
        <f>IF(TRIM($G509)="","",IF(COUNTIF(LISTS!$I$2:$I$16,TRIM($G509))&gt;0,"COUNTED",IF(COUNTIF(LISTS!$J$2:$J$16,TRIM($G509))&gt;0,"LEFT OUT","NEW")))</f>
        <v/>
      </c>
    </row>
    <row r="510" spans="47:47" x14ac:dyDescent="0.25">
      <c r="AU510" s="8" t="str">
        <f>IF(TRIM($G510)="","",IF(COUNTIF(LISTS!$I$2:$I$16,TRIM($G510))&gt;0,"COUNTED",IF(COUNTIF(LISTS!$J$2:$J$16,TRIM($G510))&gt;0,"LEFT OUT","NEW")))</f>
        <v/>
      </c>
    </row>
    <row r="511" spans="47:47" x14ac:dyDescent="0.25">
      <c r="AU511" s="8" t="str">
        <f>IF(TRIM($G511)="","",IF(COUNTIF(LISTS!$I$2:$I$16,TRIM($G511))&gt;0,"COUNTED",IF(COUNTIF(LISTS!$J$2:$J$16,TRIM($G511))&gt;0,"LEFT OUT","NEW")))</f>
        <v/>
      </c>
    </row>
    <row r="512" spans="47:47" x14ac:dyDescent="0.25">
      <c r="AU512" s="8" t="str">
        <f>IF(TRIM($G512)="","",IF(COUNTIF(LISTS!$I$2:$I$16,TRIM($G512))&gt;0,"COUNTED",IF(COUNTIF(LISTS!$J$2:$J$16,TRIM($G512))&gt;0,"LEFT OUT","NEW")))</f>
        <v/>
      </c>
    </row>
    <row r="513" spans="47:47" x14ac:dyDescent="0.25">
      <c r="AU513" s="8" t="str">
        <f>IF(TRIM($G513)="","",IF(COUNTIF(LISTS!$I$2:$I$16,TRIM($G513))&gt;0,"COUNTED",IF(COUNTIF(LISTS!$J$2:$J$16,TRIM($G513))&gt;0,"LEFT OUT","NEW")))</f>
        <v/>
      </c>
    </row>
    <row r="514" spans="47:47" x14ac:dyDescent="0.25">
      <c r="AU514" s="8" t="str">
        <f>IF(TRIM($G514)="","",IF(COUNTIF(LISTS!$I$2:$I$16,TRIM($G514))&gt;0,"COUNTED",IF(COUNTIF(LISTS!$J$2:$J$16,TRIM($G514))&gt;0,"LEFT OUT","NEW")))</f>
        <v/>
      </c>
    </row>
    <row r="515" spans="47:47" x14ac:dyDescent="0.25">
      <c r="AU515" s="8" t="str">
        <f>IF(TRIM($G515)="","",IF(COUNTIF(LISTS!$I$2:$I$16,TRIM($G515))&gt;0,"COUNTED",IF(COUNTIF(LISTS!$J$2:$J$16,TRIM($G515))&gt;0,"LEFT OUT","NEW")))</f>
        <v/>
      </c>
    </row>
    <row r="516" spans="47:47" x14ac:dyDescent="0.25">
      <c r="AU516" s="8" t="str">
        <f>IF(TRIM($G516)="","",IF(COUNTIF(LISTS!$I$2:$I$16,TRIM($G516))&gt;0,"COUNTED",IF(COUNTIF(LISTS!$J$2:$J$16,TRIM($G516))&gt;0,"LEFT OUT","NEW")))</f>
        <v/>
      </c>
    </row>
    <row r="517" spans="47:47" x14ac:dyDescent="0.25">
      <c r="AU517" s="8" t="str">
        <f>IF(TRIM($G517)="","",IF(COUNTIF(LISTS!$I$2:$I$16,TRIM($G517))&gt;0,"COUNTED",IF(COUNTIF(LISTS!$J$2:$J$16,TRIM($G517))&gt;0,"LEFT OUT","NEW")))</f>
        <v/>
      </c>
    </row>
    <row r="518" spans="47:47" x14ac:dyDescent="0.25">
      <c r="AU518" s="8" t="str">
        <f>IF(TRIM($G518)="","",IF(COUNTIF(LISTS!$I$2:$I$16,TRIM($G518))&gt;0,"COUNTED",IF(COUNTIF(LISTS!$J$2:$J$16,TRIM($G518))&gt;0,"LEFT OUT","NEW")))</f>
        <v/>
      </c>
    </row>
    <row r="519" spans="47:47" x14ac:dyDescent="0.25">
      <c r="AU519" s="8" t="str">
        <f>IF(TRIM($G519)="","",IF(COUNTIF(LISTS!$I$2:$I$16,TRIM($G519))&gt;0,"COUNTED",IF(COUNTIF(LISTS!$J$2:$J$16,TRIM($G519))&gt;0,"LEFT OUT","NEW")))</f>
        <v/>
      </c>
    </row>
    <row r="520" spans="47:47" x14ac:dyDescent="0.25">
      <c r="AU520" s="8" t="str">
        <f>IF(TRIM($G520)="","",IF(COUNTIF(LISTS!$I$2:$I$16,TRIM($G520))&gt;0,"COUNTED",IF(COUNTIF(LISTS!$J$2:$J$16,TRIM($G520))&gt;0,"LEFT OUT","NEW")))</f>
        <v/>
      </c>
    </row>
    <row r="521" spans="47:47" x14ac:dyDescent="0.25">
      <c r="AU521" s="8" t="str">
        <f>IF(TRIM($G521)="","",IF(COUNTIF(LISTS!$I$2:$I$16,TRIM($G521))&gt;0,"COUNTED",IF(COUNTIF(LISTS!$J$2:$J$16,TRIM($G521))&gt;0,"LEFT OUT","NEW")))</f>
        <v/>
      </c>
    </row>
    <row r="522" spans="47:47" x14ac:dyDescent="0.25">
      <c r="AU522" s="8" t="str">
        <f>IF(TRIM($G522)="","",IF(COUNTIF(LISTS!$I$2:$I$16,TRIM($G522))&gt;0,"COUNTED",IF(COUNTIF(LISTS!$J$2:$J$16,TRIM($G522))&gt;0,"LEFT OUT","NEW")))</f>
        <v/>
      </c>
    </row>
    <row r="523" spans="47:47" x14ac:dyDescent="0.25">
      <c r="AU523" s="8" t="str">
        <f>IF(TRIM($G523)="","",IF(COUNTIF(LISTS!$I$2:$I$16,TRIM($G523))&gt;0,"COUNTED",IF(COUNTIF(LISTS!$J$2:$J$16,TRIM($G523))&gt;0,"LEFT OUT","NEW")))</f>
        <v/>
      </c>
    </row>
    <row r="524" spans="47:47" x14ac:dyDescent="0.25">
      <c r="AU524" s="8" t="str">
        <f>IF(TRIM($G524)="","",IF(COUNTIF(LISTS!$I$2:$I$16,TRIM($G524))&gt;0,"COUNTED",IF(COUNTIF(LISTS!$J$2:$J$16,TRIM($G524))&gt;0,"LEFT OUT","NEW")))</f>
        <v/>
      </c>
    </row>
    <row r="525" spans="47:47" x14ac:dyDescent="0.25">
      <c r="AU525" s="8" t="str">
        <f>IF(TRIM($G525)="","",IF(COUNTIF(LISTS!$I$2:$I$16,TRIM($G525))&gt;0,"COUNTED",IF(COUNTIF(LISTS!$J$2:$J$16,TRIM($G525))&gt;0,"LEFT OUT","NEW")))</f>
        <v/>
      </c>
    </row>
    <row r="526" spans="47:47" x14ac:dyDescent="0.25">
      <c r="AU526" s="8" t="str">
        <f>IF(TRIM($G526)="","",IF(COUNTIF(LISTS!$I$2:$I$16,TRIM($G526))&gt;0,"COUNTED",IF(COUNTIF(LISTS!$J$2:$J$16,TRIM($G526))&gt;0,"LEFT OUT","NEW")))</f>
        <v/>
      </c>
    </row>
    <row r="527" spans="47:47" x14ac:dyDescent="0.25">
      <c r="AU527" s="8" t="str">
        <f>IF(TRIM($G527)="","",IF(COUNTIF(LISTS!$I$2:$I$16,TRIM($G527))&gt;0,"COUNTED",IF(COUNTIF(LISTS!$J$2:$J$16,TRIM($G527))&gt;0,"LEFT OUT","NEW")))</f>
        <v/>
      </c>
    </row>
    <row r="528" spans="47:47" x14ac:dyDescent="0.25">
      <c r="AU528" s="8" t="str">
        <f>IF(TRIM($G528)="","",IF(COUNTIF(LISTS!$I$2:$I$16,TRIM($G528))&gt;0,"COUNTED",IF(COUNTIF(LISTS!$J$2:$J$16,TRIM($G528))&gt;0,"LEFT OUT","NEW")))</f>
        <v/>
      </c>
    </row>
    <row r="529" spans="47:47" x14ac:dyDescent="0.25">
      <c r="AU529" s="8" t="str">
        <f>IF(TRIM($G529)="","",IF(COUNTIF(LISTS!$I$2:$I$16,TRIM($G529))&gt;0,"COUNTED",IF(COUNTIF(LISTS!$J$2:$J$16,TRIM($G529))&gt;0,"LEFT OUT","NEW")))</f>
        <v/>
      </c>
    </row>
    <row r="530" spans="47:47" x14ac:dyDescent="0.25">
      <c r="AU530" s="8" t="str">
        <f>IF(TRIM($G530)="","",IF(COUNTIF(LISTS!$I$2:$I$16,TRIM($G530))&gt;0,"COUNTED",IF(COUNTIF(LISTS!$J$2:$J$16,TRIM($G530))&gt;0,"LEFT OUT","NEW")))</f>
        <v/>
      </c>
    </row>
    <row r="531" spans="47:47" x14ac:dyDescent="0.25">
      <c r="AU531" s="8" t="str">
        <f>IF(TRIM($G531)="","",IF(COUNTIF(LISTS!$I$2:$I$16,TRIM($G531))&gt;0,"COUNTED",IF(COUNTIF(LISTS!$J$2:$J$16,TRIM($G531))&gt;0,"LEFT OUT","NEW")))</f>
        <v/>
      </c>
    </row>
    <row r="532" spans="47:47" x14ac:dyDescent="0.25">
      <c r="AU532" s="8" t="str">
        <f>IF(TRIM($G532)="","",IF(COUNTIF(LISTS!$I$2:$I$16,TRIM($G532))&gt;0,"COUNTED",IF(COUNTIF(LISTS!$J$2:$J$16,TRIM($G532))&gt;0,"LEFT OUT","NEW")))</f>
        <v/>
      </c>
    </row>
    <row r="533" spans="47:47" x14ac:dyDescent="0.25">
      <c r="AU533" s="8" t="str">
        <f>IF(TRIM($G533)="","",IF(COUNTIF(LISTS!$I$2:$I$16,TRIM($G533))&gt;0,"COUNTED",IF(COUNTIF(LISTS!$J$2:$J$16,TRIM($G533))&gt;0,"LEFT OUT","NEW")))</f>
        <v/>
      </c>
    </row>
    <row r="534" spans="47:47" x14ac:dyDescent="0.25">
      <c r="AU534" s="8" t="str">
        <f>IF(TRIM($G534)="","",IF(COUNTIF(LISTS!$I$2:$I$16,TRIM($G534))&gt;0,"COUNTED",IF(COUNTIF(LISTS!$J$2:$J$16,TRIM($G534))&gt;0,"LEFT OUT","NEW")))</f>
        <v/>
      </c>
    </row>
    <row r="535" spans="47:47" x14ac:dyDescent="0.25">
      <c r="AU535" s="8" t="str">
        <f>IF(TRIM($G535)="","",IF(COUNTIF(LISTS!$I$2:$I$16,TRIM($G535))&gt;0,"COUNTED",IF(COUNTIF(LISTS!$J$2:$J$16,TRIM($G535))&gt;0,"LEFT OUT","NEW")))</f>
        <v/>
      </c>
    </row>
    <row r="536" spans="47:47" x14ac:dyDescent="0.25">
      <c r="AU536" s="8" t="str">
        <f>IF(TRIM($G536)="","",IF(COUNTIF(LISTS!$I$2:$I$16,TRIM($G536))&gt;0,"COUNTED",IF(COUNTIF(LISTS!$J$2:$J$16,TRIM($G536))&gt;0,"LEFT OUT","NEW")))</f>
        <v/>
      </c>
    </row>
    <row r="537" spans="47:47" x14ac:dyDescent="0.25">
      <c r="AU537" s="8" t="str">
        <f>IF(TRIM($G537)="","",IF(COUNTIF(LISTS!$I$2:$I$16,TRIM($G537))&gt;0,"COUNTED",IF(COUNTIF(LISTS!$J$2:$J$16,TRIM($G537))&gt;0,"LEFT OUT","NEW")))</f>
        <v/>
      </c>
    </row>
    <row r="538" spans="47:47" x14ac:dyDescent="0.25">
      <c r="AU538" s="8" t="str">
        <f>IF(TRIM($G538)="","",IF(COUNTIF(LISTS!$I$2:$I$16,TRIM($G538))&gt;0,"COUNTED",IF(COUNTIF(LISTS!$J$2:$J$16,TRIM($G538))&gt;0,"LEFT OUT","NEW")))</f>
        <v/>
      </c>
    </row>
    <row r="539" spans="47:47" x14ac:dyDescent="0.25">
      <c r="AU539" s="8" t="str">
        <f>IF(TRIM($G539)="","",IF(COUNTIF(LISTS!$I$2:$I$16,TRIM($G539))&gt;0,"COUNTED",IF(COUNTIF(LISTS!$J$2:$J$16,TRIM($G539))&gt;0,"LEFT OUT","NEW")))</f>
        <v/>
      </c>
    </row>
    <row r="540" spans="47:47" x14ac:dyDescent="0.25">
      <c r="AU540" s="8" t="str">
        <f>IF(TRIM($G540)="","",IF(COUNTIF(LISTS!$I$2:$I$16,TRIM($G540))&gt;0,"COUNTED",IF(COUNTIF(LISTS!$J$2:$J$16,TRIM($G540))&gt;0,"LEFT OUT","NEW")))</f>
        <v/>
      </c>
    </row>
    <row r="541" spans="47:47" x14ac:dyDescent="0.25">
      <c r="AU541" s="8" t="str">
        <f>IF(TRIM($G541)="","",IF(COUNTIF(LISTS!$I$2:$I$16,TRIM($G541))&gt;0,"COUNTED",IF(COUNTIF(LISTS!$J$2:$J$16,TRIM($G541))&gt;0,"LEFT OUT","NEW")))</f>
        <v/>
      </c>
    </row>
    <row r="542" spans="47:47" x14ac:dyDescent="0.25">
      <c r="AU542" s="8" t="str">
        <f>IF(TRIM($G542)="","",IF(COUNTIF(LISTS!$I$2:$I$16,TRIM($G542))&gt;0,"COUNTED",IF(COUNTIF(LISTS!$J$2:$J$16,TRIM($G542))&gt;0,"LEFT OUT","NEW")))</f>
        <v/>
      </c>
    </row>
    <row r="543" spans="47:47" x14ac:dyDescent="0.25">
      <c r="AU543" s="8" t="str">
        <f>IF(TRIM($G543)="","",IF(COUNTIF(LISTS!$I$2:$I$16,TRIM($G543))&gt;0,"COUNTED",IF(COUNTIF(LISTS!$J$2:$J$16,TRIM($G543))&gt;0,"LEFT OUT","NEW")))</f>
        <v/>
      </c>
    </row>
    <row r="544" spans="47:47" x14ac:dyDescent="0.25">
      <c r="AU544" s="8" t="str">
        <f>IF(TRIM($G544)="","",IF(COUNTIF(LISTS!$I$2:$I$16,TRIM($G544))&gt;0,"COUNTED",IF(COUNTIF(LISTS!$J$2:$J$16,TRIM($G544))&gt;0,"LEFT OUT","NEW")))</f>
        <v/>
      </c>
    </row>
    <row r="545" spans="47:47" x14ac:dyDescent="0.25">
      <c r="AU545" s="8" t="str">
        <f>IF(TRIM($G545)="","",IF(COUNTIF(LISTS!$I$2:$I$16,TRIM($G545))&gt;0,"COUNTED",IF(COUNTIF(LISTS!$J$2:$J$16,TRIM($G545))&gt;0,"LEFT OUT","NEW")))</f>
        <v/>
      </c>
    </row>
    <row r="546" spans="47:47" x14ac:dyDescent="0.25">
      <c r="AU546" s="8" t="str">
        <f>IF(TRIM($G546)="","",IF(COUNTIF(LISTS!$I$2:$I$16,TRIM($G546))&gt;0,"COUNTED",IF(COUNTIF(LISTS!$J$2:$J$16,TRIM($G546))&gt;0,"LEFT OUT","NEW")))</f>
        <v/>
      </c>
    </row>
    <row r="547" spans="47:47" x14ac:dyDescent="0.25">
      <c r="AU547" s="8" t="str">
        <f>IF(TRIM($G547)="","",IF(COUNTIF(LISTS!$I$2:$I$16,TRIM($G547))&gt;0,"COUNTED",IF(COUNTIF(LISTS!$J$2:$J$16,TRIM($G547))&gt;0,"LEFT OUT","NEW")))</f>
        <v/>
      </c>
    </row>
    <row r="548" spans="47:47" x14ac:dyDescent="0.25">
      <c r="AU548" s="8" t="str">
        <f>IF(TRIM($G548)="","",IF(COUNTIF(LISTS!$I$2:$I$16,TRIM($G548))&gt;0,"COUNTED",IF(COUNTIF(LISTS!$J$2:$J$16,TRIM($G548))&gt;0,"LEFT OUT","NEW")))</f>
        <v/>
      </c>
    </row>
    <row r="549" spans="47:47" x14ac:dyDescent="0.25">
      <c r="AU549" s="8" t="str">
        <f>IF(TRIM($G549)="","",IF(COUNTIF(LISTS!$I$2:$I$16,TRIM($G549))&gt;0,"COUNTED",IF(COUNTIF(LISTS!$J$2:$J$16,TRIM($G549))&gt;0,"LEFT OUT","NEW")))</f>
        <v/>
      </c>
    </row>
    <row r="550" spans="47:47" x14ac:dyDescent="0.25">
      <c r="AU550" s="8" t="str">
        <f>IF(TRIM($G550)="","",IF(COUNTIF(LISTS!$I$2:$I$16,TRIM($G550))&gt;0,"COUNTED",IF(COUNTIF(LISTS!$J$2:$J$16,TRIM($G550))&gt;0,"LEFT OUT","NEW")))</f>
        <v/>
      </c>
    </row>
    <row r="551" spans="47:47" x14ac:dyDescent="0.25">
      <c r="AU551" s="8" t="str">
        <f>IF(TRIM($G551)="","",IF(COUNTIF(LISTS!$I$2:$I$16,TRIM($G551))&gt;0,"COUNTED",IF(COUNTIF(LISTS!$J$2:$J$16,TRIM($G551))&gt;0,"LEFT OUT","NEW")))</f>
        <v/>
      </c>
    </row>
    <row r="552" spans="47:47" x14ac:dyDescent="0.25">
      <c r="AU552" s="8" t="str">
        <f>IF(TRIM($G552)="","",IF(COUNTIF(LISTS!$I$2:$I$16,TRIM($G552))&gt;0,"COUNTED",IF(COUNTIF(LISTS!$J$2:$J$16,TRIM($G552))&gt;0,"LEFT OUT","NEW")))</f>
        <v/>
      </c>
    </row>
    <row r="553" spans="47:47" x14ac:dyDescent="0.25">
      <c r="AU553" s="8" t="str">
        <f>IF(TRIM($G553)="","",IF(COUNTIF(LISTS!$I$2:$I$16,TRIM($G553))&gt;0,"COUNTED",IF(COUNTIF(LISTS!$J$2:$J$16,TRIM($G553))&gt;0,"LEFT OUT","NEW")))</f>
        <v/>
      </c>
    </row>
    <row r="554" spans="47:47" x14ac:dyDescent="0.25">
      <c r="AU554" s="8" t="str">
        <f>IF(TRIM($G554)="","",IF(COUNTIF(LISTS!$I$2:$I$16,TRIM($G554))&gt;0,"COUNTED",IF(COUNTIF(LISTS!$J$2:$J$16,TRIM($G554))&gt;0,"LEFT OUT","NEW")))</f>
        <v/>
      </c>
    </row>
    <row r="555" spans="47:47" x14ac:dyDescent="0.25">
      <c r="AU555" s="8" t="str">
        <f>IF(TRIM($G555)="","",IF(COUNTIF(LISTS!$I$2:$I$16,TRIM($G555))&gt;0,"COUNTED",IF(COUNTIF(LISTS!$J$2:$J$16,TRIM($G555))&gt;0,"LEFT OUT","NEW")))</f>
        <v/>
      </c>
    </row>
    <row r="556" spans="47:47" x14ac:dyDescent="0.25">
      <c r="AU556" s="8" t="str">
        <f>IF(TRIM($G556)="","",IF(COUNTIF(LISTS!$I$2:$I$16,TRIM($G556))&gt;0,"COUNTED",IF(COUNTIF(LISTS!$J$2:$J$16,TRIM($G556))&gt;0,"LEFT OUT","NEW")))</f>
        <v/>
      </c>
    </row>
    <row r="557" spans="47:47" x14ac:dyDescent="0.25">
      <c r="AU557" s="8" t="str">
        <f>IF(TRIM($G557)="","",IF(COUNTIF(LISTS!$I$2:$I$16,TRIM($G557))&gt;0,"COUNTED",IF(COUNTIF(LISTS!$J$2:$J$16,TRIM($G557))&gt;0,"LEFT OUT","NEW")))</f>
        <v/>
      </c>
    </row>
    <row r="558" spans="47:47" x14ac:dyDescent="0.25">
      <c r="AU558" s="8" t="str">
        <f>IF(TRIM($G558)="","",IF(COUNTIF(LISTS!$I$2:$I$16,TRIM($G558))&gt;0,"COUNTED",IF(COUNTIF(LISTS!$J$2:$J$16,TRIM($G558))&gt;0,"LEFT OUT","NEW")))</f>
        <v/>
      </c>
    </row>
    <row r="559" spans="47:47" x14ac:dyDescent="0.25">
      <c r="AU559" s="8" t="str">
        <f>IF(TRIM($G559)="","",IF(COUNTIF(LISTS!$I$2:$I$16,TRIM($G559))&gt;0,"COUNTED",IF(COUNTIF(LISTS!$J$2:$J$16,TRIM($G559))&gt;0,"LEFT OUT","NEW")))</f>
        <v/>
      </c>
    </row>
    <row r="560" spans="47:47" x14ac:dyDescent="0.25">
      <c r="AU560" s="8" t="str">
        <f>IF(TRIM($G560)="","",IF(COUNTIF(LISTS!$I$2:$I$16,TRIM($G560))&gt;0,"COUNTED",IF(COUNTIF(LISTS!$J$2:$J$16,TRIM($G560))&gt;0,"LEFT OUT","NEW")))</f>
        <v/>
      </c>
    </row>
    <row r="561" spans="47:47" x14ac:dyDescent="0.25">
      <c r="AU561" s="8" t="str">
        <f>IF(TRIM($G561)="","",IF(COUNTIF(LISTS!$I$2:$I$16,TRIM($G561))&gt;0,"COUNTED",IF(COUNTIF(LISTS!$J$2:$J$16,TRIM($G561))&gt;0,"LEFT OUT","NEW")))</f>
        <v/>
      </c>
    </row>
    <row r="562" spans="47:47" x14ac:dyDescent="0.25">
      <c r="AU562" s="8" t="str">
        <f>IF(TRIM($G562)="","",IF(COUNTIF(LISTS!$I$2:$I$16,TRIM($G562))&gt;0,"COUNTED",IF(COUNTIF(LISTS!$J$2:$J$16,TRIM($G562))&gt;0,"LEFT OUT","NEW")))</f>
        <v/>
      </c>
    </row>
    <row r="563" spans="47:47" x14ac:dyDescent="0.25">
      <c r="AU563" s="8" t="str">
        <f>IF(TRIM($G563)="","",IF(COUNTIF(LISTS!$I$2:$I$16,TRIM($G563))&gt;0,"COUNTED",IF(COUNTIF(LISTS!$J$2:$J$16,TRIM($G563))&gt;0,"LEFT OUT","NEW")))</f>
        <v/>
      </c>
    </row>
    <row r="564" spans="47:47" x14ac:dyDescent="0.25">
      <c r="AU564" s="8" t="str">
        <f>IF(TRIM($G564)="","",IF(COUNTIF(LISTS!$I$2:$I$16,TRIM($G564))&gt;0,"COUNTED",IF(COUNTIF(LISTS!$J$2:$J$16,TRIM($G564))&gt;0,"LEFT OUT","NEW")))</f>
        <v/>
      </c>
    </row>
    <row r="565" spans="47:47" x14ac:dyDescent="0.25">
      <c r="AU565" s="8" t="str">
        <f>IF(TRIM($G565)="","",IF(COUNTIF(LISTS!$I$2:$I$16,TRIM($G565))&gt;0,"COUNTED",IF(COUNTIF(LISTS!$J$2:$J$16,TRIM($G565))&gt;0,"LEFT OUT","NEW")))</f>
        <v/>
      </c>
    </row>
    <row r="566" spans="47:47" x14ac:dyDescent="0.25">
      <c r="AU566" s="8" t="str">
        <f>IF(TRIM($G566)="","",IF(COUNTIF(LISTS!$I$2:$I$16,TRIM($G566))&gt;0,"COUNTED",IF(COUNTIF(LISTS!$J$2:$J$16,TRIM($G566))&gt;0,"LEFT OUT","NEW")))</f>
        <v/>
      </c>
    </row>
    <row r="567" spans="47:47" x14ac:dyDescent="0.25">
      <c r="AU567" s="8" t="str">
        <f>IF(TRIM($G567)="","",IF(COUNTIF(LISTS!$I$2:$I$16,TRIM($G567))&gt;0,"COUNTED",IF(COUNTIF(LISTS!$J$2:$J$16,TRIM($G567))&gt;0,"LEFT OUT","NEW")))</f>
        <v/>
      </c>
    </row>
    <row r="568" spans="47:47" x14ac:dyDescent="0.25">
      <c r="AU568" s="8" t="str">
        <f>IF(TRIM($G568)="","",IF(COUNTIF(LISTS!$I$2:$I$16,TRIM($G568))&gt;0,"COUNTED",IF(COUNTIF(LISTS!$J$2:$J$16,TRIM($G568))&gt;0,"LEFT OUT","NEW")))</f>
        <v/>
      </c>
    </row>
    <row r="569" spans="47:47" x14ac:dyDescent="0.25">
      <c r="AU569" s="8" t="str">
        <f>IF(TRIM($G569)="","",IF(COUNTIF(LISTS!$I$2:$I$16,TRIM($G569))&gt;0,"COUNTED",IF(COUNTIF(LISTS!$J$2:$J$16,TRIM($G569))&gt;0,"LEFT OUT","NEW")))</f>
        <v/>
      </c>
    </row>
    <row r="570" spans="47:47" x14ac:dyDescent="0.25">
      <c r="AU570" s="8" t="str">
        <f>IF(TRIM($G570)="","",IF(COUNTIF(LISTS!$I$2:$I$16,TRIM($G570))&gt;0,"COUNTED",IF(COUNTIF(LISTS!$J$2:$J$16,TRIM($G570))&gt;0,"LEFT OUT","NEW")))</f>
        <v/>
      </c>
    </row>
    <row r="571" spans="47:47" x14ac:dyDescent="0.25">
      <c r="AU571" s="8" t="str">
        <f>IF(TRIM($G571)="","",IF(COUNTIF(LISTS!$I$2:$I$16,TRIM($G571))&gt;0,"COUNTED",IF(COUNTIF(LISTS!$J$2:$J$16,TRIM($G571))&gt;0,"LEFT OUT","NEW")))</f>
        <v/>
      </c>
    </row>
    <row r="572" spans="47:47" x14ac:dyDescent="0.25">
      <c r="AU572" s="8" t="str">
        <f>IF(TRIM($G572)="","",IF(COUNTIF(LISTS!$I$2:$I$16,TRIM($G572))&gt;0,"COUNTED",IF(COUNTIF(LISTS!$J$2:$J$16,TRIM($G572))&gt;0,"LEFT OUT","NEW")))</f>
        <v/>
      </c>
    </row>
    <row r="573" spans="47:47" x14ac:dyDescent="0.25">
      <c r="AU573" s="8" t="str">
        <f>IF(TRIM($G573)="","",IF(COUNTIF(LISTS!$I$2:$I$16,TRIM($G573))&gt;0,"COUNTED",IF(COUNTIF(LISTS!$J$2:$J$16,TRIM($G573))&gt;0,"LEFT OUT","NEW")))</f>
        <v/>
      </c>
    </row>
    <row r="574" spans="47:47" x14ac:dyDescent="0.25">
      <c r="AU574" s="8" t="str">
        <f>IF(TRIM($G574)="","",IF(COUNTIF(LISTS!$I$2:$I$16,TRIM($G574))&gt;0,"COUNTED",IF(COUNTIF(LISTS!$J$2:$J$16,TRIM($G574))&gt;0,"LEFT OUT","NEW")))</f>
        <v/>
      </c>
    </row>
    <row r="575" spans="47:47" x14ac:dyDescent="0.25">
      <c r="AU575" s="8" t="str">
        <f>IF(TRIM($G575)="","",IF(COUNTIF(LISTS!$I$2:$I$16,TRIM($G575))&gt;0,"COUNTED",IF(COUNTIF(LISTS!$J$2:$J$16,TRIM($G575))&gt;0,"LEFT OUT","NEW")))</f>
        <v/>
      </c>
    </row>
    <row r="576" spans="47:47" x14ac:dyDescent="0.25">
      <c r="AU576" s="8" t="str">
        <f>IF(TRIM($G576)="","",IF(COUNTIF(LISTS!$I$2:$I$16,TRIM($G576))&gt;0,"COUNTED",IF(COUNTIF(LISTS!$J$2:$J$16,TRIM($G576))&gt;0,"LEFT OUT","NEW")))</f>
        <v/>
      </c>
    </row>
    <row r="577" spans="47:47" x14ac:dyDescent="0.25">
      <c r="AU577" s="8" t="str">
        <f>IF(TRIM($G577)="","",IF(COUNTIF(LISTS!$I$2:$I$16,TRIM($G577))&gt;0,"COUNTED",IF(COUNTIF(LISTS!$J$2:$J$16,TRIM($G577))&gt;0,"LEFT OUT","NEW")))</f>
        <v/>
      </c>
    </row>
    <row r="578" spans="47:47" x14ac:dyDescent="0.25">
      <c r="AU578" s="8" t="str">
        <f>IF(TRIM($G578)="","",IF(COUNTIF(LISTS!$I$2:$I$16,TRIM($G578))&gt;0,"COUNTED",IF(COUNTIF(LISTS!$J$2:$J$16,TRIM($G578))&gt;0,"LEFT OUT","NEW")))</f>
        <v/>
      </c>
    </row>
    <row r="579" spans="47:47" x14ac:dyDescent="0.25">
      <c r="AU579" s="8" t="str">
        <f>IF(TRIM($G579)="","",IF(COUNTIF(LISTS!$I$2:$I$16,TRIM($G579))&gt;0,"COUNTED",IF(COUNTIF(LISTS!$J$2:$J$16,TRIM($G579))&gt;0,"LEFT OUT","NEW")))</f>
        <v/>
      </c>
    </row>
    <row r="580" spans="47:47" x14ac:dyDescent="0.25">
      <c r="AU580" s="8" t="str">
        <f>IF(TRIM($G580)="","",IF(COUNTIF(LISTS!$I$2:$I$16,TRIM($G580))&gt;0,"COUNTED",IF(COUNTIF(LISTS!$J$2:$J$16,TRIM($G580))&gt;0,"LEFT OUT","NEW")))</f>
        <v/>
      </c>
    </row>
    <row r="581" spans="47:47" x14ac:dyDescent="0.25">
      <c r="AU581" s="8" t="str">
        <f>IF(TRIM($G581)="","",IF(COUNTIF(LISTS!$I$2:$I$16,TRIM($G581))&gt;0,"COUNTED",IF(COUNTIF(LISTS!$J$2:$J$16,TRIM($G581))&gt;0,"LEFT OUT","NEW")))</f>
        <v/>
      </c>
    </row>
    <row r="582" spans="47:47" x14ac:dyDescent="0.25">
      <c r="AU582" s="8" t="str">
        <f>IF(TRIM($G582)="","",IF(COUNTIF(LISTS!$I$2:$I$16,TRIM($G582))&gt;0,"COUNTED",IF(COUNTIF(LISTS!$J$2:$J$16,TRIM($G582))&gt;0,"LEFT OUT","NEW")))</f>
        <v/>
      </c>
    </row>
    <row r="583" spans="47:47" x14ac:dyDescent="0.25">
      <c r="AU583" s="8" t="str">
        <f>IF(TRIM($G583)="","",IF(COUNTIF(LISTS!$I$2:$I$16,TRIM($G583))&gt;0,"COUNTED",IF(COUNTIF(LISTS!$J$2:$J$16,TRIM($G583))&gt;0,"LEFT OUT","NEW")))</f>
        <v/>
      </c>
    </row>
    <row r="584" spans="47:47" x14ac:dyDescent="0.25">
      <c r="AU584" s="8" t="str">
        <f>IF(TRIM($G584)="","",IF(COUNTIF(LISTS!$I$2:$I$16,TRIM($G584))&gt;0,"COUNTED",IF(COUNTIF(LISTS!$J$2:$J$16,TRIM($G584))&gt;0,"LEFT OUT","NEW")))</f>
        <v/>
      </c>
    </row>
    <row r="585" spans="47:47" x14ac:dyDescent="0.25">
      <c r="AU585" s="8" t="str">
        <f>IF(TRIM($G585)="","",IF(COUNTIF(LISTS!$I$2:$I$16,TRIM($G585))&gt;0,"COUNTED",IF(COUNTIF(LISTS!$J$2:$J$16,TRIM($G585))&gt;0,"LEFT OUT","NEW")))</f>
        <v/>
      </c>
    </row>
    <row r="586" spans="47:47" x14ac:dyDescent="0.25">
      <c r="AU586" s="8" t="str">
        <f>IF(TRIM($G586)="","",IF(COUNTIF(LISTS!$I$2:$I$16,TRIM($G586))&gt;0,"COUNTED",IF(COUNTIF(LISTS!$J$2:$J$16,TRIM($G586))&gt;0,"LEFT OUT","NEW")))</f>
        <v/>
      </c>
    </row>
    <row r="587" spans="47:47" x14ac:dyDescent="0.25">
      <c r="AU587" s="8" t="str">
        <f>IF(TRIM($G587)="","",IF(COUNTIF(LISTS!$I$2:$I$16,TRIM($G587))&gt;0,"COUNTED",IF(COUNTIF(LISTS!$J$2:$J$16,TRIM($G587))&gt;0,"LEFT OUT","NEW")))</f>
        <v/>
      </c>
    </row>
    <row r="588" spans="47:47" x14ac:dyDescent="0.25">
      <c r="AU588" s="8" t="str">
        <f>IF(TRIM($G588)="","",IF(COUNTIF(LISTS!$I$2:$I$16,TRIM($G588))&gt;0,"COUNTED",IF(COUNTIF(LISTS!$J$2:$J$16,TRIM($G588))&gt;0,"LEFT OUT","NEW")))</f>
        <v/>
      </c>
    </row>
    <row r="589" spans="47:47" x14ac:dyDescent="0.25">
      <c r="AU589" s="8" t="str">
        <f>IF(TRIM($G589)="","",IF(COUNTIF(LISTS!$I$2:$I$16,TRIM($G589))&gt;0,"COUNTED",IF(COUNTIF(LISTS!$J$2:$J$16,TRIM($G589))&gt;0,"LEFT OUT","NEW")))</f>
        <v/>
      </c>
    </row>
    <row r="590" spans="47:47" x14ac:dyDescent="0.25">
      <c r="AU590" s="8" t="str">
        <f>IF(TRIM($G590)="","",IF(COUNTIF(LISTS!$I$2:$I$16,TRIM($G590))&gt;0,"COUNTED",IF(COUNTIF(LISTS!$J$2:$J$16,TRIM($G590))&gt;0,"LEFT OUT","NEW")))</f>
        <v/>
      </c>
    </row>
    <row r="591" spans="47:47" x14ac:dyDescent="0.25">
      <c r="AU591" s="8" t="str">
        <f>IF(TRIM($G591)="","",IF(COUNTIF(LISTS!$I$2:$I$16,TRIM($G591))&gt;0,"COUNTED",IF(COUNTIF(LISTS!$J$2:$J$16,TRIM($G591))&gt;0,"LEFT OUT","NEW")))</f>
        <v/>
      </c>
    </row>
    <row r="592" spans="47:47" x14ac:dyDescent="0.25">
      <c r="AU592" s="8" t="str">
        <f>IF(TRIM($G592)="","",IF(COUNTIF(LISTS!$I$2:$I$16,TRIM($G592))&gt;0,"COUNTED",IF(COUNTIF(LISTS!$J$2:$J$16,TRIM($G592))&gt;0,"LEFT OUT","NEW")))</f>
        <v/>
      </c>
    </row>
    <row r="593" spans="47:47" x14ac:dyDescent="0.25">
      <c r="AU593" s="8" t="str">
        <f>IF(TRIM($G593)="","",IF(COUNTIF(LISTS!$I$2:$I$16,TRIM($G593))&gt;0,"COUNTED",IF(COUNTIF(LISTS!$J$2:$J$16,TRIM($G593))&gt;0,"LEFT OUT","NEW")))</f>
        <v/>
      </c>
    </row>
    <row r="594" spans="47:47" x14ac:dyDescent="0.25">
      <c r="AU594" s="8" t="str">
        <f>IF(TRIM($G594)="","",IF(COUNTIF(LISTS!$I$2:$I$16,TRIM($G594))&gt;0,"COUNTED",IF(COUNTIF(LISTS!$J$2:$J$16,TRIM($G594))&gt;0,"LEFT OUT","NEW")))</f>
        <v/>
      </c>
    </row>
    <row r="595" spans="47:47" x14ac:dyDescent="0.25">
      <c r="AU595" s="8" t="str">
        <f>IF(TRIM($G595)="","",IF(COUNTIF(LISTS!$I$2:$I$16,TRIM($G595))&gt;0,"COUNTED",IF(COUNTIF(LISTS!$J$2:$J$16,TRIM($G595))&gt;0,"LEFT OUT","NEW")))</f>
        <v/>
      </c>
    </row>
    <row r="596" spans="47:47" x14ac:dyDescent="0.25">
      <c r="AU596" s="8" t="str">
        <f>IF(TRIM($G596)="","",IF(COUNTIF(LISTS!$I$2:$I$16,TRIM($G596))&gt;0,"COUNTED",IF(COUNTIF(LISTS!$J$2:$J$16,TRIM($G596))&gt;0,"LEFT OUT","NEW")))</f>
        <v/>
      </c>
    </row>
    <row r="597" spans="47:47" x14ac:dyDescent="0.25">
      <c r="AU597" s="8" t="str">
        <f>IF(TRIM($G597)="","",IF(COUNTIF(LISTS!$I$2:$I$16,TRIM($G597))&gt;0,"COUNTED",IF(COUNTIF(LISTS!$J$2:$J$16,TRIM($G597))&gt;0,"LEFT OUT","NEW")))</f>
        <v/>
      </c>
    </row>
    <row r="598" spans="47:47" x14ac:dyDescent="0.25">
      <c r="AU598" s="8" t="str">
        <f>IF(TRIM($G598)="","",IF(COUNTIF(LISTS!$I$2:$I$16,TRIM($G598))&gt;0,"COUNTED",IF(COUNTIF(LISTS!$J$2:$J$16,TRIM($G598))&gt;0,"LEFT OUT","NEW")))</f>
        <v/>
      </c>
    </row>
    <row r="599" spans="47:47" x14ac:dyDescent="0.25">
      <c r="AU599" s="8" t="str">
        <f>IF(TRIM($G599)="","",IF(COUNTIF(LISTS!$I$2:$I$16,TRIM($G599))&gt;0,"COUNTED",IF(COUNTIF(LISTS!$J$2:$J$16,TRIM($G599))&gt;0,"LEFT OUT","NEW")))</f>
        <v/>
      </c>
    </row>
    <row r="600" spans="47:47" x14ac:dyDescent="0.25">
      <c r="AU600" s="8" t="str">
        <f>IF(TRIM($G600)="","",IF(COUNTIF(LISTS!$I$2:$I$16,TRIM($G600))&gt;0,"COUNTED",IF(COUNTIF(LISTS!$J$2:$J$16,TRIM($G600))&gt;0,"LEFT OUT","NEW")))</f>
        <v/>
      </c>
    </row>
    <row r="601" spans="47:47" x14ac:dyDescent="0.25">
      <c r="AU601" s="8" t="str">
        <f>IF(TRIM($G601)="","",IF(COUNTIF(LISTS!$I$2:$I$16,TRIM($G601))&gt;0,"COUNTED",IF(COUNTIF(LISTS!$J$2:$J$16,TRIM($G601))&gt;0,"LEFT OUT","NEW")))</f>
        <v/>
      </c>
    </row>
    <row r="602" spans="47:47" x14ac:dyDescent="0.25">
      <c r="AU602" s="8" t="str">
        <f>IF(TRIM($G602)="","",IF(COUNTIF(LISTS!$I$2:$I$16,TRIM($G602))&gt;0,"COUNTED",IF(COUNTIF(LISTS!$J$2:$J$16,TRIM($G602))&gt;0,"LEFT OUT","NEW")))</f>
        <v/>
      </c>
    </row>
    <row r="603" spans="47:47" x14ac:dyDescent="0.25">
      <c r="AU603" s="8" t="str">
        <f>IF(TRIM($G603)="","",IF(COUNTIF(LISTS!$I$2:$I$16,TRIM($G603))&gt;0,"COUNTED",IF(COUNTIF(LISTS!$J$2:$J$16,TRIM($G603))&gt;0,"LEFT OUT","NEW")))</f>
        <v/>
      </c>
    </row>
    <row r="604" spans="47:47" x14ac:dyDescent="0.25">
      <c r="AU604" s="8" t="str">
        <f>IF(TRIM($G604)="","",IF(COUNTIF(LISTS!$I$2:$I$16,TRIM($G604))&gt;0,"COUNTED",IF(COUNTIF(LISTS!$J$2:$J$16,TRIM($G604))&gt;0,"LEFT OUT","NEW")))</f>
        <v/>
      </c>
    </row>
    <row r="605" spans="47:47" x14ac:dyDescent="0.25">
      <c r="AU605" s="8" t="str">
        <f>IF(TRIM($G605)="","",IF(COUNTIF(LISTS!$I$2:$I$16,TRIM($G605))&gt;0,"COUNTED",IF(COUNTIF(LISTS!$J$2:$J$16,TRIM($G605))&gt;0,"LEFT OUT","NEW")))</f>
        <v/>
      </c>
    </row>
    <row r="606" spans="47:47" x14ac:dyDescent="0.25">
      <c r="AU606" s="8" t="str">
        <f>IF(TRIM($G606)="","",IF(COUNTIF(LISTS!$I$2:$I$16,TRIM($G606))&gt;0,"COUNTED",IF(COUNTIF(LISTS!$J$2:$J$16,TRIM($G606))&gt;0,"LEFT OUT","NEW")))</f>
        <v/>
      </c>
    </row>
    <row r="607" spans="47:47" x14ac:dyDescent="0.25">
      <c r="AU607" s="8" t="str">
        <f>IF(TRIM($G607)="","",IF(COUNTIF(LISTS!$I$2:$I$16,TRIM($G607))&gt;0,"COUNTED",IF(COUNTIF(LISTS!$J$2:$J$16,TRIM($G607))&gt;0,"LEFT OUT","NEW")))</f>
        <v/>
      </c>
    </row>
    <row r="608" spans="47:47" x14ac:dyDescent="0.25">
      <c r="AU608" s="8" t="str">
        <f>IF(TRIM($G608)="","",IF(COUNTIF(LISTS!$I$2:$I$16,TRIM($G608))&gt;0,"COUNTED",IF(COUNTIF(LISTS!$J$2:$J$16,TRIM($G608))&gt;0,"LEFT OUT","NEW")))</f>
        <v/>
      </c>
    </row>
    <row r="609" spans="47:47" x14ac:dyDescent="0.25">
      <c r="AU609" s="8" t="str">
        <f>IF(TRIM($G609)="","",IF(COUNTIF(LISTS!$I$2:$I$16,TRIM($G609))&gt;0,"COUNTED",IF(COUNTIF(LISTS!$J$2:$J$16,TRIM($G609))&gt;0,"LEFT OUT","NEW")))</f>
        <v/>
      </c>
    </row>
    <row r="610" spans="47:47" x14ac:dyDescent="0.25">
      <c r="AU610" s="8" t="str">
        <f>IF(TRIM($G610)="","",IF(COUNTIF(LISTS!$I$2:$I$16,TRIM($G610))&gt;0,"COUNTED",IF(COUNTIF(LISTS!$J$2:$J$16,TRIM($G610))&gt;0,"LEFT OUT","NEW")))</f>
        <v/>
      </c>
    </row>
    <row r="611" spans="47:47" x14ac:dyDescent="0.25">
      <c r="AU611" s="8" t="str">
        <f>IF(TRIM($G611)="","",IF(COUNTIF(LISTS!$I$2:$I$16,TRIM($G611))&gt;0,"COUNTED",IF(COUNTIF(LISTS!$J$2:$J$16,TRIM($G611))&gt;0,"LEFT OUT","NEW")))</f>
        <v/>
      </c>
    </row>
    <row r="612" spans="47:47" x14ac:dyDescent="0.25">
      <c r="AU612" s="8" t="str">
        <f>IF(TRIM($G612)="","",IF(COUNTIF(LISTS!$I$2:$I$16,TRIM($G612))&gt;0,"COUNTED",IF(COUNTIF(LISTS!$J$2:$J$16,TRIM($G612))&gt;0,"LEFT OUT","NEW")))</f>
        <v/>
      </c>
    </row>
    <row r="613" spans="47:47" x14ac:dyDescent="0.25">
      <c r="AU613" s="8" t="str">
        <f>IF(TRIM($G613)="","",IF(COUNTIF(LISTS!$I$2:$I$16,TRIM($G613))&gt;0,"COUNTED",IF(COUNTIF(LISTS!$J$2:$J$16,TRIM($G613))&gt;0,"LEFT OUT","NEW")))</f>
        <v/>
      </c>
    </row>
    <row r="614" spans="47:47" x14ac:dyDescent="0.25">
      <c r="AU614" s="8" t="str">
        <f>IF(TRIM($G614)="","",IF(COUNTIF(LISTS!$I$2:$I$16,TRIM($G614))&gt;0,"COUNTED",IF(COUNTIF(LISTS!$J$2:$J$16,TRIM($G614))&gt;0,"LEFT OUT","NEW")))</f>
        <v/>
      </c>
    </row>
    <row r="615" spans="47:47" x14ac:dyDescent="0.25">
      <c r="AU615" s="8" t="str">
        <f>IF(TRIM($G615)="","",IF(COUNTIF(LISTS!$I$2:$I$16,TRIM($G615))&gt;0,"COUNTED",IF(COUNTIF(LISTS!$J$2:$J$16,TRIM($G615))&gt;0,"LEFT OUT","NEW")))</f>
        <v/>
      </c>
    </row>
    <row r="616" spans="47:47" x14ac:dyDescent="0.25">
      <c r="AU616" s="8" t="str">
        <f>IF(TRIM($G616)="","",IF(COUNTIF(LISTS!$I$2:$I$16,TRIM($G616))&gt;0,"COUNTED",IF(COUNTIF(LISTS!$J$2:$J$16,TRIM($G616))&gt;0,"LEFT OUT","NEW")))</f>
        <v/>
      </c>
    </row>
    <row r="617" spans="47:47" x14ac:dyDescent="0.25">
      <c r="AU617" s="8" t="str">
        <f>IF(TRIM($G617)="","",IF(COUNTIF(LISTS!$I$2:$I$16,TRIM($G617))&gt;0,"COUNTED",IF(COUNTIF(LISTS!$J$2:$J$16,TRIM($G617))&gt;0,"LEFT OUT","NEW")))</f>
        <v/>
      </c>
    </row>
    <row r="618" spans="47:47" x14ac:dyDescent="0.25">
      <c r="AU618" s="8" t="str">
        <f>IF(TRIM($G618)="","",IF(COUNTIF(LISTS!$I$2:$I$16,TRIM($G618))&gt;0,"COUNTED",IF(COUNTIF(LISTS!$J$2:$J$16,TRIM($G618))&gt;0,"LEFT OUT","NEW")))</f>
        <v/>
      </c>
    </row>
    <row r="619" spans="47:47" x14ac:dyDescent="0.25">
      <c r="AU619" s="8" t="str">
        <f>IF(TRIM($G619)="","",IF(COUNTIF(LISTS!$I$2:$I$16,TRIM($G619))&gt;0,"COUNTED",IF(COUNTIF(LISTS!$J$2:$J$16,TRIM($G619))&gt;0,"LEFT OUT","NEW")))</f>
        <v/>
      </c>
    </row>
    <row r="620" spans="47:47" x14ac:dyDescent="0.25">
      <c r="AU620" s="8" t="str">
        <f>IF(TRIM($G620)="","",IF(COUNTIF(LISTS!$I$2:$I$16,TRIM($G620))&gt;0,"COUNTED",IF(COUNTIF(LISTS!$J$2:$J$16,TRIM($G620))&gt;0,"LEFT OUT","NEW")))</f>
        <v/>
      </c>
    </row>
    <row r="621" spans="47:47" x14ac:dyDescent="0.25">
      <c r="AU621" s="8" t="str">
        <f>IF(TRIM($G621)="","",IF(COUNTIF(LISTS!$I$2:$I$16,TRIM($G621))&gt;0,"COUNTED",IF(COUNTIF(LISTS!$J$2:$J$16,TRIM($G621))&gt;0,"LEFT OUT","NEW")))</f>
        <v/>
      </c>
    </row>
    <row r="622" spans="47:47" x14ac:dyDescent="0.25">
      <c r="AU622" s="8" t="str">
        <f>IF(TRIM($G622)="","",IF(COUNTIF(LISTS!$I$2:$I$16,TRIM($G622))&gt;0,"COUNTED",IF(COUNTIF(LISTS!$J$2:$J$16,TRIM($G622))&gt;0,"LEFT OUT","NEW")))</f>
        <v/>
      </c>
    </row>
    <row r="623" spans="47:47" x14ac:dyDescent="0.25">
      <c r="AU623" s="8" t="str">
        <f>IF(TRIM($G623)="","",IF(COUNTIF(LISTS!$I$2:$I$16,TRIM($G623))&gt;0,"COUNTED",IF(COUNTIF(LISTS!$J$2:$J$16,TRIM($G623))&gt;0,"LEFT OUT","NEW")))</f>
        <v/>
      </c>
    </row>
    <row r="624" spans="47:47" x14ac:dyDescent="0.25">
      <c r="AU624" s="8" t="str">
        <f>IF(TRIM($G624)="","",IF(COUNTIF(LISTS!$I$2:$I$16,TRIM($G624))&gt;0,"COUNTED",IF(COUNTIF(LISTS!$J$2:$J$16,TRIM($G624))&gt;0,"LEFT OUT","NEW")))</f>
        <v/>
      </c>
    </row>
    <row r="625" spans="47:47" x14ac:dyDescent="0.25">
      <c r="AU625" s="8" t="str">
        <f>IF(TRIM($G625)="","",IF(COUNTIF(LISTS!$I$2:$I$16,TRIM($G625))&gt;0,"COUNTED",IF(COUNTIF(LISTS!$J$2:$J$16,TRIM($G625))&gt;0,"LEFT OUT","NEW")))</f>
        <v/>
      </c>
    </row>
    <row r="626" spans="47:47" x14ac:dyDescent="0.25">
      <c r="AU626" s="8" t="str">
        <f>IF(TRIM($G626)="","",IF(COUNTIF(LISTS!$I$2:$I$16,TRIM($G626))&gt;0,"COUNTED",IF(COUNTIF(LISTS!$J$2:$J$16,TRIM($G626))&gt;0,"LEFT OUT","NEW")))</f>
        <v/>
      </c>
    </row>
    <row r="627" spans="47:47" x14ac:dyDescent="0.25">
      <c r="AU627" s="8" t="str">
        <f>IF(TRIM($G627)="","",IF(COUNTIF(LISTS!$I$2:$I$16,TRIM($G627))&gt;0,"COUNTED",IF(COUNTIF(LISTS!$J$2:$J$16,TRIM($G627))&gt;0,"LEFT OUT","NEW")))</f>
        <v/>
      </c>
    </row>
    <row r="628" spans="47:47" x14ac:dyDescent="0.25">
      <c r="AU628" s="8" t="str">
        <f>IF(TRIM($G628)="","",IF(COUNTIF(LISTS!$I$2:$I$16,TRIM($G628))&gt;0,"COUNTED",IF(COUNTIF(LISTS!$J$2:$J$16,TRIM($G628))&gt;0,"LEFT OUT","NEW")))</f>
        <v/>
      </c>
    </row>
    <row r="629" spans="47:47" x14ac:dyDescent="0.25">
      <c r="AU629" s="8" t="str">
        <f>IF(TRIM($G629)="","",IF(COUNTIF(LISTS!$I$2:$I$16,TRIM($G629))&gt;0,"COUNTED",IF(COUNTIF(LISTS!$J$2:$J$16,TRIM($G629))&gt;0,"LEFT OUT","NEW")))</f>
        <v/>
      </c>
    </row>
    <row r="630" spans="47:47" x14ac:dyDescent="0.25">
      <c r="AU630" s="8" t="str">
        <f>IF(TRIM($G630)="","",IF(COUNTIF(LISTS!$I$2:$I$16,TRIM($G630))&gt;0,"COUNTED",IF(COUNTIF(LISTS!$J$2:$J$16,TRIM($G630))&gt;0,"LEFT OUT","NEW")))</f>
        <v/>
      </c>
    </row>
    <row r="631" spans="47:47" x14ac:dyDescent="0.25">
      <c r="AU631" s="8" t="str">
        <f>IF(TRIM($G631)="","",IF(COUNTIF(LISTS!$I$2:$I$16,TRIM($G631))&gt;0,"COUNTED",IF(COUNTIF(LISTS!$J$2:$J$16,TRIM($G631))&gt;0,"LEFT OUT","NEW")))</f>
        <v/>
      </c>
    </row>
    <row r="632" spans="47:47" x14ac:dyDescent="0.25">
      <c r="AU632" s="8" t="str">
        <f>IF(TRIM($G632)="","",IF(COUNTIF(LISTS!$I$2:$I$16,TRIM($G632))&gt;0,"COUNTED",IF(COUNTIF(LISTS!$J$2:$J$16,TRIM($G632))&gt;0,"LEFT OUT","NEW")))</f>
        <v/>
      </c>
    </row>
    <row r="633" spans="47:47" x14ac:dyDescent="0.25">
      <c r="AU633" s="8" t="str">
        <f>IF(TRIM($G633)="","",IF(COUNTIF(LISTS!$I$2:$I$16,TRIM($G633))&gt;0,"COUNTED",IF(COUNTIF(LISTS!$J$2:$J$16,TRIM($G633))&gt;0,"LEFT OUT","NEW")))</f>
        <v/>
      </c>
    </row>
    <row r="634" spans="47:47" x14ac:dyDescent="0.25">
      <c r="AU634" s="8" t="str">
        <f>IF(TRIM($G634)="","",IF(COUNTIF(LISTS!$I$2:$I$16,TRIM($G634))&gt;0,"COUNTED",IF(COUNTIF(LISTS!$J$2:$J$16,TRIM($G634))&gt;0,"LEFT OUT","NEW")))</f>
        <v/>
      </c>
    </row>
    <row r="635" spans="47:47" x14ac:dyDescent="0.25">
      <c r="AU635" s="8" t="str">
        <f>IF(TRIM($G635)="","",IF(COUNTIF(LISTS!$I$2:$I$16,TRIM($G635))&gt;0,"COUNTED",IF(COUNTIF(LISTS!$J$2:$J$16,TRIM($G635))&gt;0,"LEFT OUT","NEW")))</f>
        <v/>
      </c>
    </row>
    <row r="636" spans="47:47" x14ac:dyDescent="0.25">
      <c r="AU636" s="8" t="str">
        <f>IF(TRIM($G636)="","",IF(COUNTIF(LISTS!$I$2:$I$16,TRIM($G636))&gt;0,"COUNTED",IF(COUNTIF(LISTS!$J$2:$J$16,TRIM($G636))&gt;0,"LEFT OUT","NEW")))</f>
        <v/>
      </c>
    </row>
    <row r="637" spans="47:47" x14ac:dyDescent="0.25">
      <c r="AU637" s="8" t="str">
        <f>IF(TRIM($G637)="","",IF(COUNTIF(LISTS!$I$2:$I$16,TRIM($G637))&gt;0,"COUNTED",IF(COUNTIF(LISTS!$J$2:$J$16,TRIM($G637))&gt;0,"LEFT OUT","NEW")))</f>
        <v/>
      </c>
    </row>
    <row r="638" spans="47:47" x14ac:dyDescent="0.25">
      <c r="AU638" s="8" t="str">
        <f>IF(TRIM($G638)="","",IF(COUNTIF(LISTS!$I$2:$I$16,TRIM($G638))&gt;0,"COUNTED",IF(COUNTIF(LISTS!$J$2:$J$16,TRIM($G638))&gt;0,"LEFT OUT","NEW")))</f>
        <v/>
      </c>
    </row>
    <row r="639" spans="47:47" x14ac:dyDescent="0.25">
      <c r="AU639" s="8" t="str">
        <f>IF(TRIM($G639)="","",IF(COUNTIF(LISTS!$I$2:$I$16,TRIM($G639))&gt;0,"COUNTED",IF(COUNTIF(LISTS!$J$2:$J$16,TRIM($G639))&gt;0,"LEFT OUT","NEW")))</f>
        <v/>
      </c>
    </row>
    <row r="640" spans="47:47" x14ac:dyDescent="0.25">
      <c r="AU640" s="8" t="str">
        <f>IF(TRIM($G640)="","",IF(COUNTIF(LISTS!$I$2:$I$16,TRIM($G640))&gt;0,"COUNTED",IF(COUNTIF(LISTS!$J$2:$J$16,TRIM($G640))&gt;0,"LEFT OUT","NEW")))</f>
        <v/>
      </c>
    </row>
    <row r="641" spans="47:47" x14ac:dyDescent="0.25">
      <c r="AU641" s="8" t="str">
        <f>IF(TRIM($G641)="","",IF(COUNTIF(LISTS!$I$2:$I$16,TRIM($G641))&gt;0,"COUNTED",IF(COUNTIF(LISTS!$J$2:$J$16,TRIM($G641))&gt;0,"LEFT OUT","NEW")))</f>
        <v/>
      </c>
    </row>
    <row r="642" spans="47:47" x14ac:dyDescent="0.25">
      <c r="AU642" s="8" t="str">
        <f>IF(TRIM($G642)="","",IF(COUNTIF(LISTS!$I$2:$I$16,TRIM($G642))&gt;0,"COUNTED",IF(COUNTIF(LISTS!$J$2:$J$16,TRIM($G642))&gt;0,"LEFT OUT","NEW")))</f>
        <v/>
      </c>
    </row>
    <row r="643" spans="47:47" x14ac:dyDescent="0.25">
      <c r="AU643" s="8" t="str">
        <f>IF(TRIM($G643)="","",IF(COUNTIF(LISTS!$I$2:$I$16,TRIM($G643))&gt;0,"COUNTED",IF(COUNTIF(LISTS!$J$2:$J$16,TRIM($G643))&gt;0,"LEFT OUT","NEW")))</f>
        <v/>
      </c>
    </row>
    <row r="644" spans="47:47" x14ac:dyDescent="0.25">
      <c r="AU644" s="8" t="str">
        <f>IF(TRIM($G644)="","",IF(COUNTIF(LISTS!$I$2:$I$16,TRIM($G644))&gt;0,"COUNTED",IF(COUNTIF(LISTS!$J$2:$J$16,TRIM($G644))&gt;0,"LEFT OUT","NEW")))</f>
        <v/>
      </c>
    </row>
    <row r="645" spans="47:47" x14ac:dyDescent="0.25">
      <c r="AU645" s="8" t="str">
        <f>IF(TRIM($G645)="","",IF(COUNTIF(LISTS!$I$2:$I$16,TRIM($G645))&gt;0,"COUNTED",IF(COUNTIF(LISTS!$J$2:$J$16,TRIM($G645))&gt;0,"LEFT OUT","NEW")))</f>
        <v/>
      </c>
    </row>
    <row r="646" spans="47:47" x14ac:dyDescent="0.25">
      <c r="AU646" s="8" t="str">
        <f>IF(TRIM($G646)="","",IF(COUNTIF(LISTS!$I$2:$I$16,TRIM($G646))&gt;0,"COUNTED",IF(COUNTIF(LISTS!$J$2:$J$16,TRIM($G646))&gt;0,"LEFT OUT","NEW")))</f>
        <v/>
      </c>
    </row>
    <row r="647" spans="47:47" x14ac:dyDescent="0.25">
      <c r="AU647" s="8" t="str">
        <f>IF(TRIM($G647)="","",IF(COUNTIF(LISTS!$I$2:$I$16,TRIM($G647))&gt;0,"COUNTED",IF(COUNTIF(LISTS!$J$2:$J$16,TRIM($G647))&gt;0,"LEFT OUT","NEW")))</f>
        <v/>
      </c>
    </row>
    <row r="648" spans="47:47" x14ac:dyDescent="0.25">
      <c r="AU648" s="8" t="str">
        <f>IF(TRIM($G648)="","",IF(COUNTIF(LISTS!$I$2:$I$16,TRIM($G648))&gt;0,"COUNTED",IF(COUNTIF(LISTS!$J$2:$J$16,TRIM($G648))&gt;0,"LEFT OUT","NEW")))</f>
        <v/>
      </c>
    </row>
    <row r="649" spans="47:47" x14ac:dyDescent="0.25">
      <c r="AU649" s="8" t="str">
        <f>IF(TRIM($G649)="","",IF(COUNTIF(LISTS!$I$2:$I$16,TRIM($G649))&gt;0,"COUNTED",IF(COUNTIF(LISTS!$J$2:$J$16,TRIM($G649))&gt;0,"LEFT OUT","NEW")))</f>
        <v/>
      </c>
    </row>
    <row r="650" spans="47:47" x14ac:dyDescent="0.25">
      <c r="AU650" s="8" t="str">
        <f>IF(TRIM($G650)="","",IF(COUNTIF(LISTS!$I$2:$I$16,TRIM($G650))&gt;0,"COUNTED",IF(COUNTIF(LISTS!$J$2:$J$16,TRIM($G650))&gt;0,"LEFT OUT","NEW")))</f>
        <v/>
      </c>
    </row>
    <row r="651" spans="47:47" x14ac:dyDescent="0.25">
      <c r="AU651" s="8" t="str">
        <f>IF(TRIM($G651)="","",IF(COUNTIF(LISTS!$I$2:$I$16,TRIM($G651))&gt;0,"COUNTED",IF(COUNTIF(LISTS!$J$2:$J$16,TRIM($G651))&gt;0,"LEFT OUT","NEW")))</f>
        <v/>
      </c>
    </row>
    <row r="652" spans="47:47" x14ac:dyDescent="0.25">
      <c r="AU652" s="8" t="str">
        <f>IF(TRIM($G652)="","",IF(COUNTIF(LISTS!$I$2:$I$16,TRIM($G652))&gt;0,"COUNTED",IF(COUNTIF(LISTS!$J$2:$J$16,TRIM($G652))&gt;0,"LEFT OUT","NEW")))</f>
        <v/>
      </c>
    </row>
    <row r="653" spans="47:47" x14ac:dyDescent="0.25">
      <c r="AU653" s="8" t="str">
        <f>IF(TRIM($G653)="","",IF(COUNTIF(LISTS!$I$2:$I$16,TRIM($G653))&gt;0,"COUNTED",IF(COUNTIF(LISTS!$J$2:$J$16,TRIM($G653))&gt;0,"LEFT OUT","NEW")))</f>
        <v/>
      </c>
    </row>
    <row r="654" spans="47:47" x14ac:dyDescent="0.25">
      <c r="AU654" s="8" t="str">
        <f>IF(TRIM($G654)="","",IF(COUNTIF(LISTS!$I$2:$I$16,TRIM($G654))&gt;0,"COUNTED",IF(COUNTIF(LISTS!$J$2:$J$16,TRIM($G654))&gt;0,"LEFT OUT","NEW")))</f>
        <v/>
      </c>
    </row>
    <row r="655" spans="47:47" x14ac:dyDescent="0.25">
      <c r="AU655" s="8" t="str">
        <f>IF(TRIM($G655)="","",IF(COUNTIF(LISTS!$I$2:$I$16,TRIM($G655))&gt;0,"COUNTED",IF(COUNTIF(LISTS!$J$2:$J$16,TRIM($G655))&gt;0,"LEFT OUT","NEW")))</f>
        <v/>
      </c>
    </row>
    <row r="656" spans="47:47" x14ac:dyDescent="0.25">
      <c r="AU656" s="8" t="str">
        <f>IF(TRIM($G656)="","",IF(COUNTIF(LISTS!$I$2:$I$16,TRIM($G656))&gt;0,"COUNTED",IF(COUNTIF(LISTS!$J$2:$J$16,TRIM($G656))&gt;0,"LEFT OUT","NEW")))</f>
        <v/>
      </c>
    </row>
    <row r="657" spans="47:47" x14ac:dyDescent="0.25">
      <c r="AU657" s="8" t="str">
        <f>IF(TRIM($G657)="","",IF(COUNTIF(LISTS!$I$2:$I$16,TRIM($G657))&gt;0,"COUNTED",IF(COUNTIF(LISTS!$J$2:$J$16,TRIM($G657))&gt;0,"LEFT OUT","NEW")))</f>
        <v/>
      </c>
    </row>
    <row r="658" spans="47:47" x14ac:dyDescent="0.25">
      <c r="AU658" s="8" t="str">
        <f>IF(TRIM($G658)="","",IF(COUNTIF(LISTS!$I$2:$I$16,TRIM($G658))&gt;0,"COUNTED",IF(COUNTIF(LISTS!$J$2:$J$16,TRIM($G658))&gt;0,"LEFT OUT","NEW")))</f>
        <v/>
      </c>
    </row>
    <row r="659" spans="47:47" x14ac:dyDescent="0.25">
      <c r="AU659" s="8" t="str">
        <f>IF(TRIM($G659)="","",IF(COUNTIF(LISTS!$I$2:$I$16,TRIM($G659))&gt;0,"COUNTED",IF(COUNTIF(LISTS!$J$2:$J$16,TRIM($G659))&gt;0,"LEFT OUT","NEW")))</f>
        <v/>
      </c>
    </row>
    <row r="660" spans="47:47" x14ac:dyDescent="0.25">
      <c r="AU660" s="8" t="str">
        <f>IF(TRIM($G660)="","",IF(COUNTIF(LISTS!$I$2:$I$16,TRIM($G660))&gt;0,"COUNTED",IF(COUNTIF(LISTS!$J$2:$J$16,TRIM($G660))&gt;0,"LEFT OUT","NEW")))</f>
        <v/>
      </c>
    </row>
    <row r="661" spans="47:47" x14ac:dyDescent="0.25">
      <c r="AU661" s="8" t="str">
        <f>IF(TRIM($G661)="","",IF(COUNTIF(LISTS!$I$2:$I$16,TRIM($G661))&gt;0,"COUNTED",IF(COUNTIF(LISTS!$J$2:$J$16,TRIM($G661))&gt;0,"LEFT OUT","NEW")))</f>
        <v/>
      </c>
    </row>
    <row r="662" spans="47:47" x14ac:dyDescent="0.25">
      <c r="AU662" s="8" t="str">
        <f>IF(TRIM($G662)="","",IF(COUNTIF(LISTS!$I$2:$I$16,TRIM($G662))&gt;0,"COUNTED",IF(COUNTIF(LISTS!$J$2:$J$16,TRIM($G662))&gt;0,"LEFT OUT","NEW")))</f>
        <v/>
      </c>
    </row>
    <row r="663" spans="47:47" x14ac:dyDescent="0.25">
      <c r="AU663" s="8" t="str">
        <f>IF(TRIM($G663)="","",IF(COUNTIF(LISTS!$I$2:$I$16,TRIM($G663))&gt;0,"COUNTED",IF(COUNTIF(LISTS!$J$2:$J$16,TRIM($G663))&gt;0,"LEFT OUT","NEW")))</f>
        <v/>
      </c>
    </row>
    <row r="664" spans="47:47" x14ac:dyDescent="0.25">
      <c r="AU664" s="8" t="str">
        <f>IF(TRIM($G664)="","",IF(COUNTIF(LISTS!$I$2:$I$16,TRIM($G664))&gt;0,"COUNTED",IF(COUNTIF(LISTS!$J$2:$J$16,TRIM($G664))&gt;0,"LEFT OUT","NEW")))</f>
        <v/>
      </c>
    </row>
    <row r="665" spans="47:47" x14ac:dyDescent="0.25">
      <c r="AU665" s="8" t="str">
        <f>IF(TRIM($G665)="","",IF(COUNTIF(LISTS!$I$2:$I$16,TRIM($G665))&gt;0,"COUNTED",IF(COUNTIF(LISTS!$J$2:$J$16,TRIM($G665))&gt;0,"LEFT OUT","NEW")))</f>
        <v/>
      </c>
    </row>
    <row r="666" spans="47:47" x14ac:dyDescent="0.25">
      <c r="AU666" s="8" t="str">
        <f>IF(TRIM($G666)="","",IF(COUNTIF(LISTS!$I$2:$I$16,TRIM($G666))&gt;0,"COUNTED",IF(COUNTIF(LISTS!$J$2:$J$16,TRIM($G666))&gt;0,"LEFT OUT","NEW")))</f>
        <v/>
      </c>
    </row>
    <row r="667" spans="47:47" x14ac:dyDescent="0.25">
      <c r="AU667" s="8" t="str">
        <f>IF(TRIM($G667)="","",IF(COUNTIF(LISTS!$I$2:$I$16,TRIM($G667))&gt;0,"COUNTED",IF(COUNTIF(LISTS!$J$2:$J$16,TRIM($G667))&gt;0,"LEFT OUT","NEW")))</f>
        <v/>
      </c>
    </row>
    <row r="668" spans="47:47" x14ac:dyDescent="0.25">
      <c r="AU668" s="8" t="str">
        <f>IF(TRIM($G668)="","",IF(COUNTIF(LISTS!$I$2:$I$16,TRIM($G668))&gt;0,"COUNTED",IF(COUNTIF(LISTS!$J$2:$J$16,TRIM($G668))&gt;0,"LEFT OUT","NEW")))</f>
        <v/>
      </c>
    </row>
    <row r="669" spans="47:47" x14ac:dyDescent="0.25">
      <c r="AU669" s="8" t="str">
        <f>IF(TRIM($G669)="","",IF(COUNTIF(LISTS!$I$2:$I$16,TRIM($G669))&gt;0,"COUNTED",IF(COUNTIF(LISTS!$J$2:$J$16,TRIM($G669))&gt;0,"LEFT OUT","NEW")))</f>
        <v/>
      </c>
    </row>
    <row r="670" spans="47:47" x14ac:dyDescent="0.25">
      <c r="AU670" s="8" t="str">
        <f>IF(TRIM($G670)="","",IF(COUNTIF(LISTS!$I$2:$I$16,TRIM($G670))&gt;0,"COUNTED",IF(COUNTIF(LISTS!$J$2:$J$16,TRIM($G670))&gt;0,"LEFT OUT","NEW")))</f>
        <v/>
      </c>
    </row>
    <row r="671" spans="47:47" x14ac:dyDescent="0.25">
      <c r="AU671" s="8" t="str">
        <f>IF(TRIM($G671)="","",IF(COUNTIF(LISTS!$I$2:$I$16,TRIM($G671))&gt;0,"COUNTED",IF(COUNTIF(LISTS!$J$2:$J$16,TRIM($G671))&gt;0,"LEFT OUT","NEW")))</f>
        <v/>
      </c>
    </row>
    <row r="672" spans="47:47" x14ac:dyDescent="0.25">
      <c r="AU672" s="8" t="str">
        <f>IF(TRIM($G672)="","",IF(COUNTIF(LISTS!$I$2:$I$16,TRIM($G672))&gt;0,"COUNTED",IF(COUNTIF(LISTS!$J$2:$J$16,TRIM($G672))&gt;0,"LEFT OUT","NEW")))</f>
        <v/>
      </c>
    </row>
    <row r="673" spans="47:47" x14ac:dyDescent="0.25">
      <c r="AU673" s="8" t="str">
        <f>IF(TRIM($G673)="","",IF(COUNTIF(LISTS!$I$2:$I$16,TRIM($G673))&gt;0,"COUNTED",IF(COUNTIF(LISTS!$J$2:$J$16,TRIM($G673))&gt;0,"LEFT OUT","NEW")))</f>
        <v/>
      </c>
    </row>
    <row r="674" spans="47:47" x14ac:dyDescent="0.25">
      <c r="AU674" s="8" t="str">
        <f>IF(TRIM($G674)="","",IF(COUNTIF(LISTS!$I$2:$I$16,TRIM($G674))&gt;0,"COUNTED",IF(COUNTIF(LISTS!$J$2:$J$16,TRIM($G674))&gt;0,"LEFT OUT","NEW")))</f>
        <v/>
      </c>
    </row>
    <row r="675" spans="47:47" x14ac:dyDescent="0.25">
      <c r="AU675" s="8" t="str">
        <f>IF(TRIM($G675)="","",IF(COUNTIF(LISTS!$I$2:$I$16,TRIM($G675))&gt;0,"COUNTED",IF(COUNTIF(LISTS!$J$2:$J$16,TRIM($G675))&gt;0,"LEFT OUT","NEW")))</f>
        <v/>
      </c>
    </row>
    <row r="676" spans="47:47" x14ac:dyDescent="0.25">
      <c r="AU676" s="8" t="str">
        <f>IF(TRIM($G676)="","",IF(COUNTIF(LISTS!$I$2:$I$16,TRIM($G676))&gt;0,"COUNTED",IF(COUNTIF(LISTS!$J$2:$J$16,TRIM($G676))&gt;0,"LEFT OUT","NEW")))</f>
        <v/>
      </c>
    </row>
    <row r="677" spans="47:47" x14ac:dyDescent="0.25">
      <c r="AU677" s="8" t="str">
        <f>IF(TRIM($G677)="","",IF(COUNTIF(LISTS!$I$2:$I$16,TRIM($G677))&gt;0,"COUNTED",IF(COUNTIF(LISTS!$J$2:$J$16,TRIM($G677))&gt;0,"LEFT OUT","NEW")))</f>
        <v/>
      </c>
    </row>
    <row r="678" spans="47:47" x14ac:dyDescent="0.25">
      <c r="AU678" s="8" t="str">
        <f>IF(TRIM($G678)="","",IF(COUNTIF(LISTS!$I$2:$I$16,TRIM($G678))&gt;0,"COUNTED",IF(COUNTIF(LISTS!$J$2:$J$16,TRIM($G678))&gt;0,"LEFT OUT","NEW")))</f>
        <v/>
      </c>
    </row>
    <row r="679" spans="47:47" x14ac:dyDescent="0.25">
      <c r="AU679" s="8" t="str">
        <f>IF(TRIM($G679)="","",IF(COUNTIF(LISTS!$I$2:$I$16,TRIM($G679))&gt;0,"COUNTED",IF(COUNTIF(LISTS!$J$2:$J$16,TRIM($G679))&gt;0,"LEFT OUT","NEW")))</f>
        <v/>
      </c>
    </row>
    <row r="680" spans="47:47" x14ac:dyDescent="0.25">
      <c r="AU680" s="8" t="str">
        <f>IF(TRIM($G680)="","",IF(COUNTIF(LISTS!$I$2:$I$16,TRIM($G680))&gt;0,"COUNTED",IF(COUNTIF(LISTS!$J$2:$J$16,TRIM($G680))&gt;0,"LEFT OUT","NEW")))</f>
        <v/>
      </c>
    </row>
    <row r="681" spans="47:47" x14ac:dyDescent="0.25">
      <c r="AU681" s="8" t="str">
        <f>IF(TRIM($G681)="","",IF(COUNTIF(LISTS!$I$2:$I$16,TRIM($G681))&gt;0,"COUNTED",IF(COUNTIF(LISTS!$J$2:$J$16,TRIM($G681))&gt;0,"LEFT OUT","NEW")))</f>
        <v/>
      </c>
    </row>
    <row r="682" spans="47:47" x14ac:dyDescent="0.25">
      <c r="AU682" s="8" t="str">
        <f>IF(TRIM($G682)="","",IF(COUNTIF(LISTS!$I$2:$I$16,TRIM($G682))&gt;0,"COUNTED",IF(COUNTIF(LISTS!$J$2:$J$16,TRIM($G682))&gt;0,"LEFT OUT","NEW")))</f>
        <v/>
      </c>
    </row>
    <row r="683" spans="47:47" x14ac:dyDescent="0.25">
      <c r="AU683" s="8" t="str">
        <f>IF(TRIM($G683)="","",IF(COUNTIF(LISTS!$I$2:$I$16,TRIM($G683))&gt;0,"COUNTED",IF(COUNTIF(LISTS!$J$2:$J$16,TRIM($G683))&gt;0,"LEFT OUT","NEW")))</f>
        <v/>
      </c>
    </row>
    <row r="684" spans="47:47" x14ac:dyDescent="0.25">
      <c r="AU684" s="8" t="str">
        <f>IF(TRIM($G684)="","",IF(COUNTIF(LISTS!$I$2:$I$16,TRIM($G684))&gt;0,"COUNTED",IF(COUNTIF(LISTS!$J$2:$J$16,TRIM($G684))&gt;0,"LEFT OUT","NEW")))</f>
        <v/>
      </c>
    </row>
    <row r="685" spans="47:47" x14ac:dyDescent="0.25">
      <c r="AU685" s="8" t="str">
        <f>IF(TRIM($G685)="","",IF(COUNTIF(LISTS!$I$2:$I$16,TRIM($G685))&gt;0,"COUNTED",IF(COUNTIF(LISTS!$J$2:$J$16,TRIM($G685))&gt;0,"LEFT OUT","NEW")))</f>
        <v/>
      </c>
    </row>
    <row r="686" spans="47:47" x14ac:dyDescent="0.25">
      <c r="AU686" s="8" t="str">
        <f>IF(TRIM($G686)="","",IF(COUNTIF(LISTS!$I$2:$I$16,TRIM($G686))&gt;0,"COUNTED",IF(COUNTIF(LISTS!$J$2:$J$16,TRIM($G686))&gt;0,"LEFT OUT","NEW")))</f>
        <v/>
      </c>
    </row>
    <row r="687" spans="47:47" x14ac:dyDescent="0.25">
      <c r="AU687" s="8" t="str">
        <f>IF(TRIM($G687)="","",IF(COUNTIF(LISTS!$I$2:$I$16,TRIM($G687))&gt;0,"COUNTED",IF(COUNTIF(LISTS!$J$2:$J$16,TRIM($G687))&gt;0,"LEFT OUT","NEW")))</f>
        <v/>
      </c>
    </row>
    <row r="688" spans="47:47" x14ac:dyDescent="0.25">
      <c r="AU688" s="8" t="str">
        <f>IF(TRIM($G688)="","",IF(COUNTIF(LISTS!$I$2:$I$16,TRIM($G688))&gt;0,"COUNTED",IF(COUNTIF(LISTS!$J$2:$J$16,TRIM($G688))&gt;0,"LEFT OUT","NEW")))</f>
        <v/>
      </c>
    </row>
    <row r="689" spans="47:47" x14ac:dyDescent="0.25">
      <c r="AU689" s="8" t="str">
        <f>IF(TRIM($G689)="","",IF(COUNTIF(LISTS!$I$2:$I$16,TRIM($G689))&gt;0,"COUNTED",IF(COUNTIF(LISTS!$J$2:$J$16,TRIM($G689))&gt;0,"LEFT OUT","NEW")))</f>
        <v/>
      </c>
    </row>
    <row r="690" spans="47:47" x14ac:dyDescent="0.25">
      <c r="AU690" s="8" t="str">
        <f>IF(TRIM($G690)="","",IF(COUNTIF(LISTS!$I$2:$I$16,TRIM($G690))&gt;0,"COUNTED",IF(COUNTIF(LISTS!$J$2:$J$16,TRIM($G690))&gt;0,"LEFT OUT","NEW")))</f>
        <v/>
      </c>
    </row>
    <row r="691" spans="47:47" x14ac:dyDescent="0.25">
      <c r="AU691" s="8" t="str">
        <f>IF(TRIM($G691)="","",IF(COUNTIF(LISTS!$I$2:$I$16,TRIM($G691))&gt;0,"COUNTED",IF(COUNTIF(LISTS!$J$2:$J$16,TRIM($G691))&gt;0,"LEFT OUT","NEW")))</f>
        <v/>
      </c>
    </row>
    <row r="692" spans="47:47" x14ac:dyDescent="0.25">
      <c r="AU692" s="8" t="str">
        <f>IF(TRIM($G692)="","",IF(COUNTIF(LISTS!$I$2:$I$16,TRIM($G692))&gt;0,"COUNTED",IF(COUNTIF(LISTS!$J$2:$J$16,TRIM($G692))&gt;0,"LEFT OUT","NEW")))</f>
        <v/>
      </c>
    </row>
    <row r="693" spans="47:47" x14ac:dyDescent="0.25">
      <c r="AU693" s="8" t="str">
        <f>IF(TRIM($G693)="","",IF(COUNTIF(LISTS!$I$2:$I$16,TRIM($G693))&gt;0,"COUNTED",IF(COUNTIF(LISTS!$J$2:$J$16,TRIM($G693))&gt;0,"LEFT OUT","NEW")))</f>
        <v/>
      </c>
    </row>
    <row r="694" spans="47:47" x14ac:dyDescent="0.25">
      <c r="AU694" s="8" t="str">
        <f>IF(TRIM($G694)="","",IF(COUNTIF(LISTS!$I$2:$I$16,TRIM($G694))&gt;0,"COUNTED",IF(COUNTIF(LISTS!$J$2:$J$16,TRIM($G694))&gt;0,"LEFT OUT","NEW")))</f>
        <v/>
      </c>
    </row>
    <row r="695" spans="47:47" x14ac:dyDescent="0.25">
      <c r="AU695" s="8" t="str">
        <f>IF(TRIM($G695)="","",IF(COUNTIF(LISTS!$I$2:$I$16,TRIM($G695))&gt;0,"COUNTED",IF(COUNTIF(LISTS!$J$2:$J$16,TRIM($G695))&gt;0,"LEFT OUT","NEW")))</f>
        <v/>
      </c>
    </row>
    <row r="696" spans="47:47" x14ac:dyDescent="0.25">
      <c r="AU696" s="8" t="str">
        <f>IF(TRIM($G696)="","",IF(COUNTIF(LISTS!$I$2:$I$16,TRIM($G696))&gt;0,"COUNTED",IF(COUNTIF(LISTS!$J$2:$J$16,TRIM($G696))&gt;0,"LEFT OUT","NEW")))</f>
        <v/>
      </c>
    </row>
    <row r="697" spans="47:47" x14ac:dyDescent="0.25">
      <c r="AU697" s="8" t="str">
        <f>IF(TRIM($G697)="","",IF(COUNTIF(LISTS!$I$2:$I$16,TRIM($G697))&gt;0,"COUNTED",IF(COUNTIF(LISTS!$J$2:$J$16,TRIM($G697))&gt;0,"LEFT OUT","NEW")))</f>
        <v/>
      </c>
    </row>
    <row r="698" spans="47:47" x14ac:dyDescent="0.25">
      <c r="AU698" s="8" t="str">
        <f>IF(TRIM($G698)="","",IF(COUNTIF(LISTS!$I$2:$I$16,TRIM($G698))&gt;0,"COUNTED",IF(COUNTIF(LISTS!$J$2:$J$16,TRIM($G698))&gt;0,"LEFT OUT","NEW")))</f>
        <v/>
      </c>
    </row>
    <row r="699" spans="47:47" x14ac:dyDescent="0.25">
      <c r="AU699" s="8" t="str">
        <f>IF(TRIM($G699)="","",IF(COUNTIF(LISTS!$I$2:$I$16,TRIM($G699))&gt;0,"COUNTED",IF(COUNTIF(LISTS!$J$2:$J$16,TRIM($G699))&gt;0,"LEFT OUT","NEW")))</f>
        <v/>
      </c>
    </row>
    <row r="700" spans="47:47" x14ac:dyDescent="0.25">
      <c r="AU700" s="8" t="str">
        <f>IF(TRIM($G700)="","",IF(COUNTIF(LISTS!$I$2:$I$16,TRIM($G700))&gt;0,"COUNTED",IF(COUNTIF(LISTS!$J$2:$J$16,TRIM($G700))&gt;0,"LEFT OUT","NEW")))</f>
        <v/>
      </c>
    </row>
    <row r="701" spans="47:47" x14ac:dyDescent="0.25">
      <c r="AU701" s="8" t="str">
        <f>IF(TRIM($G701)="","",IF(COUNTIF(LISTS!$I$2:$I$16,TRIM($G701))&gt;0,"COUNTED",IF(COUNTIF(LISTS!$J$2:$J$16,TRIM($G701))&gt;0,"LEFT OUT","NEW")))</f>
        <v/>
      </c>
    </row>
    <row r="702" spans="47:47" x14ac:dyDescent="0.25">
      <c r="AU702" s="8" t="str">
        <f>IF(TRIM($G702)="","",IF(COUNTIF(LISTS!$I$2:$I$16,TRIM($G702))&gt;0,"COUNTED",IF(COUNTIF(LISTS!$J$2:$J$16,TRIM($G702))&gt;0,"LEFT OUT","NEW")))</f>
        <v/>
      </c>
    </row>
    <row r="703" spans="47:47" x14ac:dyDescent="0.25">
      <c r="AU703" s="8" t="str">
        <f>IF(TRIM($G703)="","",IF(COUNTIF(LISTS!$I$2:$I$16,TRIM($G703))&gt;0,"COUNTED",IF(COUNTIF(LISTS!$J$2:$J$16,TRIM($G703))&gt;0,"LEFT OUT","NEW")))</f>
        <v/>
      </c>
    </row>
    <row r="704" spans="47:47" x14ac:dyDescent="0.25">
      <c r="AU704" s="8" t="str">
        <f>IF(TRIM($G704)="","",IF(COUNTIF(LISTS!$I$2:$I$16,TRIM($G704))&gt;0,"COUNTED",IF(COUNTIF(LISTS!$J$2:$J$16,TRIM($G704))&gt;0,"LEFT OUT","NEW")))</f>
        <v/>
      </c>
    </row>
    <row r="705" spans="47:47" x14ac:dyDescent="0.25">
      <c r="AU705" s="8" t="str">
        <f>IF(TRIM($G705)="","",IF(COUNTIF(LISTS!$I$2:$I$16,TRIM($G705))&gt;0,"COUNTED",IF(COUNTIF(LISTS!$J$2:$J$16,TRIM($G705))&gt;0,"LEFT OUT","NEW")))</f>
        <v/>
      </c>
    </row>
    <row r="706" spans="47:47" x14ac:dyDescent="0.25">
      <c r="AU706" s="8" t="str">
        <f>IF(TRIM($G706)="","",IF(COUNTIF(LISTS!$I$2:$I$16,TRIM($G706))&gt;0,"COUNTED",IF(COUNTIF(LISTS!$J$2:$J$16,TRIM($G706))&gt;0,"LEFT OUT","NEW")))</f>
        <v/>
      </c>
    </row>
    <row r="707" spans="47:47" x14ac:dyDescent="0.25">
      <c r="AU707" s="8" t="str">
        <f>IF(TRIM($G707)="","",IF(COUNTIF(LISTS!$I$2:$I$16,TRIM($G707))&gt;0,"COUNTED",IF(COUNTIF(LISTS!$J$2:$J$16,TRIM($G707))&gt;0,"LEFT OUT","NEW")))</f>
        <v/>
      </c>
    </row>
    <row r="708" spans="47:47" x14ac:dyDescent="0.25">
      <c r="AU708" s="8" t="str">
        <f>IF(TRIM($G708)="","",IF(COUNTIF(LISTS!$I$2:$I$16,TRIM($G708))&gt;0,"COUNTED",IF(COUNTIF(LISTS!$J$2:$J$16,TRIM($G708))&gt;0,"LEFT OUT","NEW")))</f>
        <v/>
      </c>
    </row>
    <row r="709" spans="47:47" x14ac:dyDescent="0.25">
      <c r="AU709" s="8" t="str">
        <f>IF(TRIM($G709)="","",IF(COUNTIF(LISTS!$I$2:$I$16,TRIM($G709))&gt;0,"COUNTED",IF(COUNTIF(LISTS!$J$2:$J$16,TRIM($G709))&gt;0,"LEFT OUT","NEW")))</f>
        <v/>
      </c>
    </row>
    <row r="710" spans="47:47" x14ac:dyDescent="0.25">
      <c r="AU710" s="8" t="str">
        <f>IF(TRIM($G710)="","",IF(COUNTIF(LISTS!$I$2:$I$16,TRIM($G710))&gt;0,"COUNTED",IF(COUNTIF(LISTS!$J$2:$J$16,TRIM($G710))&gt;0,"LEFT OUT","NEW")))</f>
        <v/>
      </c>
    </row>
    <row r="711" spans="47:47" x14ac:dyDescent="0.25">
      <c r="AU711" s="8" t="str">
        <f>IF(TRIM($G711)="","",IF(COUNTIF(LISTS!$I$2:$I$16,TRIM($G711))&gt;0,"COUNTED",IF(COUNTIF(LISTS!$J$2:$J$16,TRIM($G711))&gt;0,"LEFT OUT","NEW")))</f>
        <v/>
      </c>
    </row>
    <row r="712" spans="47:47" x14ac:dyDescent="0.25">
      <c r="AU712" s="8" t="str">
        <f>IF(TRIM($G712)="","",IF(COUNTIF(LISTS!$I$2:$I$16,TRIM($G712))&gt;0,"COUNTED",IF(COUNTIF(LISTS!$J$2:$J$16,TRIM($G712))&gt;0,"LEFT OUT","NEW")))</f>
        <v/>
      </c>
    </row>
    <row r="713" spans="47:47" x14ac:dyDescent="0.25">
      <c r="AU713" s="8" t="str">
        <f>IF(TRIM($G713)="","",IF(COUNTIF(LISTS!$I$2:$I$16,TRIM($G713))&gt;0,"COUNTED",IF(COUNTIF(LISTS!$J$2:$J$16,TRIM($G713))&gt;0,"LEFT OUT","NEW")))</f>
        <v/>
      </c>
    </row>
    <row r="714" spans="47:47" x14ac:dyDescent="0.25">
      <c r="AU714" s="8" t="str">
        <f>IF(TRIM($G714)="","",IF(COUNTIF(LISTS!$I$2:$I$16,TRIM($G714))&gt;0,"COUNTED",IF(COUNTIF(LISTS!$J$2:$J$16,TRIM($G714))&gt;0,"LEFT OUT","NEW")))</f>
        <v/>
      </c>
    </row>
    <row r="715" spans="47:47" x14ac:dyDescent="0.25">
      <c r="AU715" s="8" t="str">
        <f>IF(TRIM($G715)="","",IF(COUNTIF(LISTS!$I$2:$I$16,TRIM($G715))&gt;0,"COUNTED",IF(COUNTIF(LISTS!$J$2:$J$16,TRIM($G715))&gt;0,"LEFT OUT","NEW")))</f>
        <v/>
      </c>
    </row>
    <row r="716" spans="47:47" x14ac:dyDescent="0.25">
      <c r="AU716" s="8" t="str">
        <f>IF(TRIM($G716)="","",IF(COUNTIF(LISTS!$I$2:$I$16,TRIM($G716))&gt;0,"COUNTED",IF(COUNTIF(LISTS!$J$2:$J$16,TRIM($G716))&gt;0,"LEFT OUT","NEW")))</f>
        <v/>
      </c>
    </row>
    <row r="717" spans="47:47" x14ac:dyDescent="0.25">
      <c r="AU717" s="8" t="str">
        <f>IF(TRIM($G717)="","",IF(COUNTIF(LISTS!$I$2:$I$16,TRIM($G717))&gt;0,"COUNTED",IF(COUNTIF(LISTS!$J$2:$J$16,TRIM($G717))&gt;0,"LEFT OUT","NEW")))</f>
        <v/>
      </c>
    </row>
    <row r="718" spans="47:47" x14ac:dyDescent="0.25">
      <c r="AU718" s="8" t="str">
        <f>IF(TRIM($G718)="","",IF(COUNTIF(LISTS!$I$2:$I$16,TRIM($G718))&gt;0,"COUNTED",IF(COUNTIF(LISTS!$J$2:$J$16,TRIM($G718))&gt;0,"LEFT OUT","NEW")))</f>
        <v/>
      </c>
    </row>
    <row r="719" spans="47:47" x14ac:dyDescent="0.25">
      <c r="AU719" s="8" t="str">
        <f>IF(TRIM($G719)="","",IF(COUNTIF(LISTS!$I$2:$I$16,TRIM($G719))&gt;0,"COUNTED",IF(COUNTIF(LISTS!$J$2:$J$16,TRIM($G719))&gt;0,"LEFT OUT","NEW")))</f>
        <v/>
      </c>
    </row>
    <row r="720" spans="47:47" x14ac:dyDescent="0.25">
      <c r="AU720" s="8" t="str">
        <f>IF(TRIM($G720)="","",IF(COUNTIF(LISTS!$I$2:$I$16,TRIM($G720))&gt;0,"COUNTED",IF(COUNTIF(LISTS!$J$2:$J$16,TRIM($G720))&gt;0,"LEFT OUT","NEW")))</f>
        <v/>
      </c>
    </row>
    <row r="721" spans="47:47" x14ac:dyDescent="0.25">
      <c r="AU721" s="8" t="str">
        <f>IF(TRIM($G721)="","",IF(COUNTIF(LISTS!$I$2:$I$16,TRIM($G721))&gt;0,"COUNTED",IF(COUNTIF(LISTS!$J$2:$J$16,TRIM($G721))&gt;0,"LEFT OUT","NEW")))</f>
        <v/>
      </c>
    </row>
    <row r="722" spans="47:47" x14ac:dyDescent="0.25">
      <c r="AU722" s="8" t="str">
        <f>IF(TRIM($G722)="","",IF(COUNTIF(LISTS!$I$2:$I$16,TRIM($G722))&gt;0,"COUNTED",IF(COUNTIF(LISTS!$J$2:$J$16,TRIM($G722))&gt;0,"LEFT OUT","NEW")))</f>
        <v/>
      </c>
    </row>
    <row r="723" spans="47:47" x14ac:dyDescent="0.25">
      <c r="AU723" s="8" t="str">
        <f>IF(TRIM($G723)="","",IF(COUNTIF(LISTS!$I$2:$I$16,TRIM($G723))&gt;0,"COUNTED",IF(COUNTIF(LISTS!$J$2:$J$16,TRIM($G723))&gt;0,"LEFT OUT","NEW")))</f>
        <v/>
      </c>
    </row>
    <row r="724" spans="47:47" x14ac:dyDescent="0.25">
      <c r="AU724" s="8" t="str">
        <f>IF(TRIM($G724)="","",IF(COUNTIF(LISTS!$I$2:$I$16,TRIM($G724))&gt;0,"COUNTED",IF(COUNTIF(LISTS!$J$2:$J$16,TRIM($G724))&gt;0,"LEFT OUT","NEW")))</f>
        <v/>
      </c>
    </row>
    <row r="725" spans="47:47" x14ac:dyDescent="0.25">
      <c r="AU725" s="8" t="str">
        <f>IF(TRIM($G725)="","",IF(COUNTIF(LISTS!$I$2:$I$16,TRIM($G725))&gt;0,"COUNTED",IF(COUNTIF(LISTS!$J$2:$J$16,TRIM($G725))&gt;0,"LEFT OUT","NEW")))</f>
        <v/>
      </c>
    </row>
    <row r="726" spans="47:47" x14ac:dyDescent="0.25">
      <c r="AU726" s="8" t="str">
        <f>IF(TRIM($G726)="","",IF(COUNTIF(LISTS!$I$2:$I$16,TRIM($G726))&gt;0,"COUNTED",IF(COUNTIF(LISTS!$J$2:$J$16,TRIM($G726))&gt;0,"LEFT OUT","NEW")))</f>
        <v/>
      </c>
    </row>
    <row r="727" spans="47:47" x14ac:dyDescent="0.25">
      <c r="AU727" s="8" t="str">
        <f>IF(TRIM($G727)="","",IF(COUNTIF(LISTS!$I$2:$I$16,TRIM($G727))&gt;0,"COUNTED",IF(COUNTIF(LISTS!$J$2:$J$16,TRIM($G727))&gt;0,"LEFT OUT","NEW")))</f>
        <v/>
      </c>
    </row>
    <row r="728" spans="47:47" x14ac:dyDescent="0.25">
      <c r="AU728" s="8" t="str">
        <f>IF(TRIM($G728)="","",IF(COUNTIF(LISTS!$I$2:$I$16,TRIM($G728))&gt;0,"COUNTED",IF(COUNTIF(LISTS!$J$2:$J$16,TRIM($G728))&gt;0,"LEFT OUT","NEW")))</f>
        <v/>
      </c>
    </row>
    <row r="729" spans="47:47" x14ac:dyDescent="0.25">
      <c r="AU729" s="8" t="str">
        <f>IF(TRIM($G729)="","",IF(COUNTIF(LISTS!$I$2:$I$16,TRIM($G729))&gt;0,"COUNTED",IF(COUNTIF(LISTS!$J$2:$J$16,TRIM($G729))&gt;0,"LEFT OUT","NEW")))</f>
        <v/>
      </c>
    </row>
    <row r="730" spans="47:47" x14ac:dyDescent="0.25">
      <c r="AU730" s="8" t="str">
        <f>IF(TRIM($G730)="","",IF(COUNTIF(LISTS!$I$2:$I$16,TRIM($G730))&gt;0,"COUNTED",IF(COUNTIF(LISTS!$J$2:$J$16,TRIM($G730))&gt;0,"LEFT OUT","NEW")))</f>
        <v/>
      </c>
    </row>
    <row r="731" spans="47:47" x14ac:dyDescent="0.25">
      <c r="AU731" s="8" t="str">
        <f>IF(TRIM($G731)="","",IF(COUNTIF(LISTS!$I$2:$I$16,TRIM($G731))&gt;0,"COUNTED",IF(COUNTIF(LISTS!$J$2:$J$16,TRIM($G731))&gt;0,"LEFT OUT","NEW")))</f>
        <v/>
      </c>
    </row>
    <row r="732" spans="47:47" x14ac:dyDescent="0.25">
      <c r="AU732" s="8" t="str">
        <f>IF(TRIM($G732)="","",IF(COUNTIF(LISTS!$I$2:$I$16,TRIM($G732))&gt;0,"COUNTED",IF(COUNTIF(LISTS!$J$2:$J$16,TRIM($G732))&gt;0,"LEFT OUT","NEW")))</f>
        <v/>
      </c>
    </row>
    <row r="733" spans="47:47" x14ac:dyDescent="0.25">
      <c r="AU733" s="8" t="str">
        <f>IF(TRIM($G733)="","",IF(COUNTIF(LISTS!$I$2:$I$16,TRIM($G733))&gt;0,"COUNTED",IF(COUNTIF(LISTS!$J$2:$J$16,TRIM($G733))&gt;0,"LEFT OUT","NEW")))</f>
        <v/>
      </c>
    </row>
    <row r="734" spans="47:47" x14ac:dyDescent="0.25">
      <c r="AU734" s="8" t="str">
        <f>IF(TRIM($G734)="","",IF(COUNTIF(LISTS!$I$2:$I$16,TRIM($G734))&gt;0,"COUNTED",IF(COUNTIF(LISTS!$J$2:$J$16,TRIM($G734))&gt;0,"LEFT OUT","NEW")))</f>
        <v/>
      </c>
    </row>
    <row r="735" spans="47:47" x14ac:dyDescent="0.25">
      <c r="AU735" s="8" t="str">
        <f>IF(TRIM($G735)="","",IF(COUNTIF(LISTS!$I$2:$I$16,TRIM($G735))&gt;0,"COUNTED",IF(COUNTIF(LISTS!$J$2:$J$16,TRIM($G735))&gt;0,"LEFT OUT","NEW")))</f>
        <v/>
      </c>
    </row>
    <row r="736" spans="47:47" x14ac:dyDescent="0.25">
      <c r="AU736" s="8" t="str">
        <f>IF(TRIM($G736)="","",IF(COUNTIF(LISTS!$I$2:$I$16,TRIM($G736))&gt;0,"COUNTED",IF(COUNTIF(LISTS!$J$2:$J$16,TRIM($G736))&gt;0,"LEFT OUT","NEW")))</f>
        <v/>
      </c>
    </row>
    <row r="737" spans="47:47" x14ac:dyDescent="0.25">
      <c r="AU737" s="8" t="str">
        <f>IF(TRIM($G737)="","",IF(COUNTIF(LISTS!$I$2:$I$16,TRIM($G737))&gt;0,"COUNTED",IF(COUNTIF(LISTS!$J$2:$J$16,TRIM($G737))&gt;0,"LEFT OUT","NEW")))</f>
        <v/>
      </c>
    </row>
    <row r="738" spans="47:47" x14ac:dyDescent="0.25">
      <c r="AU738" s="8" t="str">
        <f>IF(TRIM($G738)="","",IF(COUNTIF(LISTS!$I$2:$I$16,TRIM($G738))&gt;0,"COUNTED",IF(COUNTIF(LISTS!$J$2:$J$16,TRIM($G738))&gt;0,"LEFT OUT","NEW")))</f>
        <v/>
      </c>
    </row>
    <row r="739" spans="47:47" x14ac:dyDescent="0.25">
      <c r="AU739" s="8" t="str">
        <f>IF(TRIM($G739)="","",IF(COUNTIF(LISTS!$I$2:$I$16,TRIM($G739))&gt;0,"COUNTED",IF(COUNTIF(LISTS!$J$2:$J$16,TRIM($G739))&gt;0,"LEFT OUT","NEW")))</f>
        <v/>
      </c>
    </row>
    <row r="740" spans="47:47" x14ac:dyDescent="0.25">
      <c r="AU740" s="8" t="str">
        <f>IF(TRIM($G740)="","",IF(COUNTIF(LISTS!$I$2:$I$16,TRIM($G740))&gt;0,"COUNTED",IF(COUNTIF(LISTS!$J$2:$J$16,TRIM($G740))&gt;0,"LEFT OUT","NEW")))</f>
        <v/>
      </c>
    </row>
    <row r="741" spans="47:47" x14ac:dyDescent="0.25">
      <c r="AU741" s="8" t="str">
        <f>IF(TRIM($G741)="","",IF(COUNTIF(LISTS!$I$2:$I$16,TRIM($G741))&gt;0,"COUNTED",IF(COUNTIF(LISTS!$J$2:$J$16,TRIM($G741))&gt;0,"LEFT OUT","NEW")))</f>
        <v/>
      </c>
    </row>
    <row r="742" spans="47:47" x14ac:dyDescent="0.25">
      <c r="AU742" s="8" t="str">
        <f>IF(TRIM($G742)="","",IF(COUNTIF(LISTS!$I$2:$I$16,TRIM($G742))&gt;0,"COUNTED",IF(COUNTIF(LISTS!$J$2:$J$16,TRIM($G742))&gt;0,"LEFT OUT","NEW")))</f>
        <v/>
      </c>
    </row>
    <row r="743" spans="47:47" x14ac:dyDescent="0.25">
      <c r="AU743" s="8" t="str">
        <f>IF(TRIM($G743)="","",IF(COUNTIF(LISTS!$I$2:$I$16,TRIM($G743))&gt;0,"COUNTED",IF(COUNTIF(LISTS!$J$2:$J$16,TRIM($G743))&gt;0,"LEFT OUT","NEW")))</f>
        <v/>
      </c>
    </row>
    <row r="744" spans="47:47" x14ac:dyDescent="0.25">
      <c r="AU744" s="8" t="str">
        <f>IF(TRIM($G744)="","",IF(COUNTIF(LISTS!$I$2:$I$16,TRIM($G744))&gt;0,"COUNTED",IF(COUNTIF(LISTS!$J$2:$J$16,TRIM($G744))&gt;0,"LEFT OUT","NEW")))</f>
        <v/>
      </c>
    </row>
    <row r="745" spans="47:47" x14ac:dyDescent="0.25">
      <c r="AU745" s="8" t="str">
        <f>IF(TRIM($G745)="","",IF(COUNTIF(LISTS!$I$2:$I$16,TRIM($G745))&gt;0,"COUNTED",IF(COUNTIF(LISTS!$J$2:$J$16,TRIM($G745))&gt;0,"LEFT OUT","NEW")))</f>
        <v/>
      </c>
    </row>
    <row r="746" spans="47:47" x14ac:dyDescent="0.25">
      <c r="AU746" s="8" t="str">
        <f>IF(TRIM($G746)="","",IF(COUNTIF(LISTS!$I$2:$I$16,TRIM($G746))&gt;0,"COUNTED",IF(COUNTIF(LISTS!$J$2:$J$16,TRIM($G746))&gt;0,"LEFT OUT","NEW")))</f>
        <v/>
      </c>
    </row>
    <row r="747" spans="47:47" x14ac:dyDescent="0.25">
      <c r="AU747" s="8" t="str">
        <f>IF(TRIM($G747)="","",IF(COUNTIF(LISTS!$I$2:$I$16,TRIM($G747))&gt;0,"COUNTED",IF(COUNTIF(LISTS!$J$2:$J$16,TRIM($G747))&gt;0,"LEFT OUT","NEW")))</f>
        <v/>
      </c>
    </row>
    <row r="748" spans="47:47" x14ac:dyDescent="0.25">
      <c r="AU748" s="8" t="str">
        <f>IF(TRIM($G748)="","",IF(COUNTIF(LISTS!$I$2:$I$16,TRIM($G748))&gt;0,"COUNTED",IF(COUNTIF(LISTS!$J$2:$J$16,TRIM($G748))&gt;0,"LEFT OUT","NEW")))</f>
        <v/>
      </c>
    </row>
    <row r="749" spans="47:47" x14ac:dyDescent="0.25">
      <c r="AU749" s="8" t="str">
        <f>IF(TRIM($G749)="","",IF(COUNTIF(LISTS!$I$2:$I$16,TRIM($G749))&gt;0,"COUNTED",IF(COUNTIF(LISTS!$J$2:$J$16,TRIM($G749))&gt;0,"LEFT OUT","NEW")))</f>
        <v/>
      </c>
    </row>
    <row r="750" spans="47:47" x14ac:dyDescent="0.25">
      <c r="AU750" s="8" t="str">
        <f>IF(TRIM($G750)="","",IF(COUNTIF(LISTS!$I$2:$I$16,TRIM($G750))&gt;0,"COUNTED",IF(COUNTIF(LISTS!$J$2:$J$16,TRIM($G750))&gt;0,"LEFT OUT","NEW")))</f>
        <v/>
      </c>
    </row>
    <row r="751" spans="47:47" x14ac:dyDescent="0.25">
      <c r="AU751" s="8" t="str">
        <f>IF(TRIM($G751)="","",IF(COUNTIF(LISTS!$I$2:$I$16,TRIM($G751))&gt;0,"COUNTED",IF(COUNTIF(LISTS!$J$2:$J$16,TRIM($G751))&gt;0,"LEFT OUT","NEW")))</f>
        <v/>
      </c>
    </row>
    <row r="752" spans="47:47" x14ac:dyDescent="0.25">
      <c r="AU752" s="8" t="str">
        <f>IF(TRIM($G752)="","",IF(COUNTIF(LISTS!$I$2:$I$16,TRIM($G752))&gt;0,"COUNTED",IF(COUNTIF(LISTS!$J$2:$J$16,TRIM($G752))&gt;0,"LEFT OUT","NEW")))</f>
        <v/>
      </c>
    </row>
    <row r="753" spans="47:47" x14ac:dyDescent="0.25">
      <c r="AU753" s="8" t="str">
        <f>IF(TRIM($G753)="","",IF(COUNTIF(LISTS!$I$2:$I$16,TRIM($G753))&gt;0,"COUNTED",IF(COUNTIF(LISTS!$J$2:$J$16,TRIM($G753))&gt;0,"LEFT OUT","NEW")))</f>
        <v/>
      </c>
    </row>
    <row r="754" spans="47:47" x14ac:dyDescent="0.25">
      <c r="AU754" s="8" t="str">
        <f>IF(TRIM($G754)="","",IF(COUNTIF(LISTS!$I$2:$I$16,TRIM($G754))&gt;0,"COUNTED",IF(COUNTIF(LISTS!$J$2:$J$16,TRIM($G754))&gt;0,"LEFT OUT","NEW")))</f>
        <v/>
      </c>
    </row>
    <row r="755" spans="47:47" x14ac:dyDescent="0.25">
      <c r="AU755" s="8" t="str">
        <f>IF(TRIM($G755)="","",IF(COUNTIF(LISTS!$I$2:$I$16,TRIM($G755))&gt;0,"COUNTED",IF(COUNTIF(LISTS!$J$2:$J$16,TRIM($G755))&gt;0,"LEFT OUT","NEW")))</f>
        <v/>
      </c>
    </row>
    <row r="756" spans="47:47" x14ac:dyDescent="0.25">
      <c r="AU756" s="8" t="str">
        <f>IF(TRIM($G756)="","",IF(COUNTIF(LISTS!$I$2:$I$16,TRIM($G756))&gt;0,"COUNTED",IF(COUNTIF(LISTS!$J$2:$J$16,TRIM($G756))&gt;0,"LEFT OUT","NEW")))</f>
        <v/>
      </c>
    </row>
    <row r="757" spans="47:47" x14ac:dyDescent="0.25">
      <c r="AU757" s="8" t="str">
        <f>IF(TRIM($G757)="","",IF(COUNTIF(LISTS!$I$2:$I$16,TRIM($G757))&gt;0,"COUNTED",IF(COUNTIF(LISTS!$J$2:$J$16,TRIM($G757))&gt;0,"LEFT OUT","NEW")))</f>
        <v/>
      </c>
    </row>
    <row r="758" spans="47:47" x14ac:dyDescent="0.25">
      <c r="AU758" s="8" t="str">
        <f>IF(TRIM($G758)="","",IF(COUNTIF(LISTS!$I$2:$I$16,TRIM($G758))&gt;0,"COUNTED",IF(COUNTIF(LISTS!$J$2:$J$16,TRIM($G758))&gt;0,"LEFT OUT","NEW")))</f>
        <v/>
      </c>
    </row>
    <row r="759" spans="47:47" x14ac:dyDescent="0.25">
      <c r="AU759" s="8" t="str">
        <f>IF(TRIM($G759)="","",IF(COUNTIF(LISTS!$I$2:$I$16,TRIM($G759))&gt;0,"COUNTED",IF(COUNTIF(LISTS!$J$2:$J$16,TRIM($G759))&gt;0,"LEFT OUT","NEW")))</f>
        <v/>
      </c>
    </row>
    <row r="760" spans="47:47" x14ac:dyDescent="0.25">
      <c r="AU760" s="8" t="str">
        <f>IF(TRIM($G760)="","",IF(COUNTIF(LISTS!$I$2:$I$16,TRIM($G760))&gt;0,"COUNTED",IF(COUNTIF(LISTS!$J$2:$J$16,TRIM($G760))&gt;0,"LEFT OUT","NEW")))</f>
        <v/>
      </c>
    </row>
    <row r="761" spans="47:47" x14ac:dyDescent="0.25">
      <c r="AU761" s="8" t="str">
        <f>IF(TRIM($G761)="","",IF(COUNTIF(LISTS!$I$2:$I$16,TRIM($G761))&gt;0,"COUNTED",IF(COUNTIF(LISTS!$J$2:$J$16,TRIM($G761))&gt;0,"LEFT OUT","NEW")))</f>
        <v/>
      </c>
    </row>
    <row r="762" spans="47:47" x14ac:dyDescent="0.25">
      <c r="AU762" s="8" t="str">
        <f>IF(TRIM($G762)="","",IF(COUNTIF(LISTS!$I$2:$I$16,TRIM($G762))&gt;0,"COUNTED",IF(COUNTIF(LISTS!$J$2:$J$16,TRIM($G762))&gt;0,"LEFT OUT","NEW")))</f>
        <v/>
      </c>
    </row>
    <row r="763" spans="47:47" x14ac:dyDescent="0.25">
      <c r="AU763" s="8" t="str">
        <f>IF(TRIM($G763)="","",IF(COUNTIF(LISTS!$I$2:$I$16,TRIM($G763))&gt;0,"COUNTED",IF(COUNTIF(LISTS!$J$2:$J$16,TRIM($G763))&gt;0,"LEFT OUT","NEW")))</f>
        <v/>
      </c>
    </row>
    <row r="764" spans="47:47" x14ac:dyDescent="0.25">
      <c r="AU764" s="8" t="str">
        <f>IF(TRIM($G764)="","",IF(COUNTIF(LISTS!$I$2:$I$16,TRIM($G764))&gt;0,"COUNTED",IF(COUNTIF(LISTS!$J$2:$J$16,TRIM($G764))&gt;0,"LEFT OUT","NEW")))</f>
        <v/>
      </c>
    </row>
    <row r="765" spans="47:47" x14ac:dyDescent="0.25">
      <c r="AU765" s="8" t="str">
        <f>IF(TRIM($G765)="","",IF(COUNTIF(LISTS!$I$2:$I$16,TRIM($G765))&gt;0,"COUNTED",IF(COUNTIF(LISTS!$J$2:$J$16,TRIM($G765))&gt;0,"LEFT OUT","NEW")))</f>
        <v/>
      </c>
    </row>
    <row r="766" spans="47:47" x14ac:dyDescent="0.25">
      <c r="AU766" s="8" t="str">
        <f>IF(TRIM($G766)="","",IF(COUNTIF(LISTS!$I$2:$I$16,TRIM($G766))&gt;0,"COUNTED",IF(COUNTIF(LISTS!$J$2:$J$16,TRIM($G766))&gt;0,"LEFT OUT","NEW")))</f>
        <v/>
      </c>
    </row>
    <row r="767" spans="47:47" x14ac:dyDescent="0.25">
      <c r="AU767" s="8" t="str">
        <f>IF(TRIM($G767)="","",IF(COUNTIF(LISTS!$I$2:$I$16,TRIM($G767))&gt;0,"COUNTED",IF(COUNTIF(LISTS!$J$2:$J$16,TRIM($G767))&gt;0,"LEFT OUT","NEW")))</f>
        <v/>
      </c>
    </row>
    <row r="768" spans="47:47" x14ac:dyDescent="0.25">
      <c r="AU768" s="8" t="str">
        <f>IF(TRIM($G768)="","",IF(COUNTIF(LISTS!$I$2:$I$16,TRIM($G768))&gt;0,"COUNTED",IF(COUNTIF(LISTS!$J$2:$J$16,TRIM($G768))&gt;0,"LEFT OUT","NEW")))</f>
        <v/>
      </c>
    </row>
    <row r="769" spans="47:47" x14ac:dyDescent="0.25">
      <c r="AU769" s="8" t="str">
        <f>IF(TRIM($G769)="","",IF(COUNTIF(LISTS!$I$2:$I$16,TRIM($G769))&gt;0,"COUNTED",IF(COUNTIF(LISTS!$J$2:$J$16,TRIM($G769))&gt;0,"LEFT OUT","NEW")))</f>
        <v/>
      </c>
    </row>
    <row r="770" spans="47:47" x14ac:dyDescent="0.25">
      <c r="AU770" s="8" t="str">
        <f>IF(TRIM($G770)="","",IF(COUNTIF(LISTS!$I$2:$I$16,TRIM($G770))&gt;0,"COUNTED",IF(COUNTIF(LISTS!$J$2:$J$16,TRIM($G770))&gt;0,"LEFT OUT","NEW")))</f>
        <v/>
      </c>
    </row>
    <row r="771" spans="47:47" x14ac:dyDescent="0.25">
      <c r="AU771" s="8" t="str">
        <f>IF(TRIM($G771)="","",IF(COUNTIF(LISTS!$I$2:$I$16,TRIM($G771))&gt;0,"COUNTED",IF(COUNTIF(LISTS!$J$2:$J$16,TRIM($G771))&gt;0,"LEFT OUT","NEW")))</f>
        <v/>
      </c>
    </row>
    <row r="772" spans="47:47" x14ac:dyDescent="0.25">
      <c r="AU772" s="8" t="str">
        <f>IF(TRIM($G772)="","",IF(COUNTIF(LISTS!$I$2:$I$16,TRIM($G772))&gt;0,"COUNTED",IF(COUNTIF(LISTS!$J$2:$J$16,TRIM($G772))&gt;0,"LEFT OUT","NEW")))</f>
        <v/>
      </c>
    </row>
    <row r="773" spans="47:47" x14ac:dyDescent="0.25">
      <c r="AU773" s="8" t="str">
        <f>IF(TRIM($G773)="","",IF(COUNTIF(LISTS!$I$2:$I$16,TRIM($G773))&gt;0,"COUNTED",IF(COUNTIF(LISTS!$J$2:$J$16,TRIM($G773))&gt;0,"LEFT OUT","NEW")))</f>
        <v/>
      </c>
    </row>
    <row r="774" spans="47:47" x14ac:dyDescent="0.25">
      <c r="AU774" s="8" t="str">
        <f>IF(TRIM($G774)="","",IF(COUNTIF(LISTS!$I$2:$I$16,TRIM($G774))&gt;0,"COUNTED",IF(COUNTIF(LISTS!$J$2:$J$16,TRIM($G774))&gt;0,"LEFT OUT","NEW")))</f>
        <v/>
      </c>
    </row>
    <row r="775" spans="47:47" x14ac:dyDescent="0.25">
      <c r="AU775" s="8" t="str">
        <f>IF(TRIM($G775)="","",IF(COUNTIF(LISTS!$I$2:$I$16,TRIM($G775))&gt;0,"COUNTED",IF(COUNTIF(LISTS!$J$2:$J$16,TRIM($G775))&gt;0,"LEFT OUT","NEW")))</f>
        <v/>
      </c>
    </row>
    <row r="776" spans="47:47" x14ac:dyDescent="0.25">
      <c r="AU776" s="8" t="str">
        <f>IF(TRIM($G776)="","",IF(COUNTIF(LISTS!$I$2:$I$16,TRIM($G776))&gt;0,"COUNTED",IF(COUNTIF(LISTS!$J$2:$J$16,TRIM($G776))&gt;0,"LEFT OUT","NEW")))</f>
        <v/>
      </c>
    </row>
    <row r="777" spans="47:47" x14ac:dyDescent="0.25">
      <c r="AU777" s="8" t="str">
        <f>IF(TRIM($G777)="","",IF(COUNTIF(LISTS!$I$2:$I$16,TRIM($G777))&gt;0,"COUNTED",IF(COUNTIF(LISTS!$J$2:$J$16,TRIM($G777))&gt;0,"LEFT OUT","NEW")))</f>
        <v/>
      </c>
    </row>
    <row r="778" spans="47:47" x14ac:dyDescent="0.25">
      <c r="AU778" s="8" t="str">
        <f>IF(TRIM($G778)="","",IF(COUNTIF(LISTS!$I$2:$I$16,TRIM($G778))&gt;0,"COUNTED",IF(COUNTIF(LISTS!$J$2:$J$16,TRIM($G778))&gt;0,"LEFT OUT","NEW")))</f>
        <v/>
      </c>
    </row>
    <row r="779" spans="47:47" x14ac:dyDescent="0.25">
      <c r="AU779" s="8" t="str">
        <f>IF(TRIM($G779)="","",IF(COUNTIF(LISTS!$I$2:$I$16,TRIM($G779))&gt;0,"COUNTED",IF(COUNTIF(LISTS!$J$2:$J$16,TRIM($G779))&gt;0,"LEFT OUT","NEW")))</f>
        <v/>
      </c>
    </row>
    <row r="780" spans="47:47" x14ac:dyDescent="0.25">
      <c r="AU780" s="8" t="str">
        <f>IF(TRIM($G780)="","",IF(COUNTIF(LISTS!$I$2:$I$16,TRIM($G780))&gt;0,"COUNTED",IF(COUNTIF(LISTS!$J$2:$J$16,TRIM($G780))&gt;0,"LEFT OUT","NEW")))</f>
        <v/>
      </c>
    </row>
    <row r="781" spans="47:47" x14ac:dyDescent="0.25">
      <c r="AU781" s="8" t="str">
        <f>IF(TRIM($G781)="","",IF(COUNTIF(LISTS!$I$2:$I$16,TRIM($G781))&gt;0,"COUNTED",IF(COUNTIF(LISTS!$J$2:$J$16,TRIM($G781))&gt;0,"LEFT OUT","NEW")))</f>
        <v/>
      </c>
    </row>
    <row r="782" spans="47:47" x14ac:dyDescent="0.25">
      <c r="AU782" s="8" t="str">
        <f>IF(TRIM($G782)="","",IF(COUNTIF(LISTS!$I$2:$I$16,TRIM($G782))&gt;0,"COUNTED",IF(COUNTIF(LISTS!$J$2:$J$16,TRIM($G782))&gt;0,"LEFT OUT","NEW")))</f>
        <v/>
      </c>
    </row>
    <row r="783" spans="47:47" x14ac:dyDescent="0.25">
      <c r="AU783" s="8" t="str">
        <f>IF(TRIM($G783)="","",IF(COUNTIF(LISTS!$I$2:$I$16,TRIM($G783))&gt;0,"COUNTED",IF(COUNTIF(LISTS!$J$2:$J$16,TRIM($G783))&gt;0,"LEFT OUT","NEW")))</f>
        <v/>
      </c>
    </row>
    <row r="784" spans="47:47" x14ac:dyDescent="0.25">
      <c r="AU784" s="8" t="str">
        <f>IF(TRIM($G784)="","",IF(COUNTIF(LISTS!$I$2:$I$16,TRIM($G784))&gt;0,"COUNTED",IF(COUNTIF(LISTS!$J$2:$J$16,TRIM($G784))&gt;0,"LEFT OUT","NEW")))</f>
        <v/>
      </c>
    </row>
    <row r="785" spans="47:47" x14ac:dyDescent="0.25">
      <c r="AU785" s="8" t="str">
        <f>IF(TRIM($G785)="","",IF(COUNTIF(LISTS!$I$2:$I$16,TRIM($G785))&gt;0,"COUNTED",IF(COUNTIF(LISTS!$J$2:$J$16,TRIM($G785))&gt;0,"LEFT OUT","NEW")))</f>
        <v/>
      </c>
    </row>
    <row r="786" spans="47:47" x14ac:dyDescent="0.25">
      <c r="AU786" s="8" t="str">
        <f>IF(TRIM($G786)="","",IF(COUNTIF(LISTS!$I$2:$I$16,TRIM($G786))&gt;0,"COUNTED",IF(COUNTIF(LISTS!$J$2:$J$16,TRIM($G786))&gt;0,"LEFT OUT","NEW")))</f>
        <v/>
      </c>
    </row>
    <row r="787" spans="47:47" x14ac:dyDescent="0.25">
      <c r="AU787" s="8" t="str">
        <f>IF(TRIM($G787)="","",IF(COUNTIF(LISTS!$I$2:$I$16,TRIM($G787))&gt;0,"COUNTED",IF(COUNTIF(LISTS!$J$2:$J$16,TRIM($G787))&gt;0,"LEFT OUT","NEW")))</f>
        <v/>
      </c>
    </row>
    <row r="788" spans="47:47" x14ac:dyDescent="0.25">
      <c r="AU788" s="8" t="str">
        <f>IF(TRIM($G788)="","",IF(COUNTIF(LISTS!$I$2:$I$16,TRIM($G788))&gt;0,"COUNTED",IF(COUNTIF(LISTS!$J$2:$J$16,TRIM($G788))&gt;0,"LEFT OUT","NEW")))</f>
        <v/>
      </c>
    </row>
    <row r="789" spans="47:47" x14ac:dyDescent="0.25">
      <c r="AU789" s="8" t="str">
        <f>IF(TRIM($G789)="","",IF(COUNTIF(LISTS!$I$2:$I$16,TRIM($G789))&gt;0,"COUNTED",IF(COUNTIF(LISTS!$J$2:$J$16,TRIM($G789))&gt;0,"LEFT OUT","NEW")))</f>
        <v/>
      </c>
    </row>
    <row r="790" spans="47:47" x14ac:dyDescent="0.25">
      <c r="AU790" s="8" t="str">
        <f>IF(TRIM($G790)="","",IF(COUNTIF(LISTS!$I$2:$I$16,TRIM($G790))&gt;0,"COUNTED",IF(COUNTIF(LISTS!$J$2:$J$16,TRIM($G790))&gt;0,"LEFT OUT","NEW")))</f>
        <v/>
      </c>
    </row>
    <row r="791" spans="47:47" x14ac:dyDescent="0.25">
      <c r="AU791" s="8" t="str">
        <f>IF(TRIM($G791)="","",IF(COUNTIF(LISTS!$I$2:$I$16,TRIM($G791))&gt;0,"COUNTED",IF(COUNTIF(LISTS!$J$2:$J$16,TRIM($G791))&gt;0,"LEFT OUT","NEW")))</f>
        <v/>
      </c>
    </row>
    <row r="792" spans="47:47" x14ac:dyDescent="0.25">
      <c r="AU792" s="8" t="str">
        <f>IF(TRIM($G792)="","",IF(COUNTIF(LISTS!$I$2:$I$16,TRIM($G792))&gt;0,"COUNTED",IF(COUNTIF(LISTS!$J$2:$J$16,TRIM($G792))&gt;0,"LEFT OUT","NEW")))</f>
        <v/>
      </c>
    </row>
    <row r="793" spans="47:47" x14ac:dyDescent="0.25">
      <c r="AU793" s="8" t="str">
        <f>IF(TRIM($G793)="","",IF(COUNTIF(LISTS!$I$2:$I$16,TRIM($G793))&gt;0,"COUNTED",IF(COUNTIF(LISTS!$J$2:$J$16,TRIM($G793))&gt;0,"LEFT OUT","NEW")))</f>
        <v/>
      </c>
    </row>
    <row r="794" spans="47:47" x14ac:dyDescent="0.25">
      <c r="AU794" s="8" t="str">
        <f>IF(TRIM($G794)="","",IF(COUNTIF(LISTS!$I$2:$I$16,TRIM($G794))&gt;0,"COUNTED",IF(COUNTIF(LISTS!$J$2:$J$16,TRIM($G794))&gt;0,"LEFT OUT","NEW")))</f>
        <v/>
      </c>
    </row>
    <row r="795" spans="47:47" x14ac:dyDescent="0.25">
      <c r="AU795" s="8" t="str">
        <f>IF(TRIM($G795)="","",IF(COUNTIF(LISTS!$I$2:$I$16,TRIM($G795))&gt;0,"COUNTED",IF(COUNTIF(LISTS!$J$2:$J$16,TRIM($G795))&gt;0,"LEFT OUT","NEW")))</f>
        <v/>
      </c>
    </row>
    <row r="796" spans="47:47" x14ac:dyDescent="0.25">
      <c r="AU796" s="8" t="str">
        <f>IF(TRIM($G796)="","",IF(COUNTIF(LISTS!$I$2:$I$16,TRIM($G796))&gt;0,"COUNTED",IF(COUNTIF(LISTS!$J$2:$J$16,TRIM($G796))&gt;0,"LEFT OUT","NEW")))</f>
        <v/>
      </c>
    </row>
    <row r="797" spans="47:47" x14ac:dyDescent="0.25">
      <c r="AU797" s="8" t="str">
        <f>IF(TRIM($G797)="","",IF(COUNTIF(LISTS!$I$2:$I$16,TRIM($G797))&gt;0,"COUNTED",IF(COUNTIF(LISTS!$J$2:$J$16,TRIM($G797))&gt;0,"LEFT OUT","NEW")))</f>
        <v/>
      </c>
    </row>
    <row r="798" spans="47:47" x14ac:dyDescent="0.25">
      <c r="AU798" s="8" t="str">
        <f>IF(TRIM($G798)="","",IF(COUNTIF(LISTS!$I$2:$I$16,TRIM($G798))&gt;0,"COUNTED",IF(COUNTIF(LISTS!$J$2:$J$16,TRIM($G798))&gt;0,"LEFT OUT","NEW")))</f>
        <v/>
      </c>
    </row>
    <row r="799" spans="47:47" x14ac:dyDescent="0.25">
      <c r="AU799" s="8" t="str">
        <f>IF(TRIM($G799)="","",IF(COUNTIF(LISTS!$I$2:$I$16,TRIM($G799))&gt;0,"COUNTED",IF(COUNTIF(LISTS!$J$2:$J$16,TRIM($G799))&gt;0,"LEFT OUT","NEW")))</f>
        <v/>
      </c>
    </row>
    <row r="800" spans="47:47" x14ac:dyDescent="0.25">
      <c r="AU800" s="8" t="str">
        <f>IF(TRIM($G800)="","",IF(COUNTIF(LISTS!$I$2:$I$16,TRIM($G800))&gt;0,"COUNTED",IF(COUNTIF(LISTS!$J$2:$J$16,TRIM($G800))&gt;0,"LEFT OUT","NEW")))</f>
        <v/>
      </c>
    </row>
    <row r="801" spans="47:47" x14ac:dyDescent="0.25">
      <c r="AU801" s="8" t="str">
        <f>IF(TRIM($G801)="","",IF(COUNTIF(LISTS!$I$2:$I$16,TRIM($G801))&gt;0,"COUNTED",IF(COUNTIF(LISTS!$J$2:$J$16,TRIM($G801))&gt;0,"LEFT OUT","NEW")))</f>
        <v/>
      </c>
    </row>
    <row r="802" spans="47:47" x14ac:dyDescent="0.25">
      <c r="AU802" s="8" t="str">
        <f>IF(TRIM($G802)="","",IF(COUNTIF(LISTS!$I$2:$I$16,TRIM($G802))&gt;0,"COUNTED",IF(COUNTIF(LISTS!$J$2:$J$16,TRIM($G802))&gt;0,"LEFT OUT","NEW")))</f>
        <v/>
      </c>
    </row>
    <row r="803" spans="47:47" x14ac:dyDescent="0.25">
      <c r="AU803" s="8" t="str">
        <f>IF(TRIM($G803)="","",IF(COUNTIF(LISTS!$I$2:$I$16,TRIM($G803))&gt;0,"COUNTED",IF(COUNTIF(LISTS!$J$2:$J$16,TRIM($G803))&gt;0,"LEFT OUT","NEW")))</f>
        <v/>
      </c>
    </row>
    <row r="804" spans="47:47" x14ac:dyDescent="0.25">
      <c r="AU804" s="8" t="str">
        <f>IF(TRIM($G804)="","",IF(COUNTIF(LISTS!$I$2:$I$16,TRIM($G804))&gt;0,"COUNTED",IF(COUNTIF(LISTS!$J$2:$J$16,TRIM($G804))&gt;0,"LEFT OUT","NEW")))</f>
        <v/>
      </c>
    </row>
    <row r="805" spans="47:47" x14ac:dyDescent="0.25">
      <c r="AU805" s="8" t="str">
        <f>IF(TRIM($G805)="","",IF(COUNTIF(LISTS!$I$2:$I$16,TRIM($G805))&gt;0,"COUNTED",IF(COUNTIF(LISTS!$J$2:$J$16,TRIM($G805))&gt;0,"LEFT OUT","NEW")))</f>
        <v/>
      </c>
    </row>
    <row r="806" spans="47:47" x14ac:dyDescent="0.25">
      <c r="AU806" s="8" t="str">
        <f>IF(TRIM($G806)="","",IF(COUNTIF(LISTS!$I$2:$I$16,TRIM($G806))&gt;0,"COUNTED",IF(COUNTIF(LISTS!$J$2:$J$16,TRIM($G806))&gt;0,"LEFT OUT","NEW")))</f>
        <v/>
      </c>
    </row>
    <row r="807" spans="47:47" x14ac:dyDescent="0.25">
      <c r="AU807" s="8" t="str">
        <f>IF(TRIM($G807)="","",IF(COUNTIF(LISTS!$I$2:$I$16,TRIM($G807))&gt;0,"COUNTED",IF(COUNTIF(LISTS!$J$2:$J$16,TRIM($G807))&gt;0,"LEFT OUT","NEW")))</f>
        <v/>
      </c>
    </row>
    <row r="808" spans="47:47" x14ac:dyDescent="0.25">
      <c r="AU808" s="8" t="str">
        <f>IF(TRIM($G808)="","",IF(COUNTIF(LISTS!$I$2:$I$16,TRIM($G808))&gt;0,"COUNTED",IF(COUNTIF(LISTS!$J$2:$J$16,TRIM($G808))&gt;0,"LEFT OUT","NEW")))</f>
        <v/>
      </c>
    </row>
    <row r="809" spans="47:47" x14ac:dyDescent="0.25">
      <c r="AU809" s="8" t="str">
        <f>IF(TRIM($G809)="","",IF(COUNTIF(LISTS!$I$2:$I$16,TRIM($G809))&gt;0,"COUNTED",IF(COUNTIF(LISTS!$J$2:$J$16,TRIM($G809))&gt;0,"LEFT OUT","NEW")))</f>
        <v/>
      </c>
    </row>
    <row r="810" spans="47:47" x14ac:dyDescent="0.25">
      <c r="AU810" s="8" t="str">
        <f>IF(TRIM($G810)="","",IF(COUNTIF(LISTS!$I$2:$I$16,TRIM($G810))&gt;0,"COUNTED",IF(COUNTIF(LISTS!$J$2:$J$16,TRIM($G810))&gt;0,"LEFT OUT","NEW")))</f>
        <v/>
      </c>
    </row>
    <row r="811" spans="47:47" x14ac:dyDescent="0.25">
      <c r="AU811" s="8" t="str">
        <f>IF(TRIM($G811)="","",IF(COUNTIF(LISTS!$I$2:$I$16,TRIM($G811))&gt;0,"COUNTED",IF(COUNTIF(LISTS!$J$2:$J$16,TRIM($G811))&gt;0,"LEFT OUT","NEW")))</f>
        <v/>
      </c>
    </row>
    <row r="812" spans="47:47" x14ac:dyDescent="0.25">
      <c r="AU812" s="8" t="str">
        <f>IF(TRIM($G812)="","",IF(COUNTIF(LISTS!$I$2:$I$16,TRIM($G812))&gt;0,"COUNTED",IF(COUNTIF(LISTS!$J$2:$J$16,TRIM($G812))&gt;0,"LEFT OUT","NEW")))</f>
        <v/>
      </c>
    </row>
    <row r="813" spans="47:47" x14ac:dyDescent="0.25">
      <c r="AU813" s="8" t="str">
        <f>IF(TRIM($G813)="","",IF(COUNTIF(LISTS!$I$2:$I$16,TRIM($G813))&gt;0,"COUNTED",IF(COUNTIF(LISTS!$J$2:$J$16,TRIM($G813))&gt;0,"LEFT OUT","NEW")))</f>
        <v/>
      </c>
    </row>
    <row r="814" spans="47:47" x14ac:dyDescent="0.25">
      <c r="AU814" s="8" t="str">
        <f>IF(TRIM($G814)="","",IF(COUNTIF(LISTS!$I$2:$I$16,TRIM($G814))&gt;0,"COUNTED",IF(COUNTIF(LISTS!$J$2:$J$16,TRIM($G814))&gt;0,"LEFT OUT","NEW")))</f>
        <v/>
      </c>
    </row>
    <row r="815" spans="47:47" x14ac:dyDescent="0.25">
      <c r="AU815" s="8" t="str">
        <f>IF(TRIM($G815)="","",IF(COUNTIF(LISTS!$I$2:$I$16,TRIM($G815))&gt;0,"COUNTED",IF(COUNTIF(LISTS!$J$2:$J$16,TRIM($G815))&gt;0,"LEFT OUT","NEW")))</f>
        <v/>
      </c>
    </row>
    <row r="816" spans="47:47" x14ac:dyDescent="0.25">
      <c r="AU816" s="8" t="str">
        <f>IF(TRIM($G816)="","",IF(COUNTIF(LISTS!$I$2:$I$16,TRIM($G816))&gt;0,"COUNTED",IF(COUNTIF(LISTS!$J$2:$J$16,TRIM($G816))&gt;0,"LEFT OUT","NEW")))</f>
        <v/>
      </c>
    </row>
    <row r="817" spans="47:47" x14ac:dyDescent="0.25">
      <c r="AU817" s="8" t="str">
        <f>IF(TRIM($G817)="","",IF(COUNTIF(LISTS!$I$2:$I$16,TRIM($G817))&gt;0,"COUNTED",IF(COUNTIF(LISTS!$J$2:$J$16,TRIM($G817))&gt;0,"LEFT OUT","NEW")))</f>
        <v/>
      </c>
    </row>
    <row r="818" spans="47:47" x14ac:dyDescent="0.25">
      <c r="AU818" s="8" t="str">
        <f>IF(TRIM($G818)="","",IF(COUNTIF(LISTS!$I$2:$I$16,TRIM($G818))&gt;0,"COUNTED",IF(COUNTIF(LISTS!$J$2:$J$16,TRIM($G818))&gt;0,"LEFT OUT","NEW")))</f>
        <v/>
      </c>
    </row>
    <row r="819" spans="47:47" x14ac:dyDescent="0.25">
      <c r="AU819" s="8" t="str">
        <f>IF(TRIM($G819)="","",IF(COUNTIF(LISTS!$I$2:$I$16,TRIM($G819))&gt;0,"COUNTED",IF(COUNTIF(LISTS!$J$2:$J$16,TRIM($G819))&gt;0,"LEFT OUT","NEW")))</f>
        <v/>
      </c>
    </row>
    <row r="820" spans="47:47" x14ac:dyDescent="0.25">
      <c r="AU820" s="8" t="str">
        <f>IF(TRIM($G820)="","",IF(COUNTIF(LISTS!$I$2:$I$16,TRIM($G820))&gt;0,"COUNTED",IF(COUNTIF(LISTS!$J$2:$J$16,TRIM($G820))&gt;0,"LEFT OUT","NEW")))</f>
        <v/>
      </c>
    </row>
    <row r="821" spans="47:47" x14ac:dyDescent="0.25">
      <c r="AU821" s="8" t="str">
        <f>IF(TRIM($G821)="","",IF(COUNTIF(LISTS!$I$2:$I$16,TRIM($G821))&gt;0,"COUNTED",IF(COUNTIF(LISTS!$J$2:$J$16,TRIM($G821))&gt;0,"LEFT OUT","NEW")))</f>
        <v/>
      </c>
    </row>
    <row r="822" spans="47:47" x14ac:dyDescent="0.25">
      <c r="AU822" s="8" t="str">
        <f>IF(TRIM($G822)="","",IF(COUNTIF(LISTS!$I$2:$I$16,TRIM($G822))&gt;0,"COUNTED",IF(COUNTIF(LISTS!$J$2:$J$16,TRIM($G822))&gt;0,"LEFT OUT","NEW")))</f>
        <v/>
      </c>
    </row>
    <row r="823" spans="47:47" x14ac:dyDescent="0.25">
      <c r="AU823" s="8" t="str">
        <f>IF(TRIM($G823)="","",IF(COUNTIF(LISTS!$I$2:$I$16,TRIM($G823))&gt;0,"COUNTED",IF(COUNTIF(LISTS!$J$2:$J$16,TRIM($G823))&gt;0,"LEFT OUT","NEW")))</f>
        <v/>
      </c>
    </row>
    <row r="824" spans="47:47" x14ac:dyDescent="0.25">
      <c r="AU824" s="8" t="str">
        <f>IF(TRIM($G824)="","",IF(COUNTIF(LISTS!$I$2:$I$16,TRIM($G824))&gt;0,"COUNTED",IF(COUNTIF(LISTS!$J$2:$J$16,TRIM($G824))&gt;0,"LEFT OUT","NEW")))</f>
        <v/>
      </c>
    </row>
    <row r="825" spans="47:47" x14ac:dyDescent="0.25">
      <c r="AU825" s="8" t="str">
        <f>IF(TRIM($G825)="","",IF(COUNTIF(LISTS!$I$2:$I$16,TRIM($G825))&gt;0,"COUNTED",IF(COUNTIF(LISTS!$J$2:$J$16,TRIM($G825))&gt;0,"LEFT OUT","NEW")))</f>
        <v/>
      </c>
    </row>
    <row r="826" spans="47:47" x14ac:dyDescent="0.25">
      <c r="AU826" s="8" t="str">
        <f>IF(TRIM($G826)="","",IF(COUNTIF(LISTS!$I$2:$I$16,TRIM($G826))&gt;0,"COUNTED",IF(COUNTIF(LISTS!$J$2:$J$16,TRIM($G826))&gt;0,"LEFT OUT","NEW")))</f>
        <v/>
      </c>
    </row>
    <row r="827" spans="47:47" x14ac:dyDescent="0.25">
      <c r="AU827" s="8" t="str">
        <f>IF(TRIM($G827)="","",IF(COUNTIF(LISTS!$I$2:$I$16,TRIM($G827))&gt;0,"COUNTED",IF(COUNTIF(LISTS!$J$2:$J$16,TRIM($G827))&gt;0,"LEFT OUT","NEW")))</f>
        <v/>
      </c>
    </row>
    <row r="828" spans="47:47" x14ac:dyDescent="0.25">
      <c r="AU828" s="8" t="str">
        <f>IF(TRIM($G828)="","",IF(COUNTIF(LISTS!$I$2:$I$16,TRIM($G828))&gt;0,"COUNTED",IF(COUNTIF(LISTS!$J$2:$J$16,TRIM($G828))&gt;0,"LEFT OUT","NEW")))</f>
        <v/>
      </c>
    </row>
    <row r="829" spans="47:47" x14ac:dyDescent="0.25">
      <c r="AU829" s="8" t="str">
        <f>IF(TRIM($G829)="","",IF(COUNTIF(LISTS!$I$2:$I$16,TRIM($G829))&gt;0,"COUNTED",IF(COUNTIF(LISTS!$J$2:$J$16,TRIM($G829))&gt;0,"LEFT OUT","NEW")))</f>
        <v/>
      </c>
    </row>
    <row r="830" spans="47:47" x14ac:dyDescent="0.25">
      <c r="AU830" s="8" t="str">
        <f>IF(TRIM($G830)="","",IF(COUNTIF(LISTS!$I$2:$I$16,TRIM($G830))&gt;0,"COUNTED",IF(COUNTIF(LISTS!$J$2:$J$16,TRIM($G830))&gt;0,"LEFT OUT","NEW")))</f>
        <v/>
      </c>
    </row>
    <row r="831" spans="47:47" x14ac:dyDescent="0.25">
      <c r="AU831" s="8" t="str">
        <f>IF(TRIM($G831)="","",IF(COUNTIF(LISTS!$I$2:$I$16,TRIM($G831))&gt;0,"COUNTED",IF(COUNTIF(LISTS!$J$2:$J$16,TRIM($G831))&gt;0,"LEFT OUT","NEW")))</f>
        <v/>
      </c>
    </row>
    <row r="832" spans="47:47" x14ac:dyDescent="0.25">
      <c r="AU832" s="8" t="str">
        <f>IF(TRIM($G832)="","",IF(COUNTIF(LISTS!$I$2:$I$16,TRIM($G832))&gt;0,"COUNTED",IF(COUNTIF(LISTS!$J$2:$J$16,TRIM($G832))&gt;0,"LEFT OUT","NEW")))</f>
        <v/>
      </c>
    </row>
    <row r="833" spans="47:47" x14ac:dyDescent="0.25">
      <c r="AU833" s="8" t="str">
        <f>IF(TRIM($G833)="","",IF(COUNTIF(LISTS!$I$2:$I$16,TRIM($G833))&gt;0,"COUNTED",IF(COUNTIF(LISTS!$J$2:$J$16,TRIM($G833))&gt;0,"LEFT OUT","NEW")))</f>
        <v/>
      </c>
    </row>
    <row r="834" spans="47:47" x14ac:dyDescent="0.25">
      <c r="AU834" s="8" t="str">
        <f>IF(TRIM($G834)="","",IF(COUNTIF(LISTS!$I$2:$I$16,TRIM($G834))&gt;0,"COUNTED",IF(COUNTIF(LISTS!$J$2:$J$16,TRIM($G834))&gt;0,"LEFT OUT","NEW")))</f>
        <v/>
      </c>
    </row>
    <row r="835" spans="47:47" x14ac:dyDescent="0.25">
      <c r="AU835" s="8" t="str">
        <f>IF(TRIM($G835)="","",IF(COUNTIF(LISTS!$I$2:$I$16,TRIM($G835))&gt;0,"COUNTED",IF(COUNTIF(LISTS!$J$2:$J$16,TRIM($G835))&gt;0,"LEFT OUT","NEW")))</f>
        <v/>
      </c>
    </row>
    <row r="836" spans="47:47" x14ac:dyDescent="0.25">
      <c r="AU836" s="8" t="str">
        <f>IF(TRIM($G836)="","",IF(COUNTIF(LISTS!$I$2:$I$16,TRIM($G836))&gt;0,"COUNTED",IF(COUNTIF(LISTS!$J$2:$J$16,TRIM($G836))&gt;0,"LEFT OUT","NEW")))</f>
        <v/>
      </c>
    </row>
    <row r="837" spans="47:47" x14ac:dyDescent="0.25">
      <c r="AU837" s="8" t="str">
        <f>IF(TRIM($G837)="","",IF(COUNTIF(LISTS!$I$2:$I$16,TRIM($G837))&gt;0,"COUNTED",IF(COUNTIF(LISTS!$J$2:$J$16,TRIM($G837))&gt;0,"LEFT OUT","NEW")))</f>
        <v/>
      </c>
    </row>
    <row r="838" spans="47:47" x14ac:dyDescent="0.25">
      <c r="AU838" s="8" t="str">
        <f>IF(TRIM($G838)="","",IF(COUNTIF(LISTS!$I$2:$I$16,TRIM($G838))&gt;0,"COUNTED",IF(COUNTIF(LISTS!$J$2:$J$16,TRIM($G838))&gt;0,"LEFT OUT","NEW")))</f>
        <v/>
      </c>
    </row>
    <row r="839" spans="47:47" x14ac:dyDescent="0.25">
      <c r="AU839" s="8" t="str">
        <f>IF(TRIM($G839)="","",IF(COUNTIF(LISTS!$I$2:$I$16,TRIM($G839))&gt;0,"COUNTED",IF(COUNTIF(LISTS!$J$2:$J$16,TRIM($G839))&gt;0,"LEFT OUT","NEW")))</f>
        <v/>
      </c>
    </row>
    <row r="840" spans="47:47" x14ac:dyDescent="0.25">
      <c r="AU840" s="8" t="str">
        <f>IF(TRIM($G840)="","",IF(COUNTIF(LISTS!$I$2:$I$16,TRIM($G840))&gt;0,"COUNTED",IF(COUNTIF(LISTS!$J$2:$J$16,TRIM($G840))&gt;0,"LEFT OUT","NEW")))</f>
        <v/>
      </c>
    </row>
    <row r="841" spans="47:47" x14ac:dyDescent="0.25">
      <c r="AU841" s="8" t="str">
        <f>IF(TRIM($G841)="","",IF(COUNTIF(LISTS!$I$2:$I$16,TRIM($G841))&gt;0,"COUNTED",IF(COUNTIF(LISTS!$J$2:$J$16,TRIM($G841))&gt;0,"LEFT OUT","NEW")))</f>
        <v/>
      </c>
    </row>
    <row r="842" spans="47:47" x14ac:dyDescent="0.25">
      <c r="AU842" s="8" t="str">
        <f>IF(TRIM($G842)="","",IF(COUNTIF(LISTS!$I$2:$I$16,TRIM($G842))&gt;0,"COUNTED",IF(COUNTIF(LISTS!$J$2:$J$16,TRIM($G842))&gt;0,"LEFT OUT","NEW")))</f>
        <v/>
      </c>
    </row>
    <row r="843" spans="47:47" x14ac:dyDescent="0.25">
      <c r="AU843" s="8" t="str">
        <f>IF(TRIM($G843)="","",IF(COUNTIF(LISTS!$I$2:$I$16,TRIM($G843))&gt;0,"COUNTED",IF(COUNTIF(LISTS!$J$2:$J$16,TRIM($G843))&gt;0,"LEFT OUT","NEW")))</f>
        <v/>
      </c>
    </row>
    <row r="844" spans="47:47" x14ac:dyDescent="0.25">
      <c r="AU844" s="8" t="str">
        <f>IF(TRIM($G844)="","",IF(COUNTIF(LISTS!$I$2:$I$16,TRIM($G844))&gt;0,"COUNTED",IF(COUNTIF(LISTS!$J$2:$J$16,TRIM($G844))&gt;0,"LEFT OUT","NEW")))</f>
        <v/>
      </c>
    </row>
    <row r="845" spans="47:47" x14ac:dyDescent="0.25">
      <c r="AU845" s="8" t="str">
        <f>IF(TRIM($G845)="","",IF(COUNTIF(LISTS!$I$2:$I$16,TRIM($G845))&gt;0,"COUNTED",IF(COUNTIF(LISTS!$J$2:$J$16,TRIM($G845))&gt;0,"LEFT OUT","NEW")))</f>
        <v/>
      </c>
    </row>
    <row r="846" spans="47:47" x14ac:dyDescent="0.25">
      <c r="AU846" s="8" t="str">
        <f>IF(TRIM($G846)="","",IF(COUNTIF(LISTS!$I$2:$I$16,TRIM($G846))&gt;0,"COUNTED",IF(COUNTIF(LISTS!$J$2:$J$16,TRIM($G846))&gt;0,"LEFT OUT","NEW")))</f>
        <v/>
      </c>
    </row>
    <row r="847" spans="47:47" x14ac:dyDescent="0.25">
      <c r="AU847" s="8" t="str">
        <f>IF(TRIM($G847)="","",IF(COUNTIF(LISTS!$I$2:$I$16,TRIM($G847))&gt;0,"COUNTED",IF(COUNTIF(LISTS!$J$2:$J$16,TRIM($G847))&gt;0,"LEFT OUT","NEW")))</f>
        <v/>
      </c>
    </row>
    <row r="848" spans="47:47" x14ac:dyDescent="0.25">
      <c r="AU848" s="8" t="str">
        <f>IF(TRIM($G848)="","",IF(COUNTIF(LISTS!$I$2:$I$16,TRIM($G848))&gt;0,"COUNTED",IF(COUNTIF(LISTS!$J$2:$J$16,TRIM($G848))&gt;0,"LEFT OUT","NEW")))</f>
        <v/>
      </c>
    </row>
    <row r="849" spans="47:47" x14ac:dyDescent="0.25">
      <c r="AU849" s="8" t="str">
        <f>IF(TRIM($G849)="","",IF(COUNTIF(LISTS!$I$2:$I$16,TRIM($G849))&gt;0,"COUNTED",IF(COUNTIF(LISTS!$J$2:$J$16,TRIM($G849))&gt;0,"LEFT OUT","NEW")))</f>
        <v/>
      </c>
    </row>
    <row r="850" spans="47:47" x14ac:dyDescent="0.25">
      <c r="AU850" s="8" t="str">
        <f>IF(TRIM($G850)="","",IF(COUNTIF(LISTS!$I$2:$I$16,TRIM($G850))&gt;0,"COUNTED",IF(COUNTIF(LISTS!$J$2:$J$16,TRIM($G850))&gt;0,"LEFT OUT","NEW")))</f>
        <v/>
      </c>
    </row>
    <row r="851" spans="47:47" x14ac:dyDescent="0.25">
      <c r="AU851" s="8" t="str">
        <f>IF(TRIM($G851)="","",IF(COUNTIF(LISTS!$I$2:$I$16,TRIM($G851))&gt;0,"COUNTED",IF(COUNTIF(LISTS!$J$2:$J$16,TRIM($G851))&gt;0,"LEFT OUT","NEW")))</f>
        <v/>
      </c>
    </row>
    <row r="852" spans="47:47" x14ac:dyDescent="0.25">
      <c r="AU852" s="8" t="str">
        <f>IF(TRIM($G852)="","",IF(COUNTIF(LISTS!$I$2:$I$16,TRIM($G852))&gt;0,"COUNTED",IF(COUNTIF(LISTS!$J$2:$J$16,TRIM($G852))&gt;0,"LEFT OUT","NEW")))</f>
        <v/>
      </c>
    </row>
    <row r="853" spans="47:47" x14ac:dyDescent="0.25">
      <c r="AU853" s="8" t="str">
        <f>IF(TRIM($G853)="","",IF(COUNTIF(LISTS!$I$2:$I$16,TRIM($G853))&gt;0,"COUNTED",IF(COUNTIF(LISTS!$J$2:$J$16,TRIM($G853))&gt;0,"LEFT OUT","NEW")))</f>
        <v/>
      </c>
    </row>
    <row r="854" spans="47:47" x14ac:dyDescent="0.25">
      <c r="AU854" s="8" t="str">
        <f>IF(TRIM($G854)="","",IF(COUNTIF(LISTS!$I$2:$I$16,TRIM($G854))&gt;0,"COUNTED",IF(COUNTIF(LISTS!$J$2:$J$16,TRIM($G854))&gt;0,"LEFT OUT","NEW")))</f>
        <v/>
      </c>
    </row>
    <row r="855" spans="47:47" x14ac:dyDescent="0.25">
      <c r="AU855" s="8" t="str">
        <f>IF(TRIM($G855)="","",IF(COUNTIF(LISTS!$I$2:$I$16,TRIM($G855))&gt;0,"COUNTED",IF(COUNTIF(LISTS!$J$2:$J$16,TRIM($G855))&gt;0,"LEFT OUT","NEW")))</f>
        <v/>
      </c>
    </row>
    <row r="856" spans="47:47" x14ac:dyDescent="0.25">
      <c r="AU856" s="8" t="str">
        <f>IF(TRIM($G856)="","",IF(COUNTIF(LISTS!$I$2:$I$16,TRIM($G856))&gt;0,"COUNTED",IF(COUNTIF(LISTS!$J$2:$J$16,TRIM($G856))&gt;0,"LEFT OUT","NEW")))</f>
        <v/>
      </c>
    </row>
    <row r="857" spans="47:47" x14ac:dyDescent="0.25">
      <c r="AU857" s="8" t="str">
        <f>IF(TRIM($G857)="","",IF(COUNTIF(LISTS!$I$2:$I$16,TRIM($G857))&gt;0,"COUNTED",IF(COUNTIF(LISTS!$J$2:$J$16,TRIM($G857))&gt;0,"LEFT OUT","NEW")))</f>
        <v/>
      </c>
    </row>
    <row r="858" spans="47:47" x14ac:dyDescent="0.25">
      <c r="AU858" s="8" t="str">
        <f>IF(TRIM($G858)="","",IF(COUNTIF(LISTS!$I$2:$I$16,TRIM($G858))&gt;0,"COUNTED",IF(COUNTIF(LISTS!$J$2:$J$16,TRIM($G858))&gt;0,"LEFT OUT","NEW")))</f>
        <v/>
      </c>
    </row>
    <row r="859" spans="47:47" x14ac:dyDescent="0.25">
      <c r="AU859" s="8" t="str">
        <f>IF(TRIM($G859)="","",IF(COUNTIF(LISTS!$I$2:$I$16,TRIM($G859))&gt;0,"COUNTED",IF(COUNTIF(LISTS!$J$2:$J$16,TRIM($G859))&gt;0,"LEFT OUT","NEW")))</f>
        <v/>
      </c>
    </row>
    <row r="860" spans="47:47" x14ac:dyDescent="0.25">
      <c r="AU860" s="8" t="str">
        <f>IF(TRIM($G860)="","",IF(COUNTIF(LISTS!$I$2:$I$16,TRIM($G860))&gt;0,"COUNTED",IF(COUNTIF(LISTS!$J$2:$J$16,TRIM($G860))&gt;0,"LEFT OUT","NEW")))</f>
        <v/>
      </c>
    </row>
    <row r="861" spans="47:47" x14ac:dyDescent="0.25">
      <c r="AU861" s="8" t="str">
        <f>IF(TRIM($G861)="","",IF(COUNTIF(LISTS!$I$2:$I$16,TRIM($G861))&gt;0,"COUNTED",IF(COUNTIF(LISTS!$J$2:$J$16,TRIM($G861))&gt;0,"LEFT OUT","NEW")))</f>
        <v/>
      </c>
    </row>
    <row r="862" spans="47:47" x14ac:dyDescent="0.25">
      <c r="AU862" s="8" t="str">
        <f>IF(TRIM($G862)="","",IF(COUNTIF(LISTS!$I$2:$I$16,TRIM($G862))&gt;0,"COUNTED",IF(COUNTIF(LISTS!$J$2:$J$16,TRIM($G862))&gt;0,"LEFT OUT","NEW")))</f>
        <v/>
      </c>
    </row>
    <row r="863" spans="47:47" x14ac:dyDescent="0.25">
      <c r="AU863" s="8" t="str">
        <f>IF(TRIM($G863)="","",IF(COUNTIF(LISTS!$I$2:$I$16,TRIM($G863))&gt;0,"COUNTED",IF(COUNTIF(LISTS!$J$2:$J$16,TRIM($G863))&gt;0,"LEFT OUT","NEW")))</f>
        <v/>
      </c>
    </row>
    <row r="864" spans="47:47" x14ac:dyDescent="0.25">
      <c r="AU864" s="8" t="str">
        <f>IF(TRIM($G864)="","",IF(COUNTIF(LISTS!$I$2:$I$16,TRIM($G864))&gt;0,"COUNTED",IF(COUNTIF(LISTS!$J$2:$J$16,TRIM($G864))&gt;0,"LEFT OUT","NEW")))</f>
        <v/>
      </c>
    </row>
    <row r="865" spans="47:47" x14ac:dyDescent="0.25">
      <c r="AU865" s="8" t="str">
        <f>IF(TRIM($G865)="","",IF(COUNTIF(LISTS!$I$2:$I$16,TRIM($G865))&gt;0,"COUNTED",IF(COUNTIF(LISTS!$J$2:$J$16,TRIM($G865))&gt;0,"LEFT OUT","NEW")))</f>
        <v/>
      </c>
    </row>
    <row r="866" spans="47:47" x14ac:dyDescent="0.25">
      <c r="AU866" s="8" t="str">
        <f>IF(TRIM($G866)="","",IF(COUNTIF(LISTS!$I$2:$I$16,TRIM($G866))&gt;0,"COUNTED",IF(COUNTIF(LISTS!$J$2:$J$16,TRIM($G866))&gt;0,"LEFT OUT","NEW")))</f>
        <v/>
      </c>
    </row>
    <row r="867" spans="47:47" x14ac:dyDescent="0.25">
      <c r="AU867" s="8" t="str">
        <f>IF(TRIM($G867)="","",IF(COUNTIF(LISTS!$I$2:$I$16,TRIM($G867))&gt;0,"COUNTED",IF(COUNTIF(LISTS!$J$2:$J$16,TRIM($G867))&gt;0,"LEFT OUT","NEW")))</f>
        <v/>
      </c>
    </row>
    <row r="868" spans="47:47" x14ac:dyDescent="0.25">
      <c r="AU868" s="8" t="str">
        <f>IF(TRIM($G868)="","",IF(COUNTIF(LISTS!$I$2:$I$16,TRIM($G868))&gt;0,"COUNTED",IF(COUNTIF(LISTS!$J$2:$J$16,TRIM($G868))&gt;0,"LEFT OUT","NEW")))</f>
        <v/>
      </c>
    </row>
    <row r="869" spans="47:47" x14ac:dyDescent="0.25">
      <c r="AU869" s="8" t="str">
        <f>IF(TRIM($G869)="","",IF(COUNTIF(LISTS!$I$2:$I$16,TRIM($G869))&gt;0,"COUNTED",IF(COUNTIF(LISTS!$J$2:$J$16,TRIM($G869))&gt;0,"LEFT OUT","NEW")))</f>
        <v/>
      </c>
    </row>
    <row r="870" spans="47:47" x14ac:dyDescent="0.25">
      <c r="AU870" s="8" t="str">
        <f>IF(TRIM($G870)="","",IF(COUNTIF(LISTS!$I$2:$I$16,TRIM($G870))&gt;0,"COUNTED",IF(COUNTIF(LISTS!$J$2:$J$16,TRIM($G870))&gt;0,"LEFT OUT","NEW")))</f>
        <v/>
      </c>
    </row>
    <row r="871" spans="47:47" x14ac:dyDescent="0.25">
      <c r="AU871" s="8" t="str">
        <f>IF(TRIM($G871)="","",IF(COUNTIF(LISTS!$I$2:$I$16,TRIM($G871))&gt;0,"COUNTED",IF(COUNTIF(LISTS!$J$2:$J$16,TRIM($G871))&gt;0,"LEFT OUT","NEW")))</f>
        <v/>
      </c>
    </row>
    <row r="872" spans="47:47" x14ac:dyDescent="0.25">
      <c r="AU872" s="8" t="str">
        <f>IF(TRIM($G872)="","",IF(COUNTIF(LISTS!$I$2:$I$16,TRIM($G872))&gt;0,"COUNTED",IF(COUNTIF(LISTS!$J$2:$J$16,TRIM($G872))&gt;0,"LEFT OUT","NEW")))</f>
        <v/>
      </c>
    </row>
    <row r="873" spans="47:47" x14ac:dyDescent="0.25">
      <c r="AU873" s="8" t="str">
        <f>IF(TRIM($G873)="","",IF(COUNTIF(LISTS!$I$2:$I$16,TRIM($G873))&gt;0,"COUNTED",IF(COUNTIF(LISTS!$J$2:$J$16,TRIM($G873))&gt;0,"LEFT OUT","NEW")))</f>
        <v/>
      </c>
    </row>
    <row r="874" spans="47:47" x14ac:dyDescent="0.25">
      <c r="AU874" s="8" t="str">
        <f>IF(TRIM($G874)="","",IF(COUNTIF(LISTS!$I$2:$I$16,TRIM($G874))&gt;0,"COUNTED",IF(COUNTIF(LISTS!$J$2:$J$16,TRIM($G874))&gt;0,"LEFT OUT","NEW")))</f>
        <v/>
      </c>
    </row>
    <row r="875" spans="47:47" x14ac:dyDescent="0.25">
      <c r="AU875" s="8" t="str">
        <f>IF(TRIM($G875)="","",IF(COUNTIF(LISTS!$I$2:$I$16,TRIM($G875))&gt;0,"COUNTED",IF(COUNTIF(LISTS!$J$2:$J$16,TRIM($G875))&gt;0,"LEFT OUT","NEW")))</f>
        <v/>
      </c>
    </row>
    <row r="876" spans="47:47" x14ac:dyDescent="0.25">
      <c r="AU876" s="8" t="str">
        <f>IF(TRIM($G876)="","",IF(COUNTIF(LISTS!$I$2:$I$16,TRIM($G876))&gt;0,"COUNTED",IF(COUNTIF(LISTS!$J$2:$J$16,TRIM($G876))&gt;0,"LEFT OUT","NEW")))</f>
        <v/>
      </c>
    </row>
    <row r="877" spans="47:47" x14ac:dyDescent="0.25">
      <c r="AU877" s="8" t="str">
        <f>IF(TRIM($G877)="","",IF(COUNTIF(LISTS!$I$2:$I$16,TRIM($G877))&gt;0,"COUNTED",IF(COUNTIF(LISTS!$J$2:$J$16,TRIM($G877))&gt;0,"LEFT OUT","NEW")))</f>
        <v/>
      </c>
    </row>
    <row r="878" spans="47:47" x14ac:dyDescent="0.25">
      <c r="AU878" s="8" t="str">
        <f>IF(TRIM($G878)="","",IF(COUNTIF(LISTS!$I$2:$I$16,TRIM($G878))&gt;0,"COUNTED",IF(COUNTIF(LISTS!$J$2:$J$16,TRIM($G878))&gt;0,"LEFT OUT","NEW")))</f>
        <v/>
      </c>
    </row>
    <row r="879" spans="47:47" x14ac:dyDescent="0.25">
      <c r="AU879" s="8" t="str">
        <f>IF(TRIM($G879)="","",IF(COUNTIF(LISTS!$I$2:$I$16,TRIM($G879))&gt;0,"COUNTED",IF(COUNTIF(LISTS!$J$2:$J$16,TRIM($G879))&gt;0,"LEFT OUT","NEW")))</f>
        <v/>
      </c>
    </row>
    <row r="880" spans="47:47" x14ac:dyDescent="0.25">
      <c r="AU880" s="8" t="str">
        <f>IF(TRIM($G880)="","",IF(COUNTIF(LISTS!$I$2:$I$16,TRIM($G880))&gt;0,"COUNTED",IF(COUNTIF(LISTS!$J$2:$J$16,TRIM($G880))&gt;0,"LEFT OUT","NEW")))</f>
        <v/>
      </c>
    </row>
    <row r="881" spans="47:47" x14ac:dyDescent="0.25">
      <c r="AU881" s="8" t="str">
        <f>IF(TRIM($G881)="","",IF(COUNTIF(LISTS!$I$2:$I$16,TRIM($G881))&gt;0,"COUNTED",IF(COUNTIF(LISTS!$J$2:$J$16,TRIM($G881))&gt;0,"LEFT OUT","NEW")))</f>
        <v/>
      </c>
    </row>
    <row r="882" spans="47:47" x14ac:dyDescent="0.25">
      <c r="AU882" s="8" t="str">
        <f>IF(TRIM($G882)="","",IF(COUNTIF(LISTS!$I$2:$I$16,TRIM($G882))&gt;0,"COUNTED",IF(COUNTIF(LISTS!$J$2:$J$16,TRIM($G882))&gt;0,"LEFT OUT","NEW")))</f>
        <v/>
      </c>
    </row>
    <row r="883" spans="47:47" x14ac:dyDescent="0.25">
      <c r="AU883" s="8" t="str">
        <f>IF(TRIM($G883)="","",IF(COUNTIF(LISTS!$I$2:$I$16,TRIM($G883))&gt;0,"COUNTED",IF(COUNTIF(LISTS!$J$2:$J$16,TRIM($G883))&gt;0,"LEFT OUT","NEW")))</f>
        <v/>
      </c>
    </row>
    <row r="884" spans="47:47" x14ac:dyDescent="0.25">
      <c r="AU884" s="8" t="str">
        <f>IF(TRIM($G884)="","",IF(COUNTIF(LISTS!$I$2:$I$16,TRIM($G884))&gt;0,"COUNTED",IF(COUNTIF(LISTS!$J$2:$J$16,TRIM($G884))&gt;0,"LEFT OUT","NEW")))</f>
        <v/>
      </c>
    </row>
    <row r="885" spans="47:47" x14ac:dyDescent="0.25">
      <c r="AU885" s="8" t="str">
        <f>IF(TRIM($G885)="","",IF(COUNTIF(LISTS!$I$2:$I$16,TRIM($G885))&gt;0,"COUNTED",IF(COUNTIF(LISTS!$J$2:$J$16,TRIM($G885))&gt;0,"LEFT OUT","NEW")))</f>
        <v/>
      </c>
    </row>
    <row r="886" spans="47:47" x14ac:dyDescent="0.25">
      <c r="AU886" s="8" t="str">
        <f>IF(TRIM($G886)="","",IF(COUNTIF(LISTS!$I$2:$I$16,TRIM($G886))&gt;0,"COUNTED",IF(COUNTIF(LISTS!$J$2:$J$16,TRIM($G886))&gt;0,"LEFT OUT","NEW")))</f>
        <v/>
      </c>
    </row>
    <row r="887" spans="47:47" x14ac:dyDescent="0.25">
      <c r="AU887" s="8" t="str">
        <f>IF(TRIM($G887)="","",IF(COUNTIF(LISTS!$I$2:$I$16,TRIM($G887))&gt;0,"COUNTED",IF(COUNTIF(LISTS!$J$2:$J$16,TRIM($G887))&gt;0,"LEFT OUT","NEW")))</f>
        <v/>
      </c>
    </row>
    <row r="888" spans="47:47" x14ac:dyDescent="0.25">
      <c r="AU888" s="8" t="str">
        <f>IF(TRIM($G888)="","",IF(COUNTIF(LISTS!$I$2:$I$16,TRIM($G888))&gt;0,"COUNTED",IF(COUNTIF(LISTS!$J$2:$J$16,TRIM($G888))&gt;0,"LEFT OUT","NEW")))</f>
        <v/>
      </c>
    </row>
    <row r="889" spans="47:47" x14ac:dyDescent="0.25">
      <c r="AU889" s="8" t="str">
        <f>IF(TRIM($G889)="","",IF(COUNTIF(LISTS!$I$2:$I$16,TRIM($G889))&gt;0,"COUNTED",IF(COUNTIF(LISTS!$J$2:$J$16,TRIM($G889))&gt;0,"LEFT OUT","NEW")))</f>
        <v/>
      </c>
    </row>
    <row r="890" spans="47:47" x14ac:dyDescent="0.25">
      <c r="AU890" s="8" t="str">
        <f>IF(TRIM($G890)="","",IF(COUNTIF(LISTS!$I$2:$I$16,TRIM($G890))&gt;0,"COUNTED",IF(COUNTIF(LISTS!$J$2:$J$16,TRIM($G890))&gt;0,"LEFT OUT","NEW")))</f>
        <v/>
      </c>
    </row>
    <row r="891" spans="47:47" x14ac:dyDescent="0.25">
      <c r="AU891" s="8" t="str">
        <f>IF(TRIM($G891)="","",IF(COUNTIF(LISTS!$I$2:$I$16,TRIM($G891))&gt;0,"COUNTED",IF(COUNTIF(LISTS!$J$2:$J$16,TRIM($G891))&gt;0,"LEFT OUT","NEW")))</f>
        <v/>
      </c>
    </row>
    <row r="892" spans="47:47" x14ac:dyDescent="0.25">
      <c r="AU892" s="8" t="str">
        <f>IF(TRIM($G892)="","",IF(COUNTIF(LISTS!$I$2:$I$16,TRIM($G892))&gt;0,"COUNTED",IF(COUNTIF(LISTS!$J$2:$J$16,TRIM($G892))&gt;0,"LEFT OUT","NEW")))</f>
        <v/>
      </c>
    </row>
    <row r="893" spans="47:47" x14ac:dyDescent="0.25">
      <c r="AU893" s="8" t="str">
        <f>IF(TRIM($G893)="","",IF(COUNTIF(LISTS!$I$2:$I$16,TRIM($G893))&gt;0,"COUNTED",IF(COUNTIF(LISTS!$J$2:$J$16,TRIM($G893))&gt;0,"LEFT OUT","NEW")))</f>
        <v/>
      </c>
    </row>
    <row r="894" spans="47:47" x14ac:dyDescent="0.25">
      <c r="AU894" s="8" t="str">
        <f>IF(TRIM($G894)="","",IF(COUNTIF(LISTS!$I$2:$I$16,TRIM($G894))&gt;0,"COUNTED",IF(COUNTIF(LISTS!$J$2:$J$16,TRIM($G894))&gt;0,"LEFT OUT","NEW")))</f>
        <v/>
      </c>
    </row>
    <row r="895" spans="47:47" x14ac:dyDescent="0.25">
      <c r="AU895" s="8" t="str">
        <f>IF(TRIM($G895)="","",IF(COUNTIF(LISTS!$I$2:$I$16,TRIM($G895))&gt;0,"COUNTED",IF(COUNTIF(LISTS!$J$2:$J$16,TRIM($G895))&gt;0,"LEFT OUT","NEW")))</f>
        <v/>
      </c>
    </row>
    <row r="896" spans="47:47" x14ac:dyDescent="0.25">
      <c r="AU896" s="8" t="str">
        <f>IF(TRIM($G896)="","",IF(COUNTIF(LISTS!$I$2:$I$16,TRIM($G896))&gt;0,"COUNTED",IF(COUNTIF(LISTS!$J$2:$J$16,TRIM($G896))&gt;0,"LEFT OUT","NEW")))</f>
        <v/>
      </c>
    </row>
    <row r="897" spans="47:47" x14ac:dyDescent="0.25">
      <c r="AU897" s="8" t="str">
        <f>IF(TRIM($G897)="","",IF(COUNTIF(LISTS!$I$2:$I$16,TRIM($G897))&gt;0,"COUNTED",IF(COUNTIF(LISTS!$J$2:$J$16,TRIM($G897))&gt;0,"LEFT OUT","NEW")))</f>
        <v/>
      </c>
    </row>
    <row r="898" spans="47:47" x14ac:dyDescent="0.25">
      <c r="AU898" s="8" t="str">
        <f>IF(TRIM($G898)="","",IF(COUNTIF(LISTS!$I$2:$I$16,TRIM($G898))&gt;0,"COUNTED",IF(COUNTIF(LISTS!$J$2:$J$16,TRIM($G898))&gt;0,"LEFT OUT","NEW")))</f>
        <v/>
      </c>
    </row>
    <row r="899" spans="47:47" x14ac:dyDescent="0.25">
      <c r="AU899" s="8" t="str">
        <f>IF(TRIM($G899)="","",IF(COUNTIF(LISTS!$I$2:$I$16,TRIM($G899))&gt;0,"COUNTED",IF(COUNTIF(LISTS!$J$2:$J$16,TRIM($G899))&gt;0,"LEFT OUT","NEW")))</f>
        <v/>
      </c>
    </row>
    <row r="900" spans="47:47" x14ac:dyDescent="0.25">
      <c r="AU900" s="8" t="str">
        <f>IF(TRIM($G900)="","",IF(COUNTIF(LISTS!$I$2:$I$16,TRIM($G900))&gt;0,"COUNTED",IF(COUNTIF(LISTS!$J$2:$J$16,TRIM($G900))&gt;0,"LEFT OUT","NEW")))</f>
        <v/>
      </c>
    </row>
    <row r="901" spans="47:47" x14ac:dyDescent="0.25">
      <c r="AU901" s="8" t="str">
        <f>IF(TRIM($G901)="","",IF(COUNTIF(LISTS!$I$2:$I$16,TRIM($G901))&gt;0,"COUNTED",IF(COUNTIF(LISTS!$J$2:$J$16,TRIM($G901))&gt;0,"LEFT OUT","NEW")))</f>
        <v/>
      </c>
    </row>
    <row r="902" spans="47:47" x14ac:dyDescent="0.25">
      <c r="AU902" s="8" t="str">
        <f>IF(TRIM($G902)="","",IF(COUNTIF(LISTS!$I$2:$I$16,TRIM($G902))&gt;0,"COUNTED",IF(COUNTIF(LISTS!$J$2:$J$16,TRIM($G902))&gt;0,"LEFT OUT","NEW")))</f>
        <v/>
      </c>
    </row>
    <row r="903" spans="47:47" x14ac:dyDescent="0.25">
      <c r="AU903" s="8" t="str">
        <f>IF(TRIM($G903)="","",IF(COUNTIF(LISTS!$I$2:$I$16,TRIM($G903))&gt;0,"COUNTED",IF(COUNTIF(LISTS!$J$2:$J$16,TRIM($G903))&gt;0,"LEFT OUT","NEW")))</f>
        <v/>
      </c>
    </row>
    <row r="904" spans="47:47" x14ac:dyDescent="0.25">
      <c r="AU904" s="8" t="str">
        <f>IF(TRIM($G904)="","",IF(COUNTIF(LISTS!$I$2:$I$16,TRIM($G904))&gt;0,"COUNTED",IF(COUNTIF(LISTS!$J$2:$J$16,TRIM($G904))&gt;0,"LEFT OUT","NEW")))</f>
        <v/>
      </c>
    </row>
    <row r="905" spans="47:47" x14ac:dyDescent="0.25">
      <c r="AU905" s="8" t="str">
        <f>IF(TRIM($G905)="","",IF(COUNTIF(LISTS!$I$2:$I$16,TRIM($G905))&gt;0,"COUNTED",IF(COUNTIF(LISTS!$J$2:$J$16,TRIM($G905))&gt;0,"LEFT OUT","NEW")))</f>
        <v/>
      </c>
    </row>
    <row r="906" spans="47:47" x14ac:dyDescent="0.25">
      <c r="AU906" s="8" t="str">
        <f>IF(TRIM($G906)="","",IF(COUNTIF(LISTS!$I$2:$I$16,TRIM($G906))&gt;0,"COUNTED",IF(COUNTIF(LISTS!$J$2:$J$16,TRIM($G906))&gt;0,"LEFT OUT","NEW")))</f>
        <v/>
      </c>
    </row>
    <row r="907" spans="47:47" x14ac:dyDescent="0.25">
      <c r="AU907" s="8" t="str">
        <f>IF(TRIM($G907)="","",IF(COUNTIF(LISTS!$I$2:$I$16,TRIM($G907))&gt;0,"COUNTED",IF(COUNTIF(LISTS!$J$2:$J$16,TRIM($G907))&gt;0,"LEFT OUT","NEW")))</f>
        <v/>
      </c>
    </row>
    <row r="908" spans="47:47" x14ac:dyDescent="0.25">
      <c r="AU908" s="8" t="str">
        <f>IF(TRIM($G908)="","",IF(COUNTIF(LISTS!$I$2:$I$16,TRIM($G908))&gt;0,"COUNTED",IF(COUNTIF(LISTS!$J$2:$J$16,TRIM($G908))&gt;0,"LEFT OUT","NEW")))</f>
        <v/>
      </c>
    </row>
    <row r="909" spans="47:47" x14ac:dyDescent="0.25">
      <c r="AU909" s="8" t="str">
        <f>IF(TRIM($G909)="","",IF(COUNTIF(LISTS!$I$2:$I$16,TRIM($G909))&gt;0,"COUNTED",IF(COUNTIF(LISTS!$J$2:$J$16,TRIM($G909))&gt;0,"LEFT OUT","NEW")))</f>
        <v/>
      </c>
    </row>
    <row r="910" spans="47:47" x14ac:dyDescent="0.25">
      <c r="AU910" s="8" t="str">
        <f>IF(TRIM($G910)="","",IF(COUNTIF(LISTS!$I$2:$I$16,TRIM($G910))&gt;0,"COUNTED",IF(COUNTIF(LISTS!$J$2:$J$16,TRIM($G910))&gt;0,"LEFT OUT","NEW")))</f>
        <v/>
      </c>
    </row>
    <row r="911" spans="47:47" x14ac:dyDescent="0.25">
      <c r="AU911" s="8" t="str">
        <f>IF(TRIM($G911)="","",IF(COUNTIF(LISTS!$I$2:$I$16,TRIM($G911))&gt;0,"COUNTED",IF(COUNTIF(LISTS!$J$2:$J$16,TRIM($G911))&gt;0,"LEFT OUT","NEW")))</f>
        <v/>
      </c>
    </row>
    <row r="912" spans="47:47" x14ac:dyDescent="0.25">
      <c r="AU912" s="8" t="str">
        <f>IF(TRIM($G912)="","",IF(COUNTIF(LISTS!$I$2:$I$16,TRIM($G912))&gt;0,"COUNTED",IF(COUNTIF(LISTS!$J$2:$J$16,TRIM($G912))&gt;0,"LEFT OUT","NEW")))</f>
        <v/>
      </c>
    </row>
    <row r="913" spans="47:47" x14ac:dyDescent="0.25">
      <c r="AU913" s="8" t="str">
        <f>IF(TRIM($G913)="","",IF(COUNTIF(LISTS!$I$2:$I$16,TRIM($G913))&gt;0,"COUNTED",IF(COUNTIF(LISTS!$J$2:$J$16,TRIM($G913))&gt;0,"LEFT OUT","NEW")))</f>
        <v/>
      </c>
    </row>
    <row r="914" spans="47:47" x14ac:dyDescent="0.25">
      <c r="AU914" s="8" t="str">
        <f>IF(TRIM($G914)="","",IF(COUNTIF(LISTS!$I$2:$I$16,TRIM($G914))&gt;0,"COUNTED",IF(COUNTIF(LISTS!$J$2:$J$16,TRIM($G914))&gt;0,"LEFT OUT","NEW")))</f>
        <v/>
      </c>
    </row>
    <row r="915" spans="47:47" x14ac:dyDescent="0.25">
      <c r="AU915" s="8" t="str">
        <f>IF(TRIM($G915)="","",IF(COUNTIF(LISTS!$I$2:$I$16,TRIM($G915))&gt;0,"COUNTED",IF(COUNTIF(LISTS!$J$2:$J$16,TRIM($G915))&gt;0,"LEFT OUT","NEW")))</f>
        <v/>
      </c>
    </row>
    <row r="916" spans="47:47" x14ac:dyDescent="0.25">
      <c r="AU916" s="8" t="str">
        <f>IF(TRIM($G916)="","",IF(COUNTIF(LISTS!$I$2:$I$16,TRIM($G916))&gt;0,"COUNTED",IF(COUNTIF(LISTS!$J$2:$J$16,TRIM($G916))&gt;0,"LEFT OUT","NEW")))</f>
        <v/>
      </c>
    </row>
    <row r="917" spans="47:47" x14ac:dyDescent="0.25">
      <c r="AU917" s="8" t="str">
        <f>IF(TRIM($G917)="","",IF(COUNTIF(LISTS!$I$2:$I$16,TRIM($G917))&gt;0,"COUNTED",IF(COUNTIF(LISTS!$J$2:$J$16,TRIM($G917))&gt;0,"LEFT OUT","NEW")))</f>
        <v/>
      </c>
    </row>
    <row r="918" spans="47:47" x14ac:dyDescent="0.25">
      <c r="AU918" s="8" t="str">
        <f>IF(TRIM($G918)="","",IF(COUNTIF(LISTS!$I$2:$I$16,TRIM($G918))&gt;0,"COUNTED",IF(COUNTIF(LISTS!$J$2:$J$16,TRIM($G918))&gt;0,"LEFT OUT","NEW")))</f>
        <v/>
      </c>
    </row>
    <row r="919" spans="47:47" x14ac:dyDescent="0.25">
      <c r="AU919" s="8" t="str">
        <f>IF(TRIM($G919)="","",IF(COUNTIF(LISTS!$I$2:$I$16,TRIM($G919))&gt;0,"COUNTED",IF(COUNTIF(LISTS!$J$2:$J$16,TRIM($G919))&gt;0,"LEFT OUT","NEW")))</f>
        <v/>
      </c>
    </row>
    <row r="920" spans="47:47" x14ac:dyDescent="0.25">
      <c r="AU920" s="8" t="str">
        <f>IF(TRIM($G920)="","",IF(COUNTIF(LISTS!$I$2:$I$16,TRIM($G920))&gt;0,"COUNTED",IF(COUNTIF(LISTS!$J$2:$J$16,TRIM($G920))&gt;0,"LEFT OUT","NEW")))</f>
        <v/>
      </c>
    </row>
    <row r="921" spans="47:47" x14ac:dyDescent="0.25">
      <c r="AU921" s="8" t="str">
        <f>IF(TRIM($G921)="","",IF(COUNTIF(LISTS!$I$2:$I$16,TRIM($G921))&gt;0,"COUNTED",IF(COUNTIF(LISTS!$J$2:$J$16,TRIM($G921))&gt;0,"LEFT OUT","NEW")))</f>
        <v/>
      </c>
    </row>
    <row r="922" spans="47:47" x14ac:dyDescent="0.25">
      <c r="AU922" s="8" t="str">
        <f>IF(TRIM($G922)="","",IF(COUNTIF(LISTS!$I$2:$I$16,TRIM($G922))&gt;0,"COUNTED",IF(COUNTIF(LISTS!$J$2:$J$16,TRIM($G922))&gt;0,"LEFT OUT","NEW")))</f>
        <v/>
      </c>
    </row>
    <row r="923" spans="47:47" x14ac:dyDescent="0.25">
      <c r="AU923" s="8" t="str">
        <f>IF(TRIM($G923)="","",IF(COUNTIF(LISTS!$I$2:$I$16,TRIM($G923))&gt;0,"COUNTED",IF(COUNTIF(LISTS!$J$2:$J$16,TRIM($G923))&gt;0,"LEFT OUT","NEW")))</f>
        <v/>
      </c>
    </row>
    <row r="924" spans="47:47" x14ac:dyDescent="0.25">
      <c r="AU924" s="8" t="str">
        <f>IF(TRIM($G924)="","",IF(COUNTIF(LISTS!$I$2:$I$16,TRIM($G924))&gt;0,"COUNTED",IF(COUNTIF(LISTS!$J$2:$J$16,TRIM($G924))&gt;0,"LEFT OUT","NEW")))</f>
        <v/>
      </c>
    </row>
    <row r="925" spans="47:47" x14ac:dyDescent="0.25">
      <c r="AU925" s="8" t="str">
        <f>IF(TRIM($G925)="","",IF(COUNTIF(LISTS!$I$2:$I$16,TRIM($G925))&gt;0,"COUNTED",IF(COUNTIF(LISTS!$J$2:$J$16,TRIM($G925))&gt;0,"LEFT OUT","NEW")))</f>
        <v/>
      </c>
    </row>
    <row r="926" spans="47:47" x14ac:dyDescent="0.25">
      <c r="AU926" s="8" t="str">
        <f>IF(TRIM($G926)="","",IF(COUNTIF(LISTS!$I$2:$I$16,TRIM($G926))&gt;0,"COUNTED",IF(COUNTIF(LISTS!$J$2:$J$16,TRIM($G926))&gt;0,"LEFT OUT","NEW")))</f>
        <v/>
      </c>
    </row>
    <row r="927" spans="47:47" x14ac:dyDescent="0.25">
      <c r="AU927" s="8" t="str">
        <f>IF(TRIM($G927)="","",IF(COUNTIF(LISTS!$I$2:$I$16,TRIM($G927))&gt;0,"COUNTED",IF(COUNTIF(LISTS!$J$2:$J$16,TRIM($G927))&gt;0,"LEFT OUT","NEW")))</f>
        <v/>
      </c>
    </row>
    <row r="928" spans="47:47" x14ac:dyDescent="0.25">
      <c r="AU928" s="8" t="str">
        <f>IF(TRIM($G928)="","",IF(COUNTIF(LISTS!$I$2:$I$16,TRIM($G928))&gt;0,"COUNTED",IF(COUNTIF(LISTS!$J$2:$J$16,TRIM($G928))&gt;0,"LEFT OUT","NEW")))</f>
        <v/>
      </c>
    </row>
    <row r="929" spans="47:47" x14ac:dyDescent="0.25">
      <c r="AU929" s="8" t="str">
        <f>IF(TRIM($G929)="","",IF(COUNTIF(LISTS!$I$2:$I$16,TRIM($G929))&gt;0,"COUNTED",IF(COUNTIF(LISTS!$J$2:$J$16,TRIM($G929))&gt;0,"LEFT OUT","NEW")))</f>
        <v/>
      </c>
    </row>
    <row r="930" spans="47:47" x14ac:dyDescent="0.25">
      <c r="AU930" s="8" t="str">
        <f>IF(TRIM($G930)="","",IF(COUNTIF(LISTS!$I$2:$I$16,TRIM($G930))&gt;0,"COUNTED",IF(COUNTIF(LISTS!$J$2:$J$16,TRIM($G930))&gt;0,"LEFT OUT","NEW")))</f>
        <v/>
      </c>
    </row>
    <row r="931" spans="47:47" x14ac:dyDescent="0.25">
      <c r="AU931" s="8" t="str">
        <f>IF(TRIM($G931)="","",IF(COUNTIF(LISTS!$I$2:$I$16,TRIM($G931))&gt;0,"COUNTED",IF(COUNTIF(LISTS!$J$2:$J$16,TRIM($G931))&gt;0,"LEFT OUT","NEW")))</f>
        <v/>
      </c>
    </row>
    <row r="932" spans="47:47" x14ac:dyDescent="0.25">
      <c r="AU932" s="8" t="str">
        <f>IF(TRIM($G932)="","",IF(COUNTIF(LISTS!$I$2:$I$16,TRIM($G932))&gt;0,"COUNTED",IF(COUNTIF(LISTS!$J$2:$J$16,TRIM($G932))&gt;0,"LEFT OUT","NEW")))</f>
        <v/>
      </c>
    </row>
    <row r="933" spans="47:47" x14ac:dyDescent="0.25">
      <c r="AU933" s="8" t="str">
        <f>IF(TRIM($G933)="","",IF(COUNTIF(LISTS!$I$2:$I$16,TRIM($G933))&gt;0,"COUNTED",IF(COUNTIF(LISTS!$J$2:$J$16,TRIM($G933))&gt;0,"LEFT OUT","NEW")))</f>
        <v/>
      </c>
    </row>
    <row r="934" spans="47:47" x14ac:dyDescent="0.25">
      <c r="AU934" s="8" t="str">
        <f>IF(TRIM($G934)="","",IF(COUNTIF(LISTS!$I$2:$I$16,TRIM($G934))&gt;0,"COUNTED",IF(COUNTIF(LISTS!$J$2:$J$16,TRIM($G934))&gt;0,"LEFT OUT","NEW")))</f>
        <v/>
      </c>
    </row>
    <row r="935" spans="47:47" x14ac:dyDescent="0.25">
      <c r="AU935" s="8" t="str">
        <f>IF(TRIM($G935)="","",IF(COUNTIF(LISTS!$I$2:$I$16,TRIM($G935))&gt;0,"COUNTED",IF(COUNTIF(LISTS!$J$2:$J$16,TRIM($G935))&gt;0,"LEFT OUT","NEW")))</f>
        <v/>
      </c>
    </row>
    <row r="936" spans="47:47" x14ac:dyDescent="0.25">
      <c r="AU936" s="8" t="str">
        <f>IF(TRIM($G936)="","",IF(COUNTIF(LISTS!$I$2:$I$16,TRIM($G936))&gt;0,"COUNTED",IF(COUNTIF(LISTS!$J$2:$J$16,TRIM($G936))&gt;0,"LEFT OUT","NEW")))</f>
        <v/>
      </c>
    </row>
    <row r="937" spans="47:47" x14ac:dyDescent="0.25">
      <c r="AU937" s="8" t="str">
        <f>IF(TRIM($G937)="","",IF(COUNTIF(LISTS!$I$2:$I$16,TRIM($G937))&gt;0,"COUNTED",IF(COUNTIF(LISTS!$J$2:$J$16,TRIM($G937))&gt;0,"LEFT OUT","NEW")))</f>
        <v/>
      </c>
    </row>
    <row r="938" spans="47:47" x14ac:dyDescent="0.25">
      <c r="AU938" s="8" t="str">
        <f>IF(TRIM($G938)="","",IF(COUNTIF(LISTS!$I$2:$I$16,TRIM($G938))&gt;0,"COUNTED",IF(COUNTIF(LISTS!$J$2:$J$16,TRIM($G938))&gt;0,"LEFT OUT","NEW")))</f>
        <v/>
      </c>
    </row>
    <row r="939" spans="47:47" x14ac:dyDescent="0.25">
      <c r="AU939" s="8" t="str">
        <f>IF(TRIM($G939)="","",IF(COUNTIF(LISTS!$I$2:$I$16,TRIM($G939))&gt;0,"COUNTED",IF(COUNTIF(LISTS!$J$2:$J$16,TRIM($G939))&gt;0,"LEFT OUT","NEW")))</f>
        <v/>
      </c>
    </row>
    <row r="940" spans="47:47" x14ac:dyDescent="0.25">
      <c r="AU940" s="8" t="str">
        <f>IF(TRIM($G940)="","",IF(COUNTIF(LISTS!$I$2:$I$16,TRIM($G940))&gt;0,"COUNTED",IF(COUNTIF(LISTS!$J$2:$J$16,TRIM($G940))&gt;0,"LEFT OUT","NEW")))</f>
        <v/>
      </c>
    </row>
    <row r="941" spans="47:47" x14ac:dyDescent="0.25">
      <c r="AU941" s="8" t="str">
        <f>IF(TRIM($G941)="","",IF(COUNTIF(LISTS!$I$2:$I$16,TRIM($G941))&gt;0,"COUNTED",IF(COUNTIF(LISTS!$J$2:$J$16,TRIM($G941))&gt;0,"LEFT OUT","NEW")))</f>
        <v/>
      </c>
    </row>
    <row r="942" spans="47:47" x14ac:dyDescent="0.25">
      <c r="AU942" s="8" t="str">
        <f>IF(TRIM($G942)="","",IF(COUNTIF(LISTS!$I$2:$I$16,TRIM($G942))&gt;0,"COUNTED",IF(COUNTIF(LISTS!$J$2:$J$16,TRIM($G942))&gt;0,"LEFT OUT","NEW")))</f>
        <v/>
      </c>
    </row>
    <row r="943" spans="47:47" x14ac:dyDescent="0.25">
      <c r="AU943" s="8" t="str">
        <f>IF(TRIM($G943)="","",IF(COUNTIF(LISTS!$I$2:$I$16,TRIM($G943))&gt;0,"COUNTED",IF(COUNTIF(LISTS!$J$2:$J$16,TRIM($G943))&gt;0,"LEFT OUT","NEW")))</f>
        <v/>
      </c>
    </row>
    <row r="944" spans="47:47" x14ac:dyDescent="0.25">
      <c r="AU944" s="8" t="str">
        <f>IF(TRIM($G944)="","",IF(COUNTIF(LISTS!$I$2:$I$16,TRIM($G944))&gt;0,"COUNTED",IF(COUNTIF(LISTS!$J$2:$J$16,TRIM($G944))&gt;0,"LEFT OUT","NEW")))</f>
        <v/>
      </c>
    </row>
    <row r="945" spans="47:47" x14ac:dyDescent="0.25">
      <c r="AU945" s="8" t="str">
        <f>IF(TRIM($G945)="","",IF(COUNTIF(LISTS!$I$2:$I$16,TRIM($G945))&gt;0,"COUNTED",IF(COUNTIF(LISTS!$J$2:$J$16,TRIM($G945))&gt;0,"LEFT OUT","NEW")))</f>
        <v/>
      </c>
    </row>
    <row r="946" spans="47:47" x14ac:dyDescent="0.25">
      <c r="AU946" s="8" t="str">
        <f>IF(TRIM($G946)="","",IF(COUNTIF(LISTS!$I$2:$I$16,TRIM($G946))&gt;0,"COUNTED",IF(COUNTIF(LISTS!$J$2:$J$16,TRIM($G946))&gt;0,"LEFT OUT","NEW")))</f>
        <v/>
      </c>
    </row>
    <row r="947" spans="47:47" x14ac:dyDescent="0.25">
      <c r="AU947" s="8" t="str">
        <f>IF(TRIM($G947)="","",IF(COUNTIF(LISTS!$I$2:$I$16,TRIM($G947))&gt;0,"COUNTED",IF(COUNTIF(LISTS!$J$2:$J$16,TRIM($G947))&gt;0,"LEFT OUT","NEW")))</f>
        <v/>
      </c>
    </row>
    <row r="948" spans="47:47" x14ac:dyDescent="0.25">
      <c r="AU948" s="8" t="str">
        <f>IF(TRIM($G948)="","",IF(COUNTIF(LISTS!$I$2:$I$16,TRIM($G948))&gt;0,"COUNTED",IF(COUNTIF(LISTS!$J$2:$J$16,TRIM($G948))&gt;0,"LEFT OUT","NEW")))</f>
        <v/>
      </c>
    </row>
    <row r="949" spans="47:47" x14ac:dyDescent="0.25">
      <c r="AU949" s="8" t="str">
        <f>IF(TRIM($G949)="","",IF(COUNTIF(LISTS!$I$2:$I$16,TRIM($G949))&gt;0,"COUNTED",IF(COUNTIF(LISTS!$J$2:$J$16,TRIM($G949))&gt;0,"LEFT OUT","NEW")))</f>
        <v/>
      </c>
    </row>
    <row r="950" spans="47:47" x14ac:dyDescent="0.25">
      <c r="AU950" s="8" t="str">
        <f>IF(TRIM($G950)="","",IF(COUNTIF(LISTS!$I$2:$I$16,TRIM($G950))&gt;0,"COUNTED",IF(COUNTIF(LISTS!$J$2:$J$16,TRIM($G950))&gt;0,"LEFT OUT","NEW")))</f>
        <v/>
      </c>
    </row>
    <row r="951" spans="47:47" x14ac:dyDescent="0.25">
      <c r="AU951" s="8" t="str">
        <f>IF(TRIM($G951)="","",IF(COUNTIF(LISTS!$I$2:$I$16,TRIM($G951))&gt;0,"COUNTED",IF(COUNTIF(LISTS!$J$2:$J$16,TRIM($G951))&gt;0,"LEFT OUT","NEW")))</f>
        <v/>
      </c>
    </row>
    <row r="952" spans="47:47" x14ac:dyDescent="0.25">
      <c r="AU952" s="8" t="str">
        <f>IF(TRIM($G952)="","",IF(COUNTIF(LISTS!$I$2:$I$16,TRIM($G952))&gt;0,"COUNTED",IF(COUNTIF(LISTS!$J$2:$J$16,TRIM($G952))&gt;0,"LEFT OUT","NEW")))</f>
        <v/>
      </c>
    </row>
    <row r="953" spans="47:47" x14ac:dyDescent="0.25">
      <c r="AU953" s="8" t="str">
        <f>IF(TRIM($G953)="","",IF(COUNTIF(LISTS!$I$2:$I$16,TRIM($G953))&gt;0,"COUNTED",IF(COUNTIF(LISTS!$J$2:$J$16,TRIM($G953))&gt;0,"LEFT OUT","NEW")))</f>
        <v/>
      </c>
    </row>
    <row r="954" spans="47:47" x14ac:dyDescent="0.25">
      <c r="AU954" s="8" t="str">
        <f>IF(TRIM($G954)="","",IF(COUNTIF(LISTS!$I$2:$I$16,TRIM($G954))&gt;0,"COUNTED",IF(COUNTIF(LISTS!$J$2:$J$16,TRIM($G954))&gt;0,"LEFT OUT","NEW")))</f>
        <v/>
      </c>
    </row>
    <row r="955" spans="47:47" x14ac:dyDescent="0.25">
      <c r="AU955" s="8" t="str">
        <f>IF(TRIM($G955)="","",IF(COUNTIF(LISTS!$I$2:$I$16,TRIM($G955))&gt;0,"COUNTED",IF(COUNTIF(LISTS!$J$2:$J$16,TRIM($G955))&gt;0,"LEFT OUT","NEW")))</f>
        <v/>
      </c>
    </row>
    <row r="956" spans="47:47" x14ac:dyDescent="0.25">
      <c r="AU956" s="8" t="str">
        <f>IF(TRIM($G956)="","",IF(COUNTIF(LISTS!$I$2:$I$16,TRIM($G956))&gt;0,"COUNTED",IF(COUNTIF(LISTS!$J$2:$J$16,TRIM($G956))&gt;0,"LEFT OUT","NEW")))</f>
        <v/>
      </c>
    </row>
    <row r="957" spans="47:47" x14ac:dyDescent="0.25">
      <c r="AU957" s="8" t="str">
        <f>IF(TRIM($G957)="","",IF(COUNTIF(LISTS!$I$2:$I$16,TRIM($G957))&gt;0,"COUNTED",IF(COUNTIF(LISTS!$J$2:$J$16,TRIM($G957))&gt;0,"LEFT OUT","NEW")))</f>
        <v/>
      </c>
    </row>
    <row r="958" spans="47:47" x14ac:dyDescent="0.25">
      <c r="AU958" s="8" t="str">
        <f>IF(TRIM($G958)="","",IF(COUNTIF(LISTS!$I$2:$I$16,TRIM($G958))&gt;0,"COUNTED",IF(COUNTIF(LISTS!$J$2:$J$16,TRIM($G958))&gt;0,"LEFT OUT","NEW")))</f>
        <v/>
      </c>
    </row>
    <row r="959" spans="47:47" x14ac:dyDescent="0.25">
      <c r="AU959" s="8" t="str">
        <f>IF(TRIM($G959)="","",IF(COUNTIF(LISTS!$I$2:$I$16,TRIM($G959))&gt;0,"COUNTED",IF(COUNTIF(LISTS!$J$2:$J$16,TRIM($G959))&gt;0,"LEFT OUT","NEW")))</f>
        <v/>
      </c>
    </row>
    <row r="960" spans="47:47" x14ac:dyDescent="0.25">
      <c r="AU960" s="8" t="str">
        <f>IF(TRIM($G960)="","",IF(COUNTIF(LISTS!$I$2:$I$16,TRIM($G960))&gt;0,"COUNTED",IF(COUNTIF(LISTS!$J$2:$J$16,TRIM($G960))&gt;0,"LEFT OUT","NEW")))</f>
        <v/>
      </c>
    </row>
    <row r="961" spans="47:47" x14ac:dyDescent="0.25">
      <c r="AU961" s="8" t="str">
        <f>IF(TRIM($G961)="","",IF(COUNTIF(LISTS!$I$2:$I$16,TRIM($G961))&gt;0,"COUNTED",IF(COUNTIF(LISTS!$J$2:$J$16,TRIM($G961))&gt;0,"LEFT OUT","NEW")))</f>
        <v/>
      </c>
    </row>
    <row r="962" spans="47:47" x14ac:dyDescent="0.25">
      <c r="AU962" s="8" t="str">
        <f>IF(TRIM($G962)="","",IF(COUNTIF(LISTS!$I$2:$I$16,TRIM($G962))&gt;0,"COUNTED",IF(COUNTIF(LISTS!$J$2:$J$16,TRIM($G962))&gt;0,"LEFT OUT","NEW")))</f>
        <v/>
      </c>
    </row>
    <row r="963" spans="47:47" x14ac:dyDescent="0.25">
      <c r="AU963" s="8" t="str">
        <f>IF(TRIM($G963)="","",IF(COUNTIF(LISTS!$I$2:$I$16,TRIM($G963))&gt;0,"COUNTED",IF(COUNTIF(LISTS!$J$2:$J$16,TRIM($G963))&gt;0,"LEFT OUT","NEW")))</f>
        <v/>
      </c>
    </row>
    <row r="964" spans="47:47" x14ac:dyDescent="0.25">
      <c r="AU964" s="8" t="str">
        <f>IF(TRIM($G964)="","",IF(COUNTIF(LISTS!$I$2:$I$16,TRIM($G964))&gt;0,"COUNTED",IF(COUNTIF(LISTS!$J$2:$J$16,TRIM($G964))&gt;0,"LEFT OUT","NEW")))</f>
        <v/>
      </c>
    </row>
    <row r="965" spans="47:47" x14ac:dyDescent="0.25">
      <c r="AU965" s="8" t="str">
        <f>IF(TRIM($G965)="","",IF(COUNTIF(LISTS!$I$2:$I$16,TRIM($G965))&gt;0,"COUNTED",IF(COUNTIF(LISTS!$J$2:$J$16,TRIM($G965))&gt;0,"LEFT OUT","NEW")))</f>
        <v/>
      </c>
    </row>
    <row r="966" spans="47:47" x14ac:dyDescent="0.25">
      <c r="AU966" s="8" t="str">
        <f>IF(TRIM($G966)="","",IF(COUNTIF(LISTS!$I$2:$I$16,TRIM($G966))&gt;0,"COUNTED",IF(COUNTIF(LISTS!$J$2:$J$16,TRIM($G966))&gt;0,"LEFT OUT","NEW")))</f>
        <v/>
      </c>
    </row>
    <row r="967" spans="47:47" x14ac:dyDescent="0.25">
      <c r="AU967" s="8" t="str">
        <f>IF(TRIM($G967)="","",IF(COUNTIF(LISTS!$I$2:$I$16,TRIM($G967))&gt;0,"COUNTED",IF(COUNTIF(LISTS!$J$2:$J$16,TRIM($G967))&gt;0,"LEFT OUT","NEW")))</f>
        <v/>
      </c>
    </row>
    <row r="968" spans="47:47" x14ac:dyDescent="0.25">
      <c r="AU968" s="8" t="str">
        <f>IF(TRIM($G968)="","",IF(COUNTIF(LISTS!$I$2:$I$16,TRIM($G968))&gt;0,"COUNTED",IF(COUNTIF(LISTS!$J$2:$J$16,TRIM($G968))&gt;0,"LEFT OUT","NEW")))</f>
        <v/>
      </c>
    </row>
    <row r="969" spans="47:47" x14ac:dyDescent="0.25">
      <c r="AU969" s="8" t="str">
        <f>IF(TRIM($G969)="","",IF(COUNTIF(LISTS!$I$2:$I$16,TRIM($G969))&gt;0,"COUNTED",IF(COUNTIF(LISTS!$J$2:$J$16,TRIM($G969))&gt;0,"LEFT OUT","NEW")))</f>
        <v/>
      </c>
    </row>
    <row r="970" spans="47:47" x14ac:dyDescent="0.25">
      <c r="AU970" s="8" t="str">
        <f>IF(TRIM($G970)="","",IF(COUNTIF(LISTS!$I$2:$I$16,TRIM($G970))&gt;0,"COUNTED",IF(COUNTIF(LISTS!$J$2:$J$16,TRIM($G970))&gt;0,"LEFT OUT","NEW")))</f>
        <v/>
      </c>
    </row>
    <row r="971" spans="47:47" x14ac:dyDescent="0.25">
      <c r="AU971" s="8" t="str">
        <f>IF(TRIM($G971)="","",IF(COUNTIF(LISTS!$I$2:$I$16,TRIM($G971))&gt;0,"COUNTED",IF(COUNTIF(LISTS!$J$2:$J$16,TRIM($G971))&gt;0,"LEFT OUT","NEW")))</f>
        <v/>
      </c>
    </row>
    <row r="972" spans="47:47" x14ac:dyDescent="0.25">
      <c r="AU972" s="8" t="str">
        <f>IF(TRIM($G972)="","",IF(COUNTIF(LISTS!$I$2:$I$16,TRIM($G972))&gt;0,"COUNTED",IF(COUNTIF(LISTS!$J$2:$J$16,TRIM($G972))&gt;0,"LEFT OUT","NEW")))</f>
        <v/>
      </c>
    </row>
    <row r="973" spans="47:47" x14ac:dyDescent="0.25">
      <c r="AU973" s="8" t="str">
        <f>IF(TRIM($G973)="","",IF(COUNTIF(LISTS!$I$2:$I$16,TRIM($G973))&gt;0,"COUNTED",IF(COUNTIF(LISTS!$J$2:$J$16,TRIM($G973))&gt;0,"LEFT OUT","NEW")))</f>
        <v/>
      </c>
    </row>
    <row r="974" spans="47:47" x14ac:dyDescent="0.25">
      <c r="AU974" s="8" t="str">
        <f>IF(TRIM($G974)="","",IF(COUNTIF(LISTS!$I$2:$I$16,TRIM($G974))&gt;0,"COUNTED",IF(COUNTIF(LISTS!$J$2:$J$16,TRIM($G974))&gt;0,"LEFT OUT","NEW")))</f>
        <v/>
      </c>
    </row>
    <row r="975" spans="47:47" x14ac:dyDescent="0.25">
      <c r="AU975" s="8" t="str">
        <f>IF(TRIM($G975)="","",IF(COUNTIF(LISTS!$I$2:$I$16,TRIM($G975))&gt;0,"COUNTED",IF(COUNTIF(LISTS!$J$2:$J$16,TRIM($G975))&gt;0,"LEFT OUT","NEW")))</f>
        <v/>
      </c>
    </row>
    <row r="976" spans="47:47" x14ac:dyDescent="0.25">
      <c r="AU976" s="8" t="str">
        <f>IF(TRIM($G976)="","",IF(COUNTIF(LISTS!$I$2:$I$16,TRIM($G976))&gt;0,"COUNTED",IF(COUNTIF(LISTS!$J$2:$J$16,TRIM($G976))&gt;0,"LEFT OUT","NEW")))</f>
        <v/>
      </c>
    </row>
    <row r="977" spans="47:47" x14ac:dyDescent="0.25">
      <c r="AU977" s="8" t="str">
        <f>IF(TRIM($G977)="","",IF(COUNTIF(LISTS!$I$2:$I$16,TRIM($G977))&gt;0,"COUNTED",IF(COUNTIF(LISTS!$J$2:$J$16,TRIM($G977))&gt;0,"LEFT OUT","NEW")))</f>
        <v/>
      </c>
    </row>
    <row r="978" spans="47:47" x14ac:dyDescent="0.25">
      <c r="AU978" s="8" t="str">
        <f>IF(TRIM($G978)="","",IF(COUNTIF(LISTS!$I$2:$I$16,TRIM($G978))&gt;0,"COUNTED",IF(COUNTIF(LISTS!$J$2:$J$16,TRIM($G978))&gt;0,"LEFT OUT","NEW")))</f>
        <v/>
      </c>
    </row>
    <row r="979" spans="47:47" x14ac:dyDescent="0.25">
      <c r="AU979" s="8" t="str">
        <f>IF(TRIM($G979)="","",IF(COUNTIF(LISTS!$I$2:$I$16,TRIM($G979))&gt;0,"COUNTED",IF(COUNTIF(LISTS!$J$2:$J$16,TRIM($G979))&gt;0,"LEFT OUT","NEW")))</f>
        <v/>
      </c>
    </row>
    <row r="980" spans="47:47" x14ac:dyDescent="0.25">
      <c r="AU980" s="8" t="str">
        <f>IF(TRIM($G980)="","",IF(COUNTIF(LISTS!$I$2:$I$16,TRIM($G980))&gt;0,"COUNTED",IF(COUNTIF(LISTS!$J$2:$J$16,TRIM($G980))&gt;0,"LEFT OUT","NEW")))</f>
        <v/>
      </c>
    </row>
    <row r="981" spans="47:47" x14ac:dyDescent="0.25">
      <c r="AU981" s="8" t="str">
        <f>IF(TRIM($G981)="","",IF(COUNTIF(LISTS!$I$2:$I$16,TRIM($G981))&gt;0,"COUNTED",IF(COUNTIF(LISTS!$J$2:$J$16,TRIM($G981))&gt;0,"LEFT OUT","NEW")))</f>
        <v/>
      </c>
    </row>
    <row r="982" spans="47:47" x14ac:dyDescent="0.25">
      <c r="AU982" s="8" t="str">
        <f>IF(TRIM($G982)="","",IF(COUNTIF(LISTS!$I$2:$I$16,TRIM($G982))&gt;0,"COUNTED",IF(COUNTIF(LISTS!$J$2:$J$16,TRIM($G982))&gt;0,"LEFT OUT","NEW")))</f>
        <v/>
      </c>
    </row>
    <row r="983" spans="47:47" x14ac:dyDescent="0.25">
      <c r="AU983" s="8" t="str">
        <f>IF(TRIM($G983)="","",IF(COUNTIF(LISTS!$I$2:$I$16,TRIM($G983))&gt;0,"COUNTED",IF(COUNTIF(LISTS!$J$2:$J$16,TRIM($G983))&gt;0,"LEFT OUT","NEW")))</f>
        <v/>
      </c>
    </row>
    <row r="984" spans="47:47" x14ac:dyDescent="0.25">
      <c r="AU984" s="8" t="str">
        <f>IF(TRIM($G984)="","",IF(COUNTIF(LISTS!$I$2:$I$16,TRIM($G984))&gt;0,"COUNTED",IF(COUNTIF(LISTS!$J$2:$J$16,TRIM($G984))&gt;0,"LEFT OUT","NEW")))</f>
        <v/>
      </c>
    </row>
    <row r="985" spans="47:47" x14ac:dyDescent="0.25">
      <c r="AU985" s="8" t="str">
        <f>IF(TRIM($G985)="","",IF(COUNTIF(LISTS!$I$2:$I$16,TRIM($G985))&gt;0,"COUNTED",IF(COUNTIF(LISTS!$J$2:$J$16,TRIM($G985))&gt;0,"LEFT OUT","NEW")))</f>
        <v/>
      </c>
    </row>
    <row r="986" spans="47:47" x14ac:dyDescent="0.25">
      <c r="AU986" s="8" t="str">
        <f>IF(TRIM($G986)="","",IF(COUNTIF(LISTS!$I$2:$I$16,TRIM($G986))&gt;0,"COUNTED",IF(COUNTIF(LISTS!$J$2:$J$16,TRIM($G986))&gt;0,"LEFT OUT","NEW")))</f>
        <v/>
      </c>
    </row>
    <row r="987" spans="47:47" x14ac:dyDescent="0.25">
      <c r="AU987" s="8" t="str">
        <f>IF(TRIM($G987)="","",IF(COUNTIF(LISTS!$I$2:$I$16,TRIM($G987))&gt;0,"COUNTED",IF(COUNTIF(LISTS!$J$2:$J$16,TRIM($G987))&gt;0,"LEFT OUT","NEW")))</f>
        <v/>
      </c>
    </row>
    <row r="988" spans="47:47" x14ac:dyDescent="0.25">
      <c r="AU988" s="8" t="str">
        <f>IF(TRIM($G988)="","",IF(COUNTIF(LISTS!$I$2:$I$16,TRIM($G988))&gt;0,"COUNTED",IF(COUNTIF(LISTS!$J$2:$J$16,TRIM($G988))&gt;0,"LEFT OUT","NEW")))</f>
        <v/>
      </c>
    </row>
    <row r="989" spans="47:47" x14ac:dyDescent="0.25">
      <c r="AU989" s="8" t="str">
        <f>IF(TRIM($G989)="","",IF(COUNTIF(LISTS!$I$2:$I$16,TRIM($G989))&gt;0,"COUNTED",IF(COUNTIF(LISTS!$J$2:$J$16,TRIM($G989))&gt;0,"LEFT OUT","NEW")))</f>
        <v/>
      </c>
    </row>
    <row r="990" spans="47:47" x14ac:dyDescent="0.25">
      <c r="AU990" s="8" t="str">
        <f>IF(TRIM($G990)="","",IF(COUNTIF(LISTS!$I$2:$I$16,TRIM($G990))&gt;0,"COUNTED",IF(COUNTIF(LISTS!$J$2:$J$16,TRIM($G990))&gt;0,"LEFT OUT","NEW")))</f>
        <v/>
      </c>
    </row>
    <row r="991" spans="47:47" x14ac:dyDescent="0.25">
      <c r="AU991" s="8" t="str">
        <f>IF(TRIM($G991)="","",IF(COUNTIF(LISTS!$I$2:$I$16,TRIM($G991))&gt;0,"COUNTED",IF(COUNTIF(LISTS!$J$2:$J$16,TRIM($G991))&gt;0,"LEFT OUT","NEW")))</f>
        <v/>
      </c>
    </row>
    <row r="992" spans="47:47" x14ac:dyDescent="0.25">
      <c r="AU992" s="8" t="str">
        <f>IF(TRIM($G992)="","",IF(COUNTIF(LISTS!$I$2:$I$16,TRIM($G992))&gt;0,"COUNTED",IF(COUNTIF(LISTS!$J$2:$J$16,TRIM($G992))&gt;0,"LEFT OUT","NEW")))</f>
        <v/>
      </c>
    </row>
    <row r="993" spans="47:47" x14ac:dyDescent="0.25">
      <c r="AU993" s="8" t="str">
        <f>IF(TRIM($G993)="","",IF(COUNTIF(LISTS!$I$2:$I$16,TRIM($G993))&gt;0,"COUNTED",IF(COUNTIF(LISTS!$J$2:$J$16,TRIM($G993))&gt;0,"LEFT OUT","NEW")))</f>
        <v/>
      </c>
    </row>
    <row r="994" spans="47:47" x14ac:dyDescent="0.25">
      <c r="AU994" s="8" t="str">
        <f>IF(TRIM($G994)="","",IF(COUNTIF(LISTS!$I$2:$I$16,TRIM($G994))&gt;0,"COUNTED",IF(COUNTIF(LISTS!$J$2:$J$16,TRIM($G994))&gt;0,"LEFT OUT","NEW")))</f>
        <v/>
      </c>
    </row>
    <row r="995" spans="47:47" x14ac:dyDescent="0.25">
      <c r="AU995" s="8" t="str">
        <f>IF(TRIM($G995)="","",IF(COUNTIF(LISTS!$I$2:$I$16,TRIM($G995))&gt;0,"COUNTED",IF(COUNTIF(LISTS!$J$2:$J$16,TRIM($G995))&gt;0,"LEFT OUT","NEW")))</f>
        <v/>
      </c>
    </row>
    <row r="996" spans="47:47" x14ac:dyDescent="0.25">
      <c r="AU996" s="8" t="str">
        <f>IF(TRIM($G996)="","",IF(COUNTIF(LISTS!$I$2:$I$16,TRIM($G996))&gt;0,"COUNTED",IF(COUNTIF(LISTS!$J$2:$J$16,TRIM($G996))&gt;0,"LEFT OUT","NEW")))</f>
        <v/>
      </c>
    </row>
    <row r="997" spans="47:47" x14ac:dyDescent="0.25">
      <c r="AU997" s="8" t="str">
        <f>IF(TRIM($G997)="","",IF(COUNTIF(LISTS!$I$2:$I$16,TRIM($G997))&gt;0,"COUNTED",IF(COUNTIF(LISTS!$J$2:$J$16,TRIM($G997))&gt;0,"LEFT OUT","NEW")))</f>
        <v/>
      </c>
    </row>
    <row r="998" spans="47:47" x14ac:dyDescent="0.25">
      <c r="AU998" s="8" t="str">
        <f>IF(TRIM($G998)="","",IF(COUNTIF(LISTS!$I$2:$I$16,TRIM($G998))&gt;0,"COUNTED",IF(COUNTIF(LISTS!$J$2:$J$16,TRIM($G998))&gt;0,"LEFT OUT","NEW")))</f>
        <v/>
      </c>
    </row>
    <row r="999" spans="47:47" x14ac:dyDescent="0.25">
      <c r="AU999" s="8" t="str">
        <f>IF(TRIM($G999)="","",IF(COUNTIF(LISTS!$I$2:$I$16,TRIM($G999))&gt;0,"COUNTED",IF(COUNTIF(LISTS!$J$2:$J$16,TRIM($G999))&gt;0,"LEFT OUT","NEW")))</f>
        <v/>
      </c>
    </row>
    <row r="1000" spans="47:47" x14ac:dyDescent="0.25">
      <c r="AU1000" s="8" t="str">
        <f>IF(TRIM($G1000)="","",IF(COUNTIF(LISTS!$I$2:$I$16,TRIM($G1000))&gt;0,"COUNTED",IF(COUNTIF(LISTS!$J$2:$J$16,TRIM($G1000))&gt;0,"LEFT OUT","NEW")))</f>
        <v/>
      </c>
    </row>
    <row r="1001" spans="47:47" x14ac:dyDescent="0.25">
      <c r="AU1001" s="8" t="str">
        <f>IF(TRIM($G1001)="","",IF(COUNTIF(LISTS!$I$2:$I$16,TRIM($G1001))&gt;0,"COUNTED",IF(COUNTIF(LISTS!$J$2:$J$16,TRIM($G1001))&gt;0,"LEFT OUT","NEW")))</f>
        <v/>
      </c>
    </row>
    <row r="1002" spans="47:47" x14ac:dyDescent="0.25">
      <c r="AU1002" s="8" t="str">
        <f>IF(TRIM($G1002)="","",IF(COUNTIF(LISTS!$I$2:$I$16,TRIM($G1002))&gt;0,"COUNTED",IF(COUNTIF(LISTS!$J$2:$J$16,TRIM($G1002))&gt;0,"LEFT OUT","NEW")))</f>
        <v/>
      </c>
    </row>
    <row r="1003" spans="47:47" x14ac:dyDescent="0.25">
      <c r="AU1003" s="8" t="str">
        <f>IF(TRIM($G1003)="","",IF(COUNTIF(LISTS!$I$2:$I$16,TRIM($G1003))&gt;0,"COUNTED",IF(COUNTIF(LISTS!$J$2:$J$16,TRIM($G1003))&gt;0,"LEFT OUT","NEW")))</f>
        <v/>
      </c>
    </row>
    <row r="1004" spans="47:47" x14ac:dyDescent="0.25">
      <c r="AU1004" s="8" t="str">
        <f>IF(TRIM($G1004)="","",IF(COUNTIF(LISTS!$I$2:$I$16,TRIM($G1004))&gt;0,"COUNTED",IF(COUNTIF(LISTS!$J$2:$J$16,TRIM($G1004))&gt;0,"LEFT OUT","NEW")))</f>
        <v/>
      </c>
    </row>
    <row r="1005" spans="47:47" x14ac:dyDescent="0.25">
      <c r="AU1005" s="8" t="str">
        <f>IF(TRIM($G1005)="","",IF(COUNTIF(LISTS!$I$2:$I$16,TRIM($G1005))&gt;0,"COUNTED",IF(COUNTIF(LISTS!$J$2:$J$16,TRIM($G1005))&gt;0,"LEFT OUT","NEW")))</f>
        <v/>
      </c>
    </row>
    <row r="1006" spans="47:47" x14ac:dyDescent="0.25">
      <c r="AU1006" s="8" t="str">
        <f>IF(TRIM($G1006)="","",IF(COUNTIF(LISTS!$I$2:$I$16,TRIM($G1006))&gt;0,"COUNTED",IF(COUNTIF(LISTS!$J$2:$J$16,TRIM($G1006))&gt;0,"LEFT OUT","NEW")))</f>
        <v/>
      </c>
    </row>
    <row r="1007" spans="47:47" x14ac:dyDescent="0.25">
      <c r="AU1007" s="8" t="str">
        <f>IF(TRIM($G1007)="","",IF(COUNTIF(LISTS!$I$2:$I$16,TRIM($G1007))&gt;0,"COUNTED",IF(COUNTIF(LISTS!$J$2:$J$16,TRIM($G1007))&gt;0,"LEFT OUT","NEW")))</f>
        <v/>
      </c>
    </row>
    <row r="1008" spans="47:47" x14ac:dyDescent="0.25">
      <c r="AU1008" s="8" t="str">
        <f>IF(TRIM($G1008)="","",IF(COUNTIF(LISTS!$I$2:$I$16,TRIM($G1008))&gt;0,"COUNTED",IF(COUNTIF(LISTS!$J$2:$J$16,TRIM($G1008))&gt;0,"LEFT OUT","NEW")))</f>
        <v/>
      </c>
    </row>
    <row r="1009" spans="47:47" x14ac:dyDescent="0.25">
      <c r="AU1009" s="8" t="str">
        <f>IF(TRIM($G1009)="","",IF(COUNTIF(LISTS!$I$2:$I$16,TRIM($G1009))&gt;0,"COUNTED",IF(COUNTIF(LISTS!$J$2:$J$16,TRIM($G1009))&gt;0,"LEFT OUT","NEW")))</f>
        <v/>
      </c>
    </row>
    <row r="1010" spans="47:47" x14ac:dyDescent="0.25">
      <c r="AU1010" s="8" t="str">
        <f>IF(TRIM($G1010)="","",IF(COUNTIF(LISTS!$I$2:$I$16,TRIM($G1010))&gt;0,"COUNTED",IF(COUNTIF(LISTS!$J$2:$J$16,TRIM($G1010))&gt;0,"LEFT OUT","NEW")))</f>
        <v/>
      </c>
    </row>
    <row r="1011" spans="47:47" x14ac:dyDescent="0.25">
      <c r="AU1011" s="8" t="str">
        <f>IF(TRIM($G1011)="","",IF(COUNTIF(LISTS!$I$2:$I$16,TRIM($G1011))&gt;0,"COUNTED",IF(COUNTIF(LISTS!$J$2:$J$16,TRIM($G1011))&gt;0,"LEFT OUT","NEW")))</f>
        <v/>
      </c>
    </row>
    <row r="1012" spans="47:47" x14ac:dyDescent="0.25">
      <c r="AU1012" s="8" t="str">
        <f>IF(TRIM($G1012)="","",IF(COUNTIF(LISTS!$I$2:$I$16,TRIM($G1012))&gt;0,"COUNTED",IF(COUNTIF(LISTS!$J$2:$J$16,TRIM($G1012))&gt;0,"LEFT OUT","NEW")))</f>
        <v/>
      </c>
    </row>
    <row r="1013" spans="47:47" x14ac:dyDescent="0.25">
      <c r="AU1013" s="8" t="str">
        <f>IF(TRIM($G1013)="","",IF(COUNTIF(LISTS!$I$2:$I$16,TRIM($G1013))&gt;0,"COUNTED",IF(COUNTIF(LISTS!$J$2:$J$16,TRIM($G1013))&gt;0,"LEFT OUT","NEW")))</f>
        <v/>
      </c>
    </row>
    <row r="1014" spans="47:47" x14ac:dyDescent="0.25">
      <c r="AU1014" s="8" t="str">
        <f>IF(TRIM($G1014)="","",IF(COUNTIF(LISTS!$I$2:$I$16,TRIM($G1014))&gt;0,"COUNTED",IF(COUNTIF(LISTS!$J$2:$J$16,TRIM($G1014))&gt;0,"LEFT OUT","NEW")))</f>
        <v/>
      </c>
    </row>
    <row r="1015" spans="47:47" x14ac:dyDescent="0.25">
      <c r="AU1015" s="8" t="str">
        <f>IF(TRIM($G1015)="","",IF(COUNTIF(LISTS!$I$2:$I$16,TRIM($G1015))&gt;0,"COUNTED",IF(COUNTIF(LISTS!$J$2:$J$16,TRIM($G1015))&gt;0,"LEFT OUT","NEW")))</f>
        <v/>
      </c>
    </row>
    <row r="1016" spans="47:47" x14ac:dyDescent="0.25">
      <c r="AU1016" s="8" t="str">
        <f>IF(TRIM($G1016)="","",IF(COUNTIF(LISTS!$I$2:$I$16,TRIM($G1016))&gt;0,"COUNTED",IF(COUNTIF(LISTS!$J$2:$J$16,TRIM($G1016))&gt;0,"LEFT OUT","NEW")))</f>
        <v/>
      </c>
    </row>
    <row r="1017" spans="47:47" x14ac:dyDescent="0.25">
      <c r="AU1017" s="8" t="str">
        <f>IF(TRIM($G1017)="","",IF(COUNTIF(LISTS!$I$2:$I$16,TRIM($G1017))&gt;0,"COUNTED",IF(COUNTIF(LISTS!$J$2:$J$16,TRIM($G1017))&gt;0,"LEFT OUT","NEW")))</f>
        <v/>
      </c>
    </row>
    <row r="1018" spans="47:47" x14ac:dyDescent="0.25">
      <c r="AU1018" s="8" t="str">
        <f>IF(TRIM($G1018)="","",IF(COUNTIF(LISTS!$I$2:$I$16,TRIM($G1018))&gt;0,"COUNTED",IF(COUNTIF(LISTS!$J$2:$J$16,TRIM($G1018))&gt;0,"LEFT OUT","NEW")))</f>
        <v/>
      </c>
    </row>
    <row r="1019" spans="47:47" x14ac:dyDescent="0.25">
      <c r="AU1019" s="8" t="str">
        <f>IF(TRIM($G1019)="","",IF(COUNTIF(LISTS!$I$2:$I$16,TRIM($G1019))&gt;0,"COUNTED",IF(COUNTIF(LISTS!$J$2:$J$16,TRIM($G1019))&gt;0,"LEFT OUT","NEW")))</f>
        <v/>
      </c>
    </row>
    <row r="1020" spans="47:47" x14ac:dyDescent="0.25">
      <c r="AU1020" s="8" t="str">
        <f>IF(TRIM($G1020)="","",IF(COUNTIF(LISTS!$I$2:$I$16,TRIM($G1020))&gt;0,"COUNTED",IF(COUNTIF(LISTS!$J$2:$J$16,TRIM($G1020))&gt;0,"LEFT OUT","NEW")))</f>
        <v/>
      </c>
    </row>
    <row r="1021" spans="47:47" x14ac:dyDescent="0.25">
      <c r="AU1021" s="8" t="str">
        <f>IF(TRIM($G1021)="","",IF(COUNTIF(LISTS!$I$2:$I$16,TRIM($G1021))&gt;0,"COUNTED",IF(COUNTIF(LISTS!$J$2:$J$16,TRIM($G1021))&gt;0,"LEFT OUT","NEW")))</f>
        <v/>
      </c>
    </row>
    <row r="1022" spans="47:47" x14ac:dyDescent="0.25">
      <c r="AU1022" s="8" t="str">
        <f>IF(TRIM($G1022)="","",IF(COUNTIF(LISTS!$I$2:$I$16,TRIM($G1022))&gt;0,"COUNTED",IF(COUNTIF(LISTS!$J$2:$J$16,TRIM($G1022))&gt;0,"LEFT OUT","NEW")))</f>
        <v/>
      </c>
    </row>
    <row r="1023" spans="47:47" x14ac:dyDescent="0.25">
      <c r="AU1023" s="8" t="str">
        <f>IF(TRIM($G1023)="","",IF(COUNTIF(LISTS!$I$2:$I$16,TRIM($G1023))&gt;0,"COUNTED",IF(COUNTIF(LISTS!$J$2:$J$16,TRIM($G1023))&gt;0,"LEFT OUT","NEW")))</f>
        <v/>
      </c>
    </row>
    <row r="1024" spans="47:47" x14ac:dyDescent="0.25">
      <c r="AU1024" s="8" t="str">
        <f>IF(TRIM($G1024)="","",IF(COUNTIF(LISTS!$I$2:$I$16,TRIM($G1024))&gt;0,"COUNTED",IF(COUNTIF(LISTS!$J$2:$J$16,TRIM($G1024))&gt;0,"LEFT OUT","NEW")))</f>
        <v/>
      </c>
    </row>
    <row r="1025" spans="47:47" x14ac:dyDescent="0.25">
      <c r="AU1025" s="8" t="str">
        <f>IF(TRIM($G1025)="","",IF(COUNTIF(LISTS!$I$2:$I$16,TRIM($G1025))&gt;0,"COUNTED",IF(COUNTIF(LISTS!$J$2:$J$16,TRIM($G1025))&gt;0,"LEFT OUT","NEW")))</f>
        <v/>
      </c>
    </row>
    <row r="1026" spans="47:47" x14ac:dyDescent="0.25">
      <c r="AU1026" s="8" t="str">
        <f>IF(TRIM($G1026)="","",IF(COUNTIF(LISTS!$I$2:$I$16,TRIM($G1026))&gt;0,"COUNTED",IF(COUNTIF(LISTS!$J$2:$J$16,TRIM($G1026))&gt;0,"LEFT OUT","NEW")))</f>
        <v/>
      </c>
    </row>
    <row r="1027" spans="47:47" x14ac:dyDescent="0.25">
      <c r="AU1027" s="8" t="str">
        <f>IF(TRIM($G1027)="","",IF(COUNTIF(LISTS!$I$2:$I$16,TRIM($G1027))&gt;0,"COUNTED",IF(COUNTIF(LISTS!$J$2:$J$16,TRIM($G1027))&gt;0,"LEFT OUT","NEW")))</f>
        <v/>
      </c>
    </row>
    <row r="1028" spans="47:47" x14ac:dyDescent="0.25">
      <c r="AU1028" s="8" t="str">
        <f>IF(TRIM($G1028)="","",IF(COUNTIF(LISTS!$I$2:$I$16,TRIM($G1028))&gt;0,"COUNTED",IF(COUNTIF(LISTS!$J$2:$J$16,TRIM($G1028))&gt;0,"LEFT OUT","NEW")))</f>
        <v/>
      </c>
    </row>
    <row r="1029" spans="47:47" x14ac:dyDescent="0.25">
      <c r="AU1029" s="8" t="str">
        <f>IF(TRIM($G1029)="","",IF(COUNTIF(LISTS!$I$2:$I$16,TRIM($G1029))&gt;0,"COUNTED",IF(COUNTIF(LISTS!$J$2:$J$16,TRIM($G1029))&gt;0,"LEFT OUT","NEW")))</f>
        <v/>
      </c>
    </row>
    <row r="1030" spans="47:47" x14ac:dyDescent="0.25">
      <c r="AU1030" s="8" t="str">
        <f>IF(TRIM($G1030)="","",IF(COUNTIF(LISTS!$I$2:$I$16,TRIM($G1030))&gt;0,"COUNTED",IF(COUNTIF(LISTS!$J$2:$J$16,TRIM($G1030))&gt;0,"LEFT OUT","NEW")))</f>
        <v/>
      </c>
    </row>
    <row r="1031" spans="47:47" x14ac:dyDescent="0.25">
      <c r="AU1031" s="8" t="str">
        <f>IF(TRIM($G1031)="","",IF(COUNTIF(LISTS!$I$2:$I$16,TRIM($G1031))&gt;0,"COUNTED",IF(COUNTIF(LISTS!$J$2:$J$16,TRIM($G1031))&gt;0,"LEFT OUT","NEW")))</f>
        <v/>
      </c>
    </row>
    <row r="1032" spans="47:47" x14ac:dyDescent="0.25">
      <c r="AU1032" s="8" t="str">
        <f>IF(TRIM($G1032)="","",IF(COUNTIF(LISTS!$I$2:$I$16,TRIM($G1032))&gt;0,"COUNTED",IF(COUNTIF(LISTS!$J$2:$J$16,TRIM($G1032))&gt;0,"LEFT OUT","NEW")))</f>
        <v/>
      </c>
    </row>
    <row r="1033" spans="47:47" x14ac:dyDescent="0.25">
      <c r="AU1033" s="8" t="str">
        <f>IF(TRIM($G1033)="","",IF(COUNTIF(LISTS!$I$2:$I$16,TRIM($G1033))&gt;0,"COUNTED",IF(COUNTIF(LISTS!$J$2:$J$16,TRIM($G1033))&gt;0,"LEFT OUT","NEW")))</f>
        <v/>
      </c>
    </row>
    <row r="1034" spans="47:47" x14ac:dyDescent="0.25">
      <c r="AU1034" s="8" t="str">
        <f>IF(TRIM($G1034)="","",IF(COUNTIF(LISTS!$I$2:$I$16,TRIM($G1034))&gt;0,"COUNTED",IF(COUNTIF(LISTS!$J$2:$J$16,TRIM($G1034))&gt;0,"LEFT OUT","NEW")))</f>
        <v/>
      </c>
    </row>
    <row r="1035" spans="47:47" x14ac:dyDescent="0.25">
      <c r="AU1035" s="8" t="str">
        <f>IF(TRIM($G1035)="","",IF(COUNTIF(LISTS!$I$2:$I$16,TRIM($G1035))&gt;0,"COUNTED",IF(COUNTIF(LISTS!$J$2:$J$16,TRIM($G1035))&gt;0,"LEFT OUT","NEW")))</f>
        <v/>
      </c>
    </row>
    <row r="1036" spans="47:47" x14ac:dyDescent="0.25">
      <c r="AU1036" s="8" t="str">
        <f>IF(TRIM($G1036)="","",IF(COUNTIF(LISTS!$I$2:$I$16,TRIM($G1036))&gt;0,"COUNTED",IF(COUNTIF(LISTS!$J$2:$J$16,TRIM($G1036))&gt;0,"LEFT OUT","NEW")))</f>
        <v/>
      </c>
    </row>
    <row r="1037" spans="47:47" x14ac:dyDescent="0.25">
      <c r="AU1037" s="8" t="str">
        <f>IF(TRIM($G1037)="","",IF(COUNTIF(LISTS!$I$2:$I$16,TRIM($G1037))&gt;0,"COUNTED",IF(COUNTIF(LISTS!$J$2:$J$16,TRIM($G1037))&gt;0,"LEFT OUT","NEW")))</f>
        <v/>
      </c>
    </row>
    <row r="1038" spans="47:47" x14ac:dyDescent="0.25">
      <c r="AU1038" s="8" t="str">
        <f>IF(TRIM($G1038)="","",IF(COUNTIF(LISTS!$I$2:$I$16,TRIM($G1038))&gt;0,"COUNTED",IF(COUNTIF(LISTS!$J$2:$J$16,TRIM($G1038))&gt;0,"LEFT OUT","NEW")))</f>
        <v/>
      </c>
    </row>
    <row r="1039" spans="47:47" x14ac:dyDescent="0.25">
      <c r="AU1039" s="8" t="str">
        <f>IF(TRIM($G1039)="","",IF(COUNTIF(LISTS!$I$2:$I$16,TRIM($G1039))&gt;0,"COUNTED",IF(COUNTIF(LISTS!$J$2:$J$16,TRIM($G1039))&gt;0,"LEFT OUT","NEW")))</f>
        <v/>
      </c>
    </row>
    <row r="1040" spans="47:47" x14ac:dyDescent="0.25">
      <c r="AU1040" s="8" t="str">
        <f>IF(TRIM($G1040)="","",IF(COUNTIF(LISTS!$I$2:$I$16,TRIM($G1040))&gt;0,"COUNTED",IF(COUNTIF(LISTS!$J$2:$J$16,TRIM($G1040))&gt;0,"LEFT OUT","NEW")))</f>
        <v/>
      </c>
    </row>
    <row r="1041" spans="47:47" x14ac:dyDescent="0.25">
      <c r="AU1041" s="8" t="str">
        <f>IF(TRIM($G1041)="","",IF(COUNTIF(LISTS!$I$2:$I$16,TRIM($G1041))&gt;0,"COUNTED",IF(COUNTIF(LISTS!$J$2:$J$16,TRIM($G1041))&gt;0,"LEFT OUT","NEW")))</f>
        <v/>
      </c>
    </row>
    <row r="1042" spans="47:47" x14ac:dyDescent="0.25">
      <c r="AU1042" s="8" t="str">
        <f>IF(TRIM($G1042)="","",IF(COUNTIF(LISTS!$I$2:$I$16,TRIM($G1042))&gt;0,"COUNTED",IF(COUNTIF(LISTS!$J$2:$J$16,TRIM($G1042))&gt;0,"LEFT OUT","NEW")))</f>
        <v/>
      </c>
    </row>
    <row r="1043" spans="47:47" x14ac:dyDescent="0.25">
      <c r="AU1043" s="8" t="str">
        <f>IF(TRIM($G1043)="","",IF(COUNTIF(LISTS!$I$2:$I$16,TRIM($G1043))&gt;0,"COUNTED",IF(COUNTIF(LISTS!$J$2:$J$16,TRIM($G1043))&gt;0,"LEFT OUT","NEW")))</f>
        <v/>
      </c>
    </row>
    <row r="1044" spans="47:47" x14ac:dyDescent="0.25">
      <c r="AU1044" s="8" t="str">
        <f>IF(TRIM($G1044)="","",IF(COUNTIF(LISTS!$I$2:$I$16,TRIM($G1044))&gt;0,"COUNTED",IF(COUNTIF(LISTS!$J$2:$J$16,TRIM($G1044))&gt;0,"LEFT OUT","NEW")))</f>
        <v/>
      </c>
    </row>
    <row r="1045" spans="47:47" x14ac:dyDescent="0.25">
      <c r="AU1045" s="8" t="str">
        <f>IF(TRIM($G1045)="","",IF(COUNTIF(LISTS!$I$2:$I$16,TRIM($G1045))&gt;0,"COUNTED",IF(COUNTIF(LISTS!$J$2:$J$16,TRIM($G1045))&gt;0,"LEFT OUT","NEW")))</f>
        <v/>
      </c>
    </row>
    <row r="1046" spans="47:47" x14ac:dyDescent="0.25">
      <c r="AU1046" s="8" t="str">
        <f>IF(TRIM($G1046)="","",IF(COUNTIF(LISTS!$I$2:$I$16,TRIM($G1046))&gt;0,"COUNTED",IF(COUNTIF(LISTS!$J$2:$J$16,TRIM($G1046))&gt;0,"LEFT OUT","NEW")))</f>
        <v/>
      </c>
    </row>
    <row r="1047" spans="47:47" x14ac:dyDescent="0.25">
      <c r="AU1047" s="8" t="str">
        <f>IF(TRIM($G1047)="","",IF(COUNTIF(LISTS!$I$2:$I$16,TRIM($G1047))&gt;0,"COUNTED",IF(COUNTIF(LISTS!$J$2:$J$16,TRIM($G1047))&gt;0,"LEFT OUT","NEW")))</f>
        <v/>
      </c>
    </row>
    <row r="1048" spans="47:47" x14ac:dyDescent="0.25">
      <c r="AU1048" s="8" t="str">
        <f>IF(TRIM($G1048)="","",IF(COUNTIF(LISTS!$I$2:$I$16,TRIM($G1048))&gt;0,"COUNTED",IF(COUNTIF(LISTS!$J$2:$J$16,TRIM($G1048))&gt;0,"LEFT OUT","NEW")))</f>
        <v/>
      </c>
    </row>
    <row r="1049" spans="47:47" x14ac:dyDescent="0.25">
      <c r="AU1049" s="8" t="str">
        <f>IF(TRIM($G1049)="","",IF(COUNTIF(LISTS!$I$2:$I$16,TRIM($G1049))&gt;0,"COUNTED",IF(COUNTIF(LISTS!$J$2:$J$16,TRIM($G1049))&gt;0,"LEFT OUT","NEW")))</f>
        <v/>
      </c>
    </row>
    <row r="1050" spans="47:47" x14ac:dyDescent="0.25">
      <c r="AU1050" s="8" t="str">
        <f>IF(TRIM($G1050)="","",IF(COUNTIF(LISTS!$I$2:$I$16,TRIM($G1050))&gt;0,"COUNTED",IF(COUNTIF(LISTS!$J$2:$J$16,TRIM($G1050))&gt;0,"LEFT OUT","NEW")))</f>
        <v/>
      </c>
    </row>
    <row r="1051" spans="47:47" x14ac:dyDescent="0.25">
      <c r="AU1051" s="8" t="str">
        <f>IF(TRIM($G1051)="","",IF(COUNTIF(LISTS!$I$2:$I$16,TRIM($G1051))&gt;0,"COUNTED",IF(COUNTIF(LISTS!$J$2:$J$16,TRIM($G1051))&gt;0,"LEFT OUT","NEW")))</f>
        <v/>
      </c>
    </row>
    <row r="1052" spans="47:47" x14ac:dyDescent="0.25">
      <c r="AU1052" s="8" t="str">
        <f>IF(TRIM($G1052)="","",IF(COUNTIF(LISTS!$I$2:$I$16,TRIM($G1052))&gt;0,"COUNTED",IF(COUNTIF(LISTS!$J$2:$J$16,TRIM($G1052))&gt;0,"LEFT OUT","NEW")))</f>
        <v/>
      </c>
    </row>
    <row r="1053" spans="47:47" x14ac:dyDescent="0.25">
      <c r="AU1053" s="8" t="str">
        <f>IF(TRIM($G1053)="","",IF(COUNTIF(LISTS!$I$2:$I$16,TRIM($G1053))&gt;0,"COUNTED",IF(COUNTIF(LISTS!$J$2:$J$16,TRIM($G1053))&gt;0,"LEFT OUT","NEW")))</f>
        <v/>
      </c>
    </row>
    <row r="1054" spans="47:47" x14ac:dyDescent="0.25">
      <c r="AU1054" s="8" t="str">
        <f>IF(TRIM($G1054)="","",IF(COUNTIF(LISTS!$I$2:$I$16,TRIM($G1054))&gt;0,"COUNTED",IF(COUNTIF(LISTS!$J$2:$J$16,TRIM($G1054))&gt;0,"LEFT OUT","NEW")))</f>
        <v/>
      </c>
    </row>
    <row r="1055" spans="47:47" x14ac:dyDescent="0.25">
      <c r="AU1055" s="8" t="str">
        <f>IF(TRIM($G1055)="","",IF(COUNTIF(LISTS!$I$2:$I$16,TRIM($G1055))&gt;0,"COUNTED",IF(COUNTIF(LISTS!$J$2:$J$16,TRIM($G1055))&gt;0,"LEFT OUT","NEW")))</f>
        <v/>
      </c>
    </row>
    <row r="1056" spans="47:47" x14ac:dyDescent="0.25">
      <c r="AU1056" s="8" t="str">
        <f>IF(TRIM($G1056)="","",IF(COUNTIF(LISTS!$I$2:$I$16,TRIM($G1056))&gt;0,"COUNTED",IF(COUNTIF(LISTS!$J$2:$J$16,TRIM($G1056))&gt;0,"LEFT OUT","NEW")))</f>
        <v/>
      </c>
    </row>
    <row r="1057" spans="47:47" x14ac:dyDescent="0.25">
      <c r="AU1057" s="8" t="str">
        <f>IF(TRIM($G1057)="","",IF(COUNTIF(LISTS!$I$2:$I$16,TRIM($G1057))&gt;0,"COUNTED",IF(COUNTIF(LISTS!$J$2:$J$16,TRIM($G1057))&gt;0,"LEFT OUT","NEW")))</f>
        <v/>
      </c>
    </row>
    <row r="1058" spans="47:47" x14ac:dyDescent="0.25">
      <c r="AU1058" s="8" t="str">
        <f>IF(TRIM($G1058)="","",IF(COUNTIF(LISTS!$I$2:$I$16,TRIM($G1058))&gt;0,"COUNTED",IF(COUNTIF(LISTS!$J$2:$J$16,TRIM($G1058))&gt;0,"LEFT OUT","NEW")))</f>
        <v/>
      </c>
    </row>
    <row r="1059" spans="47:47" x14ac:dyDescent="0.25">
      <c r="AU1059" s="8" t="str">
        <f>IF(TRIM($G1059)="","",IF(COUNTIF(LISTS!$I$2:$I$16,TRIM($G1059))&gt;0,"COUNTED",IF(COUNTIF(LISTS!$J$2:$J$16,TRIM($G1059))&gt;0,"LEFT OUT","NEW")))</f>
        <v/>
      </c>
    </row>
    <row r="1060" spans="47:47" x14ac:dyDescent="0.25">
      <c r="AU1060" s="8" t="str">
        <f>IF(TRIM($G1060)="","",IF(COUNTIF(LISTS!$I$2:$I$16,TRIM($G1060))&gt;0,"COUNTED",IF(COUNTIF(LISTS!$J$2:$J$16,TRIM($G1060))&gt;0,"LEFT OUT","NEW")))</f>
        <v/>
      </c>
    </row>
    <row r="1061" spans="47:47" x14ac:dyDescent="0.25">
      <c r="AU1061" s="8" t="str">
        <f>IF(TRIM($G1061)="","",IF(COUNTIF(LISTS!$I$2:$I$16,TRIM($G1061))&gt;0,"COUNTED",IF(COUNTIF(LISTS!$J$2:$J$16,TRIM($G1061))&gt;0,"LEFT OUT","NEW")))</f>
        <v/>
      </c>
    </row>
    <row r="1062" spans="47:47" x14ac:dyDescent="0.25">
      <c r="AU1062" s="8" t="str">
        <f>IF(TRIM($G1062)="","",IF(COUNTIF(LISTS!$I$2:$I$16,TRIM($G1062))&gt;0,"COUNTED",IF(COUNTIF(LISTS!$J$2:$J$16,TRIM($G1062))&gt;0,"LEFT OUT","NEW")))</f>
        <v/>
      </c>
    </row>
    <row r="1063" spans="47:47" x14ac:dyDescent="0.25">
      <c r="AU1063" s="8" t="str">
        <f>IF(TRIM($G1063)="","",IF(COUNTIF(LISTS!$I$2:$I$16,TRIM($G1063))&gt;0,"COUNTED",IF(COUNTIF(LISTS!$J$2:$J$16,TRIM($G1063))&gt;0,"LEFT OUT","NEW")))</f>
        <v/>
      </c>
    </row>
    <row r="1064" spans="47:47" x14ac:dyDescent="0.25">
      <c r="AU1064" s="8" t="str">
        <f>IF(TRIM($G1064)="","",IF(COUNTIF(LISTS!$I$2:$I$16,TRIM($G1064))&gt;0,"COUNTED",IF(COUNTIF(LISTS!$J$2:$J$16,TRIM($G1064))&gt;0,"LEFT OUT","NEW")))</f>
        <v/>
      </c>
    </row>
    <row r="1065" spans="47:47" x14ac:dyDescent="0.25">
      <c r="AU1065" s="8" t="str">
        <f>IF(TRIM($G1065)="","",IF(COUNTIF(LISTS!$I$2:$I$16,TRIM($G1065))&gt;0,"COUNTED",IF(COUNTIF(LISTS!$J$2:$J$16,TRIM($G1065))&gt;0,"LEFT OUT","NEW")))</f>
        <v/>
      </c>
    </row>
    <row r="1066" spans="47:47" x14ac:dyDescent="0.25">
      <c r="AU1066" s="8" t="str">
        <f>IF(TRIM($G1066)="","",IF(COUNTIF(LISTS!$I$2:$I$16,TRIM($G1066))&gt;0,"COUNTED",IF(COUNTIF(LISTS!$J$2:$J$16,TRIM($G1066))&gt;0,"LEFT OUT","NEW")))</f>
        <v/>
      </c>
    </row>
    <row r="1067" spans="47:47" x14ac:dyDescent="0.25">
      <c r="AU1067" s="8" t="str">
        <f>IF(TRIM($G1067)="","",IF(COUNTIF(LISTS!$I$2:$I$16,TRIM($G1067))&gt;0,"COUNTED",IF(COUNTIF(LISTS!$J$2:$J$16,TRIM($G1067))&gt;0,"LEFT OUT","NEW")))</f>
        <v/>
      </c>
    </row>
    <row r="1068" spans="47:47" x14ac:dyDescent="0.25">
      <c r="AU1068" s="8" t="str">
        <f>IF(TRIM($G1068)="","",IF(COUNTIF(LISTS!$I$2:$I$16,TRIM($G1068))&gt;0,"COUNTED",IF(COUNTIF(LISTS!$J$2:$J$16,TRIM($G1068))&gt;0,"LEFT OUT","NEW")))</f>
        <v/>
      </c>
    </row>
    <row r="1069" spans="47:47" x14ac:dyDescent="0.25">
      <c r="AU1069" s="8" t="str">
        <f>IF(TRIM($G1069)="","",IF(COUNTIF(LISTS!$I$2:$I$16,TRIM($G1069))&gt;0,"COUNTED",IF(COUNTIF(LISTS!$J$2:$J$16,TRIM($G1069))&gt;0,"LEFT OUT","NEW")))</f>
        <v/>
      </c>
    </row>
    <row r="1070" spans="47:47" x14ac:dyDescent="0.25">
      <c r="AU1070" s="8" t="str">
        <f>IF(TRIM($G1070)="","",IF(COUNTIF(LISTS!$I$2:$I$16,TRIM($G1070))&gt;0,"COUNTED",IF(COUNTIF(LISTS!$J$2:$J$16,TRIM($G1070))&gt;0,"LEFT OUT","NEW")))</f>
        <v/>
      </c>
    </row>
    <row r="1071" spans="47:47" x14ac:dyDescent="0.25">
      <c r="AU1071" s="8" t="str">
        <f>IF(TRIM($G1071)="","",IF(COUNTIF(LISTS!$I$2:$I$16,TRIM($G1071))&gt;0,"COUNTED",IF(COUNTIF(LISTS!$J$2:$J$16,TRIM($G1071))&gt;0,"LEFT OUT","NEW")))</f>
        <v/>
      </c>
    </row>
    <row r="1072" spans="47:47" x14ac:dyDescent="0.25">
      <c r="AU1072" s="8" t="str">
        <f>IF(TRIM($G1072)="","",IF(COUNTIF(LISTS!$I$2:$I$16,TRIM($G1072))&gt;0,"COUNTED",IF(COUNTIF(LISTS!$J$2:$J$16,TRIM($G1072))&gt;0,"LEFT OUT","NEW")))</f>
        <v/>
      </c>
    </row>
    <row r="1073" spans="47:47" x14ac:dyDescent="0.25">
      <c r="AU1073" s="8" t="str">
        <f>IF(TRIM($G1073)="","",IF(COUNTIF(LISTS!$I$2:$I$16,TRIM($G1073))&gt;0,"COUNTED",IF(COUNTIF(LISTS!$J$2:$J$16,TRIM($G1073))&gt;0,"LEFT OUT","NEW")))</f>
        <v/>
      </c>
    </row>
    <row r="1074" spans="47:47" x14ac:dyDescent="0.25">
      <c r="AU1074" s="8" t="str">
        <f>IF(TRIM($G1074)="","",IF(COUNTIF(LISTS!$I$2:$I$16,TRIM($G1074))&gt;0,"COUNTED",IF(COUNTIF(LISTS!$J$2:$J$16,TRIM($G1074))&gt;0,"LEFT OUT","NEW")))</f>
        <v/>
      </c>
    </row>
    <row r="1075" spans="47:47" x14ac:dyDescent="0.25">
      <c r="AU1075" s="8" t="str">
        <f>IF(TRIM($G1075)="","",IF(COUNTIF(LISTS!$I$2:$I$16,TRIM($G1075))&gt;0,"COUNTED",IF(COUNTIF(LISTS!$J$2:$J$16,TRIM($G1075))&gt;0,"LEFT OUT","NEW")))</f>
        <v/>
      </c>
    </row>
    <row r="1076" spans="47:47" x14ac:dyDescent="0.25">
      <c r="AU1076" s="8" t="str">
        <f>IF(TRIM($G1076)="","",IF(COUNTIF(LISTS!$I$2:$I$16,TRIM($G1076))&gt;0,"COUNTED",IF(COUNTIF(LISTS!$J$2:$J$16,TRIM($G1076))&gt;0,"LEFT OUT","NEW")))</f>
        <v/>
      </c>
    </row>
    <row r="1077" spans="47:47" x14ac:dyDescent="0.25">
      <c r="AU1077" s="8" t="str">
        <f>IF(TRIM($G1077)="","",IF(COUNTIF(LISTS!$I$2:$I$16,TRIM($G1077))&gt;0,"COUNTED",IF(COUNTIF(LISTS!$J$2:$J$16,TRIM($G1077))&gt;0,"LEFT OUT","NEW")))</f>
        <v/>
      </c>
    </row>
    <row r="1078" spans="47:47" x14ac:dyDescent="0.25">
      <c r="AU1078" s="8" t="str">
        <f>IF(TRIM($G1078)="","",IF(COUNTIF(LISTS!$I$2:$I$16,TRIM($G1078))&gt;0,"COUNTED",IF(COUNTIF(LISTS!$J$2:$J$16,TRIM($G1078))&gt;0,"LEFT OUT","NEW")))</f>
        <v/>
      </c>
    </row>
    <row r="1079" spans="47:47" x14ac:dyDescent="0.25">
      <c r="AU1079" s="8" t="str">
        <f>IF(TRIM($G1079)="","",IF(COUNTIF(LISTS!$I$2:$I$16,TRIM($G1079))&gt;0,"COUNTED",IF(COUNTIF(LISTS!$J$2:$J$16,TRIM($G1079))&gt;0,"LEFT OUT","NEW")))</f>
        <v/>
      </c>
    </row>
    <row r="1080" spans="47:47" x14ac:dyDescent="0.25">
      <c r="AU1080" s="8" t="str">
        <f>IF(TRIM($G1080)="","",IF(COUNTIF(LISTS!$I$2:$I$16,TRIM($G1080))&gt;0,"COUNTED",IF(COUNTIF(LISTS!$J$2:$J$16,TRIM($G1080))&gt;0,"LEFT OUT","NEW")))</f>
        <v/>
      </c>
    </row>
    <row r="1081" spans="47:47" x14ac:dyDescent="0.25">
      <c r="AU1081" s="8" t="str">
        <f>IF(TRIM($G1081)="","",IF(COUNTIF(LISTS!$I$2:$I$16,TRIM($G1081))&gt;0,"COUNTED",IF(COUNTIF(LISTS!$J$2:$J$16,TRIM($G1081))&gt;0,"LEFT OUT","NEW")))</f>
        <v/>
      </c>
    </row>
    <row r="1082" spans="47:47" x14ac:dyDescent="0.25">
      <c r="AU1082" s="8" t="str">
        <f>IF(TRIM($G1082)="","",IF(COUNTIF(LISTS!$I$2:$I$16,TRIM($G1082))&gt;0,"COUNTED",IF(COUNTIF(LISTS!$J$2:$J$16,TRIM($G1082))&gt;0,"LEFT OUT","NEW")))</f>
        <v/>
      </c>
    </row>
    <row r="1083" spans="47:47" x14ac:dyDescent="0.25">
      <c r="AU1083" s="8" t="str">
        <f>IF(TRIM($G1083)="","",IF(COUNTIF(LISTS!$I$2:$I$16,TRIM($G1083))&gt;0,"COUNTED",IF(COUNTIF(LISTS!$J$2:$J$16,TRIM($G1083))&gt;0,"LEFT OUT","NEW")))</f>
        <v/>
      </c>
    </row>
    <row r="1084" spans="47:47" x14ac:dyDescent="0.25">
      <c r="AU1084" s="8" t="str">
        <f>IF(TRIM($G1084)="","",IF(COUNTIF(LISTS!$I$2:$I$16,TRIM($G1084))&gt;0,"COUNTED",IF(COUNTIF(LISTS!$J$2:$J$16,TRIM($G1084))&gt;0,"LEFT OUT","NEW")))</f>
        <v/>
      </c>
    </row>
    <row r="1085" spans="47:47" x14ac:dyDescent="0.25">
      <c r="AU1085" s="8" t="str">
        <f>IF(TRIM($G1085)="","",IF(COUNTIF(LISTS!$I$2:$I$16,TRIM($G1085))&gt;0,"COUNTED",IF(COUNTIF(LISTS!$J$2:$J$16,TRIM($G1085))&gt;0,"LEFT OUT","NEW")))</f>
        <v/>
      </c>
    </row>
    <row r="1086" spans="47:47" x14ac:dyDescent="0.25">
      <c r="AU1086" s="8" t="str">
        <f>IF(TRIM($G1086)="","",IF(COUNTIF(LISTS!$I$2:$I$16,TRIM($G1086))&gt;0,"COUNTED",IF(COUNTIF(LISTS!$J$2:$J$16,TRIM($G1086))&gt;0,"LEFT OUT","NEW")))</f>
        <v/>
      </c>
    </row>
    <row r="1087" spans="47:47" x14ac:dyDescent="0.25">
      <c r="AU1087" s="8" t="str">
        <f>IF(TRIM($G1087)="","",IF(COUNTIF(LISTS!$I$2:$I$16,TRIM($G1087))&gt;0,"COUNTED",IF(COUNTIF(LISTS!$J$2:$J$16,TRIM($G1087))&gt;0,"LEFT OUT","NEW")))</f>
        <v/>
      </c>
    </row>
    <row r="1088" spans="47:47" x14ac:dyDescent="0.25">
      <c r="AU1088" s="8" t="str">
        <f>IF(TRIM($G1088)="","",IF(COUNTIF(LISTS!$I$2:$I$16,TRIM($G1088))&gt;0,"COUNTED",IF(COUNTIF(LISTS!$J$2:$J$16,TRIM($G1088))&gt;0,"LEFT OUT","NEW")))</f>
        <v/>
      </c>
    </row>
    <row r="1089" spans="47:47" x14ac:dyDescent="0.25">
      <c r="AU1089" s="8" t="str">
        <f>IF(TRIM($G1089)="","",IF(COUNTIF(LISTS!$I$2:$I$16,TRIM($G1089))&gt;0,"COUNTED",IF(COUNTIF(LISTS!$J$2:$J$16,TRIM($G1089))&gt;0,"LEFT OUT","NEW")))</f>
        <v/>
      </c>
    </row>
    <row r="1090" spans="47:47" x14ac:dyDescent="0.25">
      <c r="AU1090" s="8" t="str">
        <f>IF(TRIM($G1090)="","",IF(COUNTIF(LISTS!$I$2:$I$16,TRIM($G1090))&gt;0,"COUNTED",IF(COUNTIF(LISTS!$J$2:$J$16,TRIM($G1090))&gt;0,"LEFT OUT","NEW")))</f>
        <v/>
      </c>
    </row>
    <row r="1091" spans="47:47" x14ac:dyDescent="0.25">
      <c r="AU1091" s="8" t="str">
        <f>IF(TRIM($G1091)="","",IF(COUNTIF(LISTS!$I$2:$I$16,TRIM($G1091))&gt;0,"COUNTED",IF(COUNTIF(LISTS!$J$2:$J$16,TRIM($G1091))&gt;0,"LEFT OUT","NEW")))</f>
        <v/>
      </c>
    </row>
    <row r="1092" spans="47:47" x14ac:dyDescent="0.25">
      <c r="AU1092" s="8" t="str">
        <f>IF(TRIM($G1092)="","",IF(COUNTIF(LISTS!$I$2:$I$16,TRIM($G1092))&gt;0,"COUNTED",IF(COUNTIF(LISTS!$J$2:$J$16,TRIM($G1092))&gt;0,"LEFT OUT","NEW")))</f>
        <v/>
      </c>
    </row>
    <row r="1093" spans="47:47" x14ac:dyDescent="0.25">
      <c r="AU1093" s="8" t="str">
        <f>IF(TRIM($G1093)="","",IF(COUNTIF(LISTS!$I$2:$I$16,TRIM($G1093))&gt;0,"COUNTED",IF(COUNTIF(LISTS!$J$2:$J$16,TRIM($G1093))&gt;0,"LEFT OUT","NEW")))</f>
        <v/>
      </c>
    </row>
    <row r="1094" spans="47:47" x14ac:dyDescent="0.25">
      <c r="AU1094" s="8" t="str">
        <f>IF(TRIM($G1094)="","",IF(COUNTIF(LISTS!$I$2:$I$16,TRIM($G1094))&gt;0,"COUNTED",IF(COUNTIF(LISTS!$J$2:$J$16,TRIM($G1094))&gt;0,"LEFT OUT","NEW")))</f>
        <v/>
      </c>
    </row>
    <row r="1095" spans="47:47" x14ac:dyDescent="0.25">
      <c r="AU1095" s="8" t="str">
        <f>IF(TRIM($G1095)="","",IF(COUNTIF(LISTS!$I$2:$I$16,TRIM($G1095))&gt;0,"COUNTED",IF(COUNTIF(LISTS!$J$2:$J$16,TRIM($G1095))&gt;0,"LEFT OUT","NEW")))</f>
        <v/>
      </c>
    </row>
    <row r="1096" spans="47:47" x14ac:dyDescent="0.25">
      <c r="AU1096" s="8" t="str">
        <f>IF(TRIM($G1096)="","",IF(COUNTIF(LISTS!$I$2:$I$16,TRIM($G1096))&gt;0,"COUNTED",IF(COUNTIF(LISTS!$J$2:$J$16,TRIM($G1096))&gt;0,"LEFT OUT","NEW")))</f>
        <v/>
      </c>
    </row>
    <row r="1097" spans="47:47" x14ac:dyDescent="0.25">
      <c r="AU1097" s="8" t="str">
        <f>IF(TRIM($G1097)="","",IF(COUNTIF(LISTS!$I$2:$I$16,TRIM($G1097))&gt;0,"COUNTED",IF(COUNTIF(LISTS!$J$2:$J$16,TRIM($G1097))&gt;0,"LEFT OUT","NEW")))</f>
        <v/>
      </c>
    </row>
    <row r="1098" spans="47:47" x14ac:dyDescent="0.25">
      <c r="AU1098" s="8" t="str">
        <f>IF(TRIM($G1098)="","",IF(COUNTIF(LISTS!$I$2:$I$16,TRIM($G1098))&gt;0,"COUNTED",IF(COUNTIF(LISTS!$J$2:$J$16,TRIM($G1098))&gt;0,"LEFT OUT","NEW")))</f>
        <v/>
      </c>
    </row>
    <row r="1099" spans="47:47" x14ac:dyDescent="0.25">
      <c r="AU1099" s="8" t="str">
        <f>IF(TRIM($G1099)="","",IF(COUNTIF(LISTS!$I$2:$I$16,TRIM($G1099))&gt;0,"COUNTED",IF(COUNTIF(LISTS!$J$2:$J$16,TRIM($G1099))&gt;0,"LEFT OUT","NEW")))</f>
        <v/>
      </c>
    </row>
    <row r="1100" spans="47:47" x14ac:dyDescent="0.25">
      <c r="AU1100" s="8" t="str">
        <f>IF(TRIM($G1100)="","",IF(COUNTIF(LISTS!$I$2:$I$16,TRIM($G1100))&gt;0,"COUNTED",IF(COUNTIF(LISTS!$J$2:$J$16,TRIM($G1100))&gt;0,"LEFT OUT","NEW")))</f>
        <v/>
      </c>
    </row>
    <row r="1101" spans="47:47" x14ac:dyDescent="0.25">
      <c r="AU1101" s="8" t="str">
        <f>IF(TRIM($G1101)="","",IF(COUNTIF(LISTS!$I$2:$I$16,TRIM($G1101))&gt;0,"COUNTED",IF(COUNTIF(LISTS!$J$2:$J$16,TRIM($G1101))&gt;0,"LEFT OUT","NEW")))</f>
        <v/>
      </c>
    </row>
    <row r="1102" spans="47:47" x14ac:dyDescent="0.25">
      <c r="AU1102" s="8" t="str">
        <f>IF(TRIM($G1102)="","",IF(COUNTIF(LISTS!$I$2:$I$16,TRIM($G1102))&gt;0,"COUNTED",IF(COUNTIF(LISTS!$J$2:$J$16,TRIM($G1102))&gt;0,"LEFT OUT","NEW")))</f>
        <v/>
      </c>
    </row>
    <row r="1103" spans="47:47" x14ac:dyDescent="0.25">
      <c r="AU1103" s="8" t="str">
        <f>IF(TRIM($G1103)="","",IF(COUNTIF(LISTS!$I$2:$I$16,TRIM($G1103))&gt;0,"COUNTED",IF(COUNTIF(LISTS!$J$2:$J$16,TRIM($G1103))&gt;0,"LEFT OUT","NEW")))</f>
        <v/>
      </c>
    </row>
    <row r="1104" spans="47:47" x14ac:dyDescent="0.25">
      <c r="AU1104" s="8" t="str">
        <f>IF(TRIM($G1104)="","",IF(COUNTIF(LISTS!$I$2:$I$16,TRIM($G1104))&gt;0,"COUNTED",IF(COUNTIF(LISTS!$J$2:$J$16,TRIM($G1104))&gt;0,"LEFT OUT","NEW")))</f>
        <v/>
      </c>
    </row>
    <row r="1105" spans="47:47" x14ac:dyDescent="0.25">
      <c r="AU1105" s="8" t="str">
        <f>IF(TRIM($G1105)="","",IF(COUNTIF(LISTS!$I$2:$I$16,TRIM($G1105))&gt;0,"COUNTED",IF(COUNTIF(LISTS!$J$2:$J$16,TRIM($G1105))&gt;0,"LEFT OUT","NEW")))</f>
        <v/>
      </c>
    </row>
    <row r="1106" spans="47:47" x14ac:dyDescent="0.25">
      <c r="AU1106" s="8" t="str">
        <f>IF(TRIM($G1106)="","",IF(COUNTIF(LISTS!$I$2:$I$16,TRIM($G1106))&gt;0,"COUNTED",IF(COUNTIF(LISTS!$J$2:$J$16,TRIM($G1106))&gt;0,"LEFT OUT","NEW")))</f>
        <v/>
      </c>
    </row>
    <row r="1107" spans="47:47" x14ac:dyDescent="0.25">
      <c r="AU1107" s="8" t="str">
        <f>IF(TRIM($G1107)="","",IF(COUNTIF(LISTS!$I$2:$I$16,TRIM($G1107))&gt;0,"COUNTED",IF(COUNTIF(LISTS!$J$2:$J$16,TRIM($G1107))&gt;0,"LEFT OUT","NEW")))</f>
        <v/>
      </c>
    </row>
    <row r="1108" spans="47:47" x14ac:dyDescent="0.25">
      <c r="AU1108" s="8" t="str">
        <f>IF(TRIM($G1108)="","",IF(COUNTIF(LISTS!$I$2:$I$16,TRIM($G1108))&gt;0,"COUNTED",IF(COUNTIF(LISTS!$J$2:$J$16,TRIM($G1108))&gt;0,"LEFT OUT","NEW")))</f>
        <v/>
      </c>
    </row>
    <row r="1109" spans="47:47" x14ac:dyDescent="0.25">
      <c r="AU1109" s="8" t="str">
        <f>IF(TRIM($G1109)="","",IF(COUNTIF(LISTS!$I$2:$I$16,TRIM($G1109))&gt;0,"COUNTED",IF(COUNTIF(LISTS!$J$2:$J$16,TRIM($G1109))&gt;0,"LEFT OUT","NEW")))</f>
        <v/>
      </c>
    </row>
    <row r="1110" spans="47:47" x14ac:dyDescent="0.25">
      <c r="AU1110" s="8" t="str">
        <f>IF(TRIM($G1110)="","",IF(COUNTIF(LISTS!$I$2:$I$16,TRIM($G1110))&gt;0,"COUNTED",IF(COUNTIF(LISTS!$J$2:$J$16,TRIM($G1110))&gt;0,"LEFT OUT","NEW")))</f>
        <v/>
      </c>
    </row>
    <row r="1111" spans="47:47" x14ac:dyDescent="0.25">
      <c r="AU1111" s="8" t="str">
        <f>IF(TRIM($G1111)="","",IF(COUNTIF(LISTS!$I$2:$I$16,TRIM($G1111))&gt;0,"COUNTED",IF(COUNTIF(LISTS!$J$2:$J$16,TRIM($G1111))&gt;0,"LEFT OUT","NEW")))</f>
        <v/>
      </c>
    </row>
    <row r="1112" spans="47:47" x14ac:dyDescent="0.25">
      <c r="AU1112" s="8" t="str">
        <f>IF(TRIM($G1112)="","",IF(COUNTIF(LISTS!$I$2:$I$16,TRIM($G1112))&gt;0,"COUNTED",IF(COUNTIF(LISTS!$J$2:$J$16,TRIM($G1112))&gt;0,"LEFT OUT","NEW")))</f>
        <v/>
      </c>
    </row>
    <row r="1113" spans="47:47" x14ac:dyDescent="0.25">
      <c r="AU1113" s="8" t="str">
        <f>IF(TRIM($G1113)="","",IF(COUNTIF(LISTS!$I$2:$I$16,TRIM($G1113))&gt;0,"COUNTED",IF(COUNTIF(LISTS!$J$2:$J$16,TRIM($G1113))&gt;0,"LEFT OUT","NEW")))</f>
        <v/>
      </c>
    </row>
    <row r="1114" spans="47:47" x14ac:dyDescent="0.25">
      <c r="AU1114" s="8" t="str">
        <f>IF(TRIM($G1114)="","",IF(COUNTIF(LISTS!$I$2:$I$16,TRIM($G1114))&gt;0,"COUNTED",IF(COUNTIF(LISTS!$J$2:$J$16,TRIM($G1114))&gt;0,"LEFT OUT","NEW")))</f>
        <v/>
      </c>
    </row>
    <row r="1115" spans="47:47" x14ac:dyDescent="0.25">
      <c r="AU1115" s="8" t="str">
        <f>IF(TRIM($G1115)="","",IF(COUNTIF(LISTS!$I$2:$I$16,TRIM($G1115))&gt;0,"COUNTED",IF(COUNTIF(LISTS!$J$2:$J$16,TRIM($G1115))&gt;0,"LEFT OUT","NEW")))</f>
        <v/>
      </c>
    </row>
    <row r="1116" spans="47:47" x14ac:dyDescent="0.25">
      <c r="AU1116" s="8" t="str">
        <f>IF(TRIM($G1116)="","",IF(COUNTIF(LISTS!$I$2:$I$16,TRIM($G1116))&gt;0,"COUNTED",IF(COUNTIF(LISTS!$J$2:$J$16,TRIM($G1116))&gt;0,"LEFT OUT","NEW")))</f>
        <v/>
      </c>
    </row>
    <row r="1117" spans="47:47" x14ac:dyDescent="0.25">
      <c r="AU1117" s="8" t="str">
        <f>IF(TRIM($G1117)="","",IF(COUNTIF(LISTS!$I$2:$I$16,TRIM($G1117))&gt;0,"COUNTED",IF(COUNTIF(LISTS!$J$2:$J$16,TRIM($G1117))&gt;0,"LEFT OUT","NEW")))</f>
        <v/>
      </c>
    </row>
    <row r="1118" spans="47:47" x14ac:dyDescent="0.25">
      <c r="AU1118" s="8" t="str">
        <f>IF(TRIM($G1118)="","",IF(COUNTIF(LISTS!$I$2:$I$16,TRIM($G1118))&gt;0,"COUNTED",IF(COUNTIF(LISTS!$J$2:$J$16,TRIM($G1118))&gt;0,"LEFT OUT","NEW")))</f>
        <v/>
      </c>
    </row>
    <row r="1119" spans="47:47" x14ac:dyDescent="0.25">
      <c r="AU1119" s="8" t="str">
        <f>IF(TRIM($G1119)="","",IF(COUNTIF(LISTS!$I$2:$I$16,TRIM($G1119))&gt;0,"COUNTED",IF(COUNTIF(LISTS!$J$2:$J$16,TRIM($G1119))&gt;0,"LEFT OUT","NEW")))</f>
        <v/>
      </c>
    </row>
    <row r="1120" spans="47:47" x14ac:dyDescent="0.25">
      <c r="AU1120" s="8" t="str">
        <f>IF(TRIM($G1120)="","",IF(COUNTIF(LISTS!$I$2:$I$16,TRIM($G1120))&gt;0,"COUNTED",IF(COUNTIF(LISTS!$J$2:$J$16,TRIM($G1120))&gt;0,"LEFT OUT","NEW")))</f>
        <v/>
      </c>
    </row>
    <row r="1121" spans="47:47" x14ac:dyDescent="0.25">
      <c r="AU1121" s="8" t="str">
        <f>IF(TRIM($G1121)="","",IF(COUNTIF(LISTS!$I$2:$I$16,TRIM($G1121))&gt;0,"COUNTED",IF(COUNTIF(LISTS!$J$2:$J$16,TRIM($G1121))&gt;0,"LEFT OUT","NEW")))</f>
        <v/>
      </c>
    </row>
    <row r="1122" spans="47:47" x14ac:dyDescent="0.25">
      <c r="AU1122" s="8" t="str">
        <f>IF(TRIM($G1122)="","",IF(COUNTIF(LISTS!$I$2:$I$16,TRIM($G1122))&gt;0,"COUNTED",IF(COUNTIF(LISTS!$J$2:$J$16,TRIM($G1122))&gt;0,"LEFT OUT","NEW")))</f>
        <v/>
      </c>
    </row>
    <row r="1123" spans="47:47" x14ac:dyDescent="0.25">
      <c r="AU1123" s="8" t="str">
        <f>IF(TRIM($G1123)="","",IF(COUNTIF(LISTS!$I$2:$I$16,TRIM($G1123))&gt;0,"COUNTED",IF(COUNTIF(LISTS!$J$2:$J$16,TRIM($G1123))&gt;0,"LEFT OUT","NEW")))</f>
        <v/>
      </c>
    </row>
    <row r="1124" spans="47:47" x14ac:dyDescent="0.25">
      <c r="AU1124" s="8" t="str">
        <f>IF(TRIM($G1124)="","",IF(COUNTIF(LISTS!$I$2:$I$16,TRIM($G1124))&gt;0,"COUNTED",IF(COUNTIF(LISTS!$J$2:$J$16,TRIM($G1124))&gt;0,"LEFT OUT","NEW")))</f>
        <v/>
      </c>
    </row>
    <row r="1125" spans="47:47" x14ac:dyDescent="0.25">
      <c r="AU1125" s="8" t="str">
        <f>IF(TRIM($G1125)="","",IF(COUNTIF(LISTS!$I$2:$I$16,TRIM($G1125))&gt;0,"COUNTED",IF(COUNTIF(LISTS!$J$2:$J$16,TRIM($G1125))&gt;0,"LEFT OUT","NEW")))</f>
        <v/>
      </c>
    </row>
    <row r="1126" spans="47:47" x14ac:dyDescent="0.25">
      <c r="AU1126" s="8" t="str">
        <f>IF(TRIM($G1126)="","",IF(COUNTIF(LISTS!$I$2:$I$16,TRIM($G1126))&gt;0,"COUNTED",IF(COUNTIF(LISTS!$J$2:$J$16,TRIM($G1126))&gt;0,"LEFT OUT","NEW")))</f>
        <v/>
      </c>
    </row>
    <row r="1127" spans="47:47" x14ac:dyDescent="0.25">
      <c r="AU1127" s="8" t="str">
        <f>IF(TRIM($G1127)="","",IF(COUNTIF(LISTS!$I$2:$I$16,TRIM($G1127))&gt;0,"COUNTED",IF(COUNTIF(LISTS!$J$2:$J$16,TRIM($G1127))&gt;0,"LEFT OUT","NEW")))</f>
        <v/>
      </c>
    </row>
    <row r="1128" spans="47:47" x14ac:dyDescent="0.25">
      <c r="AU1128" s="8" t="str">
        <f>IF(TRIM($G1128)="","",IF(COUNTIF(LISTS!$I$2:$I$16,TRIM($G1128))&gt;0,"COUNTED",IF(COUNTIF(LISTS!$J$2:$J$16,TRIM($G1128))&gt;0,"LEFT OUT","NEW")))</f>
        <v/>
      </c>
    </row>
    <row r="1129" spans="47:47" x14ac:dyDescent="0.25">
      <c r="AU1129" s="8" t="str">
        <f>IF(TRIM($G1129)="","",IF(COUNTIF(LISTS!$I$2:$I$16,TRIM($G1129))&gt;0,"COUNTED",IF(COUNTIF(LISTS!$J$2:$J$16,TRIM($G1129))&gt;0,"LEFT OUT","NEW")))</f>
        <v/>
      </c>
    </row>
    <row r="1130" spans="47:47" x14ac:dyDescent="0.25">
      <c r="AU1130" s="8" t="str">
        <f>IF(TRIM($G1130)="","",IF(COUNTIF(LISTS!$I$2:$I$16,TRIM($G1130))&gt;0,"COUNTED",IF(COUNTIF(LISTS!$J$2:$J$16,TRIM($G1130))&gt;0,"LEFT OUT","NEW")))</f>
        <v/>
      </c>
    </row>
    <row r="1131" spans="47:47" x14ac:dyDescent="0.25">
      <c r="AU1131" s="8" t="str">
        <f>IF(TRIM($G1131)="","",IF(COUNTIF(LISTS!$I$2:$I$16,TRIM($G1131))&gt;0,"COUNTED",IF(COUNTIF(LISTS!$J$2:$J$16,TRIM($G1131))&gt;0,"LEFT OUT","NEW")))</f>
        <v/>
      </c>
    </row>
    <row r="1132" spans="47:47" x14ac:dyDescent="0.25">
      <c r="AU1132" s="8" t="str">
        <f>IF(TRIM($G1132)="","",IF(COUNTIF(LISTS!$I$2:$I$16,TRIM($G1132))&gt;0,"COUNTED",IF(COUNTIF(LISTS!$J$2:$J$16,TRIM($G1132))&gt;0,"LEFT OUT","NEW")))</f>
        <v/>
      </c>
    </row>
    <row r="1133" spans="47:47" x14ac:dyDescent="0.25">
      <c r="AU1133" s="8" t="str">
        <f>IF(TRIM($G1133)="","",IF(COUNTIF(LISTS!$I$2:$I$16,TRIM($G1133))&gt;0,"COUNTED",IF(COUNTIF(LISTS!$J$2:$J$16,TRIM($G1133))&gt;0,"LEFT OUT","NEW")))</f>
        <v/>
      </c>
    </row>
    <row r="1134" spans="47:47" x14ac:dyDescent="0.25">
      <c r="AU1134" s="8" t="str">
        <f>IF(TRIM($G1134)="","",IF(COUNTIF(LISTS!$I$2:$I$16,TRIM($G1134))&gt;0,"COUNTED",IF(COUNTIF(LISTS!$J$2:$J$16,TRIM($G1134))&gt;0,"LEFT OUT","NEW")))</f>
        <v/>
      </c>
    </row>
    <row r="1135" spans="47:47" x14ac:dyDescent="0.25">
      <c r="AU1135" s="8" t="str">
        <f>IF(TRIM($G1135)="","",IF(COUNTIF(LISTS!$I$2:$I$16,TRIM($G1135))&gt;0,"COUNTED",IF(COUNTIF(LISTS!$J$2:$J$16,TRIM($G1135))&gt;0,"LEFT OUT","NEW")))</f>
        <v/>
      </c>
    </row>
    <row r="1136" spans="47:47" x14ac:dyDescent="0.25">
      <c r="AU1136" s="8" t="str">
        <f>IF(TRIM($G1136)="","",IF(COUNTIF(LISTS!$I$2:$I$16,TRIM($G1136))&gt;0,"COUNTED",IF(COUNTIF(LISTS!$J$2:$J$16,TRIM($G1136))&gt;0,"LEFT OUT","NEW")))</f>
        <v/>
      </c>
    </row>
    <row r="1137" spans="47:47" x14ac:dyDescent="0.25">
      <c r="AU1137" s="8" t="str">
        <f>IF(TRIM($G1137)="","",IF(COUNTIF(LISTS!$I$2:$I$16,TRIM($G1137))&gt;0,"COUNTED",IF(COUNTIF(LISTS!$J$2:$J$16,TRIM($G1137))&gt;0,"LEFT OUT","NEW")))</f>
        <v/>
      </c>
    </row>
    <row r="1138" spans="47:47" x14ac:dyDescent="0.25">
      <c r="AU1138" s="8" t="str">
        <f>IF(TRIM($G1138)="","",IF(COUNTIF(LISTS!$I$2:$I$16,TRIM($G1138))&gt;0,"COUNTED",IF(COUNTIF(LISTS!$J$2:$J$16,TRIM($G1138))&gt;0,"LEFT OUT","NEW")))</f>
        <v/>
      </c>
    </row>
    <row r="1139" spans="47:47" x14ac:dyDescent="0.25">
      <c r="AU1139" s="8" t="str">
        <f>IF(TRIM($G1139)="","",IF(COUNTIF(LISTS!$I$2:$I$16,TRIM($G1139))&gt;0,"COUNTED",IF(COUNTIF(LISTS!$J$2:$J$16,TRIM($G1139))&gt;0,"LEFT OUT","NEW")))</f>
        <v/>
      </c>
    </row>
    <row r="1140" spans="47:47" x14ac:dyDescent="0.25">
      <c r="AU1140" s="8" t="str">
        <f>IF(TRIM($G1140)="","",IF(COUNTIF(LISTS!$I$2:$I$16,TRIM($G1140))&gt;0,"COUNTED",IF(COUNTIF(LISTS!$J$2:$J$16,TRIM($G1140))&gt;0,"LEFT OUT","NEW")))</f>
        <v/>
      </c>
    </row>
    <row r="1141" spans="47:47" x14ac:dyDescent="0.25">
      <c r="AU1141" s="8" t="str">
        <f>IF(TRIM($G1141)="","",IF(COUNTIF(LISTS!$I$2:$I$16,TRIM($G1141))&gt;0,"COUNTED",IF(COUNTIF(LISTS!$J$2:$J$16,TRIM($G1141))&gt;0,"LEFT OUT","NEW")))</f>
        <v/>
      </c>
    </row>
    <row r="1142" spans="47:47" x14ac:dyDescent="0.25">
      <c r="AU1142" s="8" t="str">
        <f>IF(TRIM($G1142)="","",IF(COUNTIF(LISTS!$I$2:$I$16,TRIM($G1142))&gt;0,"COUNTED",IF(COUNTIF(LISTS!$J$2:$J$16,TRIM($G1142))&gt;0,"LEFT OUT","NEW")))</f>
        <v/>
      </c>
    </row>
    <row r="1143" spans="47:47" x14ac:dyDescent="0.25">
      <c r="AU1143" s="8" t="str">
        <f>IF(TRIM($G1143)="","",IF(COUNTIF(LISTS!$I$2:$I$16,TRIM($G1143))&gt;0,"COUNTED",IF(COUNTIF(LISTS!$J$2:$J$16,TRIM($G1143))&gt;0,"LEFT OUT","NEW")))</f>
        <v/>
      </c>
    </row>
    <row r="1144" spans="47:47" x14ac:dyDescent="0.25">
      <c r="AU1144" s="8" t="str">
        <f>IF(TRIM($G1144)="","",IF(COUNTIF(LISTS!$I$2:$I$16,TRIM($G1144))&gt;0,"COUNTED",IF(COUNTIF(LISTS!$J$2:$J$16,TRIM($G1144))&gt;0,"LEFT OUT","NEW")))</f>
        <v/>
      </c>
    </row>
    <row r="1145" spans="47:47" x14ac:dyDescent="0.25">
      <c r="AU1145" s="8" t="str">
        <f>IF(TRIM($G1145)="","",IF(COUNTIF(LISTS!$I$2:$I$16,TRIM($G1145))&gt;0,"COUNTED",IF(COUNTIF(LISTS!$J$2:$J$16,TRIM($G1145))&gt;0,"LEFT OUT","NEW")))</f>
        <v/>
      </c>
    </row>
    <row r="1146" spans="47:47" x14ac:dyDescent="0.25">
      <c r="AU1146" s="8" t="str">
        <f>IF(TRIM($G1146)="","",IF(COUNTIF(LISTS!$I$2:$I$16,TRIM($G1146))&gt;0,"COUNTED",IF(COUNTIF(LISTS!$J$2:$J$16,TRIM($G1146))&gt;0,"LEFT OUT","NEW")))</f>
        <v/>
      </c>
    </row>
    <row r="1147" spans="47:47" x14ac:dyDescent="0.25">
      <c r="AU1147" s="8" t="str">
        <f>IF(TRIM($G1147)="","",IF(COUNTIF(LISTS!$I$2:$I$16,TRIM($G1147))&gt;0,"COUNTED",IF(COUNTIF(LISTS!$J$2:$J$16,TRIM($G1147))&gt;0,"LEFT OUT","NEW")))</f>
        <v/>
      </c>
    </row>
    <row r="1148" spans="47:47" x14ac:dyDescent="0.25">
      <c r="AU1148" s="8" t="str">
        <f>IF(TRIM($G1148)="","",IF(COUNTIF(LISTS!$I$2:$I$16,TRIM($G1148))&gt;0,"COUNTED",IF(COUNTIF(LISTS!$J$2:$J$16,TRIM($G1148))&gt;0,"LEFT OUT","NEW")))</f>
        <v/>
      </c>
    </row>
    <row r="1149" spans="47:47" x14ac:dyDescent="0.25">
      <c r="AU1149" s="8" t="str">
        <f>IF(TRIM($G1149)="","",IF(COUNTIF(LISTS!$I$2:$I$16,TRIM($G1149))&gt;0,"COUNTED",IF(COUNTIF(LISTS!$J$2:$J$16,TRIM($G1149))&gt;0,"LEFT OUT","NEW")))</f>
        <v/>
      </c>
    </row>
    <row r="1150" spans="47:47" x14ac:dyDescent="0.25">
      <c r="AU1150" s="8" t="str">
        <f>IF(TRIM($G1150)="","",IF(COUNTIF(LISTS!$I$2:$I$16,TRIM($G1150))&gt;0,"COUNTED",IF(COUNTIF(LISTS!$J$2:$J$16,TRIM($G1150))&gt;0,"LEFT OUT","NEW")))</f>
        <v/>
      </c>
    </row>
    <row r="1151" spans="47:47" x14ac:dyDescent="0.25">
      <c r="AU1151" s="8" t="str">
        <f>IF(TRIM($G1151)="","",IF(COUNTIF(LISTS!$I$2:$I$16,TRIM($G1151))&gt;0,"COUNTED",IF(COUNTIF(LISTS!$J$2:$J$16,TRIM($G1151))&gt;0,"LEFT OUT","NEW")))</f>
        <v/>
      </c>
    </row>
    <row r="1152" spans="47:47" x14ac:dyDescent="0.25">
      <c r="AU1152" s="8" t="str">
        <f>IF(TRIM($G1152)="","",IF(COUNTIF(LISTS!$I$2:$I$16,TRIM($G1152))&gt;0,"COUNTED",IF(COUNTIF(LISTS!$J$2:$J$16,TRIM($G1152))&gt;0,"LEFT OUT","NEW")))</f>
        <v/>
      </c>
    </row>
    <row r="1153" spans="47:47" x14ac:dyDescent="0.25">
      <c r="AU1153" s="8" t="str">
        <f>IF(TRIM($G1153)="","",IF(COUNTIF(LISTS!$I$2:$I$16,TRIM($G1153))&gt;0,"COUNTED",IF(COUNTIF(LISTS!$J$2:$J$16,TRIM($G1153))&gt;0,"LEFT OUT","NEW")))</f>
        <v/>
      </c>
    </row>
    <row r="1154" spans="47:47" x14ac:dyDescent="0.25">
      <c r="AU1154" s="8" t="str">
        <f>IF(TRIM($G1154)="","",IF(COUNTIF(LISTS!$I$2:$I$16,TRIM($G1154))&gt;0,"COUNTED",IF(COUNTIF(LISTS!$J$2:$J$16,TRIM($G1154))&gt;0,"LEFT OUT","NEW")))</f>
        <v/>
      </c>
    </row>
    <row r="1155" spans="47:47" x14ac:dyDescent="0.25">
      <c r="AU1155" s="8" t="str">
        <f>IF(TRIM($G1155)="","",IF(COUNTIF(LISTS!$I$2:$I$16,TRIM($G1155))&gt;0,"COUNTED",IF(COUNTIF(LISTS!$J$2:$J$16,TRIM($G1155))&gt;0,"LEFT OUT","NEW")))</f>
        <v/>
      </c>
    </row>
    <row r="1156" spans="47:47" x14ac:dyDescent="0.25">
      <c r="AU1156" s="8" t="str">
        <f>IF(TRIM($G1156)="","",IF(COUNTIF(LISTS!$I$2:$I$16,TRIM($G1156))&gt;0,"COUNTED",IF(COUNTIF(LISTS!$J$2:$J$16,TRIM($G1156))&gt;0,"LEFT OUT","NEW")))</f>
        <v/>
      </c>
    </row>
    <row r="1157" spans="47:47" x14ac:dyDescent="0.25">
      <c r="AU1157" s="8" t="str">
        <f>IF(TRIM($G1157)="","",IF(COUNTIF(LISTS!$I$2:$I$16,TRIM($G1157))&gt;0,"COUNTED",IF(COUNTIF(LISTS!$J$2:$J$16,TRIM($G1157))&gt;0,"LEFT OUT","NEW")))</f>
        <v/>
      </c>
    </row>
    <row r="1158" spans="47:47" x14ac:dyDescent="0.25">
      <c r="AU1158" s="8" t="str">
        <f>IF(TRIM($G1158)="","",IF(COUNTIF(LISTS!$I$2:$I$16,TRIM($G1158))&gt;0,"COUNTED",IF(COUNTIF(LISTS!$J$2:$J$16,TRIM($G1158))&gt;0,"LEFT OUT","NEW")))</f>
        <v/>
      </c>
    </row>
    <row r="1159" spans="47:47" x14ac:dyDescent="0.25">
      <c r="AU1159" s="8" t="str">
        <f>IF(TRIM($G1159)="","",IF(COUNTIF(LISTS!$I$2:$I$16,TRIM($G1159))&gt;0,"COUNTED",IF(COUNTIF(LISTS!$J$2:$J$16,TRIM($G1159))&gt;0,"LEFT OUT","NEW")))</f>
        <v/>
      </c>
    </row>
    <row r="1160" spans="47:47" x14ac:dyDescent="0.25">
      <c r="AU1160" s="8" t="str">
        <f>IF(TRIM($G1160)="","",IF(COUNTIF(LISTS!$I$2:$I$16,TRIM($G1160))&gt;0,"COUNTED",IF(COUNTIF(LISTS!$J$2:$J$16,TRIM($G1160))&gt;0,"LEFT OUT","NEW")))</f>
        <v/>
      </c>
    </row>
    <row r="1161" spans="47:47" x14ac:dyDescent="0.25">
      <c r="AU1161" s="8" t="str">
        <f>IF(TRIM($G1161)="","",IF(COUNTIF(LISTS!$I$2:$I$16,TRIM($G1161))&gt;0,"COUNTED",IF(COUNTIF(LISTS!$J$2:$J$16,TRIM($G1161))&gt;0,"LEFT OUT","NEW")))</f>
        <v/>
      </c>
    </row>
    <row r="1162" spans="47:47" x14ac:dyDescent="0.25">
      <c r="AU1162" s="8" t="str">
        <f>IF(TRIM($G1162)="","",IF(COUNTIF(LISTS!$I$2:$I$16,TRIM($G1162))&gt;0,"COUNTED",IF(COUNTIF(LISTS!$J$2:$J$16,TRIM($G1162))&gt;0,"LEFT OUT","NEW")))</f>
        <v/>
      </c>
    </row>
    <row r="1163" spans="47:47" x14ac:dyDescent="0.25">
      <c r="AU1163" s="8" t="str">
        <f>IF(TRIM($G1163)="","",IF(COUNTIF(LISTS!$I$2:$I$16,TRIM($G1163))&gt;0,"COUNTED",IF(COUNTIF(LISTS!$J$2:$J$16,TRIM($G1163))&gt;0,"LEFT OUT","NEW")))</f>
        <v/>
      </c>
    </row>
    <row r="1164" spans="47:47" x14ac:dyDescent="0.25">
      <c r="AU1164" s="8" t="str">
        <f>IF(TRIM($G1164)="","",IF(COUNTIF(LISTS!$I$2:$I$16,TRIM($G1164))&gt;0,"COUNTED",IF(COUNTIF(LISTS!$J$2:$J$16,TRIM($G1164))&gt;0,"LEFT OUT","NEW")))</f>
        <v/>
      </c>
    </row>
    <row r="1165" spans="47:47" x14ac:dyDescent="0.25">
      <c r="AU1165" s="8" t="str">
        <f>IF(TRIM($G1165)="","",IF(COUNTIF(LISTS!$I$2:$I$16,TRIM($G1165))&gt;0,"COUNTED",IF(COUNTIF(LISTS!$J$2:$J$16,TRIM($G1165))&gt;0,"LEFT OUT","NEW")))</f>
        <v/>
      </c>
    </row>
    <row r="1166" spans="47:47" x14ac:dyDescent="0.25">
      <c r="AU1166" s="8" t="str">
        <f>IF(TRIM($G1166)="","",IF(COUNTIF(LISTS!$I$2:$I$16,TRIM($G1166))&gt;0,"COUNTED",IF(COUNTIF(LISTS!$J$2:$J$16,TRIM($G1166))&gt;0,"LEFT OUT","NEW")))</f>
        <v/>
      </c>
    </row>
    <row r="1167" spans="47:47" x14ac:dyDescent="0.25">
      <c r="AU1167" s="8" t="str">
        <f>IF(TRIM($G1167)="","",IF(COUNTIF(LISTS!$I$2:$I$16,TRIM($G1167))&gt;0,"COUNTED",IF(COUNTIF(LISTS!$J$2:$J$16,TRIM($G1167))&gt;0,"LEFT OUT","NEW")))</f>
        <v/>
      </c>
    </row>
    <row r="1168" spans="47:47" x14ac:dyDescent="0.25">
      <c r="AU1168" s="8" t="str">
        <f>IF(TRIM($G1168)="","",IF(COUNTIF(LISTS!$I$2:$I$16,TRIM($G1168))&gt;0,"COUNTED",IF(COUNTIF(LISTS!$J$2:$J$16,TRIM($G1168))&gt;0,"LEFT OUT","NEW")))</f>
        <v/>
      </c>
    </row>
    <row r="1169" spans="47:47" x14ac:dyDescent="0.25">
      <c r="AU1169" s="8" t="str">
        <f>IF(TRIM($G1169)="","",IF(COUNTIF(LISTS!$I$2:$I$16,TRIM($G1169))&gt;0,"COUNTED",IF(COUNTIF(LISTS!$J$2:$J$16,TRIM($G1169))&gt;0,"LEFT OUT","NEW")))</f>
        <v/>
      </c>
    </row>
    <row r="1170" spans="47:47" x14ac:dyDescent="0.25">
      <c r="AU1170" s="8" t="str">
        <f>IF(TRIM($G1170)="","",IF(COUNTIF(LISTS!$I$2:$I$16,TRIM($G1170))&gt;0,"COUNTED",IF(COUNTIF(LISTS!$J$2:$J$16,TRIM($G1170))&gt;0,"LEFT OUT","NEW")))</f>
        <v/>
      </c>
    </row>
    <row r="1171" spans="47:47" x14ac:dyDescent="0.25">
      <c r="AU1171" s="8" t="str">
        <f>IF(TRIM($G1171)="","",IF(COUNTIF(LISTS!$I$2:$I$16,TRIM($G1171))&gt;0,"COUNTED",IF(COUNTIF(LISTS!$J$2:$J$16,TRIM($G1171))&gt;0,"LEFT OUT","NEW")))</f>
        <v/>
      </c>
    </row>
    <row r="1172" spans="47:47" x14ac:dyDescent="0.25">
      <c r="AU1172" s="8" t="str">
        <f>IF(TRIM($G1172)="","",IF(COUNTIF(LISTS!$I$2:$I$16,TRIM($G1172))&gt;0,"COUNTED",IF(COUNTIF(LISTS!$J$2:$J$16,TRIM($G1172))&gt;0,"LEFT OUT","NEW")))</f>
        <v/>
      </c>
    </row>
    <row r="1173" spans="47:47" x14ac:dyDescent="0.25">
      <c r="AU1173" s="8" t="str">
        <f>IF(TRIM($G1173)="","",IF(COUNTIF(LISTS!$I$2:$I$16,TRIM($G1173))&gt;0,"COUNTED",IF(COUNTIF(LISTS!$J$2:$J$16,TRIM($G1173))&gt;0,"LEFT OUT","NEW")))</f>
        <v/>
      </c>
    </row>
    <row r="1174" spans="47:47" x14ac:dyDescent="0.25">
      <c r="AU1174" s="8" t="str">
        <f>IF(TRIM($G1174)="","",IF(COUNTIF(LISTS!$I$2:$I$16,TRIM($G1174))&gt;0,"COUNTED",IF(COUNTIF(LISTS!$J$2:$J$16,TRIM($G1174))&gt;0,"LEFT OUT","NEW")))</f>
        <v/>
      </c>
    </row>
    <row r="1175" spans="47:47" x14ac:dyDescent="0.25">
      <c r="AU1175" s="8" t="str">
        <f>IF(TRIM($G1175)="","",IF(COUNTIF(LISTS!$I$2:$I$16,TRIM($G1175))&gt;0,"COUNTED",IF(COUNTIF(LISTS!$J$2:$J$16,TRIM($G1175))&gt;0,"LEFT OUT","NEW")))</f>
        <v/>
      </c>
    </row>
    <row r="1176" spans="47:47" x14ac:dyDescent="0.25">
      <c r="AU1176" s="8" t="str">
        <f>IF(TRIM($G1176)="","",IF(COUNTIF(LISTS!$I$2:$I$16,TRIM($G1176))&gt;0,"COUNTED",IF(COUNTIF(LISTS!$J$2:$J$16,TRIM($G1176))&gt;0,"LEFT OUT","NEW")))</f>
        <v/>
      </c>
    </row>
    <row r="1177" spans="47:47" x14ac:dyDescent="0.25">
      <c r="AU1177" s="8" t="str">
        <f>IF(TRIM($G1177)="","",IF(COUNTIF(LISTS!$I$2:$I$16,TRIM($G1177))&gt;0,"COUNTED",IF(COUNTIF(LISTS!$J$2:$J$16,TRIM($G1177))&gt;0,"LEFT OUT","NEW")))</f>
        <v/>
      </c>
    </row>
    <row r="1178" spans="47:47" x14ac:dyDescent="0.25">
      <c r="AU1178" s="8" t="str">
        <f>IF(TRIM($G1178)="","",IF(COUNTIF(LISTS!$I$2:$I$16,TRIM($G1178))&gt;0,"COUNTED",IF(COUNTIF(LISTS!$J$2:$J$16,TRIM($G1178))&gt;0,"LEFT OUT","NEW")))</f>
        <v/>
      </c>
    </row>
    <row r="1179" spans="47:47" x14ac:dyDescent="0.25">
      <c r="AU1179" s="8" t="str">
        <f>IF(TRIM($G1179)="","",IF(COUNTIF(LISTS!$I$2:$I$16,TRIM($G1179))&gt;0,"COUNTED",IF(COUNTIF(LISTS!$J$2:$J$16,TRIM($G1179))&gt;0,"LEFT OUT","NEW")))</f>
        <v/>
      </c>
    </row>
    <row r="1180" spans="47:47" x14ac:dyDescent="0.25">
      <c r="AU1180" s="8" t="str">
        <f>IF(TRIM($G1180)="","",IF(COUNTIF(LISTS!$I$2:$I$16,TRIM($G1180))&gt;0,"COUNTED",IF(COUNTIF(LISTS!$J$2:$J$16,TRIM($G1180))&gt;0,"LEFT OUT","NEW")))</f>
        <v/>
      </c>
    </row>
    <row r="1181" spans="47:47" x14ac:dyDescent="0.25">
      <c r="AU1181" s="8" t="str">
        <f>IF(TRIM($G1181)="","",IF(COUNTIF(LISTS!$I$2:$I$16,TRIM($G1181))&gt;0,"COUNTED",IF(COUNTIF(LISTS!$J$2:$J$16,TRIM($G1181))&gt;0,"LEFT OUT","NEW")))</f>
        <v/>
      </c>
    </row>
    <row r="1182" spans="47:47" x14ac:dyDescent="0.25">
      <c r="AU1182" s="8" t="str">
        <f>IF(TRIM($G1182)="","",IF(COUNTIF(LISTS!$I$2:$I$16,TRIM($G1182))&gt;0,"COUNTED",IF(COUNTIF(LISTS!$J$2:$J$16,TRIM($G1182))&gt;0,"LEFT OUT","NEW")))</f>
        <v/>
      </c>
    </row>
    <row r="1183" spans="47:47" x14ac:dyDescent="0.25">
      <c r="AU1183" s="8" t="str">
        <f>IF(TRIM($G1183)="","",IF(COUNTIF(LISTS!$I$2:$I$16,TRIM($G1183))&gt;0,"COUNTED",IF(COUNTIF(LISTS!$J$2:$J$16,TRIM($G1183))&gt;0,"LEFT OUT","NEW")))</f>
        <v/>
      </c>
    </row>
    <row r="1184" spans="47:47" x14ac:dyDescent="0.25">
      <c r="AU1184" s="8" t="str">
        <f>IF(TRIM($G1184)="","",IF(COUNTIF(LISTS!$I$2:$I$16,TRIM($G1184))&gt;0,"COUNTED",IF(COUNTIF(LISTS!$J$2:$J$16,TRIM($G1184))&gt;0,"LEFT OUT","NEW")))</f>
        <v/>
      </c>
    </row>
    <row r="1185" spans="47:47" x14ac:dyDescent="0.25">
      <c r="AU1185" s="8" t="str">
        <f>IF(TRIM($G1185)="","",IF(COUNTIF(LISTS!$I$2:$I$16,TRIM($G1185))&gt;0,"COUNTED",IF(COUNTIF(LISTS!$J$2:$J$16,TRIM($G1185))&gt;0,"LEFT OUT","NEW")))</f>
        <v/>
      </c>
    </row>
    <row r="1186" spans="47:47" x14ac:dyDescent="0.25">
      <c r="AU1186" s="8" t="str">
        <f>IF(TRIM($G1186)="","",IF(COUNTIF(LISTS!$I$2:$I$16,TRIM($G1186))&gt;0,"COUNTED",IF(COUNTIF(LISTS!$J$2:$J$16,TRIM($G1186))&gt;0,"LEFT OUT","NEW")))</f>
        <v/>
      </c>
    </row>
    <row r="1187" spans="47:47" x14ac:dyDescent="0.25">
      <c r="AU1187" s="8" t="str">
        <f>IF(TRIM($G1187)="","",IF(COUNTIF(LISTS!$I$2:$I$16,TRIM($G1187))&gt;0,"COUNTED",IF(COUNTIF(LISTS!$J$2:$J$16,TRIM($G1187))&gt;0,"LEFT OUT","NEW")))</f>
        <v/>
      </c>
    </row>
    <row r="1188" spans="47:47" x14ac:dyDescent="0.25">
      <c r="AU1188" s="8" t="str">
        <f>IF(TRIM($G1188)="","",IF(COUNTIF(LISTS!$I$2:$I$16,TRIM($G1188))&gt;0,"COUNTED",IF(COUNTIF(LISTS!$J$2:$J$16,TRIM($G1188))&gt;0,"LEFT OUT","NEW")))</f>
        <v/>
      </c>
    </row>
    <row r="1189" spans="47:47" x14ac:dyDescent="0.25">
      <c r="AU1189" s="8" t="str">
        <f>IF(TRIM($G1189)="","",IF(COUNTIF(LISTS!$I$2:$I$16,TRIM($G1189))&gt;0,"COUNTED",IF(COUNTIF(LISTS!$J$2:$J$16,TRIM($G1189))&gt;0,"LEFT OUT","NEW")))</f>
        <v/>
      </c>
    </row>
    <row r="1190" spans="47:47" x14ac:dyDescent="0.25">
      <c r="AU1190" s="8" t="str">
        <f>IF(TRIM($G1190)="","",IF(COUNTIF(LISTS!$I$2:$I$16,TRIM($G1190))&gt;0,"COUNTED",IF(COUNTIF(LISTS!$J$2:$J$16,TRIM($G1190))&gt;0,"LEFT OUT","NEW")))</f>
        <v/>
      </c>
    </row>
    <row r="1191" spans="47:47" x14ac:dyDescent="0.25">
      <c r="AU1191" s="8" t="str">
        <f>IF(TRIM($G1191)="","",IF(COUNTIF(LISTS!$I$2:$I$16,TRIM($G1191))&gt;0,"COUNTED",IF(COUNTIF(LISTS!$J$2:$J$16,TRIM($G1191))&gt;0,"LEFT OUT","NEW")))</f>
        <v/>
      </c>
    </row>
    <row r="1192" spans="47:47" x14ac:dyDescent="0.25">
      <c r="AU1192" s="8" t="str">
        <f>IF(TRIM($G1192)="","",IF(COUNTIF(LISTS!$I$2:$I$16,TRIM($G1192))&gt;0,"COUNTED",IF(COUNTIF(LISTS!$J$2:$J$16,TRIM($G1192))&gt;0,"LEFT OUT","NEW")))</f>
        <v/>
      </c>
    </row>
    <row r="1193" spans="47:47" x14ac:dyDescent="0.25">
      <c r="AU1193" s="8" t="str">
        <f>IF(TRIM($G1193)="","",IF(COUNTIF(LISTS!$I$2:$I$16,TRIM($G1193))&gt;0,"COUNTED",IF(COUNTIF(LISTS!$J$2:$J$16,TRIM($G1193))&gt;0,"LEFT OUT","NEW")))</f>
        <v/>
      </c>
    </row>
    <row r="1194" spans="47:47" x14ac:dyDescent="0.25">
      <c r="AU1194" s="8" t="str">
        <f>IF(TRIM($G1194)="","",IF(COUNTIF(LISTS!$I$2:$I$16,TRIM($G1194))&gt;0,"COUNTED",IF(COUNTIF(LISTS!$J$2:$J$16,TRIM($G1194))&gt;0,"LEFT OUT","NEW")))</f>
        <v/>
      </c>
    </row>
    <row r="1195" spans="47:47" x14ac:dyDescent="0.25">
      <c r="AU1195" s="8" t="str">
        <f>IF(TRIM($G1195)="","",IF(COUNTIF(LISTS!$I$2:$I$16,TRIM($G1195))&gt;0,"COUNTED",IF(COUNTIF(LISTS!$J$2:$J$16,TRIM($G1195))&gt;0,"LEFT OUT","NEW")))</f>
        <v/>
      </c>
    </row>
    <row r="1196" spans="47:47" x14ac:dyDescent="0.25">
      <c r="AU1196" s="8" t="str">
        <f>IF(TRIM($G1196)="","",IF(COUNTIF(LISTS!$I$2:$I$16,TRIM($G1196))&gt;0,"COUNTED",IF(COUNTIF(LISTS!$J$2:$J$16,TRIM($G1196))&gt;0,"LEFT OUT","NEW")))</f>
        <v/>
      </c>
    </row>
    <row r="1197" spans="47:47" x14ac:dyDescent="0.25">
      <c r="AU1197" s="8" t="str">
        <f>IF(TRIM($G1197)="","",IF(COUNTIF(LISTS!$I$2:$I$16,TRIM($G1197))&gt;0,"COUNTED",IF(COUNTIF(LISTS!$J$2:$J$16,TRIM($G1197))&gt;0,"LEFT OUT","NEW")))</f>
        <v/>
      </c>
    </row>
    <row r="1198" spans="47:47" x14ac:dyDescent="0.25">
      <c r="AU1198" s="8" t="str">
        <f>IF(TRIM($G1198)="","",IF(COUNTIF(LISTS!$I$2:$I$16,TRIM($G1198))&gt;0,"COUNTED",IF(COUNTIF(LISTS!$J$2:$J$16,TRIM($G1198))&gt;0,"LEFT OUT","NEW")))</f>
        <v/>
      </c>
    </row>
    <row r="1199" spans="47:47" x14ac:dyDescent="0.25">
      <c r="AU1199" s="8" t="str">
        <f>IF(TRIM($G1199)="","",IF(COUNTIF(LISTS!$I$2:$I$16,TRIM($G1199))&gt;0,"COUNTED",IF(COUNTIF(LISTS!$J$2:$J$16,TRIM($G1199))&gt;0,"LEFT OUT","NEW")))</f>
        <v/>
      </c>
    </row>
    <row r="1200" spans="47:47" x14ac:dyDescent="0.25">
      <c r="AU1200" s="8" t="str">
        <f>IF(TRIM($G1200)="","",IF(COUNTIF(LISTS!$I$2:$I$16,TRIM($G1200))&gt;0,"COUNTED",IF(COUNTIF(LISTS!$J$2:$J$16,TRIM($G1200))&gt;0,"LEFT OUT","NEW")))</f>
        <v/>
      </c>
    </row>
    <row r="1201" spans="47:47" x14ac:dyDescent="0.25">
      <c r="AU1201" s="8" t="str">
        <f>IF(TRIM($G1201)="","",IF(COUNTIF(LISTS!$I$2:$I$16,TRIM($G1201))&gt;0,"COUNTED",IF(COUNTIF(LISTS!$J$2:$J$16,TRIM($G1201))&gt;0,"LEFT OUT","NEW")))</f>
        <v/>
      </c>
    </row>
    <row r="1202" spans="47:47" x14ac:dyDescent="0.25">
      <c r="AU1202" s="8" t="str">
        <f>IF(TRIM($G1202)="","",IF(COUNTIF(LISTS!$I$2:$I$16,TRIM($G1202))&gt;0,"COUNTED",IF(COUNTIF(LISTS!$J$2:$J$16,TRIM($G1202))&gt;0,"LEFT OUT","NEW")))</f>
        <v/>
      </c>
    </row>
    <row r="1203" spans="47:47" x14ac:dyDescent="0.25">
      <c r="AU1203" s="8" t="str">
        <f>IF(TRIM($G1203)="","",IF(COUNTIF(LISTS!$I$2:$I$16,TRIM($G1203))&gt;0,"COUNTED",IF(COUNTIF(LISTS!$J$2:$J$16,TRIM($G1203))&gt;0,"LEFT OUT","NEW")))</f>
        <v/>
      </c>
    </row>
    <row r="1204" spans="47:47" x14ac:dyDescent="0.25">
      <c r="AU1204" s="8" t="str">
        <f>IF(TRIM($G1204)="","",IF(COUNTIF(LISTS!$I$2:$I$16,TRIM($G1204))&gt;0,"COUNTED",IF(COUNTIF(LISTS!$J$2:$J$16,TRIM($G1204))&gt;0,"LEFT OUT","NEW")))</f>
        <v/>
      </c>
    </row>
    <row r="1205" spans="47:47" x14ac:dyDescent="0.25">
      <c r="AU1205" s="8" t="str">
        <f>IF(TRIM($G1205)="","",IF(COUNTIF(LISTS!$I$2:$I$16,TRIM($G1205))&gt;0,"COUNTED",IF(COUNTIF(LISTS!$J$2:$J$16,TRIM($G1205))&gt;0,"LEFT OUT","NEW")))</f>
        <v/>
      </c>
    </row>
    <row r="1206" spans="47:47" x14ac:dyDescent="0.25">
      <c r="AU1206" s="8" t="str">
        <f>IF(TRIM($G1206)="","",IF(COUNTIF(LISTS!$I$2:$I$16,TRIM($G1206))&gt;0,"COUNTED",IF(COUNTIF(LISTS!$J$2:$J$16,TRIM($G1206))&gt;0,"LEFT OUT","NEW")))</f>
        <v/>
      </c>
    </row>
    <row r="1207" spans="47:47" x14ac:dyDescent="0.25">
      <c r="AU1207" s="8" t="str">
        <f>IF(TRIM($G1207)="","",IF(COUNTIF(LISTS!$I$2:$I$16,TRIM($G1207))&gt;0,"COUNTED",IF(COUNTIF(LISTS!$J$2:$J$16,TRIM($G1207))&gt;0,"LEFT OUT","NEW")))</f>
        <v/>
      </c>
    </row>
    <row r="1208" spans="47:47" x14ac:dyDescent="0.25">
      <c r="AU1208" s="8" t="str">
        <f>IF(TRIM($G1208)="","",IF(COUNTIF(LISTS!$I$2:$I$16,TRIM($G1208))&gt;0,"COUNTED",IF(COUNTIF(LISTS!$J$2:$J$16,TRIM($G1208))&gt;0,"LEFT OUT","NEW")))</f>
        <v/>
      </c>
    </row>
    <row r="1209" spans="47:47" x14ac:dyDescent="0.25">
      <c r="AU1209" s="8" t="str">
        <f>IF(TRIM($G1209)="","",IF(COUNTIF(LISTS!$I$2:$I$16,TRIM($G1209))&gt;0,"COUNTED",IF(COUNTIF(LISTS!$J$2:$J$16,TRIM($G1209))&gt;0,"LEFT OUT","NEW")))</f>
        <v/>
      </c>
    </row>
    <row r="1210" spans="47:47" x14ac:dyDescent="0.25">
      <c r="AU1210" s="8" t="str">
        <f>IF(TRIM($G1210)="","",IF(COUNTIF(LISTS!$I$2:$I$16,TRIM($G1210))&gt;0,"COUNTED",IF(COUNTIF(LISTS!$J$2:$J$16,TRIM($G1210))&gt;0,"LEFT OUT","NEW")))</f>
        <v/>
      </c>
    </row>
    <row r="1211" spans="47:47" x14ac:dyDescent="0.25">
      <c r="AU1211" s="8" t="str">
        <f>IF(TRIM($G1211)="","",IF(COUNTIF(LISTS!$I$2:$I$16,TRIM($G1211))&gt;0,"COUNTED",IF(COUNTIF(LISTS!$J$2:$J$16,TRIM($G1211))&gt;0,"LEFT OUT","NEW")))</f>
        <v/>
      </c>
    </row>
    <row r="1212" spans="47:47" x14ac:dyDescent="0.25">
      <c r="AU1212" s="8" t="str">
        <f>IF(TRIM($G1212)="","",IF(COUNTIF(LISTS!$I$2:$I$16,TRIM($G1212))&gt;0,"COUNTED",IF(COUNTIF(LISTS!$J$2:$J$16,TRIM($G1212))&gt;0,"LEFT OUT","NEW")))</f>
        <v/>
      </c>
    </row>
    <row r="1213" spans="47:47" x14ac:dyDescent="0.25">
      <c r="AU1213" s="8" t="str">
        <f>IF(TRIM($G1213)="","",IF(COUNTIF(LISTS!$I$2:$I$16,TRIM($G1213))&gt;0,"COUNTED",IF(COUNTIF(LISTS!$J$2:$J$16,TRIM($G1213))&gt;0,"LEFT OUT","NEW")))</f>
        <v/>
      </c>
    </row>
    <row r="1214" spans="47:47" x14ac:dyDescent="0.25">
      <c r="AU1214" s="8" t="str">
        <f>IF(TRIM($G1214)="","",IF(COUNTIF(LISTS!$I$2:$I$16,TRIM($G1214))&gt;0,"COUNTED",IF(COUNTIF(LISTS!$J$2:$J$16,TRIM($G1214))&gt;0,"LEFT OUT","NEW")))</f>
        <v/>
      </c>
    </row>
    <row r="1215" spans="47:47" x14ac:dyDescent="0.25">
      <c r="AU1215" s="8" t="str">
        <f>IF(TRIM($G1215)="","",IF(COUNTIF(LISTS!$I$2:$I$16,TRIM($G1215))&gt;0,"COUNTED",IF(COUNTIF(LISTS!$J$2:$J$16,TRIM($G1215))&gt;0,"LEFT OUT","NEW")))</f>
        <v/>
      </c>
    </row>
    <row r="1216" spans="47:47" x14ac:dyDescent="0.25">
      <c r="AU1216" s="8" t="str">
        <f>IF(TRIM($G1216)="","",IF(COUNTIF(LISTS!$I$2:$I$16,TRIM($G1216))&gt;0,"COUNTED",IF(COUNTIF(LISTS!$J$2:$J$16,TRIM($G1216))&gt;0,"LEFT OUT","NEW")))</f>
        <v/>
      </c>
    </row>
    <row r="1217" spans="47:47" x14ac:dyDescent="0.25">
      <c r="AU1217" s="8" t="str">
        <f>IF(TRIM($G1217)="","",IF(COUNTIF(LISTS!$I$2:$I$16,TRIM($G1217))&gt;0,"COUNTED",IF(COUNTIF(LISTS!$J$2:$J$16,TRIM($G1217))&gt;0,"LEFT OUT","NEW")))</f>
        <v/>
      </c>
    </row>
    <row r="1218" spans="47:47" x14ac:dyDescent="0.25">
      <c r="AU1218" s="8" t="str">
        <f>IF(TRIM($G1218)="","",IF(COUNTIF(LISTS!$I$2:$I$16,TRIM($G1218))&gt;0,"COUNTED",IF(COUNTIF(LISTS!$J$2:$J$16,TRIM($G1218))&gt;0,"LEFT OUT","NEW")))</f>
        <v/>
      </c>
    </row>
    <row r="1219" spans="47:47" x14ac:dyDescent="0.25">
      <c r="AU1219" s="8" t="str">
        <f>IF(TRIM($G1219)="","",IF(COUNTIF(LISTS!$I$2:$I$16,TRIM($G1219))&gt;0,"COUNTED",IF(COUNTIF(LISTS!$J$2:$J$16,TRIM($G1219))&gt;0,"LEFT OUT","NEW")))</f>
        <v/>
      </c>
    </row>
    <row r="1220" spans="47:47" x14ac:dyDescent="0.25">
      <c r="AU1220" s="8" t="str">
        <f>IF(TRIM($G1220)="","",IF(COUNTIF(LISTS!$I$2:$I$16,TRIM($G1220))&gt;0,"COUNTED",IF(COUNTIF(LISTS!$J$2:$J$16,TRIM($G1220))&gt;0,"LEFT OUT","NEW")))</f>
        <v/>
      </c>
    </row>
    <row r="1221" spans="47:47" x14ac:dyDescent="0.25">
      <c r="AU1221" s="8" t="str">
        <f>IF(TRIM($G1221)="","",IF(COUNTIF(LISTS!$I$2:$I$16,TRIM($G1221))&gt;0,"COUNTED",IF(COUNTIF(LISTS!$J$2:$J$16,TRIM($G1221))&gt;0,"LEFT OUT","NEW")))</f>
        <v/>
      </c>
    </row>
    <row r="1222" spans="47:47" x14ac:dyDescent="0.25">
      <c r="AU1222" s="8" t="str">
        <f>IF(TRIM($G1222)="","",IF(COUNTIF(LISTS!$I$2:$I$16,TRIM($G1222))&gt;0,"COUNTED",IF(COUNTIF(LISTS!$J$2:$J$16,TRIM($G1222))&gt;0,"LEFT OUT","NEW")))</f>
        <v/>
      </c>
    </row>
    <row r="1223" spans="47:47" x14ac:dyDescent="0.25">
      <c r="AU1223" s="8" t="str">
        <f>IF(TRIM($G1223)="","",IF(COUNTIF(LISTS!$I$2:$I$16,TRIM($G1223))&gt;0,"COUNTED",IF(COUNTIF(LISTS!$J$2:$J$16,TRIM($G1223))&gt;0,"LEFT OUT","NEW")))</f>
        <v/>
      </c>
    </row>
    <row r="1224" spans="47:47" x14ac:dyDescent="0.25">
      <c r="AU1224" s="8" t="str">
        <f>IF(TRIM($G1224)="","",IF(COUNTIF(LISTS!$I$2:$I$16,TRIM($G1224))&gt;0,"COUNTED",IF(COUNTIF(LISTS!$J$2:$J$16,TRIM($G1224))&gt;0,"LEFT OUT","NEW")))</f>
        <v/>
      </c>
    </row>
    <row r="1225" spans="47:47" x14ac:dyDescent="0.25">
      <c r="AU1225" s="8" t="str">
        <f>IF(TRIM($G1225)="","",IF(COUNTIF(LISTS!$I$2:$I$16,TRIM($G1225))&gt;0,"COUNTED",IF(COUNTIF(LISTS!$J$2:$J$16,TRIM($G1225))&gt;0,"LEFT OUT","NEW")))</f>
        <v/>
      </c>
    </row>
    <row r="1226" spans="47:47" x14ac:dyDescent="0.25">
      <c r="AU1226" s="8" t="str">
        <f>IF(TRIM($G1226)="","",IF(COUNTIF(LISTS!$I$2:$I$16,TRIM($G1226))&gt;0,"COUNTED",IF(COUNTIF(LISTS!$J$2:$J$16,TRIM($G1226))&gt;0,"LEFT OUT","NEW")))</f>
        <v/>
      </c>
    </row>
    <row r="1227" spans="47:47" x14ac:dyDescent="0.25">
      <c r="AU1227" s="8" t="str">
        <f>IF(TRIM($G1227)="","",IF(COUNTIF(LISTS!$I$2:$I$16,TRIM($G1227))&gt;0,"COUNTED",IF(COUNTIF(LISTS!$J$2:$J$16,TRIM($G1227))&gt;0,"LEFT OUT","NEW")))</f>
        <v/>
      </c>
    </row>
    <row r="1228" spans="47:47" x14ac:dyDescent="0.25">
      <c r="AU1228" s="8" t="str">
        <f>IF(TRIM($G1228)="","",IF(COUNTIF(LISTS!$I$2:$I$16,TRIM($G1228))&gt;0,"COUNTED",IF(COUNTIF(LISTS!$J$2:$J$16,TRIM($G1228))&gt;0,"LEFT OUT","NEW")))</f>
        <v/>
      </c>
    </row>
    <row r="1229" spans="47:47" x14ac:dyDescent="0.25">
      <c r="AU1229" s="8" t="str">
        <f>IF(TRIM($G1229)="","",IF(COUNTIF(LISTS!$I$2:$I$16,TRIM($G1229))&gt;0,"COUNTED",IF(COUNTIF(LISTS!$J$2:$J$16,TRIM($G1229))&gt;0,"LEFT OUT","NEW")))</f>
        <v/>
      </c>
    </row>
    <row r="1230" spans="47:47" x14ac:dyDescent="0.25">
      <c r="AU1230" s="8" t="str">
        <f>IF(TRIM($G1230)="","",IF(COUNTIF(LISTS!$I$2:$I$16,TRIM($G1230))&gt;0,"COUNTED",IF(COUNTIF(LISTS!$J$2:$J$16,TRIM($G1230))&gt;0,"LEFT OUT","NEW")))</f>
        <v/>
      </c>
    </row>
    <row r="1231" spans="47:47" x14ac:dyDescent="0.25">
      <c r="AU1231" s="8" t="str">
        <f>IF(TRIM($G1231)="","",IF(COUNTIF(LISTS!$I$2:$I$16,TRIM($G1231))&gt;0,"COUNTED",IF(COUNTIF(LISTS!$J$2:$J$16,TRIM($G1231))&gt;0,"LEFT OUT","NEW")))</f>
        <v/>
      </c>
    </row>
    <row r="1232" spans="47:47" x14ac:dyDescent="0.25">
      <c r="AU1232" s="8" t="str">
        <f>IF(TRIM($G1232)="","",IF(COUNTIF(LISTS!$I$2:$I$16,TRIM($G1232))&gt;0,"COUNTED",IF(COUNTIF(LISTS!$J$2:$J$16,TRIM($G1232))&gt;0,"LEFT OUT","NEW")))</f>
        <v/>
      </c>
    </row>
    <row r="1233" spans="47:47" x14ac:dyDescent="0.25">
      <c r="AU1233" s="8" t="str">
        <f>IF(TRIM($G1233)="","",IF(COUNTIF(LISTS!$I$2:$I$16,TRIM($G1233))&gt;0,"COUNTED",IF(COUNTIF(LISTS!$J$2:$J$16,TRIM($G1233))&gt;0,"LEFT OUT","NEW")))</f>
        <v/>
      </c>
    </row>
    <row r="1234" spans="47:47" x14ac:dyDescent="0.25">
      <c r="AU1234" s="8" t="str">
        <f>IF(TRIM($G1234)="","",IF(COUNTIF(LISTS!$I$2:$I$16,TRIM($G1234))&gt;0,"COUNTED",IF(COUNTIF(LISTS!$J$2:$J$16,TRIM($G1234))&gt;0,"LEFT OUT","NEW")))</f>
        <v/>
      </c>
    </row>
    <row r="1235" spans="47:47" x14ac:dyDescent="0.25">
      <c r="AU1235" s="8" t="str">
        <f>IF(TRIM($G1235)="","",IF(COUNTIF(LISTS!$I$2:$I$16,TRIM($G1235))&gt;0,"COUNTED",IF(COUNTIF(LISTS!$J$2:$J$16,TRIM($G1235))&gt;0,"LEFT OUT","NEW")))</f>
        <v/>
      </c>
    </row>
    <row r="1236" spans="47:47" x14ac:dyDescent="0.25">
      <c r="AU1236" s="8" t="str">
        <f>IF(TRIM($G1236)="","",IF(COUNTIF(LISTS!$I$2:$I$16,TRIM($G1236))&gt;0,"COUNTED",IF(COUNTIF(LISTS!$J$2:$J$16,TRIM($G1236))&gt;0,"LEFT OUT","NEW")))</f>
        <v/>
      </c>
    </row>
    <row r="1237" spans="47:47" x14ac:dyDescent="0.25">
      <c r="AU1237" s="8" t="str">
        <f>IF(TRIM($G1237)="","",IF(COUNTIF(LISTS!$I$2:$I$16,TRIM($G1237))&gt;0,"COUNTED",IF(COUNTIF(LISTS!$J$2:$J$16,TRIM($G1237))&gt;0,"LEFT OUT","NEW")))</f>
        <v/>
      </c>
    </row>
    <row r="1238" spans="47:47" x14ac:dyDescent="0.25">
      <c r="AU1238" s="8" t="str">
        <f>IF(TRIM($G1238)="","",IF(COUNTIF(LISTS!$I$2:$I$16,TRIM($G1238))&gt;0,"COUNTED",IF(COUNTIF(LISTS!$J$2:$J$16,TRIM($G1238))&gt;0,"LEFT OUT","NEW")))</f>
        <v/>
      </c>
    </row>
    <row r="1239" spans="47:47" x14ac:dyDescent="0.25">
      <c r="AU1239" s="8" t="str">
        <f>IF(TRIM($G1239)="","",IF(COUNTIF(LISTS!$I$2:$I$16,TRIM($G1239))&gt;0,"COUNTED",IF(COUNTIF(LISTS!$J$2:$J$16,TRIM($G1239))&gt;0,"LEFT OUT","NEW")))</f>
        <v/>
      </c>
    </row>
    <row r="1240" spans="47:47" x14ac:dyDescent="0.25">
      <c r="AU1240" s="8" t="str">
        <f>IF(TRIM($G1240)="","",IF(COUNTIF(LISTS!$I$2:$I$16,TRIM($G1240))&gt;0,"COUNTED",IF(COUNTIF(LISTS!$J$2:$J$16,TRIM($G1240))&gt;0,"LEFT OUT","NEW")))</f>
        <v/>
      </c>
    </row>
    <row r="1241" spans="47:47" x14ac:dyDescent="0.25">
      <c r="AU1241" s="8" t="str">
        <f>IF(TRIM($G1241)="","",IF(COUNTIF(LISTS!$I$2:$I$16,TRIM($G1241))&gt;0,"COUNTED",IF(COUNTIF(LISTS!$J$2:$J$16,TRIM($G1241))&gt;0,"LEFT OUT","NEW")))</f>
        <v/>
      </c>
    </row>
    <row r="1242" spans="47:47" x14ac:dyDescent="0.25">
      <c r="AU1242" s="8" t="str">
        <f>IF(TRIM($G1242)="","",IF(COUNTIF(LISTS!$I$2:$I$16,TRIM($G1242))&gt;0,"COUNTED",IF(COUNTIF(LISTS!$J$2:$J$16,TRIM($G1242))&gt;0,"LEFT OUT","NEW")))</f>
        <v/>
      </c>
    </row>
    <row r="1243" spans="47:47" x14ac:dyDescent="0.25">
      <c r="AU1243" s="8" t="str">
        <f>IF(TRIM($G1243)="","",IF(COUNTIF(LISTS!$I$2:$I$16,TRIM($G1243))&gt;0,"COUNTED",IF(COUNTIF(LISTS!$J$2:$J$16,TRIM($G1243))&gt;0,"LEFT OUT","NEW")))</f>
        <v/>
      </c>
    </row>
    <row r="1244" spans="47:47" x14ac:dyDescent="0.25">
      <c r="AU1244" s="8" t="str">
        <f>IF(TRIM($G1244)="","",IF(COUNTIF(LISTS!$I$2:$I$16,TRIM($G1244))&gt;0,"COUNTED",IF(COUNTIF(LISTS!$J$2:$J$16,TRIM($G1244))&gt;0,"LEFT OUT","NEW")))</f>
        <v/>
      </c>
    </row>
    <row r="1245" spans="47:47" x14ac:dyDescent="0.25">
      <c r="AU1245" s="8" t="str">
        <f>IF(TRIM($G1245)="","",IF(COUNTIF(LISTS!$I$2:$I$16,TRIM($G1245))&gt;0,"COUNTED",IF(COUNTIF(LISTS!$J$2:$J$16,TRIM($G1245))&gt;0,"LEFT OUT","NEW")))</f>
        <v/>
      </c>
    </row>
    <row r="1246" spans="47:47" x14ac:dyDescent="0.25">
      <c r="AU1246" s="8" t="str">
        <f>IF(TRIM($G1246)="","",IF(COUNTIF(LISTS!$I$2:$I$16,TRIM($G1246))&gt;0,"COUNTED",IF(COUNTIF(LISTS!$J$2:$J$16,TRIM($G1246))&gt;0,"LEFT OUT","NEW")))</f>
        <v/>
      </c>
    </row>
    <row r="1247" spans="47:47" x14ac:dyDescent="0.25">
      <c r="AU1247" s="8" t="str">
        <f>IF(TRIM($G1247)="","",IF(COUNTIF(LISTS!$I$2:$I$16,TRIM($G1247))&gt;0,"COUNTED",IF(COUNTIF(LISTS!$J$2:$J$16,TRIM($G1247))&gt;0,"LEFT OUT","NEW")))</f>
        <v/>
      </c>
    </row>
    <row r="1248" spans="47:47" x14ac:dyDescent="0.25">
      <c r="AU1248" s="8" t="str">
        <f>IF(TRIM($G1248)="","",IF(COUNTIF(LISTS!$I$2:$I$16,TRIM($G1248))&gt;0,"COUNTED",IF(COUNTIF(LISTS!$J$2:$J$16,TRIM($G1248))&gt;0,"LEFT OUT","NEW")))</f>
        <v/>
      </c>
    </row>
    <row r="1249" spans="47:47" x14ac:dyDescent="0.25">
      <c r="AU1249" s="8" t="str">
        <f>IF(TRIM($G1249)="","",IF(COUNTIF(LISTS!$I$2:$I$16,TRIM($G1249))&gt;0,"COUNTED",IF(COUNTIF(LISTS!$J$2:$J$16,TRIM($G1249))&gt;0,"LEFT OUT","NEW")))</f>
        <v/>
      </c>
    </row>
    <row r="1250" spans="47:47" x14ac:dyDescent="0.25">
      <c r="AU1250" s="8" t="str">
        <f>IF(TRIM($G1250)="","",IF(COUNTIF(LISTS!$I$2:$I$16,TRIM($G1250))&gt;0,"COUNTED",IF(COUNTIF(LISTS!$J$2:$J$16,TRIM($G1250))&gt;0,"LEFT OUT","NEW")))</f>
        <v/>
      </c>
    </row>
    <row r="1251" spans="47:47" x14ac:dyDescent="0.25">
      <c r="AU1251" s="8" t="str">
        <f>IF(TRIM($G1251)="","",IF(COUNTIF(LISTS!$I$2:$I$16,TRIM($G1251))&gt;0,"COUNTED",IF(COUNTIF(LISTS!$J$2:$J$16,TRIM($G1251))&gt;0,"LEFT OUT","NEW")))</f>
        <v/>
      </c>
    </row>
    <row r="1252" spans="47:47" x14ac:dyDescent="0.25">
      <c r="AU1252" s="8" t="str">
        <f>IF(TRIM($G1252)="","",IF(COUNTIF(LISTS!$I$2:$I$16,TRIM($G1252))&gt;0,"COUNTED",IF(COUNTIF(LISTS!$J$2:$J$16,TRIM($G1252))&gt;0,"LEFT OUT","NEW")))</f>
        <v/>
      </c>
    </row>
    <row r="1253" spans="47:47" x14ac:dyDescent="0.25">
      <c r="AU1253" s="8" t="str">
        <f>IF(TRIM($G1253)="","",IF(COUNTIF(LISTS!$I$2:$I$16,TRIM($G1253))&gt;0,"COUNTED",IF(COUNTIF(LISTS!$J$2:$J$16,TRIM($G1253))&gt;0,"LEFT OUT","NEW")))</f>
        <v/>
      </c>
    </row>
    <row r="1254" spans="47:47" x14ac:dyDescent="0.25">
      <c r="AU1254" s="8" t="str">
        <f>IF(TRIM($G1254)="","",IF(COUNTIF(LISTS!$I$2:$I$16,TRIM($G1254))&gt;0,"COUNTED",IF(COUNTIF(LISTS!$J$2:$J$16,TRIM($G1254))&gt;0,"LEFT OUT","NEW")))</f>
        <v/>
      </c>
    </row>
    <row r="1255" spans="47:47" x14ac:dyDescent="0.25">
      <c r="AU1255" s="8" t="str">
        <f>IF(TRIM($G1255)="","",IF(COUNTIF(LISTS!$I$2:$I$16,TRIM($G1255))&gt;0,"COUNTED",IF(COUNTIF(LISTS!$J$2:$J$16,TRIM($G1255))&gt;0,"LEFT OUT","NEW")))</f>
        <v/>
      </c>
    </row>
    <row r="1256" spans="47:47" x14ac:dyDescent="0.25">
      <c r="AU1256" s="8" t="str">
        <f>IF(TRIM($G1256)="","",IF(COUNTIF(LISTS!$I$2:$I$16,TRIM($G1256))&gt;0,"COUNTED",IF(COUNTIF(LISTS!$J$2:$J$16,TRIM($G1256))&gt;0,"LEFT OUT","NEW")))</f>
        <v/>
      </c>
    </row>
    <row r="1257" spans="47:47" x14ac:dyDescent="0.25">
      <c r="AU1257" s="8" t="str">
        <f>IF(TRIM($G1257)="","",IF(COUNTIF(LISTS!$I$2:$I$16,TRIM($G1257))&gt;0,"COUNTED",IF(COUNTIF(LISTS!$J$2:$J$16,TRIM($G1257))&gt;0,"LEFT OUT","NEW")))</f>
        <v/>
      </c>
    </row>
    <row r="1258" spans="47:47" x14ac:dyDescent="0.25">
      <c r="AU1258" s="8" t="str">
        <f>IF(TRIM($G1258)="","",IF(COUNTIF(LISTS!$I$2:$I$16,TRIM($G1258))&gt;0,"COUNTED",IF(COUNTIF(LISTS!$J$2:$J$16,TRIM($G1258))&gt;0,"LEFT OUT","NEW")))</f>
        <v/>
      </c>
    </row>
    <row r="1259" spans="47:47" x14ac:dyDescent="0.25">
      <c r="AU1259" s="8" t="str">
        <f>IF(TRIM($G1259)="","",IF(COUNTIF(LISTS!$I$2:$I$16,TRIM($G1259))&gt;0,"COUNTED",IF(COUNTIF(LISTS!$J$2:$J$16,TRIM($G1259))&gt;0,"LEFT OUT","NEW")))</f>
        <v/>
      </c>
    </row>
    <row r="1260" spans="47:47" x14ac:dyDescent="0.25">
      <c r="AU1260" s="8" t="str">
        <f>IF(TRIM($G1260)="","",IF(COUNTIF(LISTS!$I$2:$I$16,TRIM($G1260))&gt;0,"COUNTED",IF(COUNTIF(LISTS!$J$2:$J$16,TRIM($G1260))&gt;0,"LEFT OUT","NEW")))</f>
        <v/>
      </c>
    </row>
    <row r="1261" spans="47:47" x14ac:dyDescent="0.25">
      <c r="AU1261" s="8" t="str">
        <f>IF(TRIM($G1261)="","",IF(COUNTIF(LISTS!$I$2:$I$16,TRIM($G1261))&gt;0,"COUNTED",IF(COUNTIF(LISTS!$J$2:$J$16,TRIM($G1261))&gt;0,"LEFT OUT","NEW")))</f>
        <v/>
      </c>
    </row>
    <row r="1262" spans="47:47" x14ac:dyDescent="0.25">
      <c r="AU1262" s="8" t="str">
        <f>IF(TRIM($G1262)="","",IF(COUNTIF(LISTS!$I$2:$I$16,TRIM($G1262))&gt;0,"COUNTED",IF(COUNTIF(LISTS!$J$2:$J$16,TRIM($G1262))&gt;0,"LEFT OUT","NEW")))</f>
        <v/>
      </c>
    </row>
    <row r="1263" spans="47:47" x14ac:dyDescent="0.25">
      <c r="AU1263" s="8" t="str">
        <f>IF(TRIM($G1263)="","",IF(COUNTIF(LISTS!$I$2:$I$16,TRIM($G1263))&gt;0,"COUNTED",IF(COUNTIF(LISTS!$J$2:$J$16,TRIM($G1263))&gt;0,"LEFT OUT","NEW")))</f>
        <v/>
      </c>
    </row>
    <row r="1264" spans="47:47" x14ac:dyDescent="0.25">
      <c r="AU1264" s="8" t="str">
        <f>IF(TRIM($G1264)="","",IF(COUNTIF(LISTS!$I$2:$I$16,TRIM($G1264))&gt;0,"COUNTED",IF(COUNTIF(LISTS!$J$2:$J$16,TRIM($G1264))&gt;0,"LEFT OUT","NEW")))</f>
        <v/>
      </c>
    </row>
    <row r="1265" spans="47:47" x14ac:dyDescent="0.25">
      <c r="AU1265" s="8" t="str">
        <f>IF(TRIM($G1265)="","",IF(COUNTIF(LISTS!$I$2:$I$16,TRIM($G1265))&gt;0,"COUNTED",IF(COUNTIF(LISTS!$J$2:$J$16,TRIM($G1265))&gt;0,"LEFT OUT","NEW")))</f>
        <v/>
      </c>
    </row>
    <row r="1266" spans="47:47" x14ac:dyDescent="0.25">
      <c r="AU1266" s="8" t="str">
        <f>IF(TRIM($G1266)="","",IF(COUNTIF(LISTS!$I$2:$I$16,TRIM($G1266))&gt;0,"COUNTED",IF(COUNTIF(LISTS!$J$2:$J$16,TRIM($G1266))&gt;0,"LEFT OUT","NEW")))</f>
        <v/>
      </c>
    </row>
    <row r="1267" spans="47:47" x14ac:dyDescent="0.25">
      <c r="AU1267" s="8" t="str">
        <f>IF(TRIM($G1267)="","",IF(COUNTIF(LISTS!$I$2:$I$16,TRIM($G1267))&gt;0,"COUNTED",IF(COUNTIF(LISTS!$J$2:$J$16,TRIM($G1267))&gt;0,"LEFT OUT","NEW")))</f>
        <v/>
      </c>
    </row>
    <row r="1268" spans="47:47" x14ac:dyDescent="0.25">
      <c r="AU1268" s="8" t="str">
        <f>IF(TRIM($G1268)="","",IF(COUNTIF(LISTS!$I$2:$I$16,TRIM($G1268))&gt;0,"COUNTED",IF(COUNTIF(LISTS!$J$2:$J$16,TRIM($G1268))&gt;0,"LEFT OUT","NEW")))</f>
        <v/>
      </c>
    </row>
    <row r="1269" spans="47:47" x14ac:dyDescent="0.25">
      <c r="AU1269" s="8" t="str">
        <f>IF(TRIM($G1269)="","",IF(COUNTIF(LISTS!$I$2:$I$16,TRIM($G1269))&gt;0,"COUNTED",IF(COUNTIF(LISTS!$J$2:$J$16,TRIM($G1269))&gt;0,"LEFT OUT","NEW")))</f>
        <v/>
      </c>
    </row>
    <row r="1270" spans="47:47" x14ac:dyDescent="0.25">
      <c r="AU1270" s="8" t="str">
        <f>IF(TRIM($G1270)="","",IF(COUNTIF(LISTS!$I$2:$I$16,TRIM($G1270))&gt;0,"COUNTED",IF(COUNTIF(LISTS!$J$2:$J$16,TRIM($G1270))&gt;0,"LEFT OUT","NEW")))</f>
        <v/>
      </c>
    </row>
    <row r="1271" spans="47:47" x14ac:dyDescent="0.25">
      <c r="AU1271" s="8" t="str">
        <f>IF(TRIM($G1271)="","",IF(COUNTIF(LISTS!$I$2:$I$16,TRIM($G1271))&gt;0,"COUNTED",IF(COUNTIF(LISTS!$J$2:$J$16,TRIM($G1271))&gt;0,"LEFT OUT","NEW")))</f>
        <v/>
      </c>
    </row>
    <row r="1272" spans="47:47" x14ac:dyDescent="0.25">
      <c r="AU1272" s="8" t="str">
        <f>IF(TRIM($G1272)="","",IF(COUNTIF(LISTS!$I$2:$I$16,TRIM($G1272))&gt;0,"COUNTED",IF(COUNTIF(LISTS!$J$2:$J$16,TRIM($G1272))&gt;0,"LEFT OUT","NEW")))</f>
        <v/>
      </c>
    </row>
    <row r="1273" spans="47:47" x14ac:dyDescent="0.25">
      <c r="AU1273" s="8" t="str">
        <f>IF(TRIM($G1273)="","",IF(COUNTIF(LISTS!$I$2:$I$16,TRIM($G1273))&gt;0,"COUNTED",IF(COUNTIF(LISTS!$J$2:$J$16,TRIM($G1273))&gt;0,"LEFT OUT","NEW")))</f>
        <v/>
      </c>
    </row>
    <row r="1274" spans="47:47" x14ac:dyDescent="0.25">
      <c r="AU1274" s="8" t="str">
        <f>IF(TRIM($G1274)="","",IF(COUNTIF(LISTS!$I$2:$I$16,TRIM($G1274))&gt;0,"COUNTED",IF(COUNTIF(LISTS!$J$2:$J$16,TRIM($G1274))&gt;0,"LEFT OUT","NEW")))</f>
        <v/>
      </c>
    </row>
    <row r="1275" spans="47:47" x14ac:dyDescent="0.25">
      <c r="AU1275" s="8" t="str">
        <f>IF(TRIM($G1275)="","",IF(COUNTIF(LISTS!$I$2:$I$16,TRIM($G1275))&gt;0,"COUNTED",IF(COUNTIF(LISTS!$J$2:$J$16,TRIM($G1275))&gt;0,"LEFT OUT","NEW")))</f>
        <v/>
      </c>
    </row>
    <row r="1276" spans="47:47" x14ac:dyDescent="0.25">
      <c r="AU1276" s="8" t="str">
        <f>IF(TRIM($G1276)="","",IF(COUNTIF(LISTS!$I$2:$I$16,TRIM($G1276))&gt;0,"COUNTED",IF(COUNTIF(LISTS!$J$2:$J$16,TRIM($G1276))&gt;0,"LEFT OUT","NEW")))</f>
        <v/>
      </c>
    </row>
    <row r="1277" spans="47:47" x14ac:dyDescent="0.25">
      <c r="AU1277" s="8" t="str">
        <f>IF(TRIM($G1277)="","",IF(COUNTIF(LISTS!$I$2:$I$16,TRIM($G1277))&gt;0,"COUNTED",IF(COUNTIF(LISTS!$J$2:$J$16,TRIM($G1277))&gt;0,"LEFT OUT","NEW")))</f>
        <v/>
      </c>
    </row>
    <row r="1278" spans="47:47" x14ac:dyDescent="0.25">
      <c r="AU1278" s="8" t="str">
        <f>IF(TRIM($G1278)="","",IF(COUNTIF(LISTS!$I$2:$I$16,TRIM($G1278))&gt;0,"COUNTED",IF(COUNTIF(LISTS!$J$2:$J$16,TRIM($G1278))&gt;0,"LEFT OUT","NEW")))</f>
        <v/>
      </c>
    </row>
    <row r="1279" spans="47:47" x14ac:dyDescent="0.25">
      <c r="AU1279" s="8" t="str">
        <f>IF(TRIM($G1279)="","",IF(COUNTIF(LISTS!$I$2:$I$16,TRIM($G1279))&gt;0,"COUNTED",IF(COUNTIF(LISTS!$J$2:$J$16,TRIM($G1279))&gt;0,"LEFT OUT","NEW")))</f>
        <v/>
      </c>
    </row>
    <row r="1280" spans="47:47" x14ac:dyDescent="0.25">
      <c r="AU1280" s="8" t="str">
        <f>IF(TRIM($G1280)="","",IF(COUNTIF(LISTS!$I$2:$I$16,TRIM($G1280))&gt;0,"COUNTED",IF(COUNTIF(LISTS!$J$2:$J$16,TRIM($G1280))&gt;0,"LEFT OUT","NEW")))</f>
        <v/>
      </c>
    </row>
    <row r="1281" spans="47:47" x14ac:dyDescent="0.25">
      <c r="AU1281" s="8" t="str">
        <f>IF(TRIM($G1281)="","",IF(COUNTIF(LISTS!$I$2:$I$16,TRIM($G1281))&gt;0,"COUNTED",IF(COUNTIF(LISTS!$J$2:$J$16,TRIM($G1281))&gt;0,"LEFT OUT","NEW")))</f>
        <v/>
      </c>
    </row>
    <row r="1282" spans="47:47" x14ac:dyDescent="0.25">
      <c r="AU1282" s="8" t="str">
        <f>IF(TRIM($G1282)="","",IF(COUNTIF(LISTS!$I$2:$I$16,TRIM($G1282))&gt;0,"COUNTED",IF(COUNTIF(LISTS!$J$2:$J$16,TRIM($G1282))&gt;0,"LEFT OUT","NEW")))</f>
        <v/>
      </c>
    </row>
    <row r="1283" spans="47:47" x14ac:dyDescent="0.25">
      <c r="AU1283" s="8" t="str">
        <f>IF(TRIM($G1283)="","",IF(COUNTIF(LISTS!$I$2:$I$16,TRIM($G1283))&gt;0,"COUNTED",IF(COUNTIF(LISTS!$J$2:$J$16,TRIM($G1283))&gt;0,"LEFT OUT","NEW")))</f>
        <v/>
      </c>
    </row>
    <row r="1284" spans="47:47" x14ac:dyDescent="0.25">
      <c r="AU1284" s="8" t="str">
        <f>IF(TRIM($G1284)="","",IF(COUNTIF(LISTS!$I$2:$I$16,TRIM($G1284))&gt;0,"COUNTED",IF(COUNTIF(LISTS!$J$2:$J$16,TRIM($G1284))&gt;0,"LEFT OUT","NEW")))</f>
        <v/>
      </c>
    </row>
    <row r="1285" spans="47:47" x14ac:dyDescent="0.25">
      <c r="AU1285" s="8" t="str">
        <f>IF(TRIM($G1285)="","",IF(COUNTIF(LISTS!$I$2:$I$16,TRIM($G1285))&gt;0,"COUNTED",IF(COUNTIF(LISTS!$J$2:$J$16,TRIM($G1285))&gt;0,"LEFT OUT","NEW")))</f>
        <v/>
      </c>
    </row>
    <row r="1286" spans="47:47" x14ac:dyDescent="0.25">
      <c r="AU1286" s="8" t="str">
        <f>IF(TRIM($G1286)="","",IF(COUNTIF(LISTS!$I$2:$I$16,TRIM($G1286))&gt;0,"COUNTED",IF(COUNTIF(LISTS!$J$2:$J$16,TRIM($G1286))&gt;0,"LEFT OUT","NEW")))</f>
        <v/>
      </c>
    </row>
    <row r="1287" spans="47:47" x14ac:dyDescent="0.25">
      <c r="AU1287" s="8" t="str">
        <f>IF(TRIM($G1287)="","",IF(COUNTIF(LISTS!$I$2:$I$16,TRIM($G1287))&gt;0,"COUNTED",IF(COUNTIF(LISTS!$J$2:$J$16,TRIM($G1287))&gt;0,"LEFT OUT","NEW")))</f>
        <v/>
      </c>
    </row>
    <row r="1288" spans="47:47" x14ac:dyDescent="0.25">
      <c r="AU1288" s="8" t="str">
        <f>IF(TRIM($G1288)="","",IF(COUNTIF(LISTS!$I$2:$I$16,TRIM($G1288))&gt;0,"COUNTED",IF(COUNTIF(LISTS!$J$2:$J$16,TRIM($G1288))&gt;0,"LEFT OUT","NEW")))</f>
        <v/>
      </c>
    </row>
    <row r="1289" spans="47:47" x14ac:dyDescent="0.25">
      <c r="AU1289" s="8" t="str">
        <f>IF(TRIM($G1289)="","",IF(COUNTIF(LISTS!$I$2:$I$16,TRIM($G1289))&gt;0,"COUNTED",IF(COUNTIF(LISTS!$J$2:$J$16,TRIM($G1289))&gt;0,"LEFT OUT","NEW")))</f>
        <v/>
      </c>
    </row>
    <row r="1290" spans="47:47" x14ac:dyDescent="0.25">
      <c r="AU1290" s="8" t="str">
        <f>IF(TRIM($G1290)="","",IF(COUNTIF(LISTS!$I$2:$I$16,TRIM($G1290))&gt;0,"COUNTED",IF(COUNTIF(LISTS!$J$2:$J$16,TRIM($G1290))&gt;0,"LEFT OUT","NEW")))</f>
        <v/>
      </c>
    </row>
    <row r="1291" spans="47:47" x14ac:dyDescent="0.25">
      <c r="AU1291" s="8" t="str">
        <f>IF(TRIM($G1291)="","",IF(COUNTIF(LISTS!$I$2:$I$16,TRIM($G1291))&gt;0,"COUNTED",IF(COUNTIF(LISTS!$J$2:$J$16,TRIM($G1291))&gt;0,"LEFT OUT","NEW")))</f>
        <v/>
      </c>
    </row>
    <row r="1292" spans="47:47" x14ac:dyDescent="0.25">
      <c r="AU1292" s="8" t="str">
        <f>IF(TRIM($G1292)="","",IF(COUNTIF(LISTS!$I$2:$I$16,TRIM($G1292))&gt;0,"COUNTED",IF(COUNTIF(LISTS!$J$2:$J$16,TRIM($G1292))&gt;0,"LEFT OUT","NEW")))</f>
        <v/>
      </c>
    </row>
    <row r="1293" spans="47:47" x14ac:dyDescent="0.25">
      <c r="AU1293" s="8" t="str">
        <f>IF(TRIM($G1293)="","",IF(COUNTIF(LISTS!$I$2:$I$16,TRIM($G1293))&gt;0,"COUNTED",IF(COUNTIF(LISTS!$J$2:$J$16,TRIM($G1293))&gt;0,"LEFT OUT","NEW")))</f>
        <v/>
      </c>
    </row>
    <row r="1294" spans="47:47" x14ac:dyDescent="0.25">
      <c r="AU1294" s="8" t="str">
        <f>IF(TRIM($G1294)="","",IF(COUNTIF(LISTS!$I$2:$I$16,TRIM($G1294))&gt;0,"COUNTED",IF(COUNTIF(LISTS!$J$2:$J$16,TRIM($G1294))&gt;0,"LEFT OUT","NEW")))</f>
        <v/>
      </c>
    </row>
    <row r="1295" spans="47:47" x14ac:dyDescent="0.25">
      <c r="AU1295" s="8" t="str">
        <f>IF(TRIM($G1295)="","",IF(COUNTIF(LISTS!$I$2:$I$16,TRIM($G1295))&gt;0,"COUNTED",IF(COUNTIF(LISTS!$J$2:$J$16,TRIM($G1295))&gt;0,"LEFT OUT","NEW")))</f>
        <v/>
      </c>
    </row>
    <row r="1296" spans="47:47" x14ac:dyDescent="0.25">
      <c r="AU1296" s="8" t="str">
        <f>IF(TRIM($G1296)="","",IF(COUNTIF(LISTS!$I$2:$I$16,TRIM($G1296))&gt;0,"COUNTED",IF(COUNTIF(LISTS!$J$2:$J$16,TRIM($G1296))&gt;0,"LEFT OUT","NEW")))</f>
        <v/>
      </c>
    </row>
    <row r="1297" spans="47:47" x14ac:dyDescent="0.25">
      <c r="AU1297" s="8" t="str">
        <f>IF(TRIM($G1297)="","",IF(COUNTIF(LISTS!$I$2:$I$16,TRIM($G1297))&gt;0,"COUNTED",IF(COUNTIF(LISTS!$J$2:$J$16,TRIM($G1297))&gt;0,"LEFT OUT","NEW")))</f>
        <v/>
      </c>
    </row>
    <row r="1298" spans="47:47" x14ac:dyDescent="0.25">
      <c r="AU1298" s="8" t="str">
        <f>IF(TRIM($G1298)="","",IF(COUNTIF(LISTS!$I$2:$I$16,TRIM($G1298))&gt;0,"COUNTED",IF(COUNTIF(LISTS!$J$2:$J$16,TRIM($G1298))&gt;0,"LEFT OUT","NEW")))</f>
        <v/>
      </c>
    </row>
    <row r="1299" spans="47:47" x14ac:dyDescent="0.25">
      <c r="AU1299" s="8" t="str">
        <f>IF(TRIM($G1299)="","",IF(COUNTIF(LISTS!$I$2:$I$16,TRIM($G1299))&gt;0,"COUNTED",IF(COUNTIF(LISTS!$J$2:$J$16,TRIM($G1299))&gt;0,"LEFT OUT","NEW")))</f>
        <v/>
      </c>
    </row>
    <row r="1300" spans="47:47" x14ac:dyDescent="0.25">
      <c r="AU1300" s="8" t="str">
        <f>IF(TRIM($G1300)="","",IF(COUNTIF(LISTS!$I$2:$I$16,TRIM($G1300))&gt;0,"COUNTED",IF(COUNTIF(LISTS!$J$2:$J$16,TRIM($G1300))&gt;0,"LEFT OUT","NEW")))</f>
        <v/>
      </c>
    </row>
    <row r="1301" spans="47:47" x14ac:dyDescent="0.25">
      <c r="AU1301" s="8" t="str">
        <f>IF(TRIM($G1301)="","",IF(COUNTIF(LISTS!$I$2:$I$16,TRIM($G1301))&gt;0,"COUNTED",IF(COUNTIF(LISTS!$J$2:$J$16,TRIM($G1301))&gt;0,"LEFT OUT","NEW")))</f>
        <v/>
      </c>
    </row>
    <row r="1302" spans="47:47" x14ac:dyDescent="0.25">
      <c r="AU1302" s="8" t="str">
        <f>IF(TRIM($G1302)="","",IF(COUNTIF(LISTS!$I$2:$I$16,TRIM($G1302))&gt;0,"COUNTED",IF(COUNTIF(LISTS!$J$2:$J$16,TRIM($G1302))&gt;0,"LEFT OUT","NEW")))</f>
        <v/>
      </c>
    </row>
    <row r="1303" spans="47:47" x14ac:dyDescent="0.25">
      <c r="AU1303" s="8" t="str">
        <f>IF(TRIM($G1303)="","",IF(COUNTIF(LISTS!$I$2:$I$16,TRIM($G1303))&gt;0,"COUNTED",IF(COUNTIF(LISTS!$J$2:$J$16,TRIM($G1303))&gt;0,"LEFT OUT","NEW")))</f>
        <v/>
      </c>
    </row>
    <row r="1304" spans="47:47" x14ac:dyDescent="0.25">
      <c r="AU1304" s="8" t="str">
        <f>IF(TRIM($G1304)="","",IF(COUNTIF(LISTS!$I$2:$I$16,TRIM($G1304))&gt;0,"COUNTED",IF(COUNTIF(LISTS!$J$2:$J$16,TRIM($G1304))&gt;0,"LEFT OUT","NEW")))</f>
        <v/>
      </c>
    </row>
    <row r="1305" spans="47:47" x14ac:dyDescent="0.25">
      <c r="AU1305" s="8" t="str">
        <f>IF(TRIM($G1305)="","",IF(COUNTIF(LISTS!$I$2:$I$16,TRIM($G1305))&gt;0,"COUNTED",IF(COUNTIF(LISTS!$J$2:$J$16,TRIM($G1305))&gt;0,"LEFT OUT","NEW")))</f>
        <v/>
      </c>
    </row>
    <row r="1306" spans="47:47" x14ac:dyDescent="0.25">
      <c r="AU1306" s="8" t="str">
        <f>IF(TRIM($G1306)="","",IF(COUNTIF(LISTS!$I$2:$I$16,TRIM($G1306))&gt;0,"COUNTED",IF(COUNTIF(LISTS!$J$2:$J$16,TRIM($G1306))&gt;0,"LEFT OUT","NEW")))</f>
        <v/>
      </c>
    </row>
    <row r="1307" spans="47:47" x14ac:dyDescent="0.25">
      <c r="AU1307" s="8" t="str">
        <f>IF(TRIM($G1307)="","",IF(COUNTIF(LISTS!$I$2:$I$16,TRIM($G1307))&gt;0,"COUNTED",IF(COUNTIF(LISTS!$J$2:$J$16,TRIM($G1307))&gt;0,"LEFT OUT","NEW")))</f>
        <v/>
      </c>
    </row>
    <row r="1308" spans="47:47" x14ac:dyDescent="0.25">
      <c r="AU1308" s="8" t="str">
        <f>IF(TRIM($G1308)="","",IF(COUNTIF(LISTS!$I$2:$I$16,TRIM($G1308))&gt;0,"COUNTED",IF(COUNTIF(LISTS!$J$2:$J$16,TRIM($G1308))&gt;0,"LEFT OUT","NEW")))</f>
        <v/>
      </c>
    </row>
    <row r="1309" spans="47:47" x14ac:dyDescent="0.25">
      <c r="AU1309" s="8" t="str">
        <f>IF(TRIM($G1309)="","",IF(COUNTIF(LISTS!$I$2:$I$16,TRIM($G1309))&gt;0,"COUNTED",IF(COUNTIF(LISTS!$J$2:$J$16,TRIM($G1309))&gt;0,"LEFT OUT","NEW")))</f>
        <v/>
      </c>
    </row>
    <row r="1310" spans="47:47" x14ac:dyDescent="0.25">
      <c r="AU1310" s="8" t="str">
        <f>IF(TRIM($G1310)="","",IF(COUNTIF(LISTS!$I$2:$I$16,TRIM($G1310))&gt;0,"COUNTED",IF(COUNTIF(LISTS!$J$2:$J$16,TRIM($G1310))&gt;0,"LEFT OUT","NEW")))</f>
        <v/>
      </c>
    </row>
    <row r="1311" spans="47:47" x14ac:dyDescent="0.25">
      <c r="AU1311" s="8" t="str">
        <f>IF(TRIM($G1311)="","",IF(COUNTIF(LISTS!$I$2:$I$16,TRIM($G1311))&gt;0,"COUNTED",IF(COUNTIF(LISTS!$J$2:$J$16,TRIM($G1311))&gt;0,"LEFT OUT","NEW")))</f>
        <v/>
      </c>
    </row>
    <row r="1312" spans="47:47" x14ac:dyDescent="0.25">
      <c r="AU1312" s="8" t="str">
        <f>IF(TRIM($G1312)="","",IF(COUNTIF(LISTS!$I$2:$I$16,TRIM($G1312))&gt;0,"COUNTED",IF(COUNTIF(LISTS!$J$2:$J$16,TRIM($G1312))&gt;0,"LEFT OUT","NEW")))</f>
        <v/>
      </c>
    </row>
    <row r="1313" spans="47:47" x14ac:dyDescent="0.25">
      <c r="AU1313" s="8" t="str">
        <f>IF(TRIM($G1313)="","",IF(COUNTIF(LISTS!$I$2:$I$16,TRIM($G1313))&gt;0,"COUNTED",IF(COUNTIF(LISTS!$J$2:$J$16,TRIM($G1313))&gt;0,"LEFT OUT","NEW")))</f>
        <v/>
      </c>
    </row>
    <row r="1314" spans="47:47" x14ac:dyDescent="0.25">
      <c r="AU1314" s="8" t="str">
        <f>IF(TRIM($G1314)="","",IF(COUNTIF(LISTS!$I$2:$I$16,TRIM($G1314))&gt;0,"COUNTED",IF(COUNTIF(LISTS!$J$2:$J$16,TRIM($G1314))&gt;0,"LEFT OUT","NEW")))</f>
        <v/>
      </c>
    </row>
    <row r="1315" spans="47:47" x14ac:dyDescent="0.25">
      <c r="AU1315" s="8" t="str">
        <f>IF(TRIM($G1315)="","",IF(COUNTIF(LISTS!$I$2:$I$16,TRIM($G1315))&gt;0,"COUNTED",IF(COUNTIF(LISTS!$J$2:$J$16,TRIM($G1315))&gt;0,"LEFT OUT","NEW")))</f>
        <v/>
      </c>
    </row>
    <row r="1316" spans="47:47" x14ac:dyDescent="0.25">
      <c r="AU1316" s="8" t="str">
        <f>IF(TRIM($G1316)="","",IF(COUNTIF(LISTS!$I$2:$I$16,TRIM($G1316))&gt;0,"COUNTED",IF(COUNTIF(LISTS!$J$2:$J$16,TRIM($G1316))&gt;0,"LEFT OUT","NEW")))</f>
        <v/>
      </c>
    </row>
    <row r="1317" spans="47:47" x14ac:dyDescent="0.25">
      <c r="AU1317" s="8" t="str">
        <f>IF(TRIM($G1317)="","",IF(COUNTIF(LISTS!$I$2:$I$16,TRIM($G1317))&gt;0,"COUNTED",IF(COUNTIF(LISTS!$J$2:$J$16,TRIM($G1317))&gt;0,"LEFT OUT","NEW")))</f>
        <v/>
      </c>
    </row>
    <row r="1318" spans="47:47" x14ac:dyDescent="0.25">
      <c r="AU1318" s="8" t="str">
        <f>IF(TRIM($G1318)="","",IF(COUNTIF(LISTS!$I$2:$I$16,TRIM($G1318))&gt;0,"COUNTED",IF(COUNTIF(LISTS!$J$2:$J$16,TRIM($G1318))&gt;0,"LEFT OUT","NEW")))</f>
        <v/>
      </c>
    </row>
    <row r="1319" spans="47:47" x14ac:dyDescent="0.25">
      <c r="AU1319" s="8" t="str">
        <f>IF(TRIM($G1319)="","",IF(COUNTIF(LISTS!$I$2:$I$16,TRIM($G1319))&gt;0,"COUNTED",IF(COUNTIF(LISTS!$J$2:$J$16,TRIM($G1319))&gt;0,"LEFT OUT","NEW")))</f>
        <v/>
      </c>
    </row>
    <row r="1320" spans="47:47" x14ac:dyDescent="0.25">
      <c r="AU1320" s="8" t="str">
        <f>IF(TRIM($G1320)="","",IF(COUNTIF(LISTS!$I$2:$I$16,TRIM($G1320))&gt;0,"COUNTED",IF(COUNTIF(LISTS!$J$2:$J$16,TRIM($G1320))&gt;0,"LEFT OUT","NEW")))</f>
        <v/>
      </c>
    </row>
    <row r="1321" spans="47:47" x14ac:dyDescent="0.25">
      <c r="AU1321" s="8" t="str">
        <f>IF(TRIM($G1321)="","",IF(COUNTIF(LISTS!$I$2:$I$16,TRIM($G1321))&gt;0,"COUNTED",IF(COUNTIF(LISTS!$J$2:$J$16,TRIM($G1321))&gt;0,"LEFT OUT","NEW")))</f>
        <v/>
      </c>
    </row>
    <row r="1322" spans="47:47" x14ac:dyDescent="0.25">
      <c r="AU1322" s="8" t="str">
        <f>IF(TRIM($G1322)="","",IF(COUNTIF(LISTS!$I$2:$I$16,TRIM($G1322))&gt;0,"COUNTED",IF(COUNTIF(LISTS!$J$2:$J$16,TRIM($G1322))&gt;0,"LEFT OUT","NEW")))</f>
        <v/>
      </c>
    </row>
    <row r="1323" spans="47:47" x14ac:dyDescent="0.25">
      <c r="AU1323" s="8" t="str">
        <f>IF(TRIM($G1323)="","",IF(COUNTIF(LISTS!$I$2:$I$16,TRIM($G1323))&gt;0,"COUNTED",IF(COUNTIF(LISTS!$J$2:$J$16,TRIM($G1323))&gt;0,"LEFT OUT","NEW")))</f>
        <v/>
      </c>
    </row>
    <row r="1324" spans="47:47" x14ac:dyDescent="0.25">
      <c r="AU1324" s="8" t="str">
        <f>IF(TRIM($G1324)="","",IF(COUNTIF(LISTS!$I$2:$I$16,TRIM($G1324))&gt;0,"COUNTED",IF(COUNTIF(LISTS!$J$2:$J$16,TRIM($G1324))&gt;0,"LEFT OUT","NEW")))</f>
        <v/>
      </c>
    </row>
    <row r="1325" spans="47:47" x14ac:dyDescent="0.25">
      <c r="AU1325" s="8" t="str">
        <f>IF(TRIM($G1325)="","",IF(COUNTIF(LISTS!$I$2:$I$16,TRIM($G1325))&gt;0,"COUNTED",IF(COUNTIF(LISTS!$J$2:$J$16,TRIM($G1325))&gt;0,"LEFT OUT","NEW")))</f>
        <v/>
      </c>
    </row>
    <row r="1326" spans="47:47" x14ac:dyDescent="0.25">
      <c r="AU1326" s="8" t="str">
        <f>IF(TRIM($G1326)="","",IF(COUNTIF(LISTS!$I$2:$I$16,TRIM($G1326))&gt;0,"COUNTED",IF(COUNTIF(LISTS!$J$2:$J$16,TRIM($G1326))&gt;0,"LEFT OUT","NEW")))</f>
        <v/>
      </c>
    </row>
    <row r="1327" spans="47:47" x14ac:dyDescent="0.25">
      <c r="AU1327" s="8" t="str">
        <f>IF(TRIM($G1327)="","",IF(COUNTIF(LISTS!$I$2:$I$16,TRIM($G1327))&gt;0,"COUNTED",IF(COUNTIF(LISTS!$J$2:$J$16,TRIM($G1327))&gt;0,"LEFT OUT","NEW")))</f>
        <v/>
      </c>
    </row>
    <row r="1328" spans="47:47" x14ac:dyDescent="0.25">
      <c r="AU1328" s="8" t="str">
        <f>IF(TRIM($G1328)="","",IF(COUNTIF(LISTS!$I$2:$I$16,TRIM($G1328))&gt;0,"COUNTED",IF(COUNTIF(LISTS!$J$2:$J$16,TRIM($G1328))&gt;0,"LEFT OUT","NEW")))</f>
        <v/>
      </c>
    </row>
    <row r="1329" spans="47:47" x14ac:dyDescent="0.25">
      <c r="AU1329" s="8" t="str">
        <f>IF(TRIM($G1329)="","",IF(COUNTIF(LISTS!$I$2:$I$16,TRIM($G1329))&gt;0,"COUNTED",IF(COUNTIF(LISTS!$J$2:$J$16,TRIM($G1329))&gt;0,"LEFT OUT","NEW")))</f>
        <v/>
      </c>
    </row>
    <row r="1330" spans="47:47" x14ac:dyDescent="0.25">
      <c r="AU1330" s="8" t="str">
        <f>IF(TRIM($G1330)="","",IF(COUNTIF(LISTS!$I$2:$I$16,TRIM($G1330))&gt;0,"COUNTED",IF(COUNTIF(LISTS!$J$2:$J$16,TRIM($G1330))&gt;0,"LEFT OUT","NEW")))</f>
        <v/>
      </c>
    </row>
    <row r="1331" spans="47:47" x14ac:dyDescent="0.25">
      <c r="AU1331" s="8" t="str">
        <f>IF(TRIM($G1331)="","",IF(COUNTIF(LISTS!$I$2:$I$16,TRIM($G1331))&gt;0,"COUNTED",IF(COUNTIF(LISTS!$J$2:$J$16,TRIM($G1331))&gt;0,"LEFT OUT","NEW")))</f>
        <v/>
      </c>
    </row>
    <row r="1332" spans="47:47" x14ac:dyDescent="0.25">
      <c r="AU1332" s="8" t="str">
        <f>IF(TRIM($G1332)="","",IF(COUNTIF(LISTS!$I$2:$I$16,TRIM($G1332))&gt;0,"COUNTED",IF(COUNTIF(LISTS!$J$2:$J$16,TRIM($G1332))&gt;0,"LEFT OUT","NEW")))</f>
        <v/>
      </c>
    </row>
    <row r="1333" spans="47:47" x14ac:dyDescent="0.25">
      <c r="AU1333" s="8" t="str">
        <f>IF(TRIM($G1333)="","",IF(COUNTIF(LISTS!$I$2:$I$16,TRIM($G1333))&gt;0,"COUNTED",IF(COUNTIF(LISTS!$J$2:$J$16,TRIM($G1333))&gt;0,"LEFT OUT","NEW")))</f>
        <v/>
      </c>
    </row>
    <row r="1334" spans="47:47" x14ac:dyDescent="0.25">
      <c r="AU1334" s="8" t="str">
        <f>IF(TRIM($G1334)="","",IF(COUNTIF(LISTS!$I$2:$I$16,TRIM($G1334))&gt;0,"COUNTED",IF(COUNTIF(LISTS!$J$2:$J$16,TRIM($G1334))&gt;0,"LEFT OUT","NEW")))</f>
        <v/>
      </c>
    </row>
    <row r="1335" spans="47:47" x14ac:dyDescent="0.25">
      <c r="AU1335" s="8" t="str">
        <f>IF(TRIM($G1335)="","",IF(COUNTIF(LISTS!$I$2:$I$16,TRIM($G1335))&gt;0,"COUNTED",IF(COUNTIF(LISTS!$J$2:$J$16,TRIM($G1335))&gt;0,"LEFT OUT","NEW")))</f>
        <v/>
      </c>
    </row>
    <row r="1336" spans="47:47" x14ac:dyDescent="0.25">
      <c r="AU1336" s="8" t="str">
        <f>IF(TRIM($G1336)="","",IF(COUNTIF(LISTS!$I$2:$I$16,TRIM($G1336))&gt;0,"COUNTED",IF(COUNTIF(LISTS!$J$2:$J$16,TRIM($G1336))&gt;0,"LEFT OUT","NEW")))</f>
        <v/>
      </c>
    </row>
    <row r="1337" spans="47:47" x14ac:dyDescent="0.25">
      <c r="AU1337" s="8" t="str">
        <f>IF(TRIM($G1337)="","",IF(COUNTIF(LISTS!$I$2:$I$16,TRIM($G1337))&gt;0,"COUNTED",IF(COUNTIF(LISTS!$J$2:$J$16,TRIM($G1337))&gt;0,"LEFT OUT","NEW")))</f>
        <v/>
      </c>
    </row>
    <row r="1338" spans="47:47" x14ac:dyDescent="0.25">
      <c r="AU1338" s="8" t="str">
        <f>IF(TRIM($G1338)="","",IF(COUNTIF(LISTS!$I$2:$I$16,TRIM($G1338))&gt;0,"COUNTED",IF(COUNTIF(LISTS!$J$2:$J$16,TRIM($G1338))&gt;0,"LEFT OUT","NEW")))</f>
        <v/>
      </c>
    </row>
    <row r="1339" spans="47:47" x14ac:dyDescent="0.25">
      <c r="AU1339" s="8" t="str">
        <f>IF(TRIM($G1339)="","",IF(COUNTIF(LISTS!$I$2:$I$16,TRIM($G1339))&gt;0,"COUNTED",IF(COUNTIF(LISTS!$J$2:$J$16,TRIM($G1339))&gt;0,"LEFT OUT","NEW")))</f>
        <v/>
      </c>
    </row>
    <row r="1340" spans="47:47" x14ac:dyDescent="0.25">
      <c r="AU1340" s="8" t="str">
        <f>IF(TRIM($G1340)="","",IF(COUNTIF(LISTS!$I$2:$I$16,TRIM($G1340))&gt;0,"COUNTED",IF(COUNTIF(LISTS!$J$2:$J$16,TRIM($G1340))&gt;0,"LEFT OUT","NEW")))</f>
        <v/>
      </c>
    </row>
    <row r="1341" spans="47:47" x14ac:dyDescent="0.25">
      <c r="AU1341" s="8" t="str">
        <f>IF(TRIM($G1341)="","",IF(COUNTIF(LISTS!$I$2:$I$16,TRIM($G1341))&gt;0,"COUNTED",IF(COUNTIF(LISTS!$J$2:$J$16,TRIM($G1341))&gt;0,"LEFT OUT","NEW")))</f>
        <v/>
      </c>
    </row>
    <row r="1342" spans="47:47" x14ac:dyDescent="0.25">
      <c r="AU1342" s="8" t="str">
        <f>IF(TRIM($G1342)="","",IF(COUNTIF(LISTS!$I$2:$I$16,TRIM($G1342))&gt;0,"COUNTED",IF(COUNTIF(LISTS!$J$2:$J$16,TRIM($G1342))&gt;0,"LEFT OUT","NEW")))</f>
        <v/>
      </c>
    </row>
    <row r="1343" spans="47:47" x14ac:dyDescent="0.25">
      <c r="AU1343" s="8" t="str">
        <f>IF(TRIM($G1343)="","",IF(COUNTIF(LISTS!$I$2:$I$16,TRIM($G1343))&gt;0,"COUNTED",IF(COUNTIF(LISTS!$J$2:$J$16,TRIM($G1343))&gt;0,"LEFT OUT","NEW")))</f>
        <v/>
      </c>
    </row>
    <row r="1344" spans="47:47" x14ac:dyDescent="0.25">
      <c r="AU1344" s="8" t="str">
        <f>IF(TRIM($G1344)="","",IF(COUNTIF(LISTS!$I$2:$I$16,TRIM($G1344))&gt;0,"COUNTED",IF(COUNTIF(LISTS!$J$2:$J$16,TRIM($G1344))&gt;0,"LEFT OUT","NEW")))</f>
        <v/>
      </c>
    </row>
    <row r="1345" spans="47:47" x14ac:dyDescent="0.25">
      <c r="AU1345" s="8" t="str">
        <f>IF(TRIM($G1345)="","",IF(COUNTIF(LISTS!$I$2:$I$16,TRIM($G1345))&gt;0,"COUNTED",IF(COUNTIF(LISTS!$J$2:$J$16,TRIM($G1345))&gt;0,"LEFT OUT","NEW")))</f>
        <v/>
      </c>
    </row>
    <row r="1346" spans="47:47" x14ac:dyDescent="0.25">
      <c r="AU1346" s="8" t="str">
        <f>IF(TRIM($G1346)="","",IF(COUNTIF(LISTS!$I$2:$I$16,TRIM($G1346))&gt;0,"COUNTED",IF(COUNTIF(LISTS!$J$2:$J$16,TRIM($G1346))&gt;0,"LEFT OUT","NEW")))</f>
        <v/>
      </c>
    </row>
    <row r="1347" spans="47:47" x14ac:dyDescent="0.25">
      <c r="AU1347" s="8" t="str">
        <f>IF(TRIM($G1347)="","",IF(COUNTIF(LISTS!$I$2:$I$16,TRIM($G1347))&gt;0,"COUNTED",IF(COUNTIF(LISTS!$J$2:$J$16,TRIM($G1347))&gt;0,"LEFT OUT","NEW")))</f>
        <v/>
      </c>
    </row>
    <row r="1348" spans="47:47" x14ac:dyDescent="0.25">
      <c r="AU1348" s="8" t="str">
        <f>IF(TRIM($G1348)="","",IF(COUNTIF(LISTS!$I$2:$I$16,TRIM($G1348))&gt;0,"COUNTED",IF(COUNTIF(LISTS!$J$2:$J$16,TRIM($G1348))&gt;0,"LEFT OUT","NEW")))</f>
        <v/>
      </c>
    </row>
    <row r="1349" spans="47:47" x14ac:dyDescent="0.25">
      <c r="AU1349" s="8" t="str">
        <f>IF(TRIM($G1349)="","",IF(COUNTIF(LISTS!$I$2:$I$16,TRIM($G1349))&gt;0,"COUNTED",IF(COUNTIF(LISTS!$J$2:$J$16,TRIM($G1349))&gt;0,"LEFT OUT","NEW")))</f>
        <v/>
      </c>
    </row>
    <row r="1350" spans="47:47" x14ac:dyDescent="0.25">
      <c r="AU1350" s="8" t="str">
        <f>IF(TRIM($G1350)="","",IF(COUNTIF(LISTS!$I$2:$I$16,TRIM($G1350))&gt;0,"COUNTED",IF(COUNTIF(LISTS!$J$2:$J$16,TRIM($G1350))&gt;0,"LEFT OUT","NEW")))</f>
        <v/>
      </c>
    </row>
    <row r="1351" spans="47:47" x14ac:dyDescent="0.25">
      <c r="AU1351" s="8" t="str">
        <f>IF(TRIM($G1351)="","",IF(COUNTIF(LISTS!$I$2:$I$16,TRIM($G1351))&gt;0,"COUNTED",IF(COUNTIF(LISTS!$J$2:$J$16,TRIM($G1351))&gt;0,"LEFT OUT","NEW")))</f>
        <v/>
      </c>
    </row>
    <row r="1352" spans="47:47" x14ac:dyDescent="0.25">
      <c r="AU1352" s="8" t="str">
        <f>IF(TRIM($G1352)="","",IF(COUNTIF(LISTS!$I$2:$I$16,TRIM($G1352))&gt;0,"COUNTED",IF(COUNTIF(LISTS!$J$2:$J$16,TRIM($G1352))&gt;0,"LEFT OUT","NEW")))</f>
        <v/>
      </c>
    </row>
    <row r="1353" spans="47:47" x14ac:dyDescent="0.25">
      <c r="AU1353" s="8" t="str">
        <f>IF(TRIM($G1353)="","",IF(COUNTIF(LISTS!$I$2:$I$16,TRIM($G1353))&gt;0,"COUNTED",IF(COUNTIF(LISTS!$J$2:$J$16,TRIM($G1353))&gt;0,"LEFT OUT","NEW")))</f>
        <v/>
      </c>
    </row>
    <row r="1354" spans="47:47" x14ac:dyDescent="0.25">
      <c r="AU1354" s="8" t="str">
        <f>IF(TRIM($G1354)="","",IF(COUNTIF(LISTS!$I$2:$I$16,TRIM($G1354))&gt;0,"COUNTED",IF(COUNTIF(LISTS!$J$2:$J$16,TRIM($G1354))&gt;0,"LEFT OUT","NEW")))</f>
        <v/>
      </c>
    </row>
    <row r="1355" spans="47:47" x14ac:dyDescent="0.25">
      <c r="AU1355" s="8" t="str">
        <f>IF(TRIM($G1355)="","",IF(COUNTIF(LISTS!$I$2:$I$16,TRIM($G1355))&gt;0,"COUNTED",IF(COUNTIF(LISTS!$J$2:$J$16,TRIM($G1355))&gt;0,"LEFT OUT","NEW")))</f>
        <v/>
      </c>
    </row>
    <row r="1356" spans="47:47" x14ac:dyDescent="0.25">
      <c r="AU1356" s="8" t="str">
        <f>IF(TRIM($G1356)="","",IF(COUNTIF(LISTS!$I$2:$I$16,TRIM($G1356))&gt;0,"COUNTED",IF(COUNTIF(LISTS!$J$2:$J$16,TRIM($G1356))&gt;0,"LEFT OUT","NEW")))</f>
        <v/>
      </c>
    </row>
    <row r="1357" spans="47:47" x14ac:dyDescent="0.25">
      <c r="AU1357" s="8" t="str">
        <f>IF(TRIM($G1357)="","",IF(COUNTIF(LISTS!$I$2:$I$16,TRIM($G1357))&gt;0,"COUNTED",IF(COUNTIF(LISTS!$J$2:$J$16,TRIM($G1357))&gt;0,"LEFT OUT","NEW")))</f>
        <v/>
      </c>
    </row>
    <row r="1358" spans="47:47" x14ac:dyDescent="0.25">
      <c r="AU1358" s="8" t="str">
        <f>IF(TRIM($G1358)="","",IF(COUNTIF(LISTS!$I$2:$I$16,TRIM($G1358))&gt;0,"COUNTED",IF(COUNTIF(LISTS!$J$2:$J$16,TRIM($G1358))&gt;0,"LEFT OUT","NEW")))</f>
        <v/>
      </c>
    </row>
    <row r="1359" spans="47:47" x14ac:dyDescent="0.25">
      <c r="AU1359" s="8" t="str">
        <f>IF(TRIM($G1359)="","",IF(COUNTIF(LISTS!$I$2:$I$16,TRIM($G1359))&gt;0,"COUNTED",IF(COUNTIF(LISTS!$J$2:$J$16,TRIM($G1359))&gt;0,"LEFT OUT","NEW")))</f>
        <v/>
      </c>
    </row>
    <row r="1360" spans="47:47" x14ac:dyDescent="0.25">
      <c r="AU1360" s="8" t="str">
        <f>IF(TRIM($G1360)="","",IF(COUNTIF(LISTS!$I$2:$I$16,TRIM($G1360))&gt;0,"COUNTED",IF(COUNTIF(LISTS!$J$2:$J$16,TRIM($G1360))&gt;0,"LEFT OUT","NEW")))</f>
        <v/>
      </c>
    </row>
    <row r="1361" spans="47:47" x14ac:dyDescent="0.25">
      <c r="AU1361" s="8" t="str">
        <f>IF(TRIM($G1361)="","",IF(COUNTIF(LISTS!$I$2:$I$16,TRIM($G1361))&gt;0,"COUNTED",IF(COUNTIF(LISTS!$J$2:$J$16,TRIM($G1361))&gt;0,"LEFT OUT","NEW")))</f>
        <v/>
      </c>
    </row>
    <row r="1362" spans="47:47" x14ac:dyDescent="0.25">
      <c r="AU1362" s="8" t="str">
        <f>IF(TRIM($G1362)="","",IF(COUNTIF(LISTS!$I$2:$I$16,TRIM($G1362))&gt;0,"COUNTED",IF(COUNTIF(LISTS!$J$2:$J$16,TRIM($G1362))&gt;0,"LEFT OUT","NEW")))</f>
        <v/>
      </c>
    </row>
    <row r="1363" spans="47:47" x14ac:dyDescent="0.25">
      <c r="AU1363" s="8" t="str">
        <f>IF(TRIM($G1363)="","",IF(COUNTIF(LISTS!$I$2:$I$16,TRIM($G1363))&gt;0,"COUNTED",IF(COUNTIF(LISTS!$J$2:$J$16,TRIM($G1363))&gt;0,"LEFT OUT","NEW")))</f>
        <v/>
      </c>
    </row>
    <row r="1364" spans="47:47" x14ac:dyDescent="0.25">
      <c r="AU1364" s="8" t="str">
        <f>IF(TRIM($G1364)="","",IF(COUNTIF(LISTS!$I$2:$I$16,TRIM($G1364))&gt;0,"COUNTED",IF(COUNTIF(LISTS!$J$2:$J$16,TRIM($G1364))&gt;0,"LEFT OUT","NEW")))</f>
        <v/>
      </c>
    </row>
    <row r="1365" spans="47:47" x14ac:dyDescent="0.25">
      <c r="AU1365" s="8" t="str">
        <f>IF(TRIM($G1365)="","",IF(COUNTIF(LISTS!$I$2:$I$16,TRIM($G1365))&gt;0,"COUNTED",IF(COUNTIF(LISTS!$J$2:$J$16,TRIM($G1365))&gt;0,"LEFT OUT","NEW")))</f>
        <v/>
      </c>
    </row>
    <row r="1366" spans="47:47" x14ac:dyDescent="0.25">
      <c r="AU1366" s="8" t="str">
        <f>IF(TRIM($G1366)="","",IF(COUNTIF(LISTS!$I$2:$I$16,TRIM($G1366))&gt;0,"COUNTED",IF(COUNTIF(LISTS!$J$2:$J$16,TRIM($G1366))&gt;0,"LEFT OUT","NEW")))</f>
        <v/>
      </c>
    </row>
    <row r="1367" spans="47:47" x14ac:dyDescent="0.25">
      <c r="AU1367" s="8" t="str">
        <f>IF(TRIM($G1367)="","",IF(COUNTIF(LISTS!$I$2:$I$16,TRIM($G1367))&gt;0,"COUNTED",IF(COUNTIF(LISTS!$J$2:$J$16,TRIM($G1367))&gt;0,"LEFT OUT","NEW")))</f>
        <v/>
      </c>
    </row>
    <row r="1368" spans="47:47" x14ac:dyDescent="0.25">
      <c r="AU1368" s="8" t="str">
        <f>IF(TRIM($G1368)="","",IF(COUNTIF(LISTS!$I$2:$I$16,TRIM($G1368))&gt;0,"COUNTED",IF(COUNTIF(LISTS!$J$2:$J$16,TRIM($G1368))&gt;0,"LEFT OUT","NEW")))</f>
        <v/>
      </c>
    </row>
    <row r="1369" spans="47:47" x14ac:dyDescent="0.25">
      <c r="AU1369" s="8" t="str">
        <f>IF(TRIM($G1369)="","",IF(COUNTIF(LISTS!$I$2:$I$16,TRIM($G1369))&gt;0,"COUNTED",IF(COUNTIF(LISTS!$J$2:$J$16,TRIM($G1369))&gt;0,"LEFT OUT","NEW")))</f>
        <v/>
      </c>
    </row>
    <row r="1370" spans="47:47" x14ac:dyDescent="0.25">
      <c r="AU1370" s="8" t="str">
        <f>IF(TRIM($G1370)="","",IF(COUNTIF(LISTS!$I$2:$I$16,TRIM($G1370))&gt;0,"COUNTED",IF(COUNTIF(LISTS!$J$2:$J$16,TRIM($G1370))&gt;0,"LEFT OUT","NEW")))</f>
        <v/>
      </c>
    </row>
    <row r="1371" spans="47:47" x14ac:dyDescent="0.25">
      <c r="AU1371" s="8" t="str">
        <f>IF(TRIM($G1371)="","",IF(COUNTIF(LISTS!$I$2:$I$16,TRIM($G1371))&gt;0,"COUNTED",IF(COUNTIF(LISTS!$J$2:$J$16,TRIM($G1371))&gt;0,"LEFT OUT","NEW")))</f>
        <v/>
      </c>
    </row>
    <row r="1372" spans="47:47" x14ac:dyDescent="0.25">
      <c r="AU1372" s="8" t="str">
        <f>IF(TRIM($G1372)="","",IF(COUNTIF(LISTS!$I$2:$I$16,TRIM($G1372))&gt;0,"COUNTED",IF(COUNTIF(LISTS!$J$2:$J$16,TRIM($G1372))&gt;0,"LEFT OUT","NEW")))</f>
        <v/>
      </c>
    </row>
    <row r="1373" spans="47:47" x14ac:dyDescent="0.25">
      <c r="AU1373" s="8" t="str">
        <f>IF(TRIM($G1373)="","",IF(COUNTIF(LISTS!$I$2:$I$16,TRIM($G1373))&gt;0,"COUNTED",IF(COUNTIF(LISTS!$J$2:$J$16,TRIM($G1373))&gt;0,"LEFT OUT","NEW")))</f>
        <v/>
      </c>
    </row>
    <row r="1374" spans="47:47" x14ac:dyDescent="0.25">
      <c r="AU1374" s="8" t="str">
        <f>IF(TRIM($G1374)="","",IF(COUNTIF(LISTS!$I$2:$I$16,TRIM($G1374))&gt;0,"COUNTED",IF(COUNTIF(LISTS!$J$2:$J$16,TRIM($G1374))&gt;0,"LEFT OUT","NEW")))</f>
        <v/>
      </c>
    </row>
    <row r="1375" spans="47:47" x14ac:dyDescent="0.25">
      <c r="AU1375" s="8" t="str">
        <f>IF(TRIM($G1375)="","",IF(COUNTIF(LISTS!$I$2:$I$16,TRIM($G1375))&gt;0,"COUNTED",IF(COUNTIF(LISTS!$J$2:$J$16,TRIM($G1375))&gt;0,"LEFT OUT","NEW")))</f>
        <v/>
      </c>
    </row>
    <row r="1376" spans="47:47" x14ac:dyDescent="0.25">
      <c r="AU1376" s="8" t="str">
        <f>IF(TRIM($G1376)="","",IF(COUNTIF(LISTS!$I$2:$I$16,TRIM($G1376))&gt;0,"COUNTED",IF(COUNTIF(LISTS!$J$2:$J$16,TRIM($G1376))&gt;0,"LEFT OUT","NEW")))</f>
        <v/>
      </c>
    </row>
    <row r="1377" spans="47:47" x14ac:dyDescent="0.25">
      <c r="AU1377" s="8" t="str">
        <f>IF(TRIM($G1377)="","",IF(COUNTIF(LISTS!$I$2:$I$16,TRIM($G1377))&gt;0,"COUNTED",IF(COUNTIF(LISTS!$J$2:$J$16,TRIM($G1377))&gt;0,"LEFT OUT","NEW")))</f>
        <v/>
      </c>
    </row>
    <row r="1378" spans="47:47" x14ac:dyDescent="0.25">
      <c r="AU1378" s="8" t="str">
        <f>IF(TRIM($G1378)="","",IF(COUNTIF(LISTS!$I$2:$I$16,TRIM($G1378))&gt;0,"COUNTED",IF(COUNTIF(LISTS!$J$2:$J$16,TRIM($G1378))&gt;0,"LEFT OUT","NEW")))</f>
        <v/>
      </c>
    </row>
    <row r="1379" spans="47:47" x14ac:dyDescent="0.25">
      <c r="AU1379" s="8" t="str">
        <f>IF(TRIM($G1379)="","",IF(COUNTIF(LISTS!$I$2:$I$16,TRIM($G1379))&gt;0,"COUNTED",IF(COUNTIF(LISTS!$J$2:$J$16,TRIM($G1379))&gt;0,"LEFT OUT","NEW")))</f>
        <v/>
      </c>
    </row>
    <row r="1380" spans="47:47" x14ac:dyDescent="0.25">
      <c r="AU1380" s="8" t="str">
        <f>IF(TRIM($G1380)="","",IF(COUNTIF(LISTS!$I$2:$I$16,TRIM($G1380))&gt;0,"COUNTED",IF(COUNTIF(LISTS!$J$2:$J$16,TRIM($G1380))&gt;0,"LEFT OUT","NEW")))</f>
        <v/>
      </c>
    </row>
    <row r="1381" spans="47:47" x14ac:dyDescent="0.25">
      <c r="AU1381" s="8" t="str">
        <f>IF(TRIM($G1381)="","",IF(COUNTIF(LISTS!$I$2:$I$16,TRIM($G1381))&gt;0,"COUNTED",IF(COUNTIF(LISTS!$J$2:$J$16,TRIM($G1381))&gt;0,"LEFT OUT","NEW")))</f>
        <v/>
      </c>
    </row>
    <row r="1382" spans="47:47" x14ac:dyDescent="0.25">
      <c r="AU1382" s="8" t="str">
        <f>IF(TRIM($G1382)="","",IF(COUNTIF(LISTS!$I$2:$I$16,TRIM($G1382))&gt;0,"COUNTED",IF(COUNTIF(LISTS!$J$2:$J$16,TRIM($G1382))&gt;0,"LEFT OUT","NEW")))</f>
        <v/>
      </c>
    </row>
    <row r="1383" spans="47:47" x14ac:dyDescent="0.25">
      <c r="AU1383" s="8" t="str">
        <f>IF(TRIM($G1383)="","",IF(COUNTIF(LISTS!$I$2:$I$16,TRIM($G1383))&gt;0,"COUNTED",IF(COUNTIF(LISTS!$J$2:$J$16,TRIM($G1383))&gt;0,"LEFT OUT","NEW")))</f>
        <v/>
      </c>
    </row>
    <row r="1384" spans="47:47" x14ac:dyDescent="0.25">
      <c r="AU1384" s="8" t="str">
        <f>IF(TRIM($G1384)="","",IF(COUNTIF(LISTS!$I$2:$I$16,TRIM($G1384))&gt;0,"COUNTED",IF(COUNTIF(LISTS!$J$2:$J$16,TRIM($G1384))&gt;0,"LEFT OUT","NEW")))</f>
        <v/>
      </c>
    </row>
    <row r="1385" spans="47:47" x14ac:dyDescent="0.25">
      <c r="AU1385" s="8" t="str">
        <f>IF(TRIM($G1385)="","",IF(COUNTIF(LISTS!$I$2:$I$16,TRIM($G1385))&gt;0,"COUNTED",IF(COUNTIF(LISTS!$J$2:$J$16,TRIM($G1385))&gt;0,"LEFT OUT","NEW")))</f>
        <v/>
      </c>
    </row>
    <row r="1386" spans="47:47" x14ac:dyDescent="0.25">
      <c r="AU1386" s="8" t="str">
        <f>IF(TRIM($G1386)="","",IF(COUNTIF(LISTS!$I$2:$I$16,TRIM($G1386))&gt;0,"COUNTED",IF(COUNTIF(LISTS!$J$2:$J$16,TRIM($G1386))&gt;0,"LEFT OUT","NEW")))</f>
        <v/>
      </c>
    </row>
    <row r="1387" spans="47:47" x14ac:dyDescent="0.25">
      <c r="AU1387" s="8" t="str">
        <f>IF(TRIM($G1387)="","",IF(COUNTIF(LISTS!$I$2:$I$16,TRIM($G1387))&gt;0,"COUNTED",IF(COUNTIF(LISTS!$J$2:$J$16,TRIM($G1387))&gt;0,"LEFT OUT","NEW")))</f>
        <v/>
      </c>
    </row>
    <row r="1388" spans="47:47" x14ac:dyDescent="0.25">
      <c r="AU1388" s="8" t="str">
        <f>IF(TRIM($G1388)="","",IF(COUNTIF(LISTS!$I$2:$I$16,TRIM($G1388))&gt;0,"COUNTED",IF(COUNTIF(LISTS!$J$2:$J$16,TRIM($G1388))&gt;0,"LEFT OUT","NEW")))</f>
        <v/>
      </c>
    </row>
    <row r="1389" spans="47:47" x14ac:dyDescent="0.25">
      <c r="AU1389" s="8" t="str">
        <f>IF(TRIM($G1389)="","",IF(COUNTIF(LISTS!$I$2:$I$16,TRIM($G1389))&gt;0,"COUNTED",IF(COUNTIF(LISTS!$J$2:$J$16,TRIM($G1389))&gt;0,"LEFT OUT","NEW")))</f>
        <v/>
      </c>
    </row>
    <row r="1390" spans="47:47" x14ac:dyDescent="0.25">
      <c r="AU1390" s="8" t="str">
        <f>IF(TRIM($G1390)="","",IF(COUNTIF(LISTS!$I$2:$I$16,TRIM($G1390))&gt;0,"COUNTED",IF(COUNTIF(LISTS!$J$2:$J$16,TRIM($G1390))&gt;0,"LEFT OUT","NEW")))</f>
        <v/>
      </c>
    </row>
    <row r="1391" spans="47:47" x14ac:dyDescent="0.25">
      <c r="AU1391" s="8" t="str">
        <f>IF(TRIM($G1391)="","",IF(COUNTIF(LISTS!$I$2:$I$16,TRIM($G1391))&gt;0,"COUNTED",IF(COUNTIF(LISTS!$J$2:$J$16,TRIM($G1391))&gt;0,"LEFT OUT","NEW")))</f>
        <v/>
      </c>
    </row>
    <row r="1392" spans="47:47" x14ac:dyDescent="0.25">
      <c r="AU1392" s="8" t="str">
        <f>IF(TRIM($G1392)="","",IF(COUNTIF(LISTS!$I$2:$I$16,TRIM($G1392))&gt;0,"COUNTED",IF(COUNTIF(LISTS!$J$2:$J$16,TRIM($G1392))&gt;0,"LEFT OUT","NEW")))</f>
        <v/>
      </c>
    </row>
    <row r="1393" spans="47:47" x14ac:dyDescent="0.25">
      <c r="AU1393" s="8" t="str">
        <f>IF(TRIM($G1393)="","",IF(COUNTIF(LISTS!$I$2:$I$16,TRIM($G1393))&gt;0,"COUNTED",IF(COUNTIF(LISTS!$J$2:$J$16,TRIM($G1393))&gt;0,"LEFT OUT","NEW")))</f>
        <v/>
      </c>
    </row>
    <row r="1394" spans="47:47" x14ac:dyDescent="0.25">
      <c r="AU1394" s="8" t="str">
        <f>IF(TRIM($G1394)="","",IF(COUNTIF(LISTS!$I$2:$I$16,TRIM($G1394))&gt;0,"COUNTED",IF(COUNTIF(LISTS!$J$2:$J$16,TRIM($G1394))&gt;0,"LEFT OUT","NEW")))</f>
        <v/>
      </c>
    </row>
    <row r="1395" spans="47:47" x14ac:dyDescent="0.25">
      <c r="AU1395" s="8" t="str">
        <f>IF(TRIM($G1395)="","",IF(COUNTIF(LISTS!$I$2:$I$16,TRIM($G1395))&gt;0,"COUNTED",IF(COUNTIF(LISTS!$J$2:$J$16,TRIM($G1395))&gt;0,"LEFT OUT","NEW")))</f>
        <v/>
      </c>
    </row>
    <row r="1396" spans="47:47" x14ac:dyDescent="0.25">
      <c r="AU1396" s="8" t="str">
        <f>IF(TRIM($G1396)="","",IF(COUNTIF(LISTS!$I$2:$I$16,TRIM($G1396))&gt;0,"COUNTED",IF(COUNTIF(LISTS!$J$2:$J$16,TRIM($G1396))&gt;0,"LEFT OUT","NEW")))</f>
        <v/>
      </c>
    </row>
    <row r="1397" spans="47:47" x14ac:dyDescent="0.25">
      <c r="AU1397" s="8" t="str">
        <f>IF(TRIM($G1397)="","",IF(COUNTIF(LISTS!$I$2:$I$16,TRIM($G1397))&gt;0,"COUNTED",IF(COUNTIF(LISTS!$J$2:$J$16,TRIM($G1397))&gt;0,"LEFT OUT","NEW")))</f>
        <v/>
      </c>
    </row>
    <row r="1398" spans="47:47" x14ac:dyDescent="0.25">
      <c r="AU1398" s="8" t="str">
        <f>IF(TRIM($G1398)="","",IF(COUNTIF(LISTS!$I$2:$I$16,TRIM($G1398))&gt;0,"COUNTED",IF(COUNTIF(LISTS!$J$2:$J$16,TRIM($G1398))&gt;0,"LEFT OUT","NEW")))</f>
        <v/>
      </c>
    </row>
    <row r="1399" spans="47:47" x14ac:dyDescent="0.25">
      <c r="AU1399" s="8" t="str">
        <f>IF(TRIM($G1399)="","",IF(COUNTIF(LISTS!$I$2:$I$16,TRIM($G1399))&gt;0,"COUNTED",IF(COUNTIF(LISTS!$J$2:$J$16,TRIM($G1399))&gt;0,"LEFT OUT","NEW")))</f>
        <v/>
      </c>
    </row>
    <row r="1400" spans="47:47" x14ac:dyDescent="0.25">
      <c r="AU1400" s="8" t="str">
        <f>IF(TRIM($G1400)="","",IF(COUNTIF(LISTS!$I$2:$I$16,TRIM($G1400))&gt;0,"COUNTED",IF(COUNTIF(LISTS!$J$2:$J$16,TRIM($G1400))&gt;0,"LEFT OUT","NEW")))</f>
        <v/>
      </c>
    </row>
    <row r="1401" spans="47:47" x14ac:dyDescent="0.25">
      <c r="AU1401" s="8" t="str">
        <f>IF(TRIM($G1401)="","",IF(COUNTIF(LISTS!$I$2:$I$16,TRIM($G1401))&gt;0,"COUNTED",IF(COUNTIF(LISTS!$J$2:$J$16,TRIM($G1401))&gt;0,"LEFT OUT","NEW")))</f>
        <v/>
      </c>
    </row>
    <row r="1402" spans="47:47" x14ac:dyDescent="0.25">
      <c r="AU1402" s="8" t="str">
        <f>IF(TRIM($G1402)="","",IF(COUNTIF(LISTS!$I$2:$I$16,TRIM($G1402))&gt;0,"COUNTED",IF(COUNTIF(LISTS!$J$2:$J$16,TRIM($G1402))&gt;0,"LEFT OUT","NEW")))</f>
        <v/>
      </c>
    </row>
    <row r="1403" spans="47:47" x14ac:dyDescent="0.25">
      <c r="AU1403" s="8" t="str">
        <f>IF(TRIM($G1403)="","",IF(COUNTIF(LISTS!$I$2:$I$16,TRIM($G1403))&gt;0,"COUNTED",IF(COUNTIF(LISTS!$J$2:$J$16,TRIM($G1403))&gt;0,"LEFT OUT","NEW")))</f>
        <v/>
      </c>
    </row>
    <row r="1404" spans="47:47" x14ac:dyDescent="0.25">
      <c r="AU1404" s="8" t="str">
        <f>IF(TRIM($G1404)="","",IF(COUNTIF(LISTS!$I$2:$I$16,TRIM($G1404))&gt;0,"COUNTED",IF(COUNTIF(LISTS!$J$2:$J$16,TRIM($G1404))&gt;0,"LEFT OUT","NEW")))</f>
        <v/>
      </c>
    </row>
    <row r="1405" spans="47:47" x14ac:dyDescent="0.25">
      <c r="AU1405" s="8" t="str">
        <f>IF(TRIM($G1405)="","",IF(COUNTIF(LISTS!$I$2:$I$16,TRIM($G1405))&gt;0,"COUNTED",IF(COUNTIF(LISTS!$J$2:$J$16,TRIM($G1405))&gt;0,"LEFT OUT","NEW")))</f>
        <v/>
      </c>
    </row>
    <row r="1406" spans="47:47" x14ac:dyDescent="0.25">
      <c r="AU1406" s="8" t="str">
        <f>IF(TRIM($G1406)="","",IF(COUNTIF(LISTS!$I$2:$I$16,TRIM($G1406))&gt;0,"COUNTED",IF(COUNTIF(LISTS!$J$2:$J$16,TRIM($G1406))&gt;0,"LEFT OUT","NEW")))</f>
        <v/>
      </c>
    </row>
    <row r="1407" spans="47:47" x14ac:dyDescent="0.25">
      <c r="AU1407" s="8" t="str">
        <f>IF(TRIM($G1407)="","",IF(COUNTIF(LISTS!$I$2:$I$16,TRIM($G1407))&gt;0,"COUNTED",IF(COUNTIF(LISTS!$J$2:$J$16,TRIM($G1407))&gt;0,"LEFT OUT","NEW")))</f>
        <v/>
      </c>
    </row>
    <row r="1408" spans="47:47" x14ac:dyDescent="0.25">
      <c r="AU1408" s="8" t="str">
        <f>IF(TRIM($G1408)="","",IF(COUNTIF(LISTS!$I$2:$I$16,TRIM($G1408))&gt;0,"COUNTED",IF(COUNTIF(LISTS!$J$2:$J$16,TRIM($G1408))&gt;0,"LEFT OUT","NEW")))</f>
        <v/>
      </c>
    </row>
    <row r="1409" spans="47:47" x14ac:dyDescent="0.25">
      <c r="AU1409" s="8" t="str">
        <f>IF(TRIM($G1409)="","",IF(COUNTIF(LISTS!$I$2:$I$16,TRIM($G1409))&gt;0,"COUNTED",IF(COUNTIF(LISTS!$J$2:$J$16,TRIM($G1409))&gt;0,"LEFT OUT","NEW")))</f>
        <v/>
      </c>
    </row>
    <row r="1410" spans="47:47" x14ac:dyDescent="0.25">
      <c r="AU1410" s="8" t="str">
        <f>IF(TRIM($G1410)="","",IF(COUNTIF(LISTS!$I$2:$I$16,TRIM($G1410))&gt;0,"COUNTED",IF(COUNTIF(LISTS!$J$2:$J$16,TRIM($G1410))&gt;0,"LEFT OUT","NEW")))</f>
        <v/>
      </c>
    </row>
    <row r="1411" spans="47:47" x14ac:dyDescent="0.25">
      <c r="AU1411" s="8" t="str">
        <f>IF(TRIM($G1411)="","",IF(COUNTIF(LISTS!$I$2:$I$16,TRIM($G1411))&gt;0,"COUNTED",IF(COUNTIF(LISTS!$J$2:$J$16,TRIM($G1411))&gt;0,"LEFT OUT","NEW")))</f>
        <v/>
      </c>
    </row>
    <row r="1412" spans="47:47" x14ac:dyDescent="0.25">
      <c r="AU1412" s="8" t="str">
        <f>IF(TRIM($G1412)="","",IF(COUNTIF(LISTS!$I$2:$I$16,TRIM($G1412))&gt;0,"COUNTED",IF(COUNTIF(LISTS!$J$2:$J$16,TRIM($G1412))&gt;0,"LEFT OUT","NEW")))</f>
        <v/>
      </c>
    </row>
    <row r="1413" spans="47:47" x14ac:dyDescent="0.25">
      <c r="AU1413" s="8" t="str">
        <f>IF(TRIM($G1413)="","",IF(COUNTIF(LISTS!$I$2:$I$16,TRIM($G1413))&gt;0,"COUNTED",IF(COUNTIF(LISTS!$J$2:$J$16,TRIM($G1413))&gt;0,"LEFT OUT","NEW")))</f>
        <v/>
      </c>
    </row>
    <row r="1414" spans="47:47" x14ac:dyDescent="0.25">
      <c r="AU1414" s="8" t="str">
        <f>IF(TRIM($G1414)="","",IF(COUNTIF(LISTS!$I$2:$I$16,TRIM($G1414))&gt;0,"COUNTED",IF(COUNTIF(LISTS!$J$2:$J$16,TRIM($G1414))&gt;0,"LEFT OUT","NEW")))</f>
        <v/>
      </c>
    </row>
    <row r="1415" spans="47:47" x14ac:dyDescent="0.25">
      <c r="AU1415" s="8" t="str">
        <f>IF(TRIM($G1415)="","",IF(COUNTIF(LISTS!$I$2:$I$16,TRIM($G1415))&gt;0,"COUNTED",IF(COUNTIF(LISTS!$J$2:$J$16,TRIM($G1415))&gt;0,"LEFT OUT","NEW")))</f>
        <v/>
      </c>
    </row>
    <row r="1416" spans="47:47" x14ac:dyDescent="0.25">
      <c r="AU1416" s="8" t="str">
        <f>IF(TRIM($G1416)="","",IF(COUNTIF(LISTS!$I$2:$I$16,TRIM($G1416))&gt;0,"COUNTED",IF(COUNTIF(LISTS!$J$2:$J$16,TRIM($G1416))&gt;0,"LEFT OUT","NEW")))</f>
        <v/>
      </c>
    </row>
    <row r="1417" spans="47:47" x14ac:dyDescent="0.25">
      <c r="AU1417" s="8" t="str">
        <f>IF(TRIM($G1417)="","",IF(COUNTIF(LISTS!$I$2:$I$16,TRIM($G1417))&gt;0,"COUNTED",IF(COUNTIF(LISTS!$J$2:$J$16,TRIM($G1417))&gt;0,"LEFT OUT","NEW")))</f>
        <v/>
      </c>
    </row>
    <row r="1418" spans="47:47" x14ac:dyDescent="0.25">
      <c r="AU1418" s="8" t="str">
        <f>IF(TRIM($G1418)="","",IF(COUNTIF(LISTS!$I$2:$I$16,TRIM($G1418))&gt;0,"COUNTED",IF(COUNTIF(LISTS!$J$2:$J$16,TRIM($G1418))&gt;0,"LEFT OUT","NEW")))</f>
        <v/>
      </c>
    </row>
    <row r="1419" spans="47:47" x14ac:dyDescent="0.25">
      <c r="AU1419" s="8" t="str">
        <f>IF(TRIM($G1419)="","",IF(COUNTIF(LISTS!$I$2:$I$16,TRIM($G1419))&gt;0,"COUNTED",IF(COUNTIF(LISTS!$J$2:$J$16,TRIM($G1419))&gt;0,"LEFT OUT","NEW")))</f>
        <v/>
      </c>
    </row>
    <row r="1420" spans="47:47" x14ac:dyDescent="0.25">
      <c r="AU1420" s="8" t="str">
        <f>IF(TRIM($G1420)="","",IF(COUNTIF(LISTS!$I$2:$I$16,TRIM($G1420))&gt;0,"COUNTED",IF(COUNTIF(LISTS!$J$2:$J$16,TRIM($G1420))&gt;0,"LEFT OUT","NEW")))</f>
        <v/>
      </c>
    </row>
    <row r="1421" spans="47:47" x14ac:dyDescent="0.25">
      <c r="AU1421" s="8" t="str">
        <f>IF(TRIM($G1421)="","",IF(COUNTIF(LISTS!$I$2:$I$16,TRIM($G1421))&gt;0,"COUNTED",IF(COUNTIF(LISTS!$J$2:$J$16,TRIM($G1421))&gt;0,"LEFT OUT","NEW")))</f>
        <v/>
      </c>
    </row>
    <row r="1422" spans="47:47" x14ac:dyDescent="0.25">
      <c r="AU1422" s="8" t="str">
        <f>IF(TRIM($G1422)="","",IF(COUNTIF(LISTS!$I$2:$I$16,TRIM($G1422))&gt;0,"COUNTED",IF(COUNTIF(LISTS!$J$2:$J$16,TRIM($G1422))&gt;0,"LEFT OUT","NEW")))</f>
        <v/>
      </c>
    </row>
    <row r="1423" spans="47:47" x14ac:dyDescent="0.25">
      <c r="AU1423" s="8" t="str">
        <f>IF(TRIM($G1423)="","",IF(COUNTIF(LISTS!$I$2:$I$16,TRIM($G1423))&gt;0,"COUNTED",IF(COUNTIF(LISTS!$J$2:$J$16,TRIM($G1423))&gt;0,"LEFT OUT","NEW")))</f>
        <v/>
      </c>
    </row>
    <row r="1424" spans="47:47" x14ac:dyDescent="0.25">
      <c r="AU1424" s="8" t="str">
        <f>IF(TRIM($G1424)="","",IF(COUNTIF(LISTS!$I$2:$I$16,TRIM($G1424))&gt;0,"COUNTED",IF(COUNTIF(LISTS!$J$2:$J$16,TRIM($G1424))&gt;0,"LEFT OUT","NEW")))</f>
        <v/>
      </c>
    </row>
    <row r="1425" spans="47:47" x14ac:dyDescent="0.25">
      <c r="AU1425" s="8" t="str">
        <f>IF(TRIM($G1425)="","",IF(COUNTIF(LISTS!$I$2:$I$16,TRIM($G1425))&gt;0,"COUNTED",IF(COUNTIF(LISTS!$J$2:$J$16,TRIM($G1425))&gt;0,"LEFT OUT","NEW")))</f>
        <v/>
      </c>
    </row>
    <row r="1426" spans="47:47" x14ac:dyDescent="0.25">
      <c r="AU1426" s="8" t="str">
        <f>IF(TRIM($G1426)="","",IF(COUNTIF(LISTS!$I$2:$I$16,TRIM($G1426))&gt;0,"COUNTED",IF(COUNTIF(LISTS!$J$2:$J$16,TRIM($G1426))&gt;0,"LEFT OUT","NEW")))</f>
        <v/>
      </c>
    </row>
    <row r="1427" spans="47:47" x14ac:dyDescent="0.25">
      <c r="AU1427" s="8" t="str">
        <f>IF(TRIM($G1427)="","",IF(COUNTIF(LISTS!$I$2:$I$16,TRIM($G1427))&gt;0,"COUNTED",IF(COUNTIF(LISTS!$J$2:$J$16,TRIM($G1427))&gt;0,"LEFT OUT","NEW")))</f>
        <v/>
      </c>
    </row>
    <row r="1428" spans="47:47" x14ac:dyDescent="0.25">
      <c r="AU1428" s="8" t="str">
        <f>IF(TRIM($G1428)="","",IF(COUNTIF(LISTS!$I$2:$I$16,TRIM($G1428))&gt;0,"COUNTED",IF(COUNTIF(LISTS!$J$2:$J$16,TRIM($G1428))&gt;0,"LEFT OUT","NEW")))</f>
        <v/>
      </c>
    </row>
    <row r="1429" spans="47:47" x14ac:dyDescent="0.25">
      <c r="AU1429" s="8" t="str">
        <f>IF(TRIM($G1429)="","",IF(COUNTIF(LISTS!$I$2:$I$16,TRIM($G1429))&gt;0,"COUNTED",IF(COUNTIF(LISTS!$J$2:$J$16,TRIM($G1429))&gt;0,"LEFT OUT","NEW")))</f>
        <v/>
      </c>
    </row>
    <row r="1430" spans="47:47" x14ac:dyDescent="0.25">
      <c r="AU1430" s="8" t="str">
        <f>IF(TRIM($G1430)="","",IF(COUNTIF(LISTS!$I$2:$I$16,TRIM($G1430))&gt;0,"COUNTED",IF(COUNTIF(LISTS!$J$2:$J$16,TRIM($G1430))&gt;0,"LEFT OUT","NEW")))</f>
        <v/>
      </c>
    </row>
    <row r="1431" spans="47:47" x14ac:dyDescent="0.25">
      <c r="AU1431" s="8" t="str">
        <f>IF(TRIM($G1431)="","",IF(COUNTIF(LISTS!$I$2:$I$16,TRIM($G1431))&gt;0,"COUNTED",IF(COUNTIF(LISTS!$J$2:$J$16,TRIM($G1431))&gt;0,"LEFT OUT","NEW")))</f>
        <v/>
      </c>
    </row>
    <row r="1432" spans="47:47" x14ac:dyDescent="0.25">
      <c r="AU1432" s="8" t="str">
        <f>IF(TRIM($G1432)="","",IF(COUNTIF(LISTS!$I$2:$I$16,TRIM($G1432))&gt;0,"COUNTED",IF(COUNTIF(LISTS!$J$2:$J$16,TRIM($G1432))&gt;0,"LEFT OUT","NEW")))</f>
        <v/>
      </c>
    </row>
    <row r="1433" spans="47:47" x14ac:dyDescent="0.25">
      <c r="AU1433" s="8" t="str">
        <f>IF(TRIM($G1433)="","",IF(COUNTIF(LISTS!$I$2:$I$16,TRIM($G1433))&gt;0,"COUNTED",IF(COUNTIF(LISTS!$J$2:$J$16,TRIM($G1433))&gt;0,"LEFT OUT","NEW")))</f>
        <v/>
      </c>
    </row>
    <row r="1434" spans="47:47" x14ac:dyDescent="0.25">
      <c r="AU1434" s="8" t="str">
        <f>IF(TRIM($G1434)="","",IF(COUNTIF(LISTS!$I$2:$I$16,TRIM($G1434))&gt;0,"COUNTED",IF(COUNTIF(LISTS!$J$2:$J$16,TRIM($G1434))&gt;0,"LEFT OUT","NEW")))</f>
        <v/>
      </c>
    </row>
    <row r="1435" spans="47:47" x14ac:dyDescent="0.25">
      <c r="AU1435" s="8" t="str">
        <f>IF(TRIM($G1435)="","",IF(COUNTIF(LISTS!$I$2:$I$16,TRIM($G1435))&gt;0,"COUNTED",IF(COUNTIF(LISTS!$J$2:$J$16,TRIM($G1435))&gt;0,"LEFT OUT","NEW")))</f>
        <v/>
      </c>
    </row>
    <row r="1436" spans="47:47" x14ac:dyDescent="0.25">
      <c r="AU1436" s="8" t="str">
        <f>IF(TRIM($G1436)="","",IF(COUNTIF(LISTS!$I$2:$I$16,TRIM($G1436))&gt;0,"COUNTED",IF(COUNTIF(LISTS!$J$2:$J$16,TRIM($G1436))&gt;0,"LEFT OUT","NEW")))</f>
        <v/>
      </c>
    </row>
    <row r="1437" spans="47:47" x14ac:dyDescent="0.25">
      <c r="AU1437" s="8" t="str">
        <f>IF(TRIM($G1437)="","",IF(COUNTIF(LISTS!$I$2:$I$16,TRIM($G1437))&gt;0,"COUNTED",IF(COUNTIF(LISTS!$J$2:$J$16,TRIM($G1437))&gt;0,"LEFT OUT","NEW")))</f>
        <v/>
      </c>
    </row>
    <row r="1438" spans="47:47" x14ac:dyDescent="0.25">
      <c r="AU1438" s="8" t="str">
        <f>IF(TRIM($G1438)="","",IF(COUNTIF(LISTS!$I$2:$I$16,TRIM($G1438))&gt;0,"COUNTED",IF(COUNTIF(LISTS!$J$2:$J$16,TRIM($G1438))&gt;0,"LEFT OUT","NEW")))</f>
        <v/>
      </c>
    </row>
    <row r="1439" spans="47:47" x14ac:dyDescent="0.25">
      <c r="AU1439" s="8" t="str">
        <f>IF(TRIM($G1439)="","",IF(COUNTIF(LISTS!$I$2:$I$16,TRIM($G1439))&gt;0,"COUNTED",IF(COUNTIF(LISTS!$J$2:$J$16,TRIM($G1439))&gt;0,"LEFT OUT","NEW")))</f>
        <v/>
      </c>
    </row>
    <row r="1440" spans="47:47" x14ac:dyDescent="0.25">
      <c r="AU1440" s="8" t="str">
        <f>IF(TRIM($G1440)="","",IF(COUNTIF(LISTS!$I$2:$I$16,TRIM($G1440))&gt;0,"COUNTED",IF(COUNTIF(LISTS!$J$2:$J$16,TRIM($G1440))&gt;0,"LEFT OUT","NEW")))</f>
        <v/>
      </c>
    </row>
    <row r="1441" spans="47:47" x14ac:dyDescent="0.25">
      <c r="AU1441" s="8" t="str">
        <f>IF(TRIM($G1441)="","",IF(COUNTIF(LISTS!$I$2:$I$16,TRIM($G1441))&gt;0,"COUNTED",IF(COUNTIF(LISTS!$J$2:$J$16,TRIM($G1441))&gt;0,"LEFT OUT","NEW")))</f>
        <v/>
      </c>
    </row>
    <row r="1442" spans="47:47" x14ac:dyDescent="0.25">
      <c r="AU1442" s="8" t="str">
        <f>IF(TRIM($G1442)="","",IF(COUNTIF(LISTS!$I$2:$I$16,TRIM($G1442))&gt;0,"COUNTED",IF(COUNTIF(LISTS!$J$2:$J$16,TRIM($G1442))&gt;0,"LEFT OUT","NEW")))</f>
        <v/>
      </c>
    </row>
    <row r="1443" spans="47:47" x14ac:dyDescent="0.25">
      <c r="AU1443" s="8" t="str">
        <f>IF(TRIM($G1443)="","",IF(COUNTIF(LISTS!$I$2:$I$16,TRIM($G1443))&gt;0,"COUNTED",IF(COUNTIF(LISTS!$J$2:$J$16,TRIM($G1443))&gt;0,"LEFT OUT","NEW")))</f>
        <v/>
      </c>
    </row>
    <row r="1444" spans="47:47" x14ac:dyDescent="0.25">
      <c r="AU1444" s="8" t="str">
        <f>IF(TRIM($G1444)="","",IF(COUNTIF(LISTS!$I$2:$I$16,TRIM($G1444))&gt;0,"COUNTED",IF(COUNTIF(LISTS!$J$2:$J$16,TRIM($G1444))&gt;0,"LEFT OUT","NEW")))</f>
        <v/>
      </c>
    </row>
    <row r="1445" spans="47:47" x14ac:dyDescent="0.25">
      <c r="AU1445" s="8" t="str">
        <f>IF(TRIM($G1445)="","",IF(COUNTIF(LISTS!$I$2:$I$16,TRIM($G1445))&gt;0,"COUNTED",IF(COUNTIF(LISTS!$J$2:$J$16,TRIM($G1445))&gt;0,"LEFT OUT","NEW")))</f>
        <v/>
      </c>
    </row>
    <row r="1446" spans="47:47" x14ac:dyDescent="0.25">
      <c r="AU1446" s="8" t="str">
        <f>IF(TRIM($G1446)="","",IF(COUNTIF(LISTS!$I$2:$I$16,TRIM($G1446))&gt;0,"COUNTED",IF(COUNTIF(LISTS!$J$2:$J$16,TRIM($G1446))&gt;0,"LEFT OUT","NEW")))</f>
        <v/>
      </c>
    </row>
    <row r="1447" spans="47:47" x14ac:dyDescent="0.25">
      <c r="AU1447" s="8" t="str">
        <f>IF(TRIM($G1447)="","",IF(COUNTIF(LISTS!$I$2:$I$16,TRIM($G1447))&gt;0,"COUNTED",IF(COUNTIF(LISTS!$J$2:$J$16,TRIM($G1447))&gt;0,"LEFT OUT","NEW")))</f>
        <v/>
      </c>
    </row>
    <row r="1448" spans="47:47" x14ac:dyDescent="0.25">
      <c r="AU1448" s="8" t="str">
        <f>IF(TRIM($G1448)="","",IF(COUNTIF(LISTS!$I$2:$I$16,TRIM($G1448))&gt;0,"COUNTED",IF(COUNTIF(LISTS!$J$2:$J$16,TRIM($G1448))&gt;0,"LEFT OUT","NEW")))</f>
        <v/>
      </c>
    </row>
    <row r="1449" spans="47:47" x14ac:dyDescent="0.25">
      <c r="AU1449" s="8" t="str">
        <f>IF(TRIM($G1449)="","",IF(COUNTIF(LISTS!$I$2:$I$16,TRIM($G1449))&gt;0,"COUNTED",IF(COUNTIF(LISTS!$J$2:$J$16,TRIM($G1449))&gt;0,"LEFT OUT","NEW")))</f>
        <v/>
      </c>
    </row>
    <row r="1450" spans="47:47" x14ac:dyDescent="0.25">
      <c r="AU1450" s="8" t="str">
        <f>IF(TRIM($G1450)="","",IF(COUNTIF(LISTS!$I$2:$I$16,TRIM($G1450))&gt;0,"COUNTED",IF(COUNTIF(LISTS!$J$2:$J$16,TRIM($G1450))&gt;0,"LEFT OUT","NEW")))</f>
        <v/>
      </c>
    </row>
    <row r="1451" spans="47:47" x14ac:dyDescent="0.25">
      <c r="AU1451" s="8" t="str">
        <f>IF(TRIM($G1451)="","",IF(COUNTIF(LISTS!$I$2:$I$16,TRIM($G1451))&gt;0,"COUNTED",IF(COUNTIF(LISTS!$J$2:$J$16,TRIM($G1451))&gt;0,"LEFT OUT","NEW")))</f>
        <v/>
      </c>
    </row>
    <row r="1452" spans="47:47" x14ac:dyDescent="0.25">
      <c r="AU1452" s="8" t="str">
        <f>IF(TRIM($G1452)="","",IF(COUNTIF(LISTS!$I$2:$I$16,TRIM($G1452))&gt;0,"COUNTED",IF(COUNTIF(LISTS!$J$2:$J$16,TRIM($G1452))&gt;0,"LEFT OUT","NEW")))</f>
        <v/>
      </c>
    </row>
    <row r="1453" spans="47:47" x14ac:dyDescent="0.25">
      <c r="AU1453" s="8" t="str">
        <f>IF(TRIM($G1453)="","",IF(COUNTIF(LISTS!$I$2:$I$16,TRIM($G1453))&gt;0,"COUNTED",IF(COUNTIF(LISTS!$J$2:$J$16,TRIM($G1453))&gt;0,"LEFT OUT","NEW")))</f>
        <v/>
      </c>
    </row>
    <row r="1454" spans="47:47" x14ac:dyDescent="0.25">
      <c r="AU1454" s="8" t="str">
        <f>IF(TRIM($G1454)="","",IF(COUNTIF(LISTS!$I$2:$I$16,TRIM($G1454))&gt;0,"COUNTED",IF(COUNTIF(LISTS!$J$2:$J$16,TRIM($G1454))&gt;0,"LEFT OUT","NEW")))</f>
        <v/>
      </c>
    </row>
    <row r="1455" spans="47:47" x14ac:dyDescent="0.25">
      <c r="AU1455" s="8" t="str">
        <f>IF(TRIM($G1455)="","",IF(COUNTIF(LISTS!$I$2:$I$16,TRIM($G1455))&gt;0,"COUNTED",IF(COUNTIF(LISTS!$J$2:$J$16,TRIM($G1455))&gt;0,"LEFT OUT","NEW")))</f>
        <v/>
      </c>
    </row>
    <row r="1456" spans="47:47" x14ac:dyDescent="0.25">
      <c r="AU1456" s="8" t="str">
        <f>IF(TRIM($G1456)="","",IF(COUNTIF(LISTS!$I$2:$I$16,TRIM($G1456))&gt;0,"COUNTED",IF(COUNTIF(LISTS!$J$2:$J$16,TRIM($G1456))&gt;0,"LEFT OUT","NEW")))</f>
        <v/>
      </c>
    </row>
    <row r="1457" spans="47:47" x14ac:dyDescent="0.25">
      <c r="AU1457" s="8" t="str">
        <f>IF(TRIM($G1457)="","",IF(COUNTIF(LISTS!$I$2:$I$16,TRIM($G1457))&gt;0,"COUNTED",IF(COUNTIF(LISTS!$J$2:$J$16,TRIM($G1457))&gt;0,"LEFT OUT","NEW")))</f>
        <v/>
      </c>
    </row>
    <row r="1458" spans="47:47" x14ac:dyDescent="0.25">
      <c r="AU1458" s="8" t="str">
        <f>IF(TRIM($G1458)="","",IF(COUNTIF(LISTS!$I$2:$I$16,TRIM($G1458))&gt;0,"COUNTED",IF(COUNTIF(LISTS!$J$2:$J$16,TRIM($G1458))&gt;0,"LEFT OUT","NEW")))</f>
        <v/>
      </c>
    </row>
    <row r="1459" spans="47:47" x14ac:dyDescent="0.25">
      <c r="AU1459" s="8" t="str">
        <f>IF(TRIM($G1459)="","",IF(COUNTIF(LISTS!$I$2:$I$16,TRIM($G1459))&gt;0,"COUNTED",IF(COUNTIF(LISTS!$J$2:$J$16,TRIM($G1459))&gt;0,"LEFT OUT","NEW")))</f>
        <v/>
      </c>
    </row>
    <row r="1460" spans="47:47" x14ac:dyDescent="0.25">
      <c r="AU1460" s="8" t="str">
        <f>IF(TRIM($G1460)="","",IF(COUNTIF(LISTS!$I$2:$I$16,TRIM($G1460))&gt;0,"COUNTED",IF(COUNTIF(LISTS!$J$2:$J$16,TRIM($G1460))&gt;0,"LEFT OUT","NEW")))</f>
        <v/>
      </c>
    </row>
    <row r="1461" spans="47:47" x14ac:dyDescent="0.25">
      <c r="AU1461" s="8" t="str">
        <f>IF(TRIM($G1461)="","",IF(COUNTIF(LISTS!$I$2:$I$16,TRIM($G1461))&gt;0,"COUNTED",IF(COUNTIF(LISTS!$J$2:$J$16,TRIM($G1461))&gt;0,"LEFT OUT","NEW")))</f>
        <v/>
      </c>
    </row>
    <row r="1462" spans="47:47" x14ac:dyDescent="0.25">
      <c r="AU1462" s="8" t="str">
        <f>IF(TRIM($G1462)="","",IF(COUNTIF(LISTS!$I$2:$I$16,TRIM($G1462))&gt;0,"COUNTED",IF(COUNTIF(LISTS!$J$2:$J$16,TRIM($G1462))&gt;0,"LEFT OUT","NEW")))</f>
        <v/>
      </c>
    </row>
    <row r="1463" spans="47:47" x14ac:dyDescent="0.25">
      <c r="AU1463" s="8" t="str">
        <f>IF(TRIM($G1463)="","",IF(COUNTIF(LISTS!$I$2:$I$16,TRIM($G1463))&gt;0,"COUNTED",IF(COUNTIF(LISTS!$J$2:$J$16,TRIM($G1463))&gt;0,"LEFT OUT","NEW")))</f>
        <v/>
      </c>
    </row>
    <row r="1464" spans="47:47" x14ac:dyDescent="0.25">
      <c r="AU1464" s="8" t="str">
        <f>IF(TRIM($G1464)="","",IF(COUNTIF(LISTS!$I$2:$I$16,TRIM($G1464))&gt;0,"COUNTED",IF(COUNTIF(LISTS!$J$2:$J$16,TRIM($G1464))&gt;0,"LEFT OUT","NEW")))</f>
        <v/>
      </c>
    </row>
    <row r="1465" spans="47:47" x14ac:dyDescent="0.25">
      <c r="AU1465" s="8" t="str">
        <f>IF(TRIM($G1465)="","",IF(COUNTIF(LISTS!$I$2:$I$16,TRIM($G1465))&gt;0,"COUNTED",IF(COUNTIF(LISTS!$J$2:$J$16,TRIM($G1465))&gt;0,"LEFT OUT","NEW")))</f>
        <v/>
      </c>
    </row>
    <row r="1466" spans="47:47" x14ac:dyDescent="0.25">
      <c r="AU1466" s="8" t="str">
        <f>IF(TRIM($G1466)="","",IF(COUNTIF(LISTS!$I$2:$I$16,TRIM($G1466))&gt;0,"COUNTED",IF(COUNTIF(LISTS!$J$2:$J$16,TRIM($G1466))&gt;0,"LEFT OUT","NEW")))</f>
        <v/>
      </c>
    </row>
    <row r="1467" spans="47:47" x14ac:dyDescent="0.25">
      <c r="AU1467" s="8" t="str">
        <f>IF(TRIM($G1467)="","",IF(COUNTIF(LISTS!$I$2:$I$16,TRIM($G1467))&gt;0,"COUNTED",IF(COUNTIF(LISTS!$J$2:$J$16,TRIM($G1467))&gt;0,"LEFT OUT","NEW")))</f>
        <v/>
      </c>
    </row>
    <row r="1468" spans="47:47" x14ac:dyDescent="0.25">
      <c r="AU1468" s="8" t="str">
        <f>IF(TRIM($G1468)="","",IF(COUNTIF(LISTS!$I$2:$I$16,TRIM($G1468))&gt;0,"COUNTED",IF(COUNTIF(LISTS!$J$2:$J$16,TRIM($G1468))&gt;0,"LEFT OUT","NEW")))</f>
        <v/>
      </c>
    </row>
    <row r="1469" spans="47:47" x14ac:dyDescent="0.25">
      <c r="AU1469" s="8" t="str">
        <f>IF(TRIM($G1469)="","",IF(COUNTIF(LISTS!$I$2:$I$16,TRIM($G1469))&gt;0,"COUNTED",IF(COUNTIF(LISTS!$J$2:$J$16,TRIM($G1469))&gt;0,"LEFT OUT","NEW")))</f>
        <v/>
      </c>
    </row>
    <row r="1470" spans="47:47" x14ac:dyDescent="0.25">
      <c r="AU1470" s="8" t="str">
        <f>IF(TRIM($G1470)="","",IF(COUNTIF(LISTS!$I$2:$I$16,TRIM($G1470))&gt;0,"COUNTED",IF(COUNTIF(LISTS!$J$2:$J$16,TRIM($G1470))&gt;0,"LEFT OUT","NEW")))</f>
        <v/>
      </c>
    </row>
    <row r="1471" spans="47:47" x14ac:dyDescent="0.25">
      <c r="AU1471" s="8" t="str">
        <f>IF(TRIM($G1471)="","",IF(COUNTIF(LISTS!$I$2:$I$16,TRIM($G1471))&gt;0,"COUNTED",IF(COUNTIF(LISTS!$J$2:$J$16,TRIM($G1471))&gt;0,"LEFT OUT","NEW")))</f>
        <v/>
      </c>
    </row>
    <row r="1472" spans="47:47" x14ac:dyDescent="0.25">
      <c r="AU1472" s="8" t="str">
        <f>IF(TRIM($G1472)="","",IF(COUNTIF(LISTS!$I$2:$I$16,TRIM($G1472))&gt;0,"COUNTED",IF(COUNTIF(LISTS!$J$2:$J$16,TRIM($G1472))&gt;0,"LEFT OUT","NEW")))</f>
        <v/>
      </c>
    </row>
    <row r="1473" spans="47:47" x14ac:dyDescent="0.25">
      <c r="AU1473" s="8" t="str">
        <f>IF(TRIM($G1473)="","",IF(COUNTIF(LISTS!$I$2:$I$16,TRIM($G1473))&gt;0,"COUNTED",IF(COUNTIF(LISTS!$J$2:$J$16,TRIM($G1473))&gt;0,"LEFT OUT","NEW")))</f>
        <v/>
      </c>
    </row>
    <row r="1474" spans="47:47" x14ac:dyDescent="0.25">
      <c r="AU1474" s="8" t="str">
        <f>IF(TRIM($G1474)="","",IF(COUNTIF(LISTS!$I$2:$I$16,TRIM($G1474))&gt;0,"COUNTED",IF(COUNTIF(LISTS!$J$2:$J$16,TRIM($G1474))&gt;0,"LEFT OUT","NEW")))</f>
        <v/>
      </c>
    </row>
    <row r="1475" spans="47:47" x14ac:dyDescent="0.25">
      <c r="AU1475" s="8" t="str">
        <f>IF(TRIM($G1475)="","",IF(COUNTIF(LISTS!$I$2:$I$16,TRIM($G1475))&gt;0,"COUNTED",IF(COUNTIF(LISTS!$J$2:$J$16,TRIM($G1475))&gt;0,"LEFT OUT","NEW")))</f>
        <v/>
      </c>
    </row>
    <row r="1476" spans="47:47" x14ac:dyDescent="0.25">
      <c r="AU1476" s="8" t="str">
        <f>IF(TRIM($G1476)="","",IF(COUNTIF(LISTS!$I$2:$I$16,TRIM($G1476))&gt;0,"COUNTED",IF(COUNTIF(LISTS!$J$2:$J$16,TRIM($G1476))&gt;0,"LEFT OUT","NEW")))</f>
        <v/>
      </c>
    </row>
    <row r="1477" spans="47:47" x14ac:dyDescent="0.25">
      <c r="AU1477" s="8" t="str">
        <f>IF(TRIM($G1477)="","",IF(COUNTIF(LISTS!$I$2:$I$16,TRIM($G1477))&gt;0,"COUNTED",IF(COUNTIF(LISTS!$J$2:$J$16,TRIM($G1477))&gt;0,"LEFT OUT","NEW")))</f>
        <v/>
      </c>
    </row>
    <row r="1478" spans="47:47" x14ac:dyDescent="0.25">
      <c r="AU1478" s="8" t="str">
        <f>IF(TRIM($G1478)="","",IF(COUNTIF(LISTS!$I$2:$I$16,TRIM($G1478))&gt;0,"COUNTED",IF(COUNTIF(LISTS!$J$2:$J$16,TRIM($G1478))&gt;0,"LEFT OUT","NEW")))</f>
        <v/>
      </c>
    </row>
    <row r="1479" spans="47:47" x14ac:dyDescent="0.25">
      <c r="AU1479" s="8" t="str">
        <f>IF(TRIM($G1479)="","",IF(COUNTIF(LISTS!$I$2:$I$16,TRIM($G1479))&gt;0,"COUNTED",IF(COUNTIF(LISTS!$J$2:$J$16,TRIM($G1479))&gt;0,"LEFT OUT","NEW")))</f>
        <v/>
      </c>
    </row>
    <row r="1480" spans="47:47" x14ac:dyDescent="0.25">
      <c r="AU1480" s="8" t="str">
        <f>IF(TRIM($G1480)="","",IF(COUNTIF(LISTS!$I$2:$I$16,TRIM($G1480))&gt;0,"COUNTED",IF(COUNTIF(LISTS!$J$2:$J$16,TRIM($G1480))&gt;0,"LEFT OUT","NEW")))</f>
        <v/>
      </c>
    </row>
    <row r="1481" spans="47:47" x14ac:dyDescent="0.25">
      <c r="AU1481" s="8" t="str">
        <f>IF(TRIM($G1481)="","",IF(COUNTIF(LISTS!$I$2:$I$16,TRIM($G1481))&gt;0,"COUNTED",IF(COUNTIF(LISTS!$J$2:$J$16,TRIM($G1481))&gt;0,"LEFT OUT","NEW")))</f>
        <v/>
      </c>
    </row>
    <row r="1482" spans="47:47" x14ac:dyDescent="0.25">
      <c r="AU1482" s="8" t="str">
        <f>IF(TRIM($G1482)="","",IF(COUNTIF(LISTS!$I$2:$I$16,TRIM($G1482))&gt;0,"COUNTED",IF(COUNTIF(LISTS!$J$2:$J$16,TRIM($G1482))&gt;0,"LEFT OUT","NEW")))</f>
        <v/>
      </c>
    </row>
    <row r="1483" spans="47:47" x14ac:dyDescent="0.25">
      <c r="AU1483" s="8" t="str">
        <f>IF(TRIM($G1483)="","",IF(COUNTIF(LISTS!$I$2:$I$16,TRIM($G1483))&gt;0,"COUNTED",IF(COUNTIF(LISTS!$J$2:$J$16,TRIM($G1483))&gt;0,"LEFT OUT","NEW")))</f>
        <v/>
      </c>
    </row>
    <row r="1484" spans="47:47" x14ac:dyDescent="0.25">
      <c r="AU1484" s="8" t="str">
        <f>IF(TRIM($G1484)="","",IF(COUNTIF(LISTS!$I$2:$I$16,TRIM($G1484))&gt;0,"COUNTED",IF(COUNTIF(LISTS!$J$2:$J$16,TRIM($G1484))&gt;0,"LEFT OUT","NEW")))</f>
        <v/>
      </c>
    </row>
    <row r="1485" spans="47:47" x14ac:dyDescent="0.25">
      <c r="AU1485" s="8" t="str">
        <f>IF(TRIM($G1485)="","",IF(COUNTIF(LISTS!$I$2:$I$16,TRIM($G1485))&gt;0,"COUNTED",IF(COUNTIF(LISTS!$J$2:$J$16,TRIM($G1485))&gt;0,"LEFT OUT","NEW")))</f>
        <v/>
      </c>
    </row>
    <row r="1486" spans="47:47" x14ac:dyDescent="0.25">
      <c r="AU1486" s="8" t="str">
        <f>IF(TRIM($G1486)="","",IF(COUNTIF(LISTS!$I$2:$I$16,TRIM($G1486))&gt;0,"COUNTED",IF(COUNTIF(LISTS!$J$2:$J$16,TRIM($G1486))&gt;0,"LEFT OUT","NEW")))</f>
        <v/>
      </c>
    </row>
    <row r="1487" spans="47:47" x14ac:dyDescent="0.25">
      <c r="AU1487" s="8" t="str">
        <f>IF(TRIM($G1487)="","",IF(COUNTIF(LISTS!$I$2:$I$16,TRIM($G1487))&gt;0,"COUNTED",IF(COUNTIF(LISTS!$J$2:$J$16,TRIM($G1487))&gt;0,"LEFT OUT","NEW")))</f>
        <v/>
      </c>
    </row>
    <row r="1488" spans="47:47" x14ac:dyDescent="0.25">
      <c r="AU1488" s="8" t="str">
        <f>IF(TRIM($G1488)="","",IF(COUNTIF(LISTS!$I$2:$I$16,TRIM($G1488))&gt;0,"COUNTED",IF(COUNTIF(LISTS!$J$2:$J$16,TRIM($G1488))&gt;0,"LEFT OUT","NEW")))</f>
        <v/>
      </c>
    </row>
    <row r="1489" spans="47:47" x14ac:dyDescent="0.25">
      <c r="AU1489" s="8" t="str">
        <f>IF(TRIM($G1489)="","",IF(COUNTIF(LISTS!$I$2:$I$16,TRIM($G1489))&gt;0,"COUNTED",IF(COUNTIF(LISTS!$J$2:$J$16,TRIM($G1489))&gt;0,"LEFT OUT","NEW")))</f>
        <v/>
      </c>
    </row>
    <row r="1490" spans="47:47" x14ac:dyDescent="0.25">
      <c r="AU1490" s="8" t="str">
        <f>IF(TRIM($G1490)="","",IF(COUNTIF(LISTS!$I$2:$I$16,TRIM($G1490))&gt;0,"COUNTED",IF(COUNTIF(LISTS!$J$2:$J$16,TRIM($G1490))&gt;0,"LEFT OUT","NEW")))</f>
        <v/>
      </c>
    </row>
    <row r="1491" spans="47:47" x14ac:dyDescent="0.25">
      <c r="AU1491" s="8" t="str">
        <f>IF(TRIM($G1491)="","",IF(COUNTIF(LISTS!$I$2:$I$16,TRIM($G1491))&gt;0,"COUNTED",IF(COUNTIF(LISTS!$J$2:$J$16,TRIM($G1491))&gt;0,"LEFT OUT","NEW")))</f>
        <v/>
      </c>
    </row>
    <row r="1492" spans="47:47" x14ac:dyDescent="0.25">
      <c r="AU1492" s="8" t="str">
        <f>IF(TRIM($G1492)="","",IF(COUNTIF(LISTS!$I$2:$I$16,TRIM($G1492))&gt;0,"COUNTED",IF(COUNTIF(LISTS!$J$2:$J$16,TRIM($G1492))&gt;0,"LEFT OUT","NEW")))</f>
        <v/>
      </c>
    </row>
    <row r="1493" spans="47:47" x14ac:dyDescent="0.25">
      <c r="AU1493" s="8" t="str">
        <f>IF(TRIM($G1493)="","",IF(COUNTIF(LISTS!$I$2:$I$16,TRIM($G1493))&gt;0,"COUNTED",IF(COUNTIF(LISTS!$J$2:$J$16,TRIM($G1493))&gt;0,"LEFT OUT","NEW")))</f>
        <v/>
      </c>
    </row>
    <row r="1494" spans="47:47" x14ac:dyDescent="0.25">
      <c r="AU1494" s="8" t="str">
        <f>IF(TRIM($G1494)="","",IF(COUNTIF(LISTS!$I$2:$I$16,TRIM($G1494))&gt;0,"COUNTED",IF(COUNTIF(LISTS!$J$2:$J$16,TRIM($G1494))&gt;0,"LEFT OUT","NEW")))</f>
        <v/>
      </c>
    </row>
    <row r="1495" spans="47:47" x14ac:dyDescent="0.25">
      <c r="AU1495" s="8" t="str">
        <f>IF(TRIM($G1495)="","",IF(COUNTIF(LISTS!$I$2:$I$16,TRIM($G1495))&gt;0,"COUNTED",IF(COUNTIF(LISTS!$J$2:$J$16,TRIM($G1495))&gt;0,"LEFT OUT","NEW")))</f>
        <v/>
      </c>
    </row>
    <row r="1496" spans="47:47" x14ac:dyDescent="0.25">
      <c r="AU1496" s="8" t="str">
        <f>IF(TRIM($G1496)="","",IF(COUNTIF(LISTS!$I$2:$I$16,TRIM($G1496))&gt;0,"COUNTED",IF(COUNTIF(LISTS!$J$2:$J$16,TRIM($G1496))&gt;0,"LEFT OUT","NEW")))</f>
        <v/>
      </c>
    </row>
    <row r="1497" spans="47:47" x14ac:dyDescent="0.25">
      <c r="AU1497" s="8" t="str">
        <f>IF(TRIM($G1497)="","",IF(COUNTIF(LISTS!$I$2:$I$16,TRIM($G1497))&gt;0,"COUNTED",IF(COUNTIF(LISTS!$J$2:$J$16,TRIM($G1497))&gt;0,"LEFT OUT","NEW")))</f>
        <v/>
      </c>
    </row>
    <row r="1498" spans="47:47" x14ac:dyDescent="0.25">
      <c r="AU1498" s="8" t="str">
        <f>IF(TRIM($G1498)="","",IF(COUNTIF(LISTS!$I$2:$I$16,TRIM($G1498))&gt;0,"COUNTED",IF(COUNTIF(LISTS!$J$2:$J$16,TRIM($G1498))&gt;0,"LEFT OUT","NEW")))</f>
        <v/>
      </c>
    </row>
    <row r="1499" spans="47:47" x14ac:dyDescent="0.25">
      <c r="AU1499" s="8" t="str">
        <f>IF(TRIM($G1499)="","",IF(COUNTIF(LISTS!$I$2:$I$16,TRIM($G1499))&gt;0,"COUNTED",IF(COUNTIF(LISTS!$J$2:$J$16,TRIM($G1499))&gt;0,"LEFT OUT","NEW")))</f>
        <v/>
      </c>
    </row>
    <row r="1500" spans="47:47" x14ac:dyDescent="0.25">
      <c r="AU1500" s="8" t="str">
        <f>IF(TRIM($G1500)="","",IF(COUNTIF(LISTS!$I$2:$I$16,TRIM($G1500))&gt;0,"COUNTED",IF(COUNTIF(LISTS!$J$2:$J$16,TRIM($G1500))&gt;0,"LEFT OUT","NEW")))</f>
        <v/>
      </c>
    </row>
    <row r="1501" spans="47:47" x14ac:dyDescent="0.25">
      <c r="AU1501" s="8" t="str">
        <f>IF(TRIM($G1501)="","",IF(COUNTIF(LISTS!$I$2:$I$16,TRIM($G1501))&gt;0,"COUNTED",IF(COUNTIF(LISTS!$J$2:$J$16,TRIM($G1501))&gt;0,"LEFT OUT","NEW")))</f>
        <v/>
      </c>
    </row>
    <row r="1502" spans="47:47" x14ac:dyDescent="0.25">
      <c r="AU1502" s="8" t="str">
        <f>IF(TRIM($G1502)="","",IF(COUNTIF(LISTS!$I$2:$I$16,TRIM($G1502))&gt;0,"COUNTED",IF(COUNTIF(LISTS!$J$2:$J$16,TRIM($G1502))&gt;0,"LEFT OUT","NEW")))</f>
        <v/>
      </c>
    </row>
    <row r="1503" spans="47:47" x14ac:dyDescent="0.25">
      <c r="AU1503" s="8" t="str">
        <f>IF(TRIM($G1503)="","",IF(COUNTIF(LISTS!$I$2:$I$16,TRIM($G1503))&gt;0,"COUNTED",IF(COUNTIF(LISTS!$J$2:$J$16,TRIM($G1503))&gt;0,"LEFT OUT","NEW")))</f>
        <v/>
      </c>
    </row>
    <row r="1504" spans="47:47" x14ac:dyDescent="0.25">
      <c r="AU1504" s="8" t="str">
        <f>IF(TRIM($G1504)="","",IF(COUNTIF(LISTS!$I$2:$I$16,TRIM($G1504))&gt;0,"COUNTED",IF(COUNTIF(LISTS!$J$2:$J$16,TRIM($G1504))&gt;0,"LEFT OUT","NEW")))</f>
        <v/>
      </c>
    </row>
    <row r="1505" spans="47:47" x14ac:dyDescent="0.25">
      <c r="AU1505" s="8" t="str">
        <f>IF(TRIM($G1505)="","",IF(COUNTIF(LISTS!$I$2:$I$16,TRIM($G1505))&gt;0,"COUNTED",IF(COUNTIF(LISTS!$J$2:$J$16,TRIM($G1505))&gt;0,"LEFT OUT","NEW")))</f>
        <v/>
      </c>
    </row>
    <row r="1506" spans="47:47" x14ac:dyDescent="0.25">
      <c r="AU1506" s="8" t="str">
        <f>IF(TRIM($G1506)="","",IF(COUNTIF(LISTS!$I$2:$I$16,TRIM($G1506))&gt;0,"COUNTED",IF(COUNTIF(LISTS!$J$2:$J$16,TRIM($G1506))&gt;0,"LEFT OUT","NEW")))</f>
        <v/>
      </c>
    </row>
    <row r="1507" spans="47:47" x14ac:dyDescent="0.25">
      <c r="AU1507" s="8" t="str">
        <f>IF(TRIM($G1507)="","",IF(COUNTIF(LISTS!$I$2:$I$16,TRIM($G1507))&gt;0,"COUNTED",IF(COUNTIF(LISTS!$J$2:$J$16,TRIM($G1507))&gt;0,"LEFT OUT","NEW")))</f>
        <v/>
      </c>
    </row>
    <row r="1508" spans="47:47" x14ac:dyDescent="0.25">
      <c r="AU1508" s="8" t="str">
        <f>IF(TRIM($G1508)="","",IF(COUNTIF(LISTS!$I$2:$I$16,TRIM($G1508))&gt;0,"COUNTED",IF(COUNTIF(LISTS!$J$2:$J$16,TRIM($G1508))&gt;0,"LEFT OUT","NEW")))</f>
        <v/>
      </c>
    </row>
    <row r="1509" spans="47:47" x14ac:dyDescent="0.25">
      <c r="AU1509" s="8" t="str">
        <f>IF(TRIM($G1509)="","",IF(COUNTIF(LISTS!$I$2:$I$16,TRIM($G1509))&gt;0,"COUNTED",IF(COUNTIF(LISTS!$J$2:$J$16,TRIM($G1509))&gt;0,"LEFT OUT","NEW")))</f>
        <v/>
      </c>
    </row>
    <row r="1510" spans="47:47" x14ac:dyDescent="0.25">
      <c r="AU1510" s="8" t="str">
        <f>IF(TRIM($G1510)="","",IF(COUNTIF(LISTS!$I$2:$I$16,TRIM($G1510))&gt;0,"COUNTED",IF(COUNTIF(LISTS!$J$2:$J$16,TRIM($G1510))&gt;0,"LEFT OUT","NEW")))</f>
        <v/>
      </c>
    </row>
    <row r="1511" spans="47:47" x14ac:dyDescent="0.25">
      <c r="AU1511" s="8" t="str">
        <f>IF(TRIM($G1511)="","",IF(COUNTIF(LISTS!$I$2:$I$16,TRIM($G1511))&gt;0,"COUNTED",IF(COUNTIF(LISTS!$J$2:$J$16,TRIM($G1511))&gt;0,"LEFT OUT","NEW")))</f>
        <v/>
      </c>
    </row>
    <row r="1512" spans="47:47" x14ac:dyDescent="0.25">
      <c r="AU1512" s="8" t="str">
        <f>IF(TRIM($G1512)="","",IF(COUNTIF(LISTS!$I$2:$I$16,TRIM($G1512))&gt;0,"COUNTED",IF(COUNTIF(LISTS!$J$2:$J$16,TRIM($G1512))&gt;0,"LEFT OUT","NEW")))</f>
        <v/>
      </c>
    </row>
    <row r="1513" spans="47:47" x14ac:dyDescent="0.25">
      <c r="AU1513" s="8" t="str">
        <f>IF(TRIM($G1513)="","",IF(COUNTIF(LISTS!$I$2:$I$16,TRIM($G1513))&gt;0,"COUNTED",IF(COUNTIF(LISTS!$J$2:$J$16,TRIM($G1513))&gt;0,"LEFT OUT","NEW")))</f>
        <v/>
      </c>
    </row>
    <row r="1514" spans="47:47" x14ac:dyDescent="0.25">
      <c r="AU1514" s="8" t="str">
        <f>IF(TRIM($G1514)="","",IF(COUNTIF(LISTS!$I$2:$I$16,TRIM($G1514))&gt;0,"COUNTED",IF(COUNTIF(LISTS!$J$2:$J$16,TRIM($G1514))&gt;0,"LEFT OUT","NEW")))</f>
        <v/>
      </c>
    </row>
    <row r="1515" spans="47:47" x14ac:dyDescent="0.25">
      <c r="AU1515" s="8" t="str">
        <f>IF(TRIM($G1515)="","",IF(COUNTIF(LISTS!$I$2:$I$16,TRIM($G1515))&gt;0,"COUNTED",IF(COUNTIF(LISTS!$J$2:$J$16,TRIM($G1515))&gt;0,"LEFT OUT","NEW")))</f>
        <v/>
      </c>
    </row>
    <row r="1516" spans="47:47" x14ac:dyDescent="0.25">
      <c r="AU1516" s="8" t="str">
        <f>IF(TRIM($G1516)="","",IF(COUNTIF(LISTS!$I$2:$I$16,TRIM($G1516))&gt;0,"COUNTED",IF(COUNTIF(LISTS!$J$2:$J$16,TRIM($G1516))&gt;0,"LEFT OUT","NEW")))</f>
        <v/>
      </c>
    </row>
    <row r="1517" spans="47:47" x14ac:dyDescent="0.25">
      <c r="AU1517" s="8" t="str">
        <f>IF(TRIM($G1517)="","",IF(COUNTIF(LISTS!$I$2:$I$16,TRIM($G1517))&gt;0,"COUNTED",IF(COUNTIF(LISTS!$J$2:$J$16,TRIM($G1517))&gt;0,"LEFT OUT","NEW")))</f>
        <v/>
      </c>
    </row>
    <row r="1518" spans="47:47" x14ac:dyDescent="0.25">
      <c r="AU1518" s="8" t="str">
        <f>IF(TRIM($G1518)="","",IF(COUNTIF(LISTS!$I$2:$I$16,TRIM($G1518))&gt;0,"COUNTED",IF(COUNTIF(LISTS!$J$2:$J$16,TRIM($G1518))&gt;0,"LEFT OUT","NEW")))</f>
        <v/>
      </c>
    </row>
    <row r="1519" spans="47:47" x14ac:dyDescent="0.25">
      <c r="AU1519" s="8" t="str">
        <f>IF(TRIM($G1519)="","",IF(COUNTIF(LISTS!$I$2:$I$16,TRIM($G1519))&gt;0,"COUNTED",IF(COUNTIF(LISTS!$J$2:$J$16,TRIM($G1519))&gt;0,"LEFT OUT","NEW")))</f>
        <v/>
      </c>
    </row>
    <row r="1520" spans="47:47" x14ac:dyDescent="0.25">
      <c r="AU1520" s="8" t="str">
        <f>IF(TRIM($G1520)="","",IF(COUNTIF(LISTS!$I$2:$I$16,TRIM($G1520))&gt;0,"COUNTED",IF(COUNTIF(LISTS!$J$2:$J$16,TRIM($G1520))&gt;0,"LEFT OUT","NEW")))</f>
        <v/>
      </c>
    </row>
    <row r="1521" spans="47:47" x14ac:dyDescent="0.25">
      <c r="AU1521" s="8" t="str">
        <f>IF(TRIM($G1521)="","",IF(COUNTIF(LISTS!$I$2:$I$16,TRIM($G1521))&gt;0,"COUNTED",IF(COUNTIF(LISTS!$J$2:$J$16,TRIM($G1521))&gt;0,"LEFT OUT","NEW")))</f>
        <v/>
      </c>
    </row>
    <row r="1522" spans="47:47" x14ac:dyDescent="0.25">
      <c r="AU1522" s="8" t="str">
        <f>IF(TRIM($G1522)="","",IF(COUNTIF(LISTS!$I$2:$I$16,TRIM($G1522))&gt;0,"COUNTED",IF(COUNTIF(LISTS!$J$2:$J$16,TRIM($G1522))&gt;0,"LEFT OUT","NEW")))</f>
        <v/>
      </c>
    </row>
    <row r="1523" spans="47:47" x14ac:dyDescent="0.25">
      <c r="AU1523" s="8" t="str">
        <f>IF(TRIM($G1523)="","",IF(COUNTIF(LISTS!$I$2:$I$16,TRIM($G1523))&gt;0,"COUNTED",IF(COUNTIF(LISTS!$J$2:$J$16,TRIM($G1523))&gt;0,"LEFT OUT","NEW")))</f>
        <v/>
      </c>
    </row>
    <row r="1524" spans="47:47" x14ac:dyDescent="0.25">
      <c r="AU1524" s="8" t="str">
        <f>IF(TRIM($G1524)="","",IF(COUNTIF(LISTS!$I$2:$I$16,TRIM($G1524))&gt;0,"COUNTED",IF(COUNTIF(LISTS!$J$2:$J$16,TRIM($G1524))&gt;0,"LEFT OUT","NEW")))</f>
        <v/>
      </c>
    </row>
    <row r="1525" spans="47:47" x14ac:dyDescent="0.25">
      <c r="AU1525" s="8" t="str">
        <f>IF(TRIM($G1525)="","",IF(COUNTIF(LISTS!$I$2:$I$16,TRIM($G1525))&gt;0,"COUNTED",IF(COUNTIF(LISTS!$J$2:$J$16,TRIM($G1525))&gt;0,"LEFT OUT","NEW")))</f>
        <v/>
      </c>
    </row>
    <row r="1526" spans="47:47" x14ac:dyDescent="0.25">
      <c r="AU1526" s="8" t="str">
        <f>IF(TRIM($G1526)="","",IF(COUNTIF(LISTS!$I$2:$I$16,TRIM($G1526))&gt;0,"COUNTED",IF(COUNTIF(LISTS!$J$2:$J$16,TRIM($G1526))&gt;0,"LEFT OUT","NEW")))</f>
        <v/>
      </c>
    </row>
    <row r="1527" spans="47:47" x14ac:dyDescent="0.25">
      <c r="AU1527" s="8" t="str">
        <f>IF(TRIM($G1527)="","",IF(COUNTIF(LISTS!$I$2:$I$16,TRIM($G1527))&gt;0,"COUNTED",IF(COUNTIF(LISTS!$J$2:$J$16,TRIM($G1527))&gt;0,"LEFT OUT","NEW")))</f>
        <v/>
      </c>
    </row>
    <row r="1528" spans="47:47" x14ac:dyDescent="0.25">
      <c r="AU1528" s="8" t="str">
        <f>IF(TRIM($G1528)="","",IF(COUNTIF(LISTS!$I$2:$I$16,TRIM($G1528))&gt;0,"COUNTED",IF(COUNTIF(LISTS!$J$2:$J$16,TRIM($G1528))&gt;0,"LEFT OUT","NEW")))</f>
        <v/>
      </c>
    </row>
    <row r="1529" spans="47:47" x14ac:dyDescent="0.25">
      <c r="AU1529" s="8" t="str">
        <f>IF(TRIM($G1529)="","",IF(COUNTIF(LISTS!$I$2:$I$16,TRIM($G1529))&gt;0,"COUNTED",IF(COUNTIF(LISTS!$J$2:$J$16,TRIM($G1529))&gt;0,"LEFT OUT","NEW")))</f>
        <v/>
      </c>
    </row>
    <row r="1530" spans="47:47" x14ac:dyDescent="0.25">
      <c r="AU1530" s="8" t="str">
        <f>IF(TRIM($G1530)="","",IF(COUNTIF(LISTS!$I$2:$I$16,TRIM($G1530))&gt;0,"COUNTED",IF(COUNTIF(LISTS!$J$2:$J$16,TRIM($G1530))&gt;0,"LEFT OUT","NEW")))</f>
        <v/>
      </c>
    </row>
    <row r="1531" spans="47:47" x14ac:dyDescent="0.25">
      <c r="AU1531" s="8" t="str">
        <f>IF(TRIM($G1531)="","",IF(COUNTIF(LISTS!$I$2:$I$16,TRIM($G1531))&gt;0,"COUNTED",IF(COUNTIF(LISTS!$J$2:$J$16,TRIM($G1531))&gt;0,"LEFT OUT","NEW")))</f>
        <v/>
      </c>
    </row>
    <row r="1532" spans="47:47" x14ac:dyDescent="0.25">
      <c r="AU1532" s="8" t="str">
        <f>IF(TRIM($G1532)="","",IF(COUNTIF(LISTS!$I$2:$I$16,TRIM($G1532))&gt;0,"COUNTED",IF(COUNTIF(LISTS!$J$2:$J$16,TRIM($G1532))&gt;0,"LEFT OUT","NEW")))</f>
        <v/>
      </c>
    </row>
    <row r="1533" spans="47:47" x14ac:dyDescent="0.25">
      <c r="AU1533" s="8" t="str">
        <f>IF(TRIM($G1533)="","",IF(COUNTIF(LISTS!$I$2:$I$16,TRIM($G1533))&gt;0,"COUNTED",IF(COUNTIF(LISTS!$J$2:$J$16,TRIM($G1533))&gt;0,"LEFT OUT","NEW")))</f>
        <v/>
      </c>
    </row>
    <row r="1534" spans="47:47" x14ac:dyDescent="0.25">
      <c r="AU1534" s="8" t="str">
        <f>IF(TRIM($G1534)="","",IF(COUNTIF(LISTS!$I$2:$I$16,TRIM($G1534))&gt;0,"COUNTED",IF(COUNTIF(LISTS!$J$2:$J$16,TRIM($G1534))&gt;0,"LEFT OUT","NEW")))</f>
        <v/>
      </c>
    </row>
    <row r="1535" spans="47:47" x14ac:dyDescent="0.25">
      <c r="AU1535" s="8" t="str">
        <f>IF(TRIM($G1535)="","",IF(COUNTIF(LISTS!$I$2:$I$16,TRIM($G1535))&gt;0,"COUNTED",IF(COUNTIF(LISTS!$J$2:$J$16,TRIM($G1535))&gt;0,"LEFT OUT","NEW")))</f>
        <v/>
      </c>
    </row>
    <row r="1536" spans="47:47" x14ac:dyDescent="0.25">
      <c r="AU1536" s="8" t="str">
        <f>IF(TRIM($G1536)="","",IF(COUNTIF(LISTS!$I$2:$I$16,TRIM($G1536))&gt;0,"COUNTED",IF(COUNTIF(LISTS!$J$2:$J$16,TRIM($G1536))&gt;0,"LEFT OUT","NEW")))</f>
        <v/>
      </c>
    </row>
    <row r="1537" spans="47:47" x14ac:dyDescent="0.25">
      <c r="AU1537" s="8" t="str">
        <f>IF(TRIM($G1537)="","",IF(COUNTIF(LISTS!$I$2:$I$16,TRIM($G1537))&gt;0,"COUNTED",IF(COUNTIF(LISTS!$J$2:$J$16,TRIM($G1537))&gt;0,"LEFT OUT","NEW")))</f>
        <v/>
      </c>
    </row>
    <row r="1538" spans="47:47" x14ac:dyDescent="0.25">
      <c r="AU1538" s="8" t="str">
        <f>IF(TRIM($G1538)="","",IF(COUNTIF(LISTS!$I$2:$I$16,TRIM($G1538))&gt;0,"COUNTED",IF(COUNTIF(LISTS!$J$2:$J$16,TRIM($G1538))&gt;0,"LEFT OUT","NEW")))</f>
        <v/>
      </c>
    </row>
    <row r="1539" spans="47:47" x14ac:dyDescent="0.25">
      <c r="AU1539" s="8" t="str">
        <f>IF(TRIM($G1539)="","",IF(COUNTIF(LISTS!$I$2:$I$16,TRIM($G1539))&gt;0,"COUNTED",IF(COUNTIF(LISTS!$J$2:$J$16,TRIM($G1539))&gt;0,"LEFT OUT","NEW")))</f>
        <v/>
      </c>
    </row>
    <row r="1540" spans="47:47" x14ac:dyDescent="0.25">
      <c r="AU1540" s="8" t="str">
        <f>IF(TRIM($G1540)="","",IF(COUNTIF(LISTS!$I$2:$I$16,TRIM($G1540))&gt;0,"COUNTED",IF(COUNTIF(LISTS!$J$2:$J$16,TRIM($G1540))&gt;0,"LEFT OUT","NEW")))</f>
        <v/>
      </c>
    </row>
    <row r="1541" spans="47:47" x14ac:dyDescent="0.25">
      <c r="AU1541" s="8" t="str">
        <f>IF(TRIM($G1541)="","",IF(COUNTIF(LISTS!$I$2:$I$16,TRIM($G1541))&gt;0,"COUNTED",IF(COUNTIF(LISTS!$J$2:$J$16,TRIM($G1541))&gt;0,"LEFT OUT","NEW")))</f>
        <v/>
      </c>
    </row>
    <row r="1542" spans="47:47" x14ac:dyDescent="0.25">
      <c r="AU1542" s="8" t="str">
        <f>IF(TRIM($G1542)="","",IF(COUNTIF(LISTS!$I$2:$I$16,TRIM($G1542))&gt;0,"COUNTED",IF(COUNTIF(LISTS!$J$2:$J$16,TRIM($G1542))&gt;0,"LEFT OUT","NEW")))</f>
        <v/>
      </c>
    </row>
    <row r="1543" spans="47:47" x14ac:dyDescent="0.25">
      <c r="AU1543" s="8" t="str">
        <f>IF(TRIM($G1543)="","",IF(COUNTIF(LISTS!$I$2:$I$16,TRIM($G1543))&gt;0,"COUNTED",IF(COUNTIF(LISTS!$J$2:$J$16,TRIM($G1543))&gt;0,"LEFT OUT","NEW")))</f>
        <v/>
      </c>
    </row>
    <row r="1544" spans="47:47" x14ac:dyDescent="0.25">
      <c r="AU1544" s="8" t="str">
        <f>IF(TRIM($G1544)="","",IF(COUNTIF(LISTS!$I$2:$I$16,TRIM($G1544))&gt;0,"COUNTED",IF(COUNTIF(LISTS!$J$2:$J$16,TRIM($G1544))&gt;0,"LEFT OUT","NEW")))</f>
        <v/>
      </c>
    </row>
    <row r="1545" spans="47:47" x14ac:dyDescent="0.25">
      <c r="AU1545" s="8" t="str">
        <f>IF(TRIM($G1545)="","",IF(COUNTIF(LISTS!$I$2:$I$16,TRIM($G1545))&gt;0,"COUNTED",IF(COUNTIF(LISTS!$J$2:$J$16,TRIM($G1545))&gt;0,"LEFT OUT","NEW")))</f>
        <v/>
      </c>
    </row>
    <row r="1546" spans="47:47" x14ac:dyDescent="0.25">
      <c r="AU1546" s="8" t="str">
        <f>IF(TRIM($G1546)="","",IF(COUNTIF(LISTS!$I$2:$I$16,TRIM($G1546))&gt;0,"COUNTED",IF(COUNTIF(LISTS!$J$2:$J$16,TRIM($G1546))&gt;0,"LEFT OUT","NEW")))</f>
        <v/>
      </c>
    </row>
    <row r="1547" spans="47:47" x14ac:dyDescent="0.25">
      <c r="AU1547" s="8" t="str">
        <f>IF(TRIM($G1547)="","",IF(COUNTIF(LISTS!$I$2:$I$16,TRIM($G1547))&gt;0,"COUNTED",IF(COUNTIF(LISTS!$J$2:$J$16,TRIM($G1547))&gt;0,"LEFT OUT","NEW")))</f>
        <v/>
      </c>
    </row>
    <row r="1548" spans="47:47" x14ac:dyDescent="0.25">
      <c r="AU1548" s="8" t="str">
        <f>IF(TRIM($G1548)="","",IF(COUNTIF(LISTS!$I$2:$I$16,TRIM($G1548))&gt;0,"COUNTED",IF(COUNTIF(LISTS!$J$2:$J$16,TRIM($G1548))&gt;0,"LEFT OUT","NEW")))</f>
        <v/>
      </c>
    </row>
    <row r="1549" spans="47:47" x14ac:dyDescent="0.25">
      <c r="AU1549" s="8" t="str">
        <f>IF(TRIM($G1549)="","",IF(COUNTIF(LISTS!$I$2:$I$16,TRIM($G1549))&gt;0,"COUNTED",IF(COUNTIF(LISTS!$J$2:$J$16,TRIM($G1549))&gt;0,"LEFT OUT","NEW")))</f>
        <v/>
      </c>
    </row>
    <row r="1550" spans="47:47" x14ac:dyDescent="0.25">
      <c r="AU1550" s="8" t="str">
        <f>IF(TRIM($G1550)="","",IF(COUNTIF(LISTS!$I$2:$I$16,TRIM($G1550))&gt;0,"COUNTED",IF(COUNTIF(LISTS!$J$2:$J$16,TRIM($G1550))&gt;0,"LEFT OUT","NEW")))</f>
        <v/>
      </c>
    </row>
    <row r="1551" spans="47:47" x14ac:dyDescent="0.25">
      <c r="AU1551" s="8" t="str">
        <f>IF(TRIM($G1551)="","",IF(COUNTIF(LISTS!$I$2:$I$16,TRIM($G1551))&gt;0,"COUNTED",IF(COUNTIF(LISTS!$J$2:$J$16,TRIM($G1551))&gt;0,"LEFT OUT","NEW")))</f>
        <v/>
      </c>
    </row>
    <row r="1552" spans="47:47" x14ac:dyDescent="0.25">
      <c r="AU1552" s="8" t="str">
        <f>IF(TRIM($G1552)="","",IF(COUNTIF(LISTS!$I$2:$I$16,TRIM($G1552))&gt;0,"COUNTED",IF(COUNTIF(LISTS!$J$2:$J$16,TRIM($G1552))&gt;0,"LEFT OUT","NEW")))</f>
        <v/>
      </c>
    </row>
    <row r="1553" spans="47:47" x14ac:dyDescent="0.25">
      <c r="AU1553" s="8" t="str">
        <f>IF(TRIM($G1553)="","",IF(COUNTIF(LISTS!$I$2:$I$16,TRIM($G1553))&gt;0,"COUNTED",IF(COUNTIF(LISTS!$J$2:$J$16,TRIM($G1553))&gt;0,"LEFT OUT","NEW")))</f>
        <v/>
      </c>
    </row>
    <row r="1554" spans="47:47" x14ac:dyDescent="0.25">
      <c r="AU1554" s="8" t="str">
        <f>IF(TRIM($G1554)="","",IF(COUNTIF(LISTS!$I$2:$I$16,TRIM($G1554))&gt;0,"COUNTED",IF(COUNTIF(LISTS!$J$2:$J$16,TRIM($G1554))&gt;0,"LEFT OUT","NEW")))</f>
        <v/>
      </c>
    </row>
    <row r="1555" spans="47:47" x14ac:dyDescent="0.25">
      <c r="AU1555" s="8" t="str">
        <f>IF(TRIM($G1555)="","",IF(COUNTIF(LISTS!$I$2:$I$16,TRIM($G1555))&gt;0,"COUNTED",IF(COUNTIF(LISTS!$J$2:$J$16,TRIM($G1555))&gt;0,"LEFT OUT","NEW")))</f>
        <v/>
      </c>
    </row>
    <row r="1556" spans="47:47" x14ac:dyDescent="0.25">
      <c r="AU1556" s="8" t="str">
        <f>IF(TRIM($G1556)="","",IF(COUNTIF(LISTS!$I$2:$I$16,TRIM($G1556))&gt;0,"COUNTED",IF(COUNTIF(LISTS!$J$2:$J$16,TRIM($G1556))&gt;0,"LEFT OUT","NEW")))</f>
        <v/>
      </c>
    </row>
    <row r="1557" spans="47:47" x14ac:dyDescent="0.25">
      <c r="AU1557" s="8" t="str">
        <f>IF(TRIM($G1557)="","",IF(COUNTIF(LISTS!$I$2:$I$16,TRIM($G1557))&gt;0,"COUNTED",IF(COUNTIF(LISTS!$J$2:$J$16,TRIM($G1557))&gt;0,"LEFT OUT","NEW")))</f>
        <v/>
      </c>
    </row>
    <row r="1558" spans="47:47" x14ac:dyDescent="0.25">
      <c r="AU1558" s="8" t="str">
        <f>IF(TRIM($G1558)="","",IF(COUNTIF(LISTS!$I$2:$I$16,TRIM($G1558))&gt;0,"COUNTED",IF(COUNTIF(LISTS!$J$2:$J$16,TRIM($G1558))&gt;0,"LEFT OUT","NEW")))</f>
        <v/>
      </c>
    </row>
    <row r="1559" spans="47:47" x14ac:dyDescent="0.25">
      <c r="AU1559" s="8" t="str">
        <f>IF(TRIM($G1559)="","",IF(COUNTIF(LISTS!$I$2:$I$16,TRIM($G1559))&gt;0,"COUNTED",IF(COUNTIF(LISTS!$J$2:$J$16,TRIM($G1559))&gt;0,"LEFT OUT","NEW")))</f>
        <v/>
      </c>
    </row>
    <row r="1560" spans="47:47" x14ac:dyDescent="0.25">
      <c r="AU1560" s="8" t="str">
        <f>IF(TRIM($G1560)="","",IF(COUNTIF(LISTS!$I$2:$I$16,TRIM($G1560))&gt;0,"COUNTED",IF(COUNTIF(LISTS!$J$2:$J$16,TRIM($G1560))&gt;0,"LEFT OUT","NEW")))</f>
        <v/>
      </c>
    </row>
    <row r="1561" spans="47:47" x14ac:dyDescent="0.25">
      <c r="AU1561" s="8" t="str">
        <f>IF(TRIM($G1561)="","",IF(COUNTIF(LISTS!$I$2:$I$16,TRIM($G1561))&gt;0,"COUNTED",IF(COUNTIF(LISTS!$J$2:$J$16,TRIM($G1561))&gt;0,"LEFT OUT","NEW")))</f>
        <v/>
      </c>
    </row>
    <row r="1562" spans="47:47" x14ac:dyDescent="0.25">
      <c r="AU1562" s="8" t="str">
        <f>IF(TRIM($G1562)="","",IF(COUNTIF(LISTS!$I$2:$I$16,TRIM($G1562))&gt;0,"COUNTED",IF(COUNTIF(LISTS!$J$2:$J$16,TRIM($G1562))&gt;0,"LEFT OUT","NEW")))</f>
        <v/>
      </c>
    </row>
    <row r="1563" spans="47:47" x14ac:dyDescent="0.25">
      <c r="AU1563" s="8" t="str">
        <f>IF(TRIM($G1563)="","",IF(COUNTIF(LISTS!$I$2:$I$16,TRIM($G1563))&gt;0,"COUNTED",IF(COUNTIF(LISTS!$J$2:$J$16,TRIM($G1563))&gt;0,"LEFT OUT","NEW")))</f>
        <v/>
      </c>
    </row>
    <row r="1564" spans="47:47" x14ac:dyDescent="0.25">
      <c r="AU1564" s="8" t="str">
        <f>IF(TRIM($G1564)="","",IF(COUNTIF(LISTS!$I$2:$I$16,TRIM($G1564))&gt;0,"COUNTED",IF(COUNTIF(LISTS!$J$2:$J$16,TRIM($G1564))&gt;0,"LEFT OUT","NEW")))</f>
        <v/>
      </c>
    </row>
    <row r="1565" spans="47:47" x14ac:dyDescent="0.25">
      <c r="AU1565" s="8" t="str">
        <f>IF(TRIM($G1565)="","",IF(COUNTIF(LISTS!$I$2:$I$16,TRIM($G1565))&gt;0,"COUNTED",IF(COUNTIF(LISTS!$J$2:$J$16,TRIM($G1565))&gt;0,"LEFT OUT","NEW")))</f>
        <v/>
      </c>
    </row>
    <row r="1566" spans="47:47" x14ac:dyDescent="0.25">
      <c r="AU1566" s="8" t="str">
        <f>IF(TRIM($G1566)="","",IF(COUNTIF(LISTS!$I$2:$I$16,TRIM($G1566))&gt;0,"COUNTED",IF(COUNTIF(LISTS!$J$2:$J$16,TRIM($G1566))&gt;0,"LEFT OUT","NEW")))</f>
        <v/>
      </c>
    </row>
    <row r="1567" spans="47:47" x14ac:dyDescent="0.25">
      <c r="AU1567" s="8" t="str">
        <f>IF(TRIM($G1567)="","",IF(COUNTIF(LISTS!$I$2:$I$16,TRIM($G1567))&gt;0,"COUNTED",IF(COUNTIF(LISTS!$J$2:$J$16,TRIM($G1567))&gt;0,"LEFT OUT","NEW")))</f>
        <v/>
      </c>
    </row>
    <row r="1568" spans="47:47" x14ac:dyDescent="0.25">
      <c r="AU1568" s="8" t="str">
        <f>IF(TRIM($G1568)="","",IF(COUNTIF(LISTS!$I$2:$I$16,TRIM($G1568))&gt;0,"COUNTED",IF(COUNTIF(LISTS!$J$2:$J$16,TRIM($G1568))&gt;0,"LEFT OUT","NEW")))</f>
        <v/>
      </c>
    </row>
    <row r="1569" spans="47:47" x14ac:dyDescent="0.25">
      <c r="AU1569" s="8" t="str">
        <f>IF(TRIM($G1569)="","",IF(COUNTIF(LISTS!$I$2:$I$16,TRIM($G1569))&gt;0,"COUNTED",IF(COUNTIF(LISTS!$J$2:$J$16,TRIM($G1569))&gt;0,"LEFT OUT","NEW")))</f>
        <v/>
      </c>
    </row>
    <row r="1570" spans="47:47" x14ac:dyDescent="0.25">
      <c r="AU1570" s="8" t="str">
        <f>IF(TRIM($G1570)="","",IF(COUNTIF(LISTS!$I$2:$I$16,TRIM($G1570))&gt;0,"COUNTED",IF(COUNTIF(LISTS!$J$2:$J$16,TRIM($G1570))&gt;0,"LEFT OUT","NEW")))</f>
        <v/>
      </c>
    </row>
    <row r="1571" spans="47:47" x14ac:dyDescent="0.25">
      <c r="AU1571" s="8" t="str">
        <f>IF(TRIM($G1571)="","",IF(COUNTIF(LISTS!$I$2:$I$16,TRIM($G1571))&gt;0,"COUNTED",IF(COUNTIF(LISTS!$J$2:$J$16,TRIM($G1571))&gt;0,"LEFT OUT","NEW")))</f>
        <v/>
      </c>
    </row>
    <row r="1572" spans="47:47" x14ac:dyDescent="0.25">
      <c r="AU1572" s="8" t="str">
        <f>IF(TRIM($G1572)="","",IF(COUNTIF(LISTS!$I$2:$I$16,TRIM($G1572))&gt;0,"COUNTED",IF(COUNTIF(LISTS!$J$2:$J$16,TRIM($G1572))&gt;0,"LEFT OUT","NEW")))</f>
        <v/>
      </c>
    </row>
    <row r="1573" spans="47:47" x14ac:dyDescent="0.25">
      <c r="AU1573" s="8" t="str">
        <f>IF(TRIM($G1573)="","",IF(COUNTIF(LISTS!$I$2:$I$16,TRIM($G1573))&gt;0,"COUNTED",IF(COUNTIF(LISTS!$J$2:$J$16,TRIM($G1573))&gt;0,"LEFT OUT","NEW")))</f>
        <v/>
      </c>
    </row>
    <row r="1574" spans="47:47" x14ac:dyDescent="0.25">
      <c r="AU1574" s="8" t="str">
        <f>IF(TRIM($G1574)="","",IF(COUNTIF(LISTS!$I$2:$I$16,TRIM($G1574))&gt;0,"COUNTED",IF(COUNTIF(LISTS!$J$2:$J$16,TRIM($G1574))&gt;0,"LEFT OUT","NEW")))</f>
        <v/>
      </c>
    </row>
    <row r="1575" spans="47:47" x14ac:dyDescent="0.25">
      <c r="AU1575" s="8" t="str">
        <f>IF(TRIM($G1575)="","",IF(COUNTIF(LISTS!$I$2:$I$16,TRIM($G1575))&gt;0,"COUNTED",IF(COUNTIF(LISTS!$J$2:$J$16,TRIM($G1575))&gt;0,"LEFT OUT","NEW")))</f>
        <v/>
      </c>
    </row>
    <row r="1576" spans="47:47" x14ac:dyDescent="0.25">
      <c r="AU1576" s="8" t="str">
        <f>IF(TRIM($G1576)="","",IF(COUNTIF(LISTS!$I$2:$I$16,TRIM($G1576))&gt;0,"COUNTED",IF(COUNTIF(LISTS!$J$2:$J$16,TRIM($G1576))&gt;0,"LEFT OUT","NEW")))</f>
        <v/>
      </c>
    </row>
    <row r="1577" spans="47:47" x14ac:dyDescent="0.25">
      <c r="AU1577" s="8" t="str">
        <f>IF(TRIM($G1577)="","",IF(COUNTIF(LISTS!$I$2:$I$16,TRIM($G1577))&gt;0,"COUNTED",IF(COUNTIF(LISTS!$J$2:$J$16,TRIM($G1577))&gt;0,"LEFT OUT","NEW")))</f>
        <v/>
      </c>
    </row>
    <row r="1578" spans="47:47" x14ac:dyDescent="0.25">
      <c r="AU1578" s="8" t="str">
        <f>IF(TRIM($G1578)="","",IF(COUNTIF(LISTS!$I$2:$I$16,TRIM($G1578))&gt;0,"COUNTED",IF(COUNTIF(LISTS!$J$2:$J$16,TRIM($G1578))&gt;0,"LEFT OUT","NEW")))</f>
        <v/>
      </c>
    </row>
    <row r="1579" spans="47:47" x14ac:dyDescent="0.25">
      <c r="AU1579" s="8" t="str">
        <f>IF(TRIM($G1579)="","",IF(COUNTIF(LISTS!$I$2:$I$16,TRIM($G1579))&gt;0,"COUNTED",IF(COUNTIF(LISTS!$J$2:$J$16,TRIM($G1579))&gt;0,"LEFT OUT","NEW")))</f>
        <v/>
      </c>
    </row>
    <row r="1580" spans="47:47" x14ac:dyDescent="0.25">
      <c r="AU1580" s="8" t="str">
        <f>IF(TRIM($G1580)="","",IF(COUNTIF(LISTS!$I$2:$I$16,TRIM($G1580))&gt;0,"COUNTED",IF(COUNTIF(LISTS!$J$2:$J$16,TRIM($G1580))&gt;0,"LEFT OUT","NEW")))</f>
        <v/>
      </c>
    </row>
    <row r="1581" spans="47:47" x14ac:dyDescent="0.25">
      <c r="AU1581" s="8" t="str">
        <f>IF(TRIM($G1581)="","",IF(COUNTIF(LISTS!$I$2:$I$16,TRIM($G1581))&gt;0,"COUNTED",IF(COUNTIF(LISTS!$J$2:$J$16,TRIM($G1581))&gt;0,"LEFT OUT","NEW")))</f>
        <v/>
      </c>
    </row>
    <row r="1582" spans="47:47" x14ac:dyDescent="0.25">
      <c r="AU1582" s="8" t="str">
        <f>IF(TRIM($G1582)="","",IF(COUNTIF(LISTS!$I$2:$I$16,TRIM($G1582))&gt;0,"COUNTED",IF(COUNTIF(LISTS!$J$2:$J$16,TRIM($G1582))&gt;0,"LEFT OUT","NEW")))</f>
        <v/>
      </c>
    </row>
    <row r="1583" spans="47:47" x14ac:dyDescent="0.25">
      <c r="AU1583" s="8" t="str">
        <f>IF(TRIM($G1583)="","",IF(COUNTIF(LISTS!$I$2:$I$16,TRIM($G1583))&gt;0,"COUNTED",IF(COUNTIF(LISTS!$J$2:$J$16,TRIM($G1583))&gt;0,"LEFT OUT","NEW")))</f>
        <v/>
      </c>
    </row>
    <row r="1584" spans="47:47" x14ac:dyDescent="0.25">
      <c r="AU1584" s="8" t="str">
        <f>IF(TRIM($G1584)="","",IF(COUNTIF(LISTS!$I$2:$I$16,TRIM($G1584))&gt;0,"COUNTED",IF(COUNTIF(LISTS!$J$2:$J$16,TRIM($G1584))&gt;0,"LEFT OUT","NEW")))</f>
        <v/>
      </c>
    </row>
    <row r="1585" spans="47:47" x14ac:dyDescent="0.25">
      <c r="AU1585" s="8" t="str">
        <f>IF(TRIM($G1585)="","",IF(COUNTIF(LISTS!$I$2:$I$16,TRIM($G1585))&gt;0,"COUNTED",IF(COUNTIF(LISTS!$J$2:$J$16,TRIM($G1585))&gt;0,"LEFT OUT","NEW")))</f>
        <v/>
      </c>
    </row>
    <row r="1586" spans="47:47" x14ac:dyDescent="0.25">
      <c r="AU1586" s="8" t="str">
        <f>IF(TRIM($G1586)="","",IF(COUNTIF(LISTS!$I$2:$I$16,TRIM($G1586))&gt;0,"COUNTED",IF(COUNTIF(LISTS!$J$2:$J$16,TRIM($G1586))&gt;0,"LEFT OUT","NEW")))</f>
        <v/>
      </c>
    </row>
    <row r="1587" spans="47:47" x14ac:dyDescent="0.25">
      <c r="AU1587" s="8" t="str">
        <f>IF(TRIM($G1587)="","",IF(COUNTIF(LISTS!$I$2:$I$16,TRIM($G1587))&gt;0,"COUNTED",IF(COUNTIF(LISTS!$J$2:$J$16,TRIM($G1587))&gt;0,"LEFT OUT","NEW")))</f>
        <v/>
      </c>
    </row>
    <row r="1588" spans="47:47" x14ac:dyDescent="0.25">
      <c r="AU1588" s="8" t="str">
        <f>IF(TRIM($G1588)="","",IF(COUNTIF(LISTS!$I$2:$I$16,TRIM($G1588))&gt;0,"COUNTED",IF(COUNTIF(LISTS!$J$2:$J$16,TRIM($G1588))&gt;0,"LEFT OUT","NEW")))</f>
        <v/>
      </c>
    </row>
    <row r="1589" spans="47:47" x14ac:dyDescent="0.25">
      <c r="AU1589" s="8" t="str">
        <f>IF(TRIM($G1589)="","",IF(COUNTIF(LISTS!$I$2:$I$16,TRIM($G1589))&gt;0,"COUNTED",IF(COUNTIF(LISTS!$J$2:$J$16,TRIM($G1589))&gt;0,"LEFT OUT","NEW")))</f>
        <v/>
      </c>
    </row>
    <row r="1590" spans="47:47" x14ac:dyDescent="0.25">
      <c r="AU1590" s="8" t="str">
        <f>IF(TRIM($G1590)="","",IF(COUNTIF(LISTS!$I$2:$I$16,TRIM($G1590))&gt;0,"COUNTED",IF(COUNTIF(LISTS!$J$2:$J$16,TRIM($G1590))&gt;0,"LEFT OUT","NEW")))</f>
        <v/>
      </c>
    </row>
    <row r="1591" spans="47:47" x14ac:dyDescent="0.25">
      <c r="AU1591" s="8" t="str">
        <f>IF(TRIM($G1591)="","",IF(COUNTIF(LISTS!$I$2:$I$16,TRIM($G1591))&gt;0,"COUNTED",IF(COUNTIF(LISTS!$J$2:$J$16,TRIM($G1591))&gt;0,"LEFT OUT","NEW")))</f>
        <v/>
      </c>
    </row>
    <row r="1592" spans="47:47" x14ac:dyDescent="0.25">
      <c r="AU1592" s="8" t="str">
        <f>IF(TRIM($G1592)="","",IF(COUNTIF(LISTS!$I$2:$I$16,TRIM($G1592))&gt;0,"COUNTED",IF(COUNTIF(LISTS!$J$2:$J$16,TRIM($G1592))&gt;0,"LEFT OUT","NEW")))</f>
        <v/>
      </c>
    </row>
    <row r="1593" spans="47:47" x14ac:dyDescent="0.25">
      <c r="AU1593" s="8" t="str">
        <f>IF(TRIM($G1593)="","",IF(COUNTIF(LISTS!$I$2:$I$16,TRIM($G1593))&gt;0,"COUNTED",IF(COUNTIF(LISTS!$J$2:$J$16,TRIM($G1593))&gt;0,"LEFT OUT","NEW")))</f>
        <v/>
      </c>
    </row>
    <row r="1594" spans="47:47" x14ac:dyDescent="0.25">
      <c r="AU1594" s="8" t="str">
        <f>IF(TRIM($G1594)="","",IF(COUNTIF(LISTS!$I$2:$I$16,TRIM($G1594))&gt;0,"COUNTED",IF(COUNTIF(LISTS!$J$2:$J$16,TRIM($G1594))&gt;0,"LEFT OUT","NEW")))</f>
        <v/>
      </c>
    </row>
    <row r="1595" spans="47:47" x14ac:dyDescent="0.25">
      <c r="AU1595" s="8" t="str">
        <f>IF(TRIM($G1595)="","",IF(COUNTIF(LISTS!$I$2:$I$16,TRIM($G1595))&gt;0,"COUNTED",IF(COUNTIF(LISTS!$J$2:$J$16,TRIM($G1595))&gt;0,"LEFT OUT","NEW")))</f>
        <v/>
      </c>
    </row>
    <row r="1596" spans="47:47" x14ac:dyDescent="0.25">
      <c r="AU1596" s="8" t="str">
        <f>IF(TRIM($G1596)="","",IF(COUNTIF(LISTS!$I$2:$I$16,TRIM($G1596))&gt;0,"COUNTED",IF(COUNTIF(LISTS!$J$2:$J$16,TRIM($G1596))&gt;0,"LEFT OUT","NEW")))</f>
        <v/>
      </c>
    </row>
    <row r="1597" spans="47:47" x14ac:dyDescent="0.25">
      <c r="AU1597" s="8" t="str">
        <f>IF(TRIM($G1597)="","",IF(COUNTIF(LISTS!$I$2:$I$16,TRIM($G1597))&gt;0,"COUNTED",IF(COUNTIF(LISTS!$J$2:$J$16,TRIM($G1597))&gt;0,"LEFT OUT","NEW")))</f>
        <v/>
      </c>
    </row>
    <row r="1598" spans="47:47" x14ac:dyDescent="0.25">
      <c r="AU1598" s="8" t="str">
        <f>IF(TRIM($G1598)="","",IF(COUNTIF(LISTS!$I$2:$I$16,TRIM($G1598))&gt;0,"COUNTED",IF(COUNTIF(LISTS!$J$2:$J$16,TRIM($G1598))&gt;0,"LEFT OUT","NEW")))</f>
        <v/>
      </c>
    </row>
    <row r="1599" spans="47:47" x14ac:dyDescent="0.25">
      <c r="AU1599" s="8" t="str">
        <f>IF(TRIM($G1599)="","",IF(COUNTIF(LISTS!$I$2:$I$16,TRIM($G1599))&gt;0,"COUNTED",IF(COUNTIF(LISTS!$J$2:$J$16,TRIM($G1599))&gt;0,"LEFT OUT","NEW")))</f>
        <v/>
      </c>
    </row>
    <row r="1600" spans="47:47" x14ac:dyDescent="0.25">
      <c r="AU1600" s="8" t="str">
        <f>IF(TRIM($G1600)="","",IF(COUNTIF(LISTS!$I$2:$I$16,TRIM($G1600))&gt;0,"COUNTED",IF(COUNTIF(LISTS!$J$2:$J$16,TRIM($G1600))&gt;0,"LEFT OUT","NEW")))</f>
        <v/>
      </c>
    </row>
    <row r="1601" spans="47:47" x14ac:dyDescent="0.25">
      <c r="AU1601" s="8" t="str">
        <f>IF(TRIM($G1601)="","",IF(COUNTIF(LISTS!$I$2:$I$16,TRIM($G1601))&gt;0,"COUNTED",IF(COUNTIF(LISTS!$J$2:$J$16,TRIM($G1601))&gt;0,"LEFT OUT","NEW")))</f>
        <v/>
      </c>
    </row>
    <row r="1602" spans="47:47" x14ac:dyDescent="0.25">
      <c r="AU1602" s="8" t="str">
        <f>IF(TRIM($G1602)="","",IF(COUNTIF(LISTS!$I$2:$I$16,TRIM($G1602))&gt;0,"COUNTED",IF(COUNTIF(LISTS!$J$2:$J$16,TRIM($G1602))&gt;0,"LEFT OUT","NEW")))</f>
        <v/>
      </c>
    </row>
    <row r="1603" spans="47:47" x14ac:dyDescent="0.25">
      <c r="AU1603" s="8" t="str">
        <f>IF(TRIM($G1603)="","",IF(COUNTIF(LISTS!$I$2:$I$16,TRIM($G1603))&gt;0,"COUNTED",IF(COUNTIF(LISTS!$J$2:$J$16,TRIM($G1603))&gt;0,"LEFT OUT","NEW")))</f>
        <v/>
      </c>
    </row>
    <row r="1604" spans="47:47" x14ac:dyDescent="0.25">
      <c r="AU1604" s="8" t="str">
        <f>IF(TRIM($G1604)="","",IF(COUNTIF(LISTS!$I$2:$I$16,TRIM($G1604))&gt;0,"COUNTED",IF(COUNTIF(LISTS!$J$2:$J$16,TRIM($G1604))&gt;0,"LEFT OUT","NEW")))</f>
        <v/>
      </c>
    </row>
    <row r="1605" spans="47:47" x14ac:dyDescent="0.25">
      <c r="AU1605" s="8" t="str">
        <f>IF(TRIM($G1605)="","",IF(COUNTIF(LISTS!$I$2:$I$16,TRIM($G1605))&gt;0,"COUNTED",IF(COUNTIF(LISTS!$J$2:$J$16,TRIM($G1605))&gt;0,"LEFT OUT","NEW")))</f>
        <v/>
      </c>
    </row>
    <row r="1606" spans="47:47" x14ac:dyDescent="0.25">
      <c r="AU1606" s="8" t="str">
        <f>IF(TRIM($G1606)="","",IF(COUNTIF(LISTS!$I$2:$I$16,TRIM($G1606))&gt;0,"COUNTED",IF(COUNTIF(LISTS!$J$2:$J$16,TRIM($G1606))&gt;0,"LEFT OUT","NEW")))</f>
        <v/>
      </c>
    </row>
    <row r="1607" spans="47:47" x14ac:dyDescent="0.25">
      <c r="AU1607" s="8" t="str">
        <f>IF(TRIM($G1607)="","",IF(COUNTIF(LISTS!$I$2:$I$16,TRIM($G1607))&gt;0,"COUNTED",IF(COUNTIF(LISTS!$J$2:$J$16,TRIM($G1607))&gt;0,"LEFT OUT","NEW")))</f>
        <v/>
      </c>
    </row>
    <row r="1608" spans="47:47" x14ac:dyDescent="0.25">
      <c r="AU1608" s="8" t="str">
        <f>IF(TRIM($G1608)="","",IF(COUNTIF(LISTS!$I$2:$I$16,TRIM($G1608))&gt;0,"COUNTED",IF(COUNTIF(LISTS!$J$2:$J$16,TRIM($G1608))&gt;0,"LEFT OUT","NEW")))</f>
        <v/>
      </c>
    </row>
    <row r="1609" spans="47:47" x14ac:dyDescent="0.25">
      <c r="AU1609" s="8" t="str">
        <f>IF(TRIM($G1609)="","",IF(COUNTIF(LISTS!$I$2:$I$16,TRIM($G1609))&gt;0,"COUNTED",IF(COUNTIF(LISTS!$J$2:$J$16,TRIM($G1609))&gt;0,"LEFT OUT","NEW")))</f>
        <v/>
      </c>
    </row>
    <row r="1610" spans="47:47" x14ac:dyDescent="0.25">
      <c r="AU1610" s="8" t="str">
        <f>IF(TRIM($G1610)="","",IF(COUNTIF(LISTS!$I$2:$I$16,TRIM($G1610))&gt;0,"COUNTED",IF(COUNTIF(LISTS!$J$2:$J$16,TRIM($G1610))&gt;0,"LEFT OUT","NEW")))</f>
        <v/>
      </c>
    </row>
    <row r="1611" spans="47:47" x14ac:dyDescent="0.25">
      <c r="AU1611" s="8" t="str">
        <f>IF(TRIM($G1611)="","",IF(COUNTIF(LISTS!$I$2:$I$16,TRIM($G1611))&gt;0,"COUNTED",IF(COUNTIF(LISTS!$J$2:$J$16,TRIM($G1611))&gt;0,"LEFT OUT","NEW")))</f>
        <v/>
      </c>
    </row>
    <row r="1612" spans="47:47" x14ac:dyDescent="0.25">
      <c r="AU1612" s="8" t="str">
        <f>IF(TRIM($G1612)="","",IF(COUNTIF(LISTS!$I$2:$I$16,TRIM($G1612))&gt;0,"COUNTED",IF(COUNTIF(LISTS!$J$2:$J$16,TRIM($G1612))&gt;0,"LEFT OUT","NEW")))</f>
        <v/>
      </c>
    </row>
    <row r="1613" spans="47:47" x14ac:dyDescent="0.25">
      <c r="AU1613" s="8" t="str">
        <f>IF(TRIM($G1613)="","",IF(COUNTIF(LISTS!$I$2:$I$16,TRIM($G1613))&gt;0,"COUNTED",IF(COUNTIF(LISTS!$J$2:$J$16,TRIM($G1613))&gt;0,"LEFT OUT","NEW")))</f>
        <v/>
      </c>
    </row>
    <row r="1614" spans="47:47" x14ac:dyDescent="0.25">
      <c r="AU1614" s="8" t="str">
        <f>IF(TRIM($G1614)="","",IF(COUNTIF(LISTS!$I$2:$I$16,TRIM($G1614))&gt;0,"COUNTED",IF(COUNTIF(LISTS!$J$2:$J$16,TRIM($G1614))&gt;0,"LEFT OUT","NEW")))</f>
        <v/>
      </c>
    </row>
    <row r="1615" spans="47:47" x14ac:dyDescent="0.25">
      <c r="AU1615" s="8" t="str">
        <f>IF(TRIM($G1615)="","",IF(COUNTIF(LISTS!$I$2:$I$16,TRIM($G1615))&gt;0,"COUNTED",IF(COUNTIF(LISTS!$J$2:$J$16,TRIM($G1615))&gt;0,"LEFT OUT","NEW")))</f>
        <v/>
      </c>
    </row>
    <row r="1616" spans="47:47" x14ac:dyDescent="0.25">
      <c r="AU1616" s="8" t="str">
        <f>IF(TRIM($G1616)="","",IF(COUNTIF(LISTS!$I$2:$I$16,TRIM($G1616))&gt;0,"COUNTED",IF(COUNTIF(LISTS!$J$2:$J$16,TRIM($G1616))&gt;0,"LEFT OUT","NEW")))</f>
        <v/>
      </c>
    </row>
    <row r="1617" spans="47:47" x14ac:dyDescent="0.25">
      <c r="AU1617" s="8" t="str">
        <f>IF(TRIM($G1617)="","",IF(COUNTIF(LISTS!$I$2:$I$16,TRIM($G1617))&gt;0,"COUNTED",IF(COUNTIF(LISTS!$J$2:$J$16,TRIM($G1617))&gt;0,"LEFT OUT","NEW")))</f>
        <v/>
      </c>
    </row>
    <row r="1618" spans="47:47" x14ac:dyDescent="0.25">
      <c r="AU1618" s="8" t="str">
        <f>IF(TRIM($G1618)="","",IF(COUNTIF(LISTS!$I$2:$I$16,TRIM($G1618))&gt;0,"COUNTED",IF(COUNTIF(LISTS!$J$2:$J$16,TRIM($G1618))&gt;0,"LEFT OUT","NEW")))</f>
        <v/>
      </c>
    </row>
    <row r="1619" spans="47:47" x14ac:dyDescent="0.25">
      <c r="AU1619" s="8" t="str">
        <f>IF(TRIM($G1619)="","",IF(COUNTIF(LISTS!$I$2:$I$16,TRIM($G1619))&gt;0,"COUNTED",IF(COUNTIF(LISTS!$J$2:$J$16,TRIM($G1619))&gt;0,"LEFT OUT","NEW")))</f>
        <v/>
      </c>
    </row>
    <row r="1620" spans="47:47" x14ac:dyDescent="0.25">
      <c r="AU1620" s="8" t="str">
        <f>IF(TRIM($G1620)="","",IF(COUNTIF(LISTS!$I$2:$I$16,TRIM($G1620))&gt;0,"COUNTED",IF(COUNTIF(LISTS!$J$2:$J$16,TRIM($G1620))&gt;0,"LEFT OUT","NEW")))</f>
        <v/>
      </c>
    </row>
    <row r="1621" spans="47:47" x14ac:dyDescent="0.25">
      <c r="AU1621" s="8" t="str">
        <f>IF(TRIM($G1621)="","",IF(COUNTIF(LISTS!$I$2:$I$16,TRIM($G1621))&gt;0,"COUNTED",IF(COUNTIF(LISTS!$J$2:$J$16,TRIM($G1621))&gt;0,"LEFT OUT","NEW")))</f>
        <v/>
      </c>
    </row>
    <row r="1622" spans="47:47" x14ac:dyDescent="0.25">
      <c r="AU1622" s="8" t="str">
        <f>IF(TRIM($G1622)="","",IF(COUNTIF(LISTS!$I$2:$I$16,TRIM($G1622))&gt;0,"COUNTED",IF(COUNTIF(LISTS!$J$2:$J$16,TRIM($G1622))&gt;0,"LEFT OUT","NEW")))</f>
        <v/>
      </c>
    </row>
    <row r="1623" spans="47:47" x14ac:dyDescent="0.25">
      <c r="AU1623" s="8" t="str">
        <f>IF(TRIM($G1623)="","",IF(COUNTIF(LISTS!$I$2:$I$16,TRIM($G1623))&gt;0,"COUNTED",IF(COUNTIF(LISTS!$J$2:$J$16,TRIM($G1623))&gt;0,"LEFT OUT","NEW")))</f>
        <v/>
      </c>
    </row>
    <row r="1624" spans="47:47" x14ac:dyDescent="0.25">
      <c r="AU1624" s="8" t="str">
        <f>IF(TRIM($G1624)="","",IF(COUNTIF(LISTS!$I$2:$I$16,TRIM($G1624))&gt;0,"COUNTED",IF(COUNTIF(LISTS!$J$2:$J$16,TRIM($G1624))&gt;0,"LEFT OUT","NEW")))</f>
        <v/>
      </c>
    </row>
    <row r="1625" spans="47:47" x14ac:dyDescent="0.25">
      <c r="AU1625" s="8" t="str">
        <f>IF(TRIM($G1625)="","",IF(COUNTIF(LISTS!$I$2:$I$16,TRIM($G1625))&gt;0,"COUNTED",IF(COUNTIF(LISTS!$J$2:$J$16,TRIM($G1625))&gt;0,"LEFT OUT","NEW")))</f>
        <v/>
      </c>
    </row>
    <row r="1626" spans="47:47" x14ac:dyDescent="0.25">
      <c r="AU1626" s="8" t="str">
        <f>IF(TRIM($G1626)="","",IF(COUNTIF(LISTS!$I$2:$I$16,TRIM($G1626))&gt;0,"COUNTED",IF(COUNTIF(LISTS!$J$2:$J$16,TRIM($G1626))&gt;0,"LEFT OUT","NEW")))</f>
        <v/>
      </c>
    </row>
    <row r="1627" spans="47:47" x14ac:dyDescent="0.25">
      <c r="AU1627" s="8" t="str">
        <f>IF(TRIM($G1627)="","",IF(COUNTIF(LISTS!$I$2:$I$16,TRIM($G1627))&gt;0,"COUNTED",IF(COUNTIF(LISTS!$J$2:$J$16,TRIM($G1627))&gt;0,"LEFT OUT","NEW")))</f>
        <v/>
      </c>
    </row>
    <row r="1628" spans="47:47" x14ac:dyDescent="0.25">
      <c r="AU1628" s="8" t="str">
        <f>IF(TRIM($G1628)="","",IF(COUNTIF(LISTS!$I$2:$I$16,TRIM($G1628))&gt;0,"COUNTED",IF(COUNTIF(LISTS!$J$2:$J$16,TRIM($G1628))&gt;0,"LEFT OUT","NEW")))</f>
        <v/>
      </c>
    </row>
    <row r="1629" spans="47:47" x14ac:dyDescent="0.25">
      <c r="AU1629" s="8" t="str">
        <f>IF(TRIM($G1629)="","",IF(COUNTIF(LISTS!$I$2:$I$16,TRIM($G1629))&gt;0,"COUNTED",IF(COUNTIF(LISTS!$J$2:$J$16,TRIM($G1629))&gt;0,"LEFT OUT","NEW")))</f>
        <v/>
      </c>
    </row>
    <row r="1630" spans="47:47" x14ac:dyDescent="0.25">
      <c r="AU1630" s="8" t="str">
        <f>IF(TRIM($G1630)="","",IF(COUNTIF(LISTS!$I$2:$I$16,TRIM($G1630))&gt;0,"COUNTED",IF(COUNTIF(LISTS!$J$2:$J$16,TRIM($G1630))&gt;0,"LEFT OUT","NEW")))</f>
        <v/>
      </c>
    </row>
    <row r="1631" spans="47:47" x14ac:dyDescent="0.25">
      <c r="AU1631" s="8" t="str">
        <f>IF(TRIM($G1631)="","",IF(COUNTIF(LISTS!$I$2:$I$16,TRIM($G1631))&gt;0,"COUNTED",IF(COUNTIF(LISTS!$J$2:$J$16,TRIM($G1631))&gt;0,"LEFT OUT","NEW")))</f>
        <v/>
      </c>
    </row>
    <row r="1632" spans="47:47" x14ac:dyDescent="0.25">
      <c r="AU1632" s="8" t="str">
        <f>IF(TRIM($G1632)="","",IF(COUNTIF(LISTS!$I$2:$I$16,TRIM($G1632))&gt;0,"COUNTED",IF(COUNTIF(LISTS!$J$2:$J$16,TRIM($G1632))&gt;0,"LEFT OUT","NEW")))</f>
        <v/>
      </c>
    </row>
    <row r="1633" spans="47:47" x14ac:dyDescent="0.25">
      <c r="AU1633" s="8" t="str">
        <f>IF(TRIM($G1633)="","",IF(COUNTIF(LISTS!$I$2:$I$16,TRIM($G1633))&gt;0,"COUNTED",IF(COUNTIF(LISTS!$J$2:$J$16,TRIM($G1633))&gt;0,"LEFT OUT","NEW")))</f>
        <v/>
      </c>
    </row>
    <row r="1634" spans="47:47" x14ac:dyDescent="0.25">
      <c r="AU1634" s="8" t="str">
        <f>IF(TRIM($G1634)="","",IF(COUNTIF(LISTS!$I$2:$I$16,TRIM($G1634))&gt;0,"COUNTED",IF(COUNTIF(LISTS!$J$2:$J$16,TRIM($G1634))&gt;0,"LEFT OUT","NEW")))</f>
        <v/>
      </c>
    </row>
    <row r="1635" spans="47:47" x14ac:dyDescent="0.25">
      <c r="AU1635" s="8" t="str">
        <f>IF(TRIM($G1635)="","",IF(COUNTIF(LISTS!$I$2:$I$16,TRIM($G1635))&gt;0,"COUNTED",IF(COUNTIF(LISTS!$J$2:$J$16,TRIM($G1635))&gt;0,"LEFT OUT","NEW")))</f>
        <v/>
      </c>
    </row>
    <row r="1636" spans="47:47" x14ac:dyDescent="0.25">
      <c r="AU1636" s="8" t="str">
        <f>IF(TRIM($G1636)="","",IF(COUNTIF(LISTS!$I$2:$I$16,TRIM($G1636))&gt;0,"COUNTED",IF(COUNTIF(LISTS!$J$2:$J$16,TRIM($G1636))&gt;0,"LEFT OUT","NEW")))</f>
        <v/>
      </c>
    </row>
    <row r="1637" spans="47:47" x14ac:dyDescent="0.25">
      <c r="AU1637" s="8" t="str">
        <f>IF(TRIM($G1637)="","",IF(COUNTIF(LISTS!$I$2:$I$16,TRIM($G1637))&gt;0,"COUNTED",IF(COUNTIF(LISTS!$J$2:$J$16,TRIM($G1637))&gt;0,"LEFT OUT","NEW")))</f>
        <v/>
      </c>
    </row>
    <row r="1638" spans="47:47" x14ac:dyDescent="0.25">
      <c r="AU1638" s="8" t="str">
        <f>IF(TRIM($G1638)="","",IF(COUNTIF(LISTS!$I$2:$I$16,TRIM($G1638))&gt;0,"COUNTED",IF(COUNTIF(LISTS!$J$2:$J$16,TRIM($G1638))&gt;0,"LEFT OUT","NEW")))</f>
        <v/>
      </c>
    </row>
    <row r="1639" spans="47:47" x14ac:dyDescent="0.25">
      <c r="AU1639" s="8" t="str">
        <f>IF(TRIM($G1639)="","",IF(COUNTIF(LISTS!$I$2:$I$16,TRIM($G1639))&gt;0,"COUNTED",IF(COUNTIF(LISTS!$J$2:$J$16,TRIM($G1639))&gt;0,"LEFT OUT","NEW")))</f>
        <v/>
      </c>
    </row>
    <row r="1640" spans="47:47" x14ac:dyDescent="0.25">
      <c r="AU1640" s="8" t="str">
        <f>IF(TRIM($G1640)="","",IF(COUNTIF(LISTS!$I$2:$I$16,TRIM($G1640))&gt;0,"COUNTED",IF(COUNTIF(LISTS!$J$2:$J$16,TRIM($G1640))&gt;0,"LEFT OUT","NEW")))</f>
        <v/>
      </c>
    </row>
    <row r="1641" spans="47:47" x14ac:dyDescent="0.25">
      <c r="AU1641" s="8" t="str">
        <f>IF(TRIM($G1641)="","",IF(COUNTIF(LISTS!$I$2:$I$16,TRIM($G1641))&gt;0,"COUNTED",IF(COUNTIF(LISTS!$J$2:$J$16,TRIM($G1641))&gt;0,"LEFT OUT","NEW")))</f>
        <v/>
      </c>
    </row>
    <row r="1642" spans="47:47" x14ac:dyDescent="0.25">
      <c r="AU1642" s="8" t="str">
        <f>IF(TRIM($G1642)="","",IF(COUNTIF(LISTS!$I$2:$I$16,TRIM($G1642))&gt;0,"COUNTED",IF(COUNTIF(LISTS!$J$2:$J$16,TRIM($G1642))&gt;0,"LEFT OUT","NEW")))</f>
        <v/>
      </c>
    </row>
    <row r="1643" spans="47:47" x14ac:dyDescent="0.25">
      <c r="AU1643" s="8" t="str">
        <f>IF(TRIM($G1643)="","",IF(COUNTIF(LISTS!$I$2:$I$16,TRIM($G1643))&gt;0,"COUNTED",IF(COUNTIF(LISTS!$J$2:$J$16,TRIM($G1643))&gt;0,"LEFT OUT","NEW")))</f>
        <v/>
      </c>
    </row>
    <row r="1644" spans="47:47" x14ac:dyDescent="0.25">
      <c r="AU1644" s="8" t="str">
        <f>IF(TRIM($G1644)="","",IF(COUNTIF(LISTS!$I$2:$I$16,TRIM($G1644))&gt;0,"COUNTED",IF(COUNTIF(LISTS!$J$2:$J$16,TRIM($G1644))&gt;0,"LEFT OUT","NEW")))</f>
        <v/>
      </c>
    </row>
    <row r="1645" spans="47:47" x14ac:dyDescent="0.25">
      <c r="AU1645" s="8" t="str">
        <f>IF(TRIM($G1645)="","",IF(COUNTIF(LISTS!$I$2:$I$16,TRIM($G1645))&gt;0,"COUNTED",IF(COUNTIF(LISTS!$J$2:$J$16,TRIM($G1645))&gt;0,"LEFT OUT","NEW")))</f>
        <v/>
      </c>
    </row>
    <row r="1646" spans="47:47" x14ac:dyDescent="0.25">
      <c r="AU1646" s="8" t="str">
        <f>IF(TRIM($G1646)="","",IF(COUNTIF(LISTS!$I$2:$I$16,TRIM($G1646))&gt;0,"COUNTED",IF(COUNTIF(LISTS!$J$2:$J$16,TRIM($G1646))&gt;0,"LEFT OUT","NEW")))</f>
        <v/>
      </c>
    </row>
    <row r="1647" spans="47:47" x14ac:dyDescent="0.25">
      <c r="AU1647" s="8" t="str">
        <f>IF(TRIM($G1647)="","",IF(COUNTIF(LISTS!$I$2:$I$16,TRIM($G1647))&gt;0,"COUNTED",IF(COUNTIF(LISTS!$J$2:$J$16,TRIM($G1647))&gt;0,"LEFT OUT","NEW")))</f>
        <v/>
      </c>
    </row>
    <row r="1648" spans="47:47" x14ac:dyDescent="0.25">
      <c r="AU1648" s="8" t="str">
        <f>IF(TRIM($G1648)="","",IF(COUNTIF(LISTS!$I$2:$I$16,TRIM($G1648))&gt;0,"COUNTED",IF(COUNTIF(LISTS!$J$2:$J$16,TRIM($G1648))&gt;0,"LEFT OUT","NEW")))</f>
        <v/>
      </c>
    </row>
    <row r="1649" spans="47:47" x14ac:dyDescent="0.25">
      <c r="AU1649" s="8" t="str">
        <f>IF(TRIM($G1649)="","",IF(COUNTIF(LISTS!$I$2:$I$16,TRIM($G1649))&gt;0,"COUNTED",IF(COUNTIF(LISTS!$J$2:$J$16,TRIM($G1649))&gt;0,"LEFT OUT","NEW")))</f>
        <v/>
      </c>
    </row>
    <row r="1650" spans="47:47" x14ac:dyDescent="0.25">
      <c r="AU1650" s="8" t="str">
        <f>IF(TRIM($G1650)="","",IF(COUNTIF(LISTS!$I$2:$I$16,TRIM($G1650))&gt;0,"COUNTED",IF(COUNTIF(LISTS!$J$2:$J$16,TRIM($G1650))&gt;0,"LEFT OUT","NEW")))</f>
        <v/>
      </c>
    </row>
    <row r="1651" spans="47:47" x14ac:dyDescent="0.25">
      <c r="AU1651" s="8" t="str">
        <f>IF(TRIM($G1651)="","",IF(COUNTIF(LISTS!$I$2:$I$16,TRIM($G1651))&gt;0,"COUNTED",IF(COUNTIF(LISTS!$J$2:$J$16,TRIM($G1651))&gt;0,"LEFT OUT","NEW")))</f>
        <v/>
      </c>
    </row>
    <row r="1652" spans="47:47" x14ac:dyDescent="0.25">
      <c r="AU1652" s="8" t="str">
        <f>IF(TRIM($G1652)="","",IF(COUNTIF(LISTS!$I$2:$I$16,TRIM($G1652))&gt;0,"COUNTED",IF(COUNTIF(LISTS!$J$2:$J$16,TRIM($G1652))&gt;0,"LEFT OUT","NEW")))</f>
        <v/>
      </c>
    </row>
    <row r="1653" spans="47:47" x14ac:dyDescent="0.25">
      <c r="AU1653" s="8" t="str">
        <f>IF(TRIM($G1653)="","",IF(COUNTIF(LISTS!$I$2:$I$16,TRIM($G1653))&gt;0,"COUNTED",IF(COUNTIF(LISTS!$J$2:$J$16,TRIM($G1653))&gt;0,"LEFT OUT","NEW")))</f>
        <v/>
      </c>
    </row>
    <row r="1654" spans="47:47" x14ac:dyDescent="0.25">
      <c r="AU1654" s="8" t="str">
        <f>IF(TRIM($G1654)="","",IF(COUNTIF(LISTS!$I$2:$I$16,TRIM($G1654))&gt;0,"COUNTED",IF(COUNTIF(LISTS!$J$2:$J$16,TRIM($G1654))&gt;0,"LEFT OUT","NEW")))</f>
        <v/>
      </c>
    </row>
    <row r="1655" spans="47:47" x14ac:dyDescent="0.25">
      <c r="AU1655" s="8" t="str">
        <f>IF(TRIM($G1655)="","",IF(COUNTIF(LISTS!$I$2:$I$16,TRIM($G1655))&gt;0,"COUNTED",IF(COUNTIF(LISTS!$J$2:$J$16,TRIM($G1655))&gt;0,"LEFT OUT","NEW")))</f>
        <v/>
      </c>
    </row>
    <row r="1656" spans="47:47" x14ac:dyDescent="0.25">
      <c r="AU1656" s="8" t="str">
        <f>IF(TRIM($G1656)="","",IF(COUNTIF(LISTS!$I$2:$I$16,TRIM($G1656))&gt;0,"COUNTED",IF(COUNTIF(LISTS!$J$2:$J$16,TRIM($G1656))&gt;0,"LEFT OUT","NEW")))</f>
        <v/>
      </c>
    </row>
    <row r="1657" spans="47:47" x14ac:dyDescent="0.25">
      <c r="AU1657" s="8" t="str">
        <f>IF(TRIM($G1657)="","",IF(COUNTIF(LISTS!$I$2:$I$16,TRIM($G1657))&gt;0,"COUNTED",IF(COUNTIF(LISTS!$J$2:$J$16,TRIM($G1657))&gt;0,"LEFT OUT","NEW")))</f>
        <v/>
      </c>
    </row>
    <row r="1658" spans="47:47" x14ac:dyDescent="0.25">
      <c r="AU1658" s="8" t="str">
        <f>IF(TRIM($G1658)="","",IF(COUNTIF(LISTS!$I$2:$I$16,TRIM($G1658))&gt;0,"COUNTED",IF(COUNTIF(LISTS!$J$2:$J$16,TRIM($G1658))&gt;0,"LEFT OUT","NEW")))</f>
        <v/>
      </c>
    </row>
    <row r="1659" spans="47:47" x14ac:dyDescent="0.25">
      <c r="AU1659" s="8" t="str">
        <f>IF(TRIM($G1659)="","",IF(COUNTIF(LISTS!$I$2:$I$16,TRIM($G1659))&gt;0,"COUNTED",IF(COUNTIF(LISTS!$J$2:$J$16,TRIM($G1659))&gt;0,"LEFT OUT","NEW")))</f>
        <v/>
      </c>
    </row>
    <row r="1660" spans="47:47" x14ac:dyDescent="0.25">
      <c r="AU1660" s="8" t="str">
        <f>IF(TRIM($G1660)="","",IF(COUNTIF(LISTS!$I$2:$I$16,TRIM($G1660))&gt;0,"COUNTED",IF(COUNTIF(LISTS!$J$2:$J$16,TRIM($G1660))&gt;0,"LEFT OUT","NEW")))</f>
        <v/>
      </c>
    </row>
    <row r="1661" spans="47:47" x14ac:dyDescent="0.25">
      <c r="AU1661" s="8" t="str">
        <f>IF(TRIM($G1661)="","",IF(COUNTIF(LISTS!$I$2:$I$16,TRIM($G1661))&gt;0,"COUNTED",IF(COUNTIF(LISTS!$J$2:$J$16,TRIM($G1661))&gt;0,"LEFT OUT","NEW")))</f>
        <v/>
      </c>
    </row>
    <row r="1662" spans="47:47" x14ac:dyDescent="0.25">
      <c r="AU1662" s="8" t="str">
        <f>IF(TRIM($G1662)="","",IF(COUNTIF(LISTS!$I$2:$I$16,TRIM($G1662))&gt;0,"COUNTED",IF(COUNTIF(LISTS!$J$2:$J$16,TRIM($G1662))&gt;0,"LEFT OUT","NEW")))</f>
        <v/>
      </c>
    </row>
    <row r="1663" spans="47:47" x14ac:dyDescent="0.25">
      <c r="AU1663" s="8" t="str">
        <f>IF(TRIM($G1663)="","",IF(COUNTIF(LISTS!$I$2:$I$16,TRIM($G1663))&gt;0,"COUNTED",IF(COUNTIF(LISTS!$J$2:$J$16,TRIM($G1663))&gt;0,"LEFT OUT","NEW")))</f>
        <v/>
      </c>
    </row>
    <row r="1664" spans="47:47" x14ac:dyDescent="0.25">
      <c r="AU1664" s="8" t="str">
        <f>IF(TRIM($G1664)="","",IF(COUNTIF(LISTS!$I$2:$I$16,TRIM($G1664))&gt;0,"COUNTED",IF(COUNTIF(LISTS!$J$2:$J$16,TRIM($G1664))&gt;0,"LEFT OUT","NEW")))</f>
        <v/>
      </c>
    </row>
    <row r="1665" spans="47:47" x14ac:dyDescent="0.25">
      <c r="AU1665" s="8" t="str">
        <f>IF(TRIM($G1665)="","",IF(COUNTIF(LISTS!$I$2:$I$16,TRIM($G1665))&gt;0,"COUNTED",IF(COUNTIF(LISTS!$J$2:$J$16,TRIM($G1665))&gt;0,"LEFT OUT","NEW")))</f>
        <v/>
      </c>
    </row>
    <row r="1666" spans="47:47" x14ac:dyDescent="0.25">
      <c r="AU1666" s="8" t="str">
        <f>IF(TRIM($G1666)="","",IF(COUNTIF(LISTS!$I$2:$I$16,TRIM($G1666))&gt;0,"COUNTED",IF(COUNTIF(LISTS!$J$2:$J$16,TRIM($G1666))&gt;0,"LEFT OUT","NEW")))</f>
        <v/>
      </c>
    </row>
    <row r="1667" spans="47:47" x14ac:dyDescent="0.25">
      <c r="AU1667" s="8" t="str">
        <f>IF(TRIM($G1667)="","",IF(COUNTIF(LISTS!$I$2:$I$16,TRIM($G1667))&gt;0,"COUNTED",IF(COUNTIF(LISTS!$J$2:$J$16,TRIM($G1667))&gt;0,"LEFT OUT","NEW")))</f>
        <v/>
      </c>
    </row>
    <row r="1668" spans="47:47" x14ac:dyDescent="0.25">
      <c r="AU1668" s="8" t="str">
        <f>IF(TRIM($G1668)="","",IF(COUNTIF(LISTS!$I$2:$I$16,TRIM($G1668))&gt;0,"COUNTED",IF(COUNTIF(LISTS!$J$2:$J$16,TRIM($G1668))&gt;0,"LEFT OUT","NEW")))</f>
        <v/>
      </c>
    </row>
    <row r="1669" spans="47:47" x14ac:dyDescent="0.25">
      <c r="AU1669" s="8" t="str">
        <f>IF(TRIM($G1669)="","",IF(COUNTIF(LISTS!$I$2:$I$16,TRIM($G1669))&gt;0,"COUNTED",IF(COUNTIF(LISTS!$J$2:$J$16,TRIM($G1669))&gt;0,"LEFT OUT","NEW")))</f>
        <v/>
      </c>
    </row>
    <row r="1670" spans="47:47" x14ac:dyDescent="0.25">
      <c r="AU1670" s="8" t="str">
        <f>IF(TRIM($G1670)="","",IF(COUNTIF(LISTS!$I$2:$I$16,TRIM($G1670))&gt;0,"COUNTED",IF(COUNTIF(LISTS!$J$2:$J$16,TRIM($G1670))&gt;0,"LEFT OUT","NEW")))</f>
        <v/>
      </c>
    </row>
    <row r="1671" spans="47:47" x14ac:dyDescent="0.25">
      <c r="AU1671" s="8" t="str">
        <f>IF(TRIM($G1671)="","",IF(COUNTIF(LISTS!$I$2:$I$16,TRIM($G1671))&gt;0,"COUNTED",IF(COUNTIF(LISTS!$J$2:$J$16,TRIM($G1671))&gt;0,"LEFT OUT","NEW")))</f>
        <v/>
      </c>
    </row>
    <row r="1672" spans="47:47" x14ac:dyDescent="0.25">
      <c r="AU1672" s="8" t="str">
        <f>IF(TRIM($G1672)="","",IF(COUNTIF(LISTS!$I$2:$I$16,TRIM($G1672))&gt;0,"COUNTED",IF(COUNTIF(LISTS!$J$2:$J$16,TRIM($G1672))&gt;0,"LEFT OUT","NEW")))</f>
        <v/>
      </c>
    </row>
    <row r="1673" spans="47:47" x14ac:dyDescent="0.25">
      <c r="AU1673" s="8" t="str">
        <f>IF(TRIM($G1673)="","",IF(COUNTIF(LISTS!$I$2:$I$16,TRIM($G1673))&gt;0,"COUNTED",IF(COUNTIF(LISTS!$J$2:$J$16,TRIM($G1673))&gt;0,"LEFT OUT","NEW")))</f>
        <v/>
      </c>
    </row>
    <row r="1674" spans="47:47" x14ac:dyDescent="0.25">
      <c r="AU1674" s="8" t="str">
        <f>IF(TRIM($G1674)="","",IF(COUNTIF(LISTS!$I$2:$I$16,TRIM($G1674))&gt;0,"COUNTED",IF(COUNTIF(LISTS!$J$2:$J$16,TRIM($G1674))&gt;0,"LEFT OUT","NEW")))</f>
        <v/>
      </c>
    </row>
    <row r="1675" spans="47:47" x14ac:dyDescent="0.25">
      <c r="AU1675" s="8" t="str">
        <f>IF(TRIM($G1675)="","",IF(COUNTIF(LISTS!$I$2:$I$16,TRIM($G1675))&gt;0,"COUNTED",IF(COUNTIF(LISTS!$J$2:$J$16,TRIM($G1675))&gt;0,"LEFT OUT","NEW")))</f>
        <v/>
      </c>
    </row>
    <row r="1676" spans="47:47" x14ac:dyDescent="0.25">
      <c r="AU1676" s="8" t="str">
        <f>IF(TRIM($G1676)="","",IF(COUNTIF(LISTS!$I$2:$I$16,TRIM($G1676))&gt;0,"COUNTED",IF(COUNTIF(LISTS!$J$2:$J$16,TRIM($G1676))&gt;0,"LEFT OUT","NEW")))</f>
        <v/>
      </c>
    </row>
    <row r="1677" spans="47:47" x14ac:dyDescent="0.25">
      <c r="AU1677" s="8" t="str">
        <f>IF(TRIM($G1677)="","",IF(COUNTIF(LISTS!$I$2:$I$16,TRIM($G1677))&gt;0,"COUNTED",IF(COUNTIF(LISTS!$J$2:$J$16,TRIM($G1677))&gt;0,"LEFT OUT","NEW")))</f>
        <v/>
      </c>
    </row>
    <row r="1678" spans="47:47" x14ac:dyDescent="0.25">
      <c r="AU1678" s="8" t="str">
        <f>IF(TRIM($G1678)="","",IF(COUNTIF(LISTS!$I$2:$I$16,TRIM($G1678))&gt;0,"COUNTED",IF(COUNTIF(LISTS!$J$2:$J$16,TRIM($G1678))&gt;0,"LEFT OUT","NEW")))</f>
        <v/>
      </c>
    </row>
    <row r="1679" spans="47:47" x14ac:dyDescent="0.25">
      <c r="AU1679" s="8" t="str">
        <f>IF(TRIM($G1679)="","",IF(COUNTIF(LISTS!$I$2:$I$16,TRIM($G1679))&gt;0,"COUNTED",IF(COUNTIF(LISTS!$J$2:$J$16,TRIM($G1679))&gt;0,"LEFT OUT","NEW")))</f>
        <v/>
      </c>
    </row>
    <row r="1680" spans="47:47" x14ac:dyDescent="0.25">
      <c r="AU1680" s="8" t="str">
        <f>IF(TRIM($G1680)="","",IF(COUNTIF(LISTS!$I$2:$I$16,TRIM($G1680))&gt;0,"COUNTED",IF(COUNTIF(LISTS!$J$2:$J$16,TRIM($G1680))&gt;0,"LEFT OUT","NEW")))</f>
        <v/>
      </c>
    </row>
    <row r="1681" spans="47:47" x14ac:dyDescent="0.25">
      <c r="AU1681" s="8" t="str">
        <f>IF(TRIM($G1681)="","",IF(COUNTIF(LISTS!$I$2:$I$16,TRIM($G1681))&gt;0,"COUNTED",IF(COUNTIF(LISTS!$J$2:$J$16,TRIM($G1681))&gt;0,"LEFT OUT","NEW")))</f>
        <v/>
      </c>
    </row>
    <row r="1682" spans="47:47" x14ac:dyDescent="0.25">
      <c r="AU1682" s="8" t="str">
        <f>IF(TRIM($G1682)="","",IF(COUNTIF(LISTS!$I$2:$I$16,TRIM($G1682))&gt;0,"COUNTED",IF(COUNTIF(LISTS!$J$2:$J$16,TRIM($G1682))&gt;0,"LEFT OUT","NEW")))</f>
        <v/>
      </c>
    </row>
    <row r="1683" spans="47:47" x14ac:dyDescent="0.25">
      <c r="AU1683" s="8" t="str">
        <f>IF(TRIM($G1683)="","",IF(COUNTIF(LISTS!$I$2:$I$16,TRIM($G1683))&gt;0,"COUNTED",IF(COUNTIF(LISTS!$J$2:$J$16,TRIM($G1683))&gt;0,"LEFT OUT","NEW")))</f>
        <v/>
      </c>
    </row>
    <row r="1684" spans="47:47" x14ac:dyDescent="0.25">
      <c r="AU1684" s="8" t="str">
        <f>IF(TRIM($G1684)="","",IF(COUNTIF(LISTS!$I$2:$I$16,TRIM($G1684))&gt;0,"COUNTED",IF(COUNTIF(LISTS!$J$2:$J$16,TRIM($G1684))&gt;0,"LEFT OUT","NEW")))</f>
        <v/>
      </c>
    </row>
    <row r="1685" spans="47:47" x14ac:dyDescent="0.25">
      <c r="AU1685" s="8" t="str">
        <f>IF(TRIM($G1685)="","",IF(COUNTIF(LISTS!$I$2:$I$16,TRIM($G1685))&gt;0,"COUNTED",IF(COUNTIF(LISTS!$J$2:$J$16,TRIM($G1685))&gt;0,"LEFT OUT","NEW")))</f>
        <v/>
      </c>
    </row>
    <row r="1686" spans="47:47" x14ac:dyDescent="0.25">
      <c r="AU1686" s="8" t="str">
        <f>IF(TRIM($G1686)="","",IF(COUNTIF(LISTS!$I$2:$I$16,TRIM($G1686))&gt;0,"COUNTED",IF(COUNTIF(LISTS!$J$2:$J$16,TRIM($G1686))&gt;0,"LEFT OUT","NEW")))</f>
        <v/>
      </c>
    </row>
    <row r="1687" spans="47:47" x14ac:dyDescent="0.25">
      <c r="AU1687" s="8" t="str">
        <f>IF(TRIM($G1687)="","",IF(COUNTIF(LISTS!$I$2:$I$16,TRIM($G1687))&gt;0,"COUNTED",IF(COUNTIF(LISTS!$J$2:$J$16,TRIM($G1687))&gt;0,"LEFT OUT","NEW")))</f>
        <v/>
      </c>
    </row>
    <row r="1688" spans="47:47" x14ac:dyDescent="0.25">
      <c r="AU1688" s="8" t="str">
        <f>IF(TRIM($G1688)="","",IF(COUNTIF(LISTS!$I$2:$I$16,TRIM($G1688))&gt;0,"COUNTED",IF(COUNTIF(LISTS!$J$2:$J$16,TRIM($G1688))&gt;0,"LEFT OUT","NEW")))</f>
        <v/>
      </c>
    </row>
    <row r="1689" spans="47:47" x14ac:dyDescent="0.25">
      <c r="AU1689" s="8" t="str">
        <f>IF(TRIM($G1689)="","",IF(COUNTIF(LISTS!$I$2:$I$16,TRIM($G1689))&gt;0,"COUNTED",IF(COUNTIF(LISTS!$J$2:$J$16,TRIM($G1689))&gt;0,"LEFT OUT","NEW")))</f>
        <v/>
      </c>
    </row>
    <row r="1690" spans="47:47" x14ac:dyDescent="0.25">
      <c r="AU1690" s="8" t="str">
        <f>IF(TRIM($G1690)="","",IF(COUNTIF(LISTS!$I$2:$I$16,TRIM($G1690))&gt;0,"COUNTED",IF(COUNTIF(LISTS!$J$2:$J$16,TRIM($G1690))&gt;0,"LEFT OUT","NEW")))</f>
        <v/>
      </c>
    </row>
    <row r="1691" spans="47:47" x14ac:dyDescent="0.25">
      <c r="AU1691" s="8" t="str">
        <f>IF(TRIM($G1691)="","",IF(COUNTIF(LISTS!$I$2:$I$16,TRIM($G1691))&gt;0,"COUNTED",IF(COUNTIF(LISTS!$J$2:$J$16,TRIM($G1691))&gt;0,"LEFT OUT","NEW")))</f>
        <v/>
      </c>
    </row>
    <row r="1692" spans="47:47" x14ac:dyDescent="0.25">
      <c r="AU1692" s="8" t="str">
        <f>IF(TRIM($G1692)="","",IF(COUNTIF(LISTS!$I$2:$I$16,TRIM($G1692))&gt;0,"COUNTED",IF(COUNTIF(LISTS!$J$2:$J$16,TRIM($G1692))&gt;0,"LEFT OUT","NEW")))</f>
        <v/>
      </c>
    </row>
    <row r="1693" spans="47:47" x14ac:dyDescent="0.25">
      <c r="AU1693" s="8" t="str">
        <f>IF(TRIM($G1693)="","",IF(COUNTIF(LISTS!$I$2:$I$16,TRIM($G1693))&gt;0,"COUNTED",IF(COUNTIF(LISTS!$J$2:$J$16,TRIM($G1693))&gt;0,"LEFT OUT","NEW")))</f>
        <v/>
      </c>
    </row>
    <row r="1694" spans="47:47" x14ac:dyDescent="0.25">
      <c r="AU1694" s="8" t="str">
        <f>IF(TRIM($G1694)="","",IF(COUNTIF(LISTS!$I$2:$I$16,TRIM($G1694))&gt;0,"COUNTED",IF(COUNTIF(LISTS!$J$2:$J$16,TRIM($G1694))&gt;0,"LEFT OUT","NEW")))</f>
        <v/>
      </c>
    </row>
    <row r="1695" spans="47:47" x14ac:dyDescent="0.25">
      <c r="AU1695" s="8" t="str">
        <f>IF(TRIM($G1695)="","",IF(COUNTIF(LISTS!$I$2:$I$16,TRIM($G1695))&gt;0,"COUNTED",IF(COUNTIF(LISTS!$J$2:$J$16,TRIM($G1695))&gt;0,"LEFT OUT","NEW")))</f>
        <v/>
      </c>
    </row>
    <row r="1696" spans="47:47" x14ac:dyDescent="0.25">
      <c r="AU1696" s="8" t="str">
        <f>IF(TRIM($G1696)="","",IF(COUNTIF(LISTS!$I$2:$I$16,TRIM($G1696))&gt;0,"COUNTED",IF(COUNTIF(LISTS!$J$2:$J$16,TRIM($G1696))&gt;0,"LEFT OUT","NEW")))</f>
        <v/>
      </c>
    </row>
    <row r="1697" spans="47:47" x14ac:dyDescent="0.25">
      <c r="AU1697" s="8" t="str">
        <f>IF(TRIM($G1697)="","",IF(COUNTIF(LISTS!$I$2:$I$16,TRIM($G1697))&gt;0,"COUNTED",IF(COUNTIF(LISTS!$J$2:$J$16,TRIM($G1697))&gt;0,"LEFT OUT","NEW")))</f>
        <v/>
      </c>
    </row>
    <row r="1698" spans="47:47" x14ac:dyDescent="0.25">
      <c r="AU1698" s="8" t="str">
        <f>IF(TRIM($G1698)="","",IF(COUNTIF(LISTS!$I$2:$I$16,TRIM($G1698))&gt;0,"COUNTED",IF(COUNTIF(LISTS!$J$2:$J$16,TRIM($G1698))&gt;0,"LEFT OUT","NEW")))</f>
        <v/>
      </c>
    </row>
    <row r="1699" spans="47:47" x14ac:dyDescent="0.25">
      <c r="AU1699" s="8" t="str">
        <f>IF(TRIM($G1699)="","",IF(COUNTIF(LISTS!$I$2:$I$16,TRIM($G1699))&gt;0,"COUNTED",IF(COUNTIF(LISTS!$J$2:$J$16,TRIM($G1699))&gt;0,"LEFT OUT","NEW")))</f>
        <v/>
      </c>
    </row>
    <row r="1700" spans="47:47" x14ac:dyDescent="0.25">
      <c r="AU1700" s="8" t="str">
        <f>IF(TRIM($G1700)="","",IF(COUNTIF(LISTS!$I$2:$I$16,TRIM($G1700))&gt;0,"COUNTED",IF(COUNTIF(LISTS!$J$2:$J$16,TRIM($G1700))&gt;0,"LEFT OUT","NEW")))</f>
        <v/>
      </c>
    </row>
    <row r="1701" spans="47:47" x14ac:dyDescent="0.25">
      <c r="AU1701" s="8" t="str">
        <f>IF(TRIM($G1701)="","",IF(COUNTIF(LISTS!$I$2:$I$16,TRIM($G1701))&gt;0,"COUNTED",IF(COUNTIF(LISTS!$J$2:$J$16,TRIM($G1701))&gt;0,"LEFT OUT","NEW")))</f>
        <v/>
      </c>
    </row>
    <row r="1702" spans="47:47" x14ac:dyDescent="0.25">
      <c r="AU1702" s="8" t="str">
        <f>IF(TRIM($G1702)="","",IF(COUNTIF(LISTS!$I$2:$I$16,TRIM($G1702))&gt;0,"COUNTED",IF(COUNTIF(LISTS!$J$2:$J$16,TRIM($G1702))&gt;0,"LEFT OUT","NEW")))</f>
        <v/>
      </c>
    </row>
    <row r="1703" spans="47:47" x14ac:dyDescent="0.25">
      <c r="AU1703" s="8" t="str">
        <f>IF(TRIM($G1703)="","",IF(COUNTIF(LISTS!$I$2:$I$16,TRIM($G1703))&gt;0,"COUNTED",IF(COUNTIF(LISTS!$J$2:$J$16,TRIM($G1703))&gt;0,"LEFT OUT","NEW")))</f>
        <v/>
      </c>
    </row>
    <row r="1704" spans="47:47" x14ac:dyDescent="0.25">
      <c r="AU1704" s="8" t="str">
        <f>IF(TRIM($G1704)="","",IF(COUNTIF(LISTS!$I$2:$I$16,TRIM($G1704))&gt;0,"COUNTED",IF(COUNTIF(LISTS!$J$2:$J$16,TRIM($G1704))&gt;0,"LEFT OUT","NEW")))</f>
        <v/>
      </c>
    </row>
    <row r="1705" spans="47:47" x14ac:dyDescent="0.25">
      <c r="AU1705" s="8" t="str">
        <f>IF(TRIM($G1705)="","",IF(COUNTIF(LISTS!$I$2:$I$16,TRIM($G1705))&gt;0,"COUNTED",IF(COUNTIF(LISTS!$J$2:$J$16,TRIM($G1705))&gt;0,"LEFT OUT","NEW")))</f>
        <v/>
      </c>
    </row>
    <row r="1706" spans="47:47" x14ac:dyDescent="0.25">
      <c r="AU1706" s="8" t="str">
        <f>IF(TRIM($G1706)="","",IF(COUNTIF(LISTS!$I$2:$I$16,TRIM($G1706))&gt;0,"COUNTED",IF(COUNTIF(LISTS!$J$2:$J$16,TRIM($G1706))&gt;0,"LEFT OUT","NEW")))</f>
        <v/>
      </c>
    </row>
    <row r="1707" spans="47:47" x14ac:dyDescent="0.25">
      <c r="AU1707" s="8" t="str">
        <f>IF(TRIM($G1707)="","",IF(COUNTIF(LISTS!$I$2:$I$16,TRIM($G1707))&gt;0,"COUNTED",IF(COUNTIF(LISTS!$J$2:$J$16,TRIM($G1707))&gt;0,"LEFT OUT","NEW")))</f>
        <v/>
      </c>
    </row>
    <row r="1708" spans="47:47" x14ac:dyDescent="0.25">
      <c r="AU1708" s="8" t="str">
        <f>IF(TRIM($G1708)="","",IF(COUNTIF(LISTS!$I$2:$I$16,TRIM($G1708))&gt;0,"COUNTED",IF(COUNTIF(LISTS!$J$2:$J$16,TRIM($G1708))&gt;0,"LEFT OUT","NEW")))</f>
        <v/>
      </c>
    </row>
    <row r="1709" spans="47:47" x14ac:dyDescent="0.25">
      <c r="AU1709" s="8" t="str">
        <f>IF(TRIM($G1709)="","",IF(COUNTIF(LISTS!$I$2:$I$16,TRIM($G1709))&gt;0,"COUNTED",IF(COUNTIF(LISTS!$J$2:$J$16,TRIM($G1709))&gt;0,"LEFT OUT","NEW")))</f>
        <v/>
      </c>
    </row>
    <row r="1710" spans="47:47" x14ac:dyDescent="0.25">
      <c r="AU1710" s="8" t="str">
        <f>IF(TRIM($G1710)="","",IF(COUNTIF(LISTS!$I$2:$I$16,TRIM($G1710))&gt;0,"COUNTED",IF(COUNTIF(LISTS!$J$2:$J$16,TRIM($G1710))&gt;0,"LEFT OUT","NEW")))</f>
        <v/>
      </c>
    </row>
    <row r="1711" spans="47:47" x14ac:dyDescent="0.25">
      <c r="AU1711" s="8" t="str">
        <f>IF(TRIM($G1711)="","",IF(COUNTIF(LISTS!$I$2:$I$16,TRIM($G1711))&gt;0,"COUNTED",IF(COUNTIF(LISTS!$J$2:$J$16,TRIM($G1711))&gt;0,"LEFT OUT","NEW")))</f>
        <v/>
      </c>
    </row>
    <row r="1712" spans="47:47" x14ac:dyDescent="0.25">
      <c r="AU1712" s="8" t="str">
        <f>IF(TRIM($G1712)="","",IF(COUNTIF(LISTS!$I$2:$I$16,TRIM($G1712))&gt;0,"COUNTED",IF(COUNTIF(LISTS!$J$2:$J$16,TRIM($G1712))&gt;0,"LEFT OUT","NEW")))</f>
        <v/>
      </c>
    </row>
    <row r="1713" spans="47:47" x14ac:dyDescent="0.25">
      <c r="AU1713" s="8" t="str">
        <f>IF(TRIM($G1713)="","",IF(COUNTIF(LISTS!$I$2:$I$16,TRIM($G1713))&gt;0,"COUNTED",IF(COUNTIF(LISTS!$J$2:$J$16,TRIM($G1713))&gt;0,"LEFT OUT","NEW")))</f>
        <v/>
      </c>
    </row>
    <row r="1714" spans="47:47" x14ac:dyDescent="0.25">
      <c r="AU1714" s="8" t="str">
        <f>IF(TRIM($G1714)="","",IF(COUNTIF(LISTS!$I$2:$I$16,TRIM($G1714))&gt;0,"COUNTED",IF(COUNTIF(LISTS!$J$2:$J$16,TRIM($G1714))&gt;0,"LEFT OUT","NEW")))</f>
        <v/>
      </c>
    </row>
    <row r="1715" spans="47:47" x14ac:dyDescent="0.25">
      <c r="AU1715" s="8" t="str">
        <f>IF(TRIM($G1715)="","",IF(COUNTIF(LISTS!$I$2:$I$16,TRIM($G1715))&gt;0,"COUNTED",IF(COUNTIF(LISTS!$J$2:$J$16,TRIM($G1715))&gt;0,"LEFT OUT","NEW")))</f>
        <v/>
      </c>
    </row>
    <row r="1716" spans="47:47" x14ac:dyDescent="0.25">
      <c r="AU1716" s="8" t="str">
        <f>IF(TRIM($G1716)="","",IF(COUNTIF(LISTS!$I$2:$I$16,TRIM($G1716))&gt;0,"COUNTED",IF(COUNTIF(LISTS!$J$2:$J$16,TRIM($G1716))&gt;0,"LEFT OUT","NEW")))</f>
        <v/>
      </c>
    </row>
    <row r="1717" spans="47:47" x14ac:dyDescent="0.25">
      <c r="AU1717" s="8" t="str">
        <f>IF(TRIM($G1717)="","",IF(COUNTIF(LISTS!$I$2:$I$16,TRIM($G1717))&gt;0,"COUNTED",IF(COUNTIF(LISTS!$J$2:$J$16,TRIM($G1717))&gt;0,"LEFT OUT","NEW")))</f>
        <v/>
      </c>
    </row>
    <row r="1718" spans="47:47" x14ac:dyDescent="0.25">
      <c r="AU1718" s="8" t="str">
        <f>IF(TRIM($G1718)="","",IF(COUNTIF(LISTS!$I$2:$I$16,TRIM($G1718))&gt;0,"COUNTED",IF(COUNTIF(LISTS!$J$2:$J$16,TRIM($G1718))&gt;0,"LEFT OUT","NEW")))</f>
        <v/>
      </c>
    </row>
    <row r="1719" spans="47:47" x14ac:dyDescent="0.25">
      <c r="AU1719" s="8" t="str">
        <f>IF(TRIM($G1719)="","",IF(COUNTIF(LISTS!$I$2:$I$16,TRIM($G1719))&gt;0,"COUNTED",IF(COUNTIF(LISTS!$J$2:$J$16,TRIM($G1719))&gt;0,"LEFT OUT","NEW")))</f>
        <v/>
      </c>
    </row>
    <row r="1720" spans="47:47" x14ac:dyDescent="0.25">
      <c r="AU1720" s="8" t="str">
        <f>IF(TRIM($G1720)="","",IF(COUNTIF(LISTS!$I$2:$I$16,TRIM($G1720))&gt;0,"COUNTED",IF(COUNTIF(LISTS!$J$2:$J$16,TRIM($G1720))&gt;0,"LEFT OUT","NEW")))</f>
        <v/>
      </c>
    </row>
    <row r="1721" spans="47:47" x14ac:dyDescent="0.25">
      <c r="AU1721" s="8" t="str">
        <f>IF(TRIM($G1721)="","",IF(COUNTIF(LISTS!$I$2:$I$16,TRIM($G1721))&gt;0,"COUNTED",IF(COUNTIF(LISTS!$J$2:$J$16,TRIM($G1721))&gt;0,"LEFT OUT","NEW")))</f>
        <v/>
      </c>
    </row>
    <row r="1722" spans="47:47" x14ac:dyDescent="0.25">
      <c r="AU1722" s="8" t="str">
        <f>IF(TRIM($G1722)="","",IF(COUNTIF(LISTS!$I$2:$I$16,TRIM($G1722))&gt;0,"COUNTED",IF(COUNTIF(LISTS!$J$2:$J$16,TRIM($G1722))&gt;0,"LEFT OUT","NEW")))</f>
        <v/>
      </c>
    </row>
    <row r="1723" spans="47:47" x14ac:dyDescent="0.25">
      <c r="AU1723" s="8" t="str">
        <f>IF(TRIM($G1723)="","",IF(COUNTIF(LISTS!$I$2:$I$16,TRIM($G1723))&gt;0,"COUNTED",IF(COUNTIF(LISTS!$J$2:$J$16,TRIM($G1723))&gt;0,"LEFT OUT","NEW")))</f>
        <v/>
      </c>
    </row>
    <row r="1724" spans="47:47" x14ac:dyDescent="0.25">
      <c r="AU1724" s="8" t="str">
        <f>IF(TRIM($G1724)="","",IF(COUNTIF(LISTS!$I$2:$I$16,TRIM($G1724))&gt;0,"COUNTED",IF(COUNTIF(LISTS!$J$2:$J$16,TRIM($G1724))&gt;0,"LEFT OUT","NEW")))</f>
        <v/>
      </c>
    </row>
    <row r="1725" spans="47:47" x14ac:dyDescent="0.25">
      <c r="AU1725" s="8" t="str">
        <f>IF(TRIM($G1725)="","",IF(COUNTIF(LISTS!$I$2:$I$16,TRIM($G1725))&gt;0,"COUNTED",IF(COUNTIF(LISTS!$J$2:$J$16,TRIM($G1725))&gt;0,"LEFT OUT","NEW")))</f>
        <v/>
      </c>
    </row>
    <row r="1726" spans="47:47" x14ac:dyDescent="0.25">
      <c r="AU1726" s="8" t="str">
        <f>IF(TRIM($G1726)="","",IF(COUNTIF(LISTS!$I$2:$I$16,TRIM($G1726))&gt;0,"COUNTED",IF(COUNTIF(LISTS!$J$2:$J$16,TRIM($G1726))&gt;0,"LEFT OUT","NEW")))</f>
        <v/>
      </c>
    </row>
    <row r="1727" spans="47:47" x14ac:dyDescent="0.25">
      <c r="AU1727" s="8" t="str">
        <f>IF(TRIM($G1727)="","",IF(COUNTIF(LISTS!$I$2:$I$16,TRIM($G1727))&gt;0,"COUNTED",IF(COUNTIF(LISTS!$J$2:$J$16,TRIM($G1727))&gt;0,"LEFT OUT","NEW")))</f>
        <v/>
      </c>
    </row>
    <row r="1728" spans="47:47" x14ac:dyDescent="0.25">
      <c r="AU1728" s="8" t="str">
        <f>IF(TRIM($G1728)="","",IF(COUNTIF(LISTS!$I$2:$I$16,TRIM($G1728))&gt;0,"COUNTED",IF(COUNTIF(LISTS!$J$2:$J$16,TRIM($G1728))&gt;0,"LEFT OUT","NEW")))</f>
        <v/>
      </c>
    </row>
    <row r="1729" spans="47:47" x14ac:dyDescent="0.25">
      <c r="AU1729" s="8" t="str">
        <f>IF(TRIM($G1729)="","",IF(COUNTIF(LISTS!$I$2:$I$16,TRIM($G1729))&gt;0,"COUNTED",IF(COUNTIF(LISTS!$J$2:$J$16,TRIM($G1729))&gt;0,"LEFT OUT","NEW")))</f>
        <v/>
      </c>
    </row>
    <row r="1730" spans="47:47" x14ac:dyDescent="0.25">
      <c r="AU1730" s="8" t="str">
        <f>IF(TRIM($G1730)="","",IF(COUNTIF(LISTS!$I$2:$I$16,TRIM($G1730))&gt;0,"COUNTED",IF(COUNTIF(LISTS!$J$2:$J$16,TRIM($G1730))&gt;0,"LEFT OUT","NEW")))</f>
        <v/>
      </c>
    </row>
    <row r="1731" spans="47:47" x14ac:dyDescent="0.25">
      <c r="AU1731" s="8" t="str">
        <f>IF(TRIM($G1731)="","",IF(COUNTIF(LISTS!$I$2:$I$16,TRIM($G1731))&gt;0,"COUNTED",IF(COUNTIF(LISTS!$J$2:$J$16,TRIM($G1731))&gt;0,"LEFT OUT","NEW")))</f>
        <v/>
      </c>
    </row>
    <row r="1732" spans="47:47" x14ac:dyDescent="0.25">
      <c r="AU1732" s="8" t="str">
        <f>IF(TRIM($G1732)="","",IF(COUNTIF(LISTS!$I$2:$I$16,TRIM($G1732))&gt;0,"COUNTED",IF(COUNTIF(LISTS!$J$2:$J$16,TRIM($G1732))&gt;0,"LEFT OUT","NEW")))</f>
        <v/>
      </c>
    </row>
    <row r="1733" spans="47:47" x14ac:dyDescent="0.25">
      <c r="AU1733" s="8" t="str">
        <f>IF(TRIM($G1733)="","",IF(COUNTIF(LISTS!$I$2:$I$16,TRIM($G1733))&gt;0,"COUNTED",IF(COUNTIF(LISTS!$J$2:$J$16,TRIM($G1733))&gt;0,"LEFT OUT","NEW")))</f>
        <v/>
      </c>
    </row>
    <row r="1734" spans="47:47" x14ac:dyDescent="0.25">
      <c r="AU1734" s="8" t="str">
        <f>IF(TRIM($G1734)="","",IF(COUNTIF(LISTS!$I$2:$I$16,TRIM($G1734))&gt;0,"COUNTED",IF(COUNTIF(LISTS!$J$2:$J$16,TRIM($G1734))&gt;0,"LEFT OUT","NEW")))</f>
        <v/>
      </c>
    </row>
    <row r="1735" spans="47:47" x14ac:dyDescent="0.25">
      <c r="AU1735" s="8" t="str">
        <f>IF(TRIM($G1735)="","",IF(COUNTIF(LISTS!$I$2:$I$16,TRIM($G1735))&gt;0,"COUNTED",IF(COUNTIF(LISTS!$J$2:$J$16,TRIM($G1735))&gt;0,"LEFT OUT","NEW")))</f>
        <v/>
      </c>
    </row>
    <row r="1736" spans="47:47" x14ac:dyDescent="0.25">
      <c r="AU1736" s="8" t="str">
        <f>IF(TRIM($G1736)="","",IF(COUNTIF(LISTS!$I$2:$I$16,TRIM($G1736))&gt;0,"COUNTED",IF(COUNTIF(LISTS!$J$2:$J$16,TRIM($G1736))&gt;0,"LEFT OUT","NEW")))</f>
        <v/>
      </c>
    </row>
    <row r="1737" spans="47:47" x14ac:dyDescent="0.25">
      <c r="AU1737" s="8" t="str">
        <f>IF(TRIM($G1737)="","",IF(COUNTIF(LISTS!$I$2:$I$16,TRIM($G1737))&gt;0,"COUNTED",IF(COUNTIF(LISTS!$J$2:$J$16,TRIM($G1737))&gt;0,"LEFT OUT","NEW")))</f>
        <v/>
      </c>
    </row>
    <row r="1738" spans="47:47" x14ac:dyDescent="0.25">
      <c r="AU1738" s="8" t="str">
        <f>IF(TRIM($G1738)="","",IF(COUNTIF(LISTS!$I$2:$I$16,TRIM($G1738))&gt;0,"COUNTED",IF(COUNTIF(LISTS!$J$2:$J$16,TRIM($G1738))&gt;0,"LEFT OUT","NEW")))</f>
        <v/>
      </c>
    </row>
    <row r="1739" spans="47:47" x14ac:dyDescent="0.25">
      <c r="AU1739" s="8" t="str">
        <f>IF(TRIM($G1739)="","",IF(COUNTIF(LISTS!$I$2:$I$16,TRIM($G1739))&gt;0,"COUNTED",IF(COUNTIF(LISTS!$J$2:$J$16,TRIM($G1739))&gt;0,"LEFT OUT","NEW")))</f>
        <v/>
      </c>
    </row>
    <row r="1740" spans="47:47" x14ac:dyDescent="0.25">
      <c r="AU1740" s="8" t="str">
        <f>IF(TRIM($G1740)="","",IF(COUNTIF(LISTS!$I$2:$I$16,TRIM($G1740))&gt;0,"COUNTED",IF(COUNTIF(LISTS!$J$2:$J$16,TRIM($G1740))&gt;0,"LEFT OUT","NEW")))</f>
        <v/>
      </c>
    </row>
    <row r="1741" spans="47:47" x14ac:dyDescent="0.25">
      <c r="AU1741" s="8" t="str">
        <f>IF(TRIM($G1741)="","",IF(COUNTIF(LISTS!$I$2:$I$16,TRIM($G1741))&gt;0,"COUNTED",IF(COUNTIF(LISTS!$J$2:$J$16,TRIM($G1741))&gt;0,"LEFT OUT","NEW")))</f>
        <v/>
      </c>
    </row>
    <row r="1742" spans="47:47" x14ac:dyDescent="0.25">
      <c r="AU1742" s="8" t="str">
        <f>IF(TRIM($G1742)="","",IF(COUNTIF(LISTS!$I$2:$I$16,TRIM($G1742))&gt;0,"COUNTED",IF(COUNTIF(LISTS!$J$2:$J$16,TRIM($G1742))&gt;0,"LEFT OUT","NEW")))</f>
        <v/>
      </c>
    </row>
    <row r="1743" spans="47:47" x14ac:dyDescent="0.25">
      <c r="AU1743" s="8" t="str">
        <f>IF(TRIM($G1743)="","",IF(COUNTIF(LISTS!$I$2:$I$16,TRIM($G1743))&gt;0,"COUNTED",IF(COUNTIF(LISTS!$J$2:$J$16,TRIM($G1743))&gt;0,"LEFT OUT","NEW")))</f>
        <v/>
      </c>
    </row>
    <row r="1744" spans="47:47" x14ac:dyDescent="0.25">
      <c r="AU1744" s="8" t="str">
        <f>IF(TRIM($G1744)="","",IF(COUNTIF(LISTS!$I$2:$I$16,TRIM($G1744))&gt;0,"COUNTED",IF(COUNTIF(LISTS!$J$2:$J$16,TRIM($G1744))&gt;0,"LEFT OUT","NEW")))</f>
        <v/>
      </c>
    </row>
    <row r="1745" spans="47:47" x14ac:dyDescent="0.25">
      <c r="AU1745" s="8" t="str">
        <f>IF(TRIM($G1745)="","",IF(COUNTIF(LISTS!$I$2:$I$16,TRIM($G1745))&gt;0,"COUNTED",IF(COUNTIF(LISTS!$J$2:$J$16,TRIM($G1745))&gt;0,"LEFT OUT","NEW")))</f>
        <v/>
      </c>
    </row>
    <row r="1746" spans="47:47" x14ac:dyDescent="0.25">
      <c r="AU1746" s="8" t="str">
        <f>IF(TRIM($G1746)="","",IF(COUNTIF(LISTS!$I$2:$I$16,TRIM($G1746))&gt;0,"COUNTED",IF(COUNTIF(LISTS!$J$2:$J$16,TRIM($G1746))&gt;0,"LEFT OUT","NEW")))</f>
        <v/>
      </c>
    </row>
    <row r="1747" spans="47:47" x14ac:dyDescent="0.25">
      <c r="AU1747" s="8" t="str">
        <f>IF(TRIM($G1747)="","",IF(COUNTIF(LISTS!$I$2:$I$16,TRIM($G1747))&gt;0,"COUNTED",IF(COUNTIF(LISTS!$J$2:$J$16,TRIM($G1747))&gt;0,"LEFT OUT","NEW")))</f>
        <v/>
      </c>
    </row>
    <row r="1748" spans="47:47" x14ac:dyDescent="0.25">
      <c r="AU1748" s="8" t="str">
        <f>IF(TRIM($G1748)="","",IF(COUNTIF(LISTS!$I$2:$I$16,TRIM($G1748))&gt;0,"COUNTED",IF(COUNTIF(LISTS!$J$2:$J$16,TRIM($G1748))&gt;0,"LEFT OUT","NEW")))</f>
        <v/>
      </c>
    </row>
    <row r="1749" spans="47:47" x14ac:dyDescent="0.25">
      <c r="AU1749" s="8" t="str">
        <f>IF(TRIM($G1749)="","",IF(COUNTIF(LISTS!$I$2:$I$16,TRIM($G1749))&gt;0,"COUNTED",IF(COUNTIF(LISTS!$J$2:$J$16,TRIM($G1749))&gt;0,"LEFT OUT","NEW")))</f>
        <v/>
      </c>
    </row>
    <row r="1750" spans="47:47" x14ac:dyDescent="0.25">
      <c r="AU1750" s="8" t="str">
        <f>IF(TRIM($G1750)="","",IF(COUNTIF(LISTS!$I$2:$I$16,TRIM($G1750))&gt;0,"COUNTED",IF(COUNTIF(LISTS!$J$2:$J$16,TRIM($G1750))&gt;0,"LEFT OUT","NEW")))</f>
        <v/>
      </c>
    </row>
    <row r="1751" spans="47:47" x14ac:dyDescent="0.25">
      <c r="AU1751" s="8" t="str">
        <f>IF(TRIM($G1751)="","",IF(COUNTIF(LISTS!$I$2:$I$16,TRIM($G1751))&gt;0,"COUNTED",IF(COUNTIF(LISTS!$J$2:$J$16,TRIM($G1751))&gt;0,"LEFT OUT","NEW")))</f>
        <v/>
      </c>
    </row>
    <row r="1752" spans="47:47" x14ac:dyDescent="0.25">
      <c r="AU1752" s="8" t="str">
        <f>IF(TRIM($G1752)="","",IF(COUNTIF(LISTS!$I$2:$I$16,TRIM($G1752))&gt;0,"COUNTED",IF(COUNTIF(LISTS!$J$2:$J$16,TRIM($G1752))&gt;0,"LEFT OUT","NEW")))</f>
        <v/>
      </c>
    </row>
    <row r="1753" spans="47:47" x14ac:dyDescent="0.25">
      <c r="AU1753" s="8" t="str">
        <f>IF(TRIM($G1753)="","",IF(COUNTIF(LISTS!$I$2:$I$16,TRIM($G1753))&gt;0,"COUNTED",IF(COUNTIF(LISTS!$J$2:$J$16,TRIM($G1753))&gt;0,"LEFT OUT","NEW")))</f>
        <v/>
      </c>
    </row>
    <row r="1754" spans="47:47" x14ac:dyDescent="0.25">
      <c r="AU1754" s="8" t="str">
        <f>IF(TRIM($G1754)="","",IF(COUNTIF(LISTS!$I$2:$I$16,TRIM($G1754))&gt;0,"COUNTED",IF(COUNTIF(LISTS!$J$2:$J$16,TRIM($G1754))&gt;0,"LEFT OUT","NEW")))</f>
        <v/>
      </c>
    </row>
    <row r="1755" spans="47:47" x14ac:dyDescent="0.25">
      <c r="AU1755" s="8" t="str">
        <f>IF(TRIM($G1755)="","",IF(COUNTIF(LISTS!$I$2:$I$16,TRIM($G1755))&gt;0,"COUNTED",IF(COUNTIF(LISTS!$J$2:$J$16,TRIM($G1755))&gt;0,"LEFT OUT","NEW")))</f>
        <v/>
      </c>
    </row>
    <row r="1756" spans="47:47" x14ac:dyDescent="0.25">
      <c r="AU1756" s="8" t="str">
        <f>IF(TRIM($G1756)="","",IF(COUNTIF(LISTS!$I$2:$I$16,TRIM($G1756))&gt;0,"COUNTED",IF(COUNTIF(LISTS!$J$2:$J$16,TRIM($G1756))&gt;0,"LEFT OUT","NEW")))</f>
        <v/>
      </c>
    </row>
    <row r="1757" spans="47:47" x14ac:dyDescent="0.25">
      <c r="AU1757" s="8" t="str">
        <f>IF(TRIM($G1757)="","",IF(COUNTIF(LISTS!$I$2:$I$16,TRIM($G1757))&gt;0,"COUNTED",IF(COUNTIF(LISTS!$J$2:$J$16,TRIM($G1757))&gt;0,"LEFT OUT","NEW")))</f>
        <v/>
      </c>
    </row>
    <row r="1758" spans="47:47" x14ac:dyDescent="0.25">
      <c r="AU1758" s="8" t="str">
        <f>IF(TRIM($G1758)="","",IF(COUNTIF(LISTS!$I$2:$I$16,TRIM($G1758))&gt;0,"COUNTED",IF(COUNTIF(LISTS!$J$2:$J$16,TRIM($G1758))&gt;0,"LEFT OUT","NEW")))</f>
        <v/>
      </c>
    </row>
    <row r="1759" spans="47:47" x14ac:dyDescent="0.25">
      <c r="AU1759" s="8" t="str">
        <f>IF(TRIM($G1759)="","",IF(COUNTIF(LISTS!$I$2:$I$16,TRIM($G1759))&gt;0,"COUNTED",IF(COUNTIF(LISTS!$J$2:$J$16,TRIM($G1759))&gt;0,"LEFT OUT","NEW")))</f>
        <v/>
      </c>
    </row>
    <row r="1760" spans="47:47" x14ac:dyDescent="0.25">
      <c r="AU1760" s="8" t="str">
        <f>IF(TRIM($G1760)="","",IF(COUNTIF(LISTS!$I$2:$I$16,TRIM($G1760))&gt;0,"COUNTED",IF(COUNTIF(LISTS!$J$2:$J$16,TRIM($G1760))&gt;0,"LEFT OUT","NEW")))</f>
        <v/>
      </c>
    </row>
    <row r="1761" spans="47:47" x14ac:dyDescent="0.25">
      <c r="AU1761" s="8" t="str">
        <f>IF(TRIM($G1761)="","",IF(COUNTIF(LISTS!$I$2:$I$16,TRIM($G1761))&gt;0,"COUNTED",IF(COUNTIF(LISTS!$J$2:$J$16,TRIM($G1761))&gt;0,"LEFT OUT","NEW")))</f>
        <v/>
      </c>
    </row>
    <row r="1762" spans="47:47" x14ac:dyDescent="0.25">
      <c r="AU1762" s="8" t="str">
        <f>IF(TRIM($G1762)="","",IF(COUNTIF(LISTS!$I$2:$I$16,TRIM($G1762))&gt;0,"COUNTED",IF(COUNTIF(LISTS!$J$2:$J$16,TRIM($G1762))&gt;0,"LEFT OUT","NEW")))</f>
        <v/>
      </c>
    </row>
    <row r="1763" spans="47:47" x14ac:dyDescent="0.25">
      <c r="AU1763" s="8" t="str">
        <f>IF(TRIM($G1763)="","",IF(COUNTIF(LISTS!$I$2:$I$16,TRIM($G1763))&gt;0,"COUNTED",IF(COUNTIF(LISTS!$J$2:$J$16,TRIM($G1763))&gt;0,"LEFT OUT","NEW")))</f>
        <v/>
      </c>
    </row>
    <row r="1764" spans="47:47" x14ac:dyDescent="0.25">
      <c r="AU1764" s="8" t="str">
        <f>IF(TRIM($G1764)="","",IF(COUNTIF(LISTS!$I$2:$I$16,TRIM($G1764))&gt;0,"COUNTED",IF(COUNTIF(LISTS!$J$2:$J$16,TRIM($G1764))&gt;0,"LEFT OUT","NEW")))</f>
        <v/>
      </c>
    </row>
    <row r="1765" spans="47:47" x14ac:dyDescent="0.25">
      <c r="AU1765" s="8" t="str">
        <f>IF(TRIM($G1765)="","",IF(COUNTIF(LISTS!$I$2:$I$16,TRIM($G1765))&gt;0,"COUNTED",IF(COUNTIF(LISTS!$J$2:$J$16,TRIM($G1765))&gt;0,"LEFT OUT","NEW")))</f>
        <v/>
      </c>
    </row>
    <row r="1766" spans="47:47" x14ac:dyDescent="0.25">
      <c r="AU1766" s="8" t="str">
        <f>IF(TRIM($G1766)="","",IF(COUNTIF(LISTS!$I$2:$I$16,TRIM($G1766))&gt;0,"COUNTED",IF(COUNTIF(LISTS!$J$2:$J$16,TRIM($G1766))&gt;0,"LEFT OUT","NEW")))</f>
        <v/>
      </c>
    </row>
    <row r="1767" spans="47:47" x14ac:dyDescent="0.25">
      <c r="AU1767" s="8" t="str">
        <f>IF(TRIM($G1767)="","",IF(COUNTIF(LISTS!$I$2:$I$16,TRIM($G1767))&gt;0,"COUNTED",IF(COUNTIF(LISTS!$J$2:$J$16,TRIM($G1767))&gt;0,"LEFT OUT","NEW")))</f>
        <v/>
      </c>
    </row>
    <row r="1768" spans="47:47" x14ac:dyDescent="0.25">
      <c r="AU1768" s="8" t="str">
        <f>IF(TRIM($G1768)="","",IF(COUNTIF(LISTS!$I$2:$I$16,TRIM($G1768))&gt;0,"COUNTED",IF(COUNTIF(LISTS!$J$2:$J$16,TRIM($G1768))&gt;0,"LEFT OUT","NEW")))</f>
        <v/>
      </c>
    </row>
    <row r="1769" spans="47:47" x14ac:dyDescent="0.25">
      <c r="AU1769" s="8" t="str">
        <f>IF(TRIM($G1769)="","",IF(COUNTIF(LISTS!$I$2:$I$16,TRIM($G1769))&gt;0,"COUNTED",IF(COUNTIF(LISTS!$J$2:$J$16,TRIM($G1769))&gt;0,"LEFT OUT","NEW")))</f>
        <v/>
      </c>
    </row>
    <row r="1770" spans="47:47" x14ac:dyDescent="0.25">
      <c r="AU1770" s="8" t="str">
        <f>IF(TRIM($G1770)="","",IF(COUNTIF(LISTS!$I$2:$I$16,TRIM($G1770))&gt;0,"COUNTED",IF(COUNTIF(LISTS!$J$2:$J$16,TRIM($G1770))&gt;0,"LEFT OUT","NEW")))</f>
        <v/>
      </c>
    </row>
    <row r="1771" spans="47:47" x14ac:dyDescent="0.25">
      <c r="AU1771" s="8" t="str">
        <f>IF(TRIM($G1771)="","",IF(COUNTIF(LISTS!$I$2:$I$16,TRIM($G1771))&gt;0,"COUNTED",IF(COUNTIF(LISTS!$J$2:$J$16,TRIM($G1771))&gt;0,"LEFT OUT","NEW")))</f>
        <v/>
      </c>
    </row>
    <row r="1772" spans="47:47" x14ac:dyDescent="0.25">
      <c r="AU1772" s="8" t="str">
        <f>IF(TRIM($G1772)="","",IF(COUNTIF(LISTS!$I$2:$I$16,TRIM($G1772))&gt;0,"COUNTED",IF(COUNTIF(LISTS!$J$2:$J$16,TRIM($G1772))&gt;0,"LEFT OUT","NEW")))</f>
        <v/>
      </c>
    </row>
    <row r="1773" spans="47:47" x14ac:dyDescent="0.25">
      <c r="AU1773" s="8" t="str">
        <f>IF(TRIM($G1773)="","",IF(COUNTIF(LISTS!$I$2:$I$16,TRIM($G1773))&gt;0,"COUNTED",IF(COUNTIF(LISTS!$J$2:$J$16,TRIM($G1773))&gt;0,"LEFT OUT","NEW")))</f>
        <v/>
      </c>
    </row>
    <row r="1774" spans="47:47" x14ac:dyDescent="0.25">
      <c r="AU1774" s="8" t="str">
        <f>IF(TRIM($G1774)="","",IF(COUNTIF(LISTS!$I$2:$I$16,TRIM($G1774))&gt;0,"COUNTED",IF(COUNTIF(LISTS!$J$2:$J$16,TRIM($G1774))&gt;0,"LEFT OUT","NEW")))</f>
        <v/>
      </c>
    </row>
    <row r="1775" spans="47:47" x14ac:dyDescent="0.25">
      <c r="AU1775" s="8" t="str">
        <f>IF(TRIM($G1775)="","",IF(COUNTIF(LISTS!$I$2:$I$16,TRIM($G1775))&gt;0,"COUNTED",IF(COUNTIF(LISTS!$J$2:$J$16,TRIM($G1775))&gt;0,"LEFT OUT","NEW")))</f>
        <v/>
      </c>
    </row>
    <row r="1776" spans="47:47" x14ac:dyDescent="0.25">
      <c r="AU1776" s="8" t="str">
        <f>IF(TRIM($G1776)="","",IF(COUNTIF(LISTS!$I$2:$I$16,TRIM($G1776))&gt;0,"COUNTED",IF(COUNTIF(LISTS!$J$2:$J$16,TRIM($G1776))&gt;0,"LEFT OUT","NEW")))</f>
        <v/>
      </c>
    </row>
    <row r="1777" spans="47:47" x14ac:dyDescent="0.25">
      <c r="AU1777" s="8" t="str">
        <f>IF(TRIM($G1777)="","",IF(COUNTIF(LISTS!$I$2:$I$16,TRIM($G1777))&gt;0,"COUNTED",IF(COUNTIF(LISTS!$J$2:$J$16,TRIM($G1777))&gt;0,"LEFT OUT","NEW")))</f>
        <v/>
      </c>
    </row>
    <row r="1778" spans="47:47" x14ac:dyDescent="0.25">
      <c r="AU1778" s="8" t="str">
        <f>IF(TRIM($G1778)="","",IF(COUNTIF(LISTS!$I$2:$I$16,TRIM($G1778))&gt;0,"COUNTED",IF(COUNTIF(LISTS!$J$2:$J$16,TRIM($G1778))&gt;0,"LEFT OUT","NEW")))</f>
        <v/>
      </c>
    </row>
    <row r="1779" spans="47:47" x14ac:dyDescent="0.25">
      <c r="AU1779" s="8" t="str">
        <f>IF(TRIM($G1779)="","",IF(COUNTIF(LISTS!$I$2:$I$16,TRIM($G1779))&gt;0,"COUNTED",IF(COUNTIF(LISTS!$J$2:$J$16,TRIM($G1779))&gt;0,"LEFT OUT","NEW")))</f>
        <v/>
      </c>
    </row>
    <row r="1780" spans="47:47" x14ac:dyDescent="0.25">
      <c r="AU1780" s="8" t="str">
        <f>IF(TRIM($G1780)="","",IF(COUNTIF(LISTS!$I$2:$I$16,TRIM($G1780))&gt;0,"COUNTED",IF(COUNTIF(LISTS!$J$2:$J$16,TRIM($G1780))&gt;0,"LEFT OUT","NEW")))</f>
        <v/>
      </c>
    </row>
    <row r="1781" spans="47:47" x14ac:dyDescent="0.25">
      <c r="AU1781" s="8" t="str">
        <f>IF(TRIM($G1781)="","",IF(COUNTIF(LISTS!$I$2:$I$16,TRIM($G1781))&gt;0,"COUNTED",IF(COUNTIF(LISTS!$J$2:$J$16,TRIM($G1781))&gt;0,"LEFT OUT","NEW")))</f>
        <v/>
      </c>
    </row>
    <row r="1782" spans="47:47" x14ac:dyDescent="0.25">
      <c r="AU1782" s="8" t="str">
        <f>IF(TRIM($G1782)="","",IF(COUNTIF(LISTS!$I$2:$I$16,TRIM($G1782))&gt;0,"COUNTED",IF(COUNTIF(LISTS!$J$2:$J$16,TRIM($G1782))&gt;0,"LEFT OUT","NEW")))</f>
        <v/>
      </c>
    </row>
    <row r="1783" spans="47:47" x14ac:dyDescent="0.25">
      <c r="AU1783" s="8" t="str">
        <f>IF(TRIM($G1783)="","",IF(COUNTIF(LISTS!$I$2:$I$16,TRIM($G1783))&gt;0,"COUNTED",IF(COUNTIF(LISTS!$J$2:$J$16,TRIM($G1783))&gt;0,"LEFT OUT","NEW")))</f>
        <v/>
      </c>
    </row>
    <row r="1784" spans="47:47" x14ac:dyDescent="0.25">
      <c r="AU1784" s="8" t="str">
        <f>IF(TRIM($G1784)="","",IF(COUNTIF(LISTS!$I$2:$I$16,TRIM($G1784))&gt;0,"COUNTED",IF(COUNTIF(LISTS!$J$2:$J$16,TRIM($G1784))&gt;0,"LEFT OUT","NEW")))</f>
        <v/>
      </c>
    </row>
    <row r="1785" spans="47:47" x14ac:dyDescent="0.25">
      <c r="AU1785" s="8" t="str">
        <f>IF(TRIM($G1785)="","",IF(COUNTIF(LISTS!$I$2:$I$16,TRIM($G1785))&gt;0,"COUNTED",IF(COUNTIF(LISTS!$J$2:$J$16,TRIM($G1785))&gt;0,"LEFT OUT","NEW")))</f>
        <v/>
      </c>
    </row>
    <row r="1786" spans="47:47" x14ac:dyDescent="0.25">
      <c r="AU1786" s="8" t="str">
        <f>IF(TRIM($G1786)="","",IF(COUNTIF(LISTS!$I$2:$I$16,TRIM($G1786))&gt;0,"COUNTED",IF(COUNTIF(LISTS!$J$2:$J$16,TRIM($G1786))&gt;0,"LEFT OUT","NEW")))</f>
        <v/>
      </c>
    </row>
    <row r="1787" spans="47:47" x14ac:dyDescent="0.25">
      <c r="AU1787" s="8" t="str">
        <f>IF(TRIM($G1787)="","",IF(COUNTIF(LISTS!$I$2:$I$16,TRIM($G1787))&gt;0,"COUNTED",IF(COUNTIF(LISTS!$J$2:$J$16,TRIM($G1787))&gt;0,"LEFT OUT","NEW")))</f>
        <v/>
      </c>
    </row>
    <row r="1788" spans="47:47" x14ac:dyDescent="0.25">
      <c r="AU1788" s="8" t="str">
        <f>IF(TRIM($G1788)="","",IF(COUNTIF(LISTS!$I$2:$I$16,TRIM($G1788))&gt;0,"COUNTED",IF(COUNTIF(LISTS!$J$2:$J$16,TRIM($G1788))&gt;0,"LEFT OUT","NEW")))</f>
        <v/>
      </c>
    </row>
    <row r="1789" spans="47:47" x14ac:dyDescent="0.25">
      <c r="AU1789" s="8" t="str">
        <f>IF(TRIM($G1789)="","",IF(COUNTIF(LISTS!$I$2:$I$16,TRIM($G1789))&gt;0,"COUNTED",IF(COUNTIF(LISTS!$J$2:$J$16,TRIM($G1789))&gt;0,"LEFT OUT","NEW")))</f>
        <v/>
      </c>
    </row>
    <row r="1790" spans="47:47" x14ac:dyDescent="0.25">
      <c r="AU1790" s="8" t="str">
        <f>IF(TRIM($G1790)="","",IF(COUNTIF(LISTS!$I$2:$I$16,TRIM($G1790))&gt;0,"COUNTED",IF(COUNTIF(LISTS!$J$2:$J$16,TRIM($G1790))&gt;0,"LEFT OUT","NEW")))</f>
        <v/>
      </c>
    </row>
    <row r="1791" spans="47:47" x14ac:dyDescent="0.25">
      <c r="AU1791" s="8" t="str">
        <f>IF(TRIM($G1791)="","",IF(COUNTIF(LISTS!$I$2:$I$16,TRIM($G1791))&gt;0,"COUNTED",IF(COUNTIF(LISTS!$J$2:$J$16,TRIM($G1791))&gt;0,"LEFT OUT","NEW")))</f>
        <v/>
      </c>
    </row>
    <row r="1792" spans="47:47" x14ac:dyDescent="0.25">
      <c r="AU1792" s="8" t="str">
        <f>IF(TRIM($G1792)="","",IF(COUNTIF(LISTS!$I$2:$I$16,TRIM($G1792))&gt;0,"COUNTED",IF(COUNTIF(LISTS!$J$2:$J$16,TRIM($G1792))&gt;0,"LEFT OUT","NEW")))</f>
        <v/>
      </c>
    </row>
    <row r="1793" spans="47:47" x14ac:dyDescent="0.25">
      <c r="AU1793" s="8" t="str">
        <f>IF(TRIM($G1793)="","",IF(COUNTIF(LISTS!$I$2:$I$16,TRIM($G1793))&gt;0,"COUNTED",IF(COUNTIF(LISTS!$J$2:$J$16,TRIM($G1793))&gt;0,"LEFT OUT","NEW")))</f>
        <v/>
      </c>
    </row>
    <row r="1794" spans="47:47" x14ac:dyDescent="0.25">
      <c r="AU1794" s="8" t="str">
        <f>IF(TRIM($G1794)="","",IF(COUNTIF(LISTS!$I$2:$I$16,TRIM($G1794))&gt;0,"COUNTED",IF(COUNTIF(LISTS!$J$2:$J$16,TRIM($G1794))&gt;0,"LEFT OUT","NEW")))</f>
        <v/>
      </c>
    </row>
    <row r="1795" spans="47:47" x14ac:dyDescent="0.25">
      <c r="AU1795" s="8" t="str">
        <f>IF(TRIM($G1795)="","",IF(COUNTIF(LISTS!$I$2:$I$16,TRIM($G1795))&gt;0,"COUNTED",IF(COUNTIF(LISTS!$J$2:$J$16,TRIM($G1795))&gt;0,"LEFT OUT","NEW")))</f>
        <v/>
      </c>
    </row>
    <row r="1796" spans="47:47" x14ac:dyDescent="0.25">
      <c r="AU1796" s="8" t="str">
        <f>IF(TRIM($G1796)="","",IF(COUNTIF(LISTS!$I$2:$I$16,TRIM($G1796))&gt;0,"COUNTED",IF(COUNTIF(LISTS!$J$2:$J$16,TRIM($G1796))&gt;0,"LEFT OUT","NEW")))</f>
        <v/>
      </c>
    </row>
    <row r="1797" spans="47:47" x14ac:dyDescent="0.25">
      <c r="AU1797" s="8" t="str">
        <f>IF(TRIM($G1797)="","",IF(COUNTIF(LISTS!$I$2:$I$16,TRIM($G1797))&gt;0,"COUNTED",IF(COUNTIF(LISTS!$J$2:$J$16,TRIM($G1797))&gt;0,"LEFT OUT","NEW")))</f>
        <v/>
      </c>
    </row>
    <row r="1798" spans="47:47" x14ac:dyDescent="0.25">
      <c r="AU1798" s="8" t="str">
        <f>IF(TRIM($G1798)="","",IF(COUNTIF(LISTS!$I$2:$I$16,TRIM($G1798))&gt;0,"COUNTED",IF(COUNTIF(LISTS!$J$2:$J$16,TRIM($G1798))&gt;0,"LEFT OUT","NEW")))</f>
        <v/>
      </c>
    </row>
    <row r="1799" spans="47:47" x14ac:dyDescent="0.25">
      <c r="AU1799" s="8" t="str">
        <f>IF(TRIM($G1799)="","",IF(COUNTIF(LISTS!$I$2:$I$16,TRIM($G1799))&gt;0,"COUNTED",IF(COUNTIF(LISTS!$J$2:$J$16,TRIM($G1799))&gt;0,"LEFT OUT","NEW")))</f>
        <v/>
      </c>
    </row>
    <row r="1800" spans="47:47" x14ac:dyDescent="0.25">
      <c r="AU1800" s="8" t="str">
        <f>IF(TRIM($G1800)="","",IF(COUNTIF(LISTS!$I$2:$I$16,TRIM($G1800))&gt;0,"COUNTED",IF(COUNTIF(LISTS!$J$2:$J$16,TRIM($G1800))&gt;0,"LEFT OUT","NEW")))</f>
        <v/>
      </c>
    </row>
    <row r="1801" spans="47:47" x14ac:dyDescent="0.25">
      <c r="AU1801" s="8" t="str">
        <f>IF(TRIM($G1801)="","",IF(COUNTIF(LISTS!$I$2:$I$16,TRIM($G1801))&gt;0,"COUNTED",IF(COUNTIF(LISTS!$J$2:$J$16,TRIM($G1801))&gt;0,"LEFT OUT","NEW")))</f>
        <v/>
      </c>
    </row>
    <row r="1802" spans="47:47" x14ac:dyDescent="0.25">
      <c r="AU1802" s="8" t="str">
        <f>IF(TRIM($G1802)="","",IF(COUNTIF(LISTS!$I$2:$I$16,TRIM($G1802))&gt;0,"COUNTED",IF(COUNTIF(LISTS!$J$2:$J$16,TRIM($G1802))&gt;0,"LEFT OUT","NEW")))</f>
        <v/>
      </c>
    </row>
    <row r="1803" spans="47:47" x14ac:dyDescent="0.25">
      <c r="AU1803" s="8" t="str">
        <f>IF(TRIM($G1803)="","",IF(COUNTIF(LISTS!$I$2:$I$16,TRIM($G1803))&gt;0,"COUNTED",IF(COUNTIF(LISTS!$J$2:$J$16,TRIM($G1803))&gt;0,"LEFT OUT","NEW")))</f>
        <v/>
      </c>
    </row>
    <row r="1804" spans="47:47" x14ac:dyDescent="0.25">
      <c r="AU1804" s="8" t="str">
        <f>IF(TRIM($G1804)="","",IF(COUNTIF(LISTS!$I$2:$I$16,TRIM($G1804))&gt;0,"COUNTED",IF(COUNTIF(LISTS!$J$2:$J$16,TRIM($G1804))&gt;0,"LEFT OUT","NEW")))</f>
        <v/>
      </c>
    </row>
    <row r="1805" spans="47:47" x14ac:dyDescent="0.25">
      <c r="AU1805" s="8" t="str">
        <f>IF(TRIM($G1805)="","",IF(COUNTIF(LISTS!$I$2:$I$16,TRIM($G1805))&gt;0,"COUNTED",IF(COUNTIF(LISTS!$J$2:$J$16,TRIM($G1805))&gt;0,"LEFT OUT","NEW")))</f>
        <v/>
      </c>
    </row>
    <row r="1806" spans="47:47" x14ac:dyDescent="0.25">
      <c r="AU1806" s="8" t="str">
        <f>IF(TRIM($G1806)="","",IF(COUNTIF(LISTS!$I$2:$I$16,TRIM($G1806))&gt;0,"COUNTED",IF(COUNTIF(LISTS!$J$2:$J$16,TRIM($G1806))&gt;0,"LEFT OUT","NEW")))</f>
        <v/>
      </c>
    </row>
    <row r="1807" spans="47:47" x14ac:dyDescent="0.25">
      <c r="AU1807" s="8" t="str">
        <f>IF(TRIM($G1807)="","",IF(COUNTIF(LISTS!$I$2:$I$16,TRIM($G1807))&gt;0,"COUNTED",IF(COUNTIF(LISTS!$J$2:$J$16,TRIM($G1807))&gt;0,"LEFT OUT","NEW")))</f>
        <v/>
      </c>
    </row>
    <row r="1808" spans="47:47" x14ac:dyDescent="0.25">
      <c r="AU1808" s="8" t="str">
        <f>IF(TRIM($G1808)="","",IF(COUNTIF(LISTS!$I$2:$I$16,TRIM($G1808))&gt;0,"COUNTED",IF(COUNTIF(LISTS!$J$2:$J$16,TRIM($G1808))&gt;0,"LEFT OUT","NEW")))</f>
        <v/>
      </c>
    </row>
    <row r="1809" spans="47:47" x14ac:dyDescent="0.25">
      <c r="AU1809" s="8" t="str">
        <f>IF(TRIM($G1809)="","",IF(COUNTIF(LISTS!$I$2:$I$16,TRIM($G1809))&gt;0,"COUNTED",IF(COUNTIF(LISTS!$J$2:$J$16,TRIM($G1809))&gt;0,"LEFT OUT","NEW")))</f>
        <v/>
      </c>
    </row>
    <row r="1810" spans="47:47" x14ac:dyDescent="0.25">
      <c r="AU1810" s="8" t="str">
        <f>IF(TRIM($G1810)="","",IF(COUNTIF(LISTS!$I$2:$I$16,TRIM($G1810))&gt;0,"COUNTED",IF(COUNTIF(LISTS!$J$2:$J$16,TRIM($G1810))&gt;0,"LEFT OUT","NEW")))</f>
        <v/>
      </c>
    </row>
    <row r="1811" spans="47:47" x14ac:dyDescent="0.25">
      <c r="AU1811" s="8" t="str">
        <f>IF(TRIM($G1811)="","",IF(COUNTIF(LISTS!$I$2:$I$16,TRIM($G1811))&gt;0,"COUNTED",IF(COUNTIF(LISTS!$J$2:$J$16,TRIM($G1811))&gt;0,"LEFT OUT","NEW")))</f>
        <v/>
      </c>
    </row>
    <row r="1812" spans="47:47" x14ac:dyDescent="0.25">
      <c r="AU1812" s="8" t="str">
        <f>IF(TRIM($G1812)="","",IF(COUNTIF(LISTS!$I$2:$I$16,TRIM($G1812))&gt;0,"COUNTED",IF(COUNTIF(LISTS!$J$2:$J$16,TRIM($G1812))&gt;0,"LEFT OUT","NEW")))</f>
        <v/>
      </c>
    </row>
    <row r="1813" spans="47:47" x14ac:dyDescent="0.25">
      <c r="AU1813" s="8" t="str">
        <f>IF(TRIM($G1813)="","",IF(COUNTIF(LISTS!$I$2:$I$16,TRIM($G1813))&gt;0,"COUNTED",IF(COUNTIF(LISTS!$J$2:$J$16,TRIM($G1813))&gt;0,"LEFT OUT","NEW")))</f>
        <v/>
      </c>
    </row>
    <row r="1814" spans="47:47" x14ac:dyDescent="0.25">
      <c r="AU1814" s="8" t="str">
        <f>IF(TRIM($G1814)="","",IF(COUNTIF(LISTS!$I$2:$I$16,TRIM($G1814))&gt;0,"COUNTED",IF(COUNTIF(LISTS!$J$2:$J$16,TRIM($G1814))&gt;0,"LEFT OUT","NEW")))</f>
        <v/>
      </c>
    </row>
    <row r="1815" spans="47:47" x14ac:dyDescent="0.25">
      <c r="AU1815" s="8" t="str">
        <f>IF(TRIM($G1815)="","",IF(COUNTIF(LISTS!$I$2:$I$16,TRIM($G1815))&gt;0,"COUNTED",IF(COUNTIF(LISTS!$J$2:$J$16,TRIM($G1815))&gt;0,"LEFT OUT","NEW")))</f>
        <v/>
      </c>
    </row>
    <row r="1816" spans="47:47" x14ac:dyDescent="0.25">
      <c r="AU1816" s="8" t="str">
        <f>IF(TRIM($G1816)="","",IF(COUNTIF(LISTS!$I$2:$I$16,TRIM($G1816))&gt;0,"COUNTED",IF(COUNTIF(LISTS!$J$2:$J$16,TRIM($G1816))&gt;0,"LEFT OUT","NEW")))</f>
        <v/>
      </c>
    </row>
    <row r="1817" spans="47:47" x14ac:dyDescent="0.25">
      <c r="AU1817" s="8" t="str">
        <f>IF(TRIM($G1817)="","",IF(COUNTIF(LISTS!$I$2:$I$16,TRIM($G1817))&gt;0,"COUNTED",IF(COUNTIF(LISTS!$J$2:$J$16,TRIM($G1817))&gt;0,"LEFT OUT","NEW")))</f>
        <v/>
      </c>
    </row>
    <row r="1818" spans="47:47" x14ac:dyDescent="0.25">
      <c r="AU1818" s="8" t="str">
        <f>IF(TRIM($G1818)="","",IF(COUNTIF(LISTS!$I$2:$I$16,TRIM($G1818))&gt;0,"COUNTED",IF(COUNTIF(LISTS!$J$2:$J$16,TRIM($G1818))&gt;0,"LEFT OUT","NEW")))</f>
        <v/>
      </c>
    </row>
    <row r="1819" spans="47:47" x14ac:dyDescent="0.25">
      <c r="AU1819" s="8" t="str">
        <f>IF(TRIM($G1819)="","",IF(COUNTIF(LISTS!$I$2:$I$16,TRIM($G1819))&gt;0,"COUNTED",IF(COUNTIF(LISTS!$J$2:$J$16,TRIM($G1819))&gt;0,"LEFT OUT","NEW")))</f>
        <v/>
      </c>
    </row>
    <row r="1820" spans="47:47" x14ac:dyDescent="0.25">
      <c r="AU1820" s="8" t="str">
        <f>IF(TRIM($G1820)="","",IF(COUNTIF(LISTS!$I$2:$I$16,TRIM($G1820))&gt;0,"COUNTED",IF(COUNTIF(LISTS!$J$2:$J$16,TRIM($G1820))&gt;0,"LEFT OUT","NEW")))</f>
        <v/>
      </c>
    </row>
    <row r="1821" spans="47:47" x14ac:dyDescent="0.25">
      <c r="AU1821" s="8" t="str">
        <f>IF(TRIM($G1821)="","",IF(COUNTIF(LISTS!$I$2:$I$16,TRIM($G1821))&gt;0,"COUNTED",IF(COUNTIF(LISTS!$J$2:$J$16,TRIM($G1821))&gt;0,"LEFT OUT","NEW")))</f>
        <v/>
      </c>
    </row>
    <row r="1822" spans="47:47" x14ac:dyDescent="0.25">
      <c r="AU1822" s="8" t="str">
        <f>IF(TRIM($G1822)="","",IF(COUNTIF(LISTS!$I$2:$I$16,TRIM($G1822))&gt;0,"COUNTED",IF(COUNTIF(LISTS!$J$2:$J$16,TRIM($G1822))&gt;0,"LEFT OUT","NEW")))</f>
        <v/>
      </c>
    </row>
    <row r="1823" spans="47:47" x14ac:dyDescent="0.25">
      <c r="AU1823" s="8" t="str">
        <f>IF(TRIM($G1823)="","",IF(COUNTIF(LISTS!$I$2:$I$16,TRIM($G1823))&gt;0,"COUNTED",IF(COUNTIF(LISTS!$J$2:$J$16,TRIM($G1823))&gt;0,"LEFT OUT","NEW")))</f>
        <v/>
      </c>
    </row>
    <row r="1824" spans="47:47" x14ac:dyDescent="0.25">
      <c r="AU1824" s="8" t="str">
        <f>IF(TRIM($G1824)="","",IF(COUNTIF(LISTS!$I$2:$I$16,TRIM($G1824))&gt;0,"COUNTED",IF(COUNTIF(LISTS!$J$2:$J$16,TRIM($G1824))&gt;0,"LEFT OUT","NEW")))</f>
        <v/>
      </c>
    </row>
    <row r="1825" spans="47:47" x14ac:dyDescent="0.25">
      <c r="AU1825" s="8" t="str">
        <f>IF(TRIM($G1825)="","",IF(COUNTIF(LISTS!$I$2:$I$16,TRIM($G1825))&gt;0,"COUNTED",IF(COUNTIF(LISTS!$J$2:$J$16,TRIM($G1825))&gt;0,"LEFT OUT","NEW")))</f>
        <v/>
      </c>
    </row>
    <row r="1826" spans="47:47" x14ac:dyDescent="0.25">
      <c r="AU1826" s="8" t="str">
        <f>IF(TRIM($G1826)="","",IF(COUNTIF(LISTS!$I$2:$I$16,TRIM($G1826))&gt;0,"COUNTED",IF(COUNTIF(LISTS!$J$2:$J$16,TRIM($G1826))&gt;0,"LEFT OUT","NEW")))</f>
        <v/>
      </c>
    </row>
    <row r="1827" spans="47:47" x14ac:dyDescent="0.25">
      <c r="AU1827" s="8" t="str">
        <f>IF(TRIM($G1827)="","",IF(COUNTIF(LISTS!$I$2:$I$16,TRIM($G1827))&gt;0,"COUNTED",IF(COUNTIF(LISTS!$J$2:$J$16,TRIM($G1827))&gt;0,"LEFT OUT","NEW")))</f>
        <v/>
      </c>
    </row>
    <row r="1828" spans="47:47" x14ac:dyDescent="0.25">
      <c r="AU1828" s="8" t="str">
        <f>IF(TRIM($G1828)="","",IF(COUNTIF(LISTS!$I$2:$I$16,TRIM($G1828))&gt;0,"COUNTED",IF(COUNTIF(LISTS!$J$2:$J$16,TRIM($G1828))&gt;0,"LEFT OUT","NEW")))</f>
        <v/>
      </c>
    </row>
    <row r="1829" spans="47:47" x14ac:dyDescent="0.25">
      <c r="AU1829" s="8" t="str">
        <f>IF(TRIM($G1829)="","",IF(COUNTIF(LISTS!$I$2:$I$16,TRIM($G1829))&gt;0,"COUNTED",IF(COUNTIF(LISTS!$J$2:$J$16,TRIM($G1829))&gt;0,"LEFT OUT","NEW")))</f>
        <v/>
      </c>
    </row>
    <row r="1830" spans="47:47" x14ac:dyDescent="0.25">
      <c r="AU1830" s="8" t="str">
        <f>IF(TRIM($G1830)="","",IF(COUNTIF(LISTS!$I$2:$I$16,TRIM($G1830))&gt;0,"COUNTED",IF(COUNTIF(LISTS!$J$2:$J$16,TRIM($G1830))&gt;0,"LEFT OUT","NEW")))</f>
        <v/>
      </c>
    </row>
    <row r="1831" spans="47:47" x14ac:dyDescent="0.25">
      <c r="AU1831" s="8" t="str">
        <f>IF(TRIM($G1831)="","",IF(COUNTIF(LISTS!$I$2:$I$16,TRIM($G1831))&gt;0,"COUNTED",IF(COUNTIF(LISTS!$J$2:$J$16,TRIM($G1831))&gt;0,"LEFT OUT","NEW")))</f>
        <v/>
      </c>
    </row>
    <row r="1832" spans="47:47" x14ac:dyDescent="0.25">
      <c r="AU1832" s="8" t="str">
        <f>IF(TRIM($G1832)="","",IF(COUNTIF(LISTS!$I$2:$I$16,TRIM($G1832))&gt;0,"COUNTED",IF(COUNTIF(LISTS!$J$2:$J$16,TRIM($G1832))&gt;0,"LEFT OUT","NEW")))</f>
        <v/>
      </c>
    </row>
    <row r="1833" spans="47:47" x14ac:dyDescent="0.25">
      <c r="AU1833" s="8" t="str">
        <f>IF(TRIM($G1833)="","",IF(COUNTIF(LISTS!$I$2:$I$16,TRIM($G1833))&gt;0,"COUNTED",IF(COUNTIF(LISTS!$J$2:$J$16,TRIM($G1833))&gt;0,"LEFT OUT","NEW")))</f>
        <v/>
      </c>
    </row>
    <row r="1834" spans="47:47" x14ac:dyDescent="0.25">
      <c r="AU1834" s="8" t="str">
        <f>IF(TRIM($G1834)="","",IF(COUNTIF(LISTS!$I$2:$I$16,TRIM($G1834))&gt;0,"COUNTED",IF(COUNTIF(LISTS!$J$2:$J$16,TRIM($G1834))&gt;0,"LEFT OUT","NEW")))</f>
        <v/>
      </c>
    </row>
    <row r="1835" spans="47:47" x14ac:dyDescent="0.25">
      <c r="AU1835" s="8" t="str">
        <f>IF(TRIM($G1835)="","",IF(COUNTIF(LISTS!$I$2:$I$16,TRIM($G1835))&gt;0,"COUNTED",IF(COUNTIF(LISTS!$J$2:$J$16,TRIM($G1835))&gt;0,"LEFT OUT","NEW")))</f>
        <v/>
      </c>
    </row>
    <row r="1836" spans="47:47" x14ac:dyDescent="0.25">
      <c r="AU1836" s="8" t="str">
        <f>IF(TRIM($G1836)="","",IF(COUNTIF(LISTS!$I$2:$I$16,TRIM($G1836))&gt;0,"COUNTED",IF(COUNTIF(LISTS!$J$2:$J$16,TRIM($G1836))&gt;0,"LEFT OUT","NEW")))</f>
        <v/>
      </c>
    </row>
    <row r="1837" spans="47:47" x14ac:dyDescent="0.25">
      <c r="AU1837" s="8" t="str">
        <f>IF(TRIM($G1837)="","",IF(COUNTIF(LISTS!$I$2:$I$16,TRIM($G1837))&gt;0,"COUNTED",IF(COUNTIF(LISTS!$J$2:$J$16,TRIM($G1837))&gt;0,"LEFT OUT","NEW")))</f>
        <v/>
      </c>
    </row>
    <row r="1838" spans="47:47" x14ac:dyDescent="0.25">
      <c r="AU1838" s="8" t="str">
        <f>IF(TRIM($G1838)="","",IF(COUNTIF(LISTS!$I$2:$I$16,TRIM($G1838))&gt;0,"COUNTED",IF(COUNTIF(LISTS!$J$2:$J$16,TRIM($G1838))&gt;0,"LEFT OUT","NEW")))</f>
        <v/>
      </c>
    </row>
    <row r="1839" spans="47:47" x14ac:dyDescent="0.25">
      <c r="AU1839" s="8" t="str">
        <f>IF(TRIM($G1839)="","",IF(COUNTIF(LISTS!$I$2:$I$16,TRIM($G1839))&gt;0,"COUNTED",IF(COUNTIF(LISTS!$J$2:$J$16,TRIM($G1839))&gt;0,"LEFT OUT","NEW")))</f>
        <v/>
      </c>
    </row>
    <row r="1840" spans="47:47" x14ac:dyDescent="0.25">
      <c r="AU1840" s="8" t="str">
        <f>IF(TRIM($G1840)="","",IF(COUNTIF(LISTS!$I$2:$I$16,TRIM($G1840))&gt;0,"COUNTED",IF(COUNTIF(LISTS!$J$2:$J$16,TRIM($G1840))&gt;0,"LEFT OUT","NEW")))</f>
        <v/>
      </c>
    </row>
    <row r="1841" spans="47:47" x14ac:dyDescent="0.25">
      <c r="AU1841" s="8" t="str">
        <f>IF(TRIM($G1841)="","",IF(COUNTIF(LISTS!$I$2:$I$16,TRIM($G1841))&gt;0,"COUNTED",IF(COUNTIF(LISTS!$J$2:$J$16,TRIM($G1841))&gt;0,"LEFT OUT","NEW")))</f>
        <v/>
      </c>
    </row>
    <row r="1842" spans="47:47" x14ac:dyDescent="0.25">
      <c r="AU1842" s="8" t="str">
        <f>IF(TRIM($G1842)="","",IF(COUNTIF(LISTS!$I$2:$I$16,TRIM($G1842))&gt;0,"COUNTED",IF(COUNTIF(LISTS!$J$2:$J$16,TRIM($G1842))&gt;0,"LEFT OUT","NEW")))</f>
        <v/>
      </c>
    </row>
    <row r="1843" spans="47:47" x14ac:dyDescent="0.25">
      <c r="AU1843" s="8" t="str">
        <f>IF(TRIM($G1843)="","",IF(COUNTIF(LISTS!$I$2:$I$16,TRIM($G1843))&gt;0,"COUNTED",IF(COUNTIF(LISTS!$J$2:$J$16,TRIM($G1843))&gt;0,"LEFT OUT","NEW")))</f>
        <v/>
      </c>
    </row>
    <row r="1844" spans="47:47" x14ac:dyDescent="0.25">
      <c r="AU1844" s="8" t="str">
        <f>IF(TRIM($G1844)="","",IF(COUNTIF(LISTS!$I$2:$I$16,TRIM($G1844))&gt;0,"COUNTED",IF(COUNTIF(LISTS!$J$2:$J$16,TRIM($G1844))&gt;0,"LEFT OUT","NEW")))</f>
        <v/>
      </c>
    </row>
    <row r="1845" spans="47:47" x14ac:dyDescent="0.25">
      <c r="AU1845" s="8" t="str">
        <f>IF(TRIM($G1845)="","",IF(COUNTIF(LISTS!$I$2:$I$16,TRIM($G1845))&gt;0,"COUNTED",IF(COUNTIF(LISTS!$J$2:$J$16,TRIM($G1845))&gt;0,"LEFT OUT","NEW")))</f>
        <v/>
      </c>
    </row>
    <row r="1846" spans="47:47" x14ac:dyDescent="0.25">
      <c r="AU1846" s="8" t="str">
        <f>IF(TRIM($G1846)="","",IF(COUNTIF(LISTS!$I$2:$I$16,TRIM($G1846))&gt;0,"COUNTED",IF(COUNTIF(LISTS!$J$2:$J$16,TRIM($G1846))&gt;0,"LEFT OUT","NEW")))</f>
        <v/>
      </c>
    </row>
    <row r="1847" spans="47:47" x14ac:dyDescent="0.25">
      <c r="AU1847" s="8" t="str">
        <f>IF(TRIM($G1847)="","",IF(COUNTIF(LISTS!$I$2:$I$16,TRIM($G1847))&gt;0,"COUNTED",IF(COUNTIF(LISTS!$J$2:$J$16,TRIM($G1847))&gt;0,"LEFT OUT","NEW")))</f>
        <v/>
      </c>
    </row>
    <row r="1848" spans="47:47" x14ac:dyDescent="0.25">
      <c r="AU1848" s="8" t="str">
        <f>IF(TRIM($G1848)="","",IF(COUNTIF(LISTS!$I$2:$I$16,TRIM($G1848))&gt;0,"COUNTED",IF(COUNTIF(LISTS!$J$2:$J$16,TRIM($G1848))&gt;0,"LEFT OUT","NEW")))</f>
        <v/>
      </c>
    </row>
    <row r="1849" spans="47:47" x14ac:dyDescent="0.25">
      <c r="AU1849" s="8" t="str">
        <f>IF(TRIM($G1849)="","",IF(COUNTIF(LISTS!$I$2:$I$16,TRIM($G1849))&gt;0,"COUNTED",IF(COUNTIF(LISTS!$J$2:$J$16,TRIM($G1849))&gt;0,"LEFT OUT","NEW")))</f>
        <v/>
      </c>
    </row>
    <row r="1850" spans="47:47" x14ac:dyDescent="0.25">
      <c r="AU1850" s="8" t="str">
        <f>IF(TRIM($G1850)="","",IF(COUNTIF(LISTS!$I$2:$I$16,TRIM($G1850))&gt;0,"COUNTED",IF(COUNTIF(LISTS!$J$2:$J$16,TRIM($G1850))&gt;0,"LEFT OUT","NEW")))</f>
        <v/>
      </c>
    </row>
    <row r="1851" spans="47:47" x14ac:dyDescent="0.25">
      <c r="AU1851" s="8" t="str">
        <f>IF(TRIM($G1851)="","",IF(COUNTIF(LISTS!$I$2:$I$16,TRIM($G1851))&gt;0,"COUNTED",IF(COUNTIF(LISTS!$J$2:$J$16,TRIM($G1851))&gt;0,"LEFT OUT","NEW")))</f>
        <v/>
      </c>
    </row>
    <row r="1852" spans="47:47" x14ac:dyDescent="0.25">
      <c r="AU1852" s="8" t="str">
        <f>IF(TRIM($G1852)="","",IF(COUNTIF(LISTS!$I$2:$I$16,TRIM($G1852))&gt;0,"COUNTED",IF(COUNTIF(LISTS!$J$2:$J$16,TRIM($G1852))&gt;0,"LEFT OUT","NEW")))</f>
        <v/>
      </c>
    </row>
    <row r="1853" spans="47:47" x14ac:dyDescent="0.25">
      <c r="AU1853" s="8" t="str">
        <f>IF(TRIM($G1853)="","",IF(COUNTIF(LISTS!$I$2:$I$16,TRIM($G1853))&gt;0,"COUNTED",IF(COUNTIF(LISTS!$J$2:$J$16,TRIM($G1853))&gt;0,"LEFT OUT","NEW")))</f>
        <v/>
      </c>
    </row>
    <row r="1854" spans="47:47" x14ac:dyDescent="0.25">
      <c r="AU1854" s="8" t="str">
        <f>IF(TRIM($G1854)="","",IF(COUNTIF(LISTS!$I$2:$I$16,TRIM($G1854))&gt;0,"COUNTED",IF(COUNTIF(LISTS!$J$2:$J$16,TRIM($G1854))&gt;0,"LEFT OUT","NEW")))</f>
        <v/>
      </c>
    </row>
    <row r="1855" spans="47:47" x14ac:dyDescent="0.25">
      <c r="AU1855" s="8" t="str">
        <f>IF(TRIM($G1855)="","",IF(COUNTIF(LISTS!$I$2:$I$16,TRIM($G1855))&gt;0,"COUNTED",IF(COUNTIF(LISTS!$J$2:$J$16,TRIM($G1855))&gt;0,"LEFT OUT","NEW")))</f>
        <v/>
      </c>
    </row>
    <row r="1856" spans="47:47" x14ac:dyDescent="0.25">
      <c r="AU1856" s="8" t="str">
        <f>IF(TRIM($G1856)="","",IF(COUNTIF(LISTS!$I$2:$I$16,TRIM($G1856))&gt;0,"COUNTED",IF(COUNTIF(LISTS!$J$2:$J$16,TRIM($G1856))&gt;0,"LEFT OUT","NEW")))</f>
        <v/>
      </c>
    </row>
    <row r="1857" spans="47:47" x14ac:dyDescent="0.25">
      <c r="AU1857" s="8" t="str">
        <f>IF(TRIM($G1857)="","",IF(COUNTIF(LISTS!$I$2:$I$16,TRIM($G1857))&gt;0,"COUNTED",IF(COUNTIF(LISTS!$J$2:$J$16,TRIM($G1857))&gt;0,"LEFT OUT","NEW")))</f>
        <v/>
      </c>
    </row>
    <row r="1858" spans="47:47" x14ac:dyDescent="0.25">
      <c r="AU1858" s="8" t="str">
        <f>IF(TRIM($G1858)="","",IF(COUNTIF(LISTS!$I$2:$I$16,TRIM($G1858))&gt;0,"COUNTED",IF(COUNTIF(LISTS!$J$2:$J$16,TRIM($G1858))&gt;0,"LEFT OUT","NEW")))</f>
        <v/>
      </c>
    </row>
    <row r="1859" spans="47:47" x14ac:dyDescent="0.25">
      <c r="AU1859" s="8" t="str">
        <f>IF(TRIM($G1859)="","",IF(COUNTIF(LISTS!$I$2:$I$16,TRIM($G1859))&gt;0,"COUNTED",IF(COUNTIF(LISTS!$J$2:$J$16,TRIM($G1859))&gt;0,"LEFT OUT","NEW")))</f>
        <v/>
      </c>
    </row>
    <row r="1860" spans="47:47" x14ac:dyDescent="0.25">
      <c r="AU1860" s="8" t="str">
        <f>IF(TRIM($G1860)="","",IF(COUNTIF(LISTS!$I$2:$I$16,TRIM($G1860))&gt;0,"COUNTED",IF(COUNTIF(LISTS!$J$2:$J$16,TRIM($G1860))&gt;0,"LEFT OUT","NEW")))</f>
        <v/>
      </c>
    </row>
    <row r="1861" spans="47:47" x14ac:dyDescent="0.25">
      <c r="AU1861" s="8" t="str">
        <f>IF(TRIM($G1861)="","",IF(COUNTIF(LISTS!$I$2:$I$16,TRIM($G1861))&gt;0,"COUNTED",IF(COUNTIF(LISTS!$J$2:$J$16,TRIM($G1861))&gt;0,"LEFT OUT","NEW")))</f>
        <v/>
      </c>
    </row>
    <row r="1862" spans="47:47" x14ac:dyDescent="0.25">
      <c r="AU1862" s="8" t="str">
        <f>IF(TRIM($G1862)="","",IF(COUNTIF(LISTS!$I$2:$I$16,TRIM($G1862))&gt;0,"COUNTED",IF(COUNTIF(LISTS!$J$2:$J$16,TRIM($G1862))&gt;0,"LEFT OUT","NEW")))</f>
        <v/>
      </c>
    </row>
    <row r="1863" spans="47:47" x14ac:dyDescent="0.25">
      <c r="AU1863" s="8" t="str">
        <f>IF(TRIM($G1863)="","",IF(COUNTIF(LISTS!$I$2:$I$16,TRIM($G1863))&gt;0,"COUNTED",IF(COUNTIF(LISTS!$J$2:$J$16,TRIM($G1863))&gt;0,"LEFT OUT","NEW")))</f>
        <v/>
      </c>
    </row>
    <row r="1864" spans="47:47" x14ac:dyDescent="0.25">
      <c r="AU1864" s="8" t="str">
        <f>IF(TRIM($G1864)="","",IF(COUNTIF(LISTS!$I$2:$I$16,TRIM($G1864))&gt;0,"COUNTED",IF(COUNTIF(LISTS!$J$2:$J$16,TRIM($G1864))&gt;0,"LEFT OUT","NEW")))</f>
        <v/>
      </c>
    </row>
    <row r="1865" spans="47:47" x14ac:dyDescent="0.25">
      <c r="AU1865" s="8" t="str">
        <f>IF(TRIM($G1865)="","",IF(COUNTIF(LISTS!$I$2:$I$16,TRIM($G1865))&gt;0,"COUNTED",IF(COUNTIF(LISTS!$J$2:$J$16,TRIM($G1865))&gt;0,"LEFT OUT","NEW")))</f>
        <v/>
      </c>
    </row>
    <row r="1866" spans="47:47" x14ac:dyDescent="0.25">
      <c r="AU1866" s="8" t="str">
        <f>IF(TRIM($G1866)="","",IF(COUNTIF(LISTS!$I$2:$I$16,TRIM($G1866))&gt;0,"COUNTED",IF(COUNTIF(LISTS!$J$2:$J$16,TRIM($G1866))&gt;0,"LEFT OUT","NEW")))</f>
        <v/>
      </c>
    </row>
    <row r="1867" spans="47:47" x14ac:dyDescent="0.25">
      <c r="AU1867" s="8" t="str">
        <f>IF(TRIM($G1867)="","",IF(COUNTIF(LISTS!$I$2:$I$16,TRIM($G1867))&gt;0,"COUNTED",IF(COUNTIF(LISTS!$J$2:$J$16,TRIM($G1867))&gt;0,"LEFT OUT","NEW")))</f>
        <v/>
      </c>
    </row>
    <row r="1868" spans="47:47" x14ac:dyDescent="0.25">
      <c r="AU1868" s="8" t="str">
        <f>IF(TRIM($G1868)="","",IF(COUNTIF(LISTS!$I$2:$I$16,TRIM($G1868))&gt;0,"COUNTED",IF(COUNTIF(LISTS!$J$2:$J$16,TRIM($G1868))&gt;0,"LEFT OUT","NEW")))</f>
        <v/>
      </c>
    </row>
    <row r="1869" spans="47:47" x14ac:dyDescent="0.25">
      <c r="AU1869" s="8" t="str">
        <f>IF(TRIM($G1869)="","",IF(COUNTIF(LISTS!$I$2:$I$16,TRIM($G1869))&gt;0,"COUNTED",IF(COUNTIF(LISTS!$J$2:$J$16,TRIM($G1869))&gt;0,"LEFT OUT","NEW")))</f>
        <v/>
      </c>
    </row>
    <row r="1870" spans="47:47" x14ac:dyDescent="0.25">
      <c r="AU1870" s="8" t="str">
        <f>IF(TRIM($G1870)="","",IF(COUNTIF(LISTS!$I$2:$I$16,TRIM($G1870))&gt;0,"COUNTED",IF(COUNTIF(LISTS!$J$2:$J$16,TRIM($G1870))&gt;0,"LEFT OUT","NEW")))</f>
        <v/>
      </c>
    </row>
    <row r="1871" spans="47:47" x14ac:dyDescent="0.25">
      <c r="AU1871" s="8" t="str">
        <f>IF(TRIM($G1871)="","",IF(COUNTIF(LISTS!$I$2:$I$16,TRIM($G1871))&gt;0,"COUNTED",IF(COUNTIF(LISTS!$J$2:$J$16,TRIM($G1871))&gt;0,"LEFT OUT","NEW")))</f>
        <v/>
      </c>
    </row>
    <row r="1872" spans="47:47" x14ac:dyDescent="0.25">
      <c r="AU1872" s="8" t="str">
        <f>IF(TRIM($G1872)="","",IF(COUNTIF(LISTS!$I$2:$I$16,TRIM($G1872))&gt;0,"COUNTED",IF(COUNTIF(LISTS!$J$2:$J$16,TRIM($G1872))&gt;0,"LEFT OUT","NEW")))</f>
        <v/>
      </c>
    </row>
    <row r="1873" spans="47:47" x14ac:dyDescent="0.25">
      <c r="AU1873" s="8" t="str">
        <f>IF(TRIM($G1873)="","",IF(COUNTIF(LISTS!$I$2:$I$16,TRIM($G1873))&gt;0,"COUNTED",IF(COUNTIF(LISTS!$J$2:$J$16,TRIM($G1873))&gt;0,"LEFT OUT","NEW")))</f>
        <v/>
      </c>
    </row>
    <row r="1874" spans="47:47" x14ac:dyDescent="0.25">
      <c r="AU1874" s="8" t="str">
        <f>IF(TRIM($G1874)="","",IF(COUNTIF(LISTS!$I$2:$I$16,TRIM($G1874))&gt;0,"COUNTED",IF(COUNTIF(LISTS!$J$2:$J$16,TRIM($G1874))&gt;0,"LEFT OUT","NEW")))</f>
        <v/>
      </c>
    </row>
    <row r="1875" spans="47:47" x14ac:dyDescent="0.25">
      <c r="AU1875" s="8" t="str">
        <f>IF(TRIM($G1875)="","",IF(COUNTIF(LISTS!$I$2:$I$16,TRIM($G1875))&gt;0,"COUNTED",IF(COUNTIF(LISTS!$J$2:$J$16,TRIM($G1875))&gt;0,"LEFT OUT","NEW")))</f>
        <v/>
      </c>
    </row>
    <row r="1876" spans="47:47" x14ac:dyDescent="0.25">
      <c r="AU1876" s="8" t="str">
        <f>IF(TRIM($G1876)="","",IF(COUNTIF(LISTS!$I$2:$I$16,TRIM($G1876))&gt;0,"COUNTED",IF(COUNTIF(LISTS!$J$2:$J$16,TRIM($G1876))&gt;0,"LEFT OUT","NEW")))</f>
        <v/>
      </c>
    </row>
    <row r="1877" spans="47:47" x14ac:dyDescent="0.25">
      <c r="AU1877" s="8" t="str">
        <f>IF(TRIM($G1877)="","",IF(COUNTIF(LISTS!$I$2:$I$16,TRIM($G1877))&gt;0,"COUNTED",IF(COUNTIF(LISTS!$J$2:$J$16,TRIM($G1877))&gt;0,"LEFT OUT","NEW")))</f>
        <v/>
      </c>
    </row>
    <row r="1878" spans="47:47" x14ac:dyDescent="0.25">
      <c r="AU1878" s="8" t="str">
        <f>IF(TRIM($G1878)="","",IF(COUNTIF(LISTS!$I$2:$I$16,TRIM($G1878))&gt;0,"COUNTED",IF(COUNTIF(LISTS!$J$2:$J$16,TRIM($G1878))&gt;0,"LEFT OUT","NEW")))</f>
        <v/>
      </c>
    </row>
    <row r="1879" spans="47:47" x14ac:dyDescent="0.25">
      <c r="AU1879" s="8" t="str">
        <f>IF(TRIM($G1879)="","",IF(COUNTIF(LISTS!$I$2:$I$16,TRIM($G1879))&gt;0,"COUNTED",IF(COUNTIF(LISTS!$J$2:$J$16,TRIM($G1879))&gt;0,"LEFT OUT","NEW")))</f>
        <v/>
      </c>
    </row>
    <row r="1880" spans="47:47" x14ac:dyDescent="0.25">
      <c r="AU1880" s="8" t="str">
        <f>IF(TRIM($G1880)="","",IF(COUNTIF(LISTS!$I$2:$I$16,TRIM($G1880))&gt;0,"COUNTED",IF(COUNTIF(LISTS!$J$2:$J$16,TRIM($G1880))&gt;0,"LEFT OUT","NEW")))</f>
        <v/>
      </c>
    </row>
    <row r="1881" spans="47:47" x14ac:dyDescent="0.25">
      <c r="AU1881" s="8" t="str">
        <f>IF(TRIM($G1881)="","",IF(COUNTIF(LISTS!$I$2:$I$16,TRIM($G1881))&gt;0,"COUNTED",IF(COUNTIF(LISTS!$J$2:$J$16,TRIM($G1881))&gt;0,"LEFT OUT","NEW")))</f>
        <v/>
      </c>
    </row>
    <row r="1882" spans="47:47" x14ac:dyDescent="0.25">
      <c r="AU1882" s="8" t="str">
        <f>IF(TRIM($G1882)="","",IF(COUNTIF(LISTS!$I$2:$I$16,TRIM($G1882))&gt;0,"COUNTED",IF(COUNTIF(LISTS!$J$2:$J$16,TRIM($G1882))&gt;0,"LEFT OUT","NEW")))</f>
        <v/>
      </c>
    </row>
    <row r="1883" spans="47:47" x14ac:dyDescent="0.25">
      <c r="AU1883" s="8" t="str">
        <f>IF(TRIM($G1883)="","",IF(COUNTIF(LISTS!$I$2:$I$16,TRIM($G1883))&gt;0,"COUNTED",IF(COUNTIF(LISTS!$J$2:$J$16,TRIM($G1883))&gt;0,"LEFT OUT","NEW")))</f>
        <v/>
      </c>
    </row>
    <row r="1884" spans="47:47" x14ac:dyDescent="0.25">
      <c r="AU1884" s="8" t="str">
        <f>IF(TRIM($G1884)="","",IF(COUNTIF(LISTS!$I$2:$I$16,TRIM($G1884))&gt;0,"COUNTED",IF(COUNTIF(LISTS!$J$2:$J$16,TRIM($G1884))&gt;0,"LEFT OUT","NEW")))</f>
        <v/>
      </c>
    </row>
    <row r="1885" spans="47:47" x14ac:dyDescent="0.25">
      <c r="AU1885" s="8" t="str">
        <f>IF(TRIM($G1885)="","",IF(COUNTIF(LISTS!$I$2:$I$16,TRIM($G1885))&gt;0,"COUNTED",IF(COUNTIF(LISTS!$J$2:$J$16,TRIM($G1885))&gt;0,"LEFT OUT","NEW")))</f>
        <v/>
      </c>
    </row>
    <row r="1886" spans="47:47" x14ac:dyDescent="0.25">
      <c r="AU1886" s="8" t="str">
        <f>IF(TRIM($G1886)="","",IF(COUNTIF(LISTS!$I$2:$I$16,TRIM($G1886))&gt;0,"COUNTED",IF(COUNTIF(LISTS!$J$2:$J$16,TRIM($G1886))&gt;0,"LEFT OUT","NEW")))</f>
        <v/>
      </c>
    </row>
    <row r="1887" spans="47:47" x14ac:dyDescent="0.25">
      <c r="AU1887" s="8" t="str">
        <f>IF(TRIM($G1887)="","",IF(COUNTIF(LISTS!$I$2:$I$16,TRIM($G1887))&gt;0,"COUNTED",IF(COUNTIF(LISTS!$J$2:$J$16,TRIM($G1887))&gt;0,"LEFT OUT","NEW")))</f>
        <v/>
      </c>
    </row>
    <row r="1888" spans="47:47" x14ac:dyDescent="0.25">
      <c r="AU1888" s="8" t="str">
        <f>IF(TRIM($G1888)="","",IF(COUNTIF(LISTS!$I$2:$I$16,TRIM($G1888))&gt;0,"COUNTED",IF(COUNTIF(LISTS!$J$2:$J$16,TRIM($G1888))&gt;0,"LEFT OUT","NEW")))</f>
        <v/>
      </c>
    </row>
    <row r="1889" spans="47:47" x14ac:dyDescent="0.25">
      <c r="AU1889" s="8" t="str">
        <f>IF(TRIM($G1889)="","",IF(COUNTIF(LISTS!$I$2:$I$16,TRIM($G1889))&gt;0,"COUNTED",IF(COUNTIF(LISTS!$J$2:$J$16,TRIM($G1889))&gt;0,"LEFT OUT","NEW")))</f>
        <v/>
      </c>
    </row>
    <row r="1890" spans="47:47" x14ac:dyDescent="0.25">
      <c r="AU1890" s="8" t="str">
        <f>IF(TRIM($G1890)="","",IF(COUNTIF(LISTS!$I$2:$I$16,TRIM($G1890))&gt;0,"COUNTED",IF(COUNTIF(LISTS!$J$2:$J$16,TRIM($G1890))&gt;0,"LEFT OUT","NEW")))</f>
        <v/>
      </c>
    </row>
    <row r="1891" spans="47:47" x14ac:dyDescent="0.25">
      <c r="AU1891" s="8" t="str">
        <f>IF(TRIM($G1891)="","",IF(COUNTIF(LISTS!$I$2:$I$16,TRIM($G1891))&gt;0,"COUNTED",IF(COUNTIF(LISTS!$J$2:$J$16,TRIM($G1891))&gt;0,"LEFT OUT","NEW")))</f>
        <v/>
      </c>
    </row>
    <row r="1892" spans="47:47" x14ac:dyDescent="0.25">
      <c r="AU1892" s="8" t="str">
        <f>IF(TRIM($G1892)="","",IF(COUNTIF(LISTS!$I$2:$I$16,TRIM($G1892))&gt;0,"COUNTED",IF(COUNTIF(LISTS!$J$2:$J$16,TRIM($G1892))&gt;0,"LEFT OUT","NEW")))</f>
        <v/>
      </c>
    </row>
    <row r="1893" spans="47:47" x14ac:dyDescent="0.25">
      <c r="AU1893" s="8" t="str">
        <f>IF(TRIM($G1893)="","",IF(COUNTIF(LISTS!$I$2:$I$16,TRIM($G1893))&gt;0,"COUNTED",IF(COUNTIF(LISTS!$J$2:$J$16,TRIM($G1893))&gt;0,"LEFT OUT","NEW")))</f>
        <v/>
      </c>
    </row>
    <row r="1894" spans="47:47" x14ac:dyDescent="0.25">
      <c r="AU1894" s="8" t="str">
        <f>IF(TRIM($G1894)="","",IF(COUNTIF(LISTS!$I$2:$I$16,TRIM($G1894))&gt;0,"COUNTED",IF(COUNTIF(LISTS!$J$2:$J$16,TRIM($G1894))&gt;0,"LEFT OUT","NEW")))</f>
        <v/>
      </c>
    </row>
    <row r="1895" spans="47:47" x14ac:dyDescent="0.25">
      <c r="AU1895" s="8" t="str">
        <f>IF(TRIM($G1895)="","",IF(COUNTIF(LISTS!$I$2:$I$16,TRIM($G1895))&gt;0,"COUNTED",IF(COUNTIF(LISTS!$J$2:$J$16,TRIM($G1895))&gt;0,"LEFT OUT","NEW")))</f>
        <v/>
      </c>
    </row>
    <row r="1896" spans="47:47" x14ac:dyDescent="0.25">
      <c r="AU1896" s="8" t="str">
        <f>IF(TRIM($G1896)="","",IF(COUNTIF(LISTS!$I$2:$I$16,TRIM($G1896))&gt;0,"COUNTED",IF(COUNTIF(LISTS!$J$2:$J$16,TRIM($G1896))&gt;0,"LEFT OUT","NEW")))</f>
        <v/>
      </c>
    </row>
    <row r="1897" spans="47:47" x14ac:dyDescent="0.25">
      <c r="AU1897" s="8" t="str">
        <f>IF(TRIM($G1897)="","",IF(COUNTIF(LISTS!$I$2:$I$16,TRIM($G1897))&gt;0,"COUNTED",IF(COUNTIF(LISTS!$J$2:$J$16,TRIM($G1897))&gt;0,"LEFT OUT","NEW")))</f>
        <v/>
      </c>
    </row>
    <row r="1898" spans="47:47" x14ac:dyDescent="0.25">
      <c r="AU1898" s="8" t="str">
        <f>IF(TRIM($G1898)="","",IF(COUNTIF(LISTS!$I$2:$I$16,TRIM($G1898))&gt;0,"COUNTED",IF(COUNTIF(LISTS!$J$2:$J$16,TRIM($G1898))&gt;0,"LEFT OUT","NEW")))</f>
        <v/>
      </c>
    </row>
    <row r="1899" spans="47:47" x14ac:dyDescent="0.25">
      <c r="AU1899" s="8" t="str">
        <f>IF(TRIM($G1899)="","",IF(COUNTIF(LISTS!$I$2:$I$16,TRIM($G1899))&gt;0,"COUNTED",IF(COUNTIF(LISTS!$J$2:$J$16,TRIM($G1899))&gt;0,"LEFT OUT","NEW")))</f>
        <v/>
      </c>
    </row>
    <row r="1900" spans="47:47" x14ac:dyDescent="0.25">
      <c r="AU1900" s="8" t="str">
        <f>IF(TRIM($G1900)="","",IF(COUNTIF(LISTS!$I$2:$I$16,TRIM($G1900))&gt;0,"COUNTED",IF(COUNTIF(LISTS!$J$2:$J$16,TRIM($G1900))&gt;0,"LEFT OUT","NEW")))</f>
        <v/>
      </c>
    </row>
    <row r="1901" spans="47:47" x14ac:dyDescent="0.25">
      <c r="AU1901" s="8" t="str">
        <f>IF(TRIM($G1901)="","",IF(COUNTIF(LISTS!$I$2:$I$16,TRIM($G1901))&gt;0,"COUNTED",IF(COUNTIF(LISTS!$J$2:$J$16,TRIM($G1901))&gt;0,"LEFT OUT","NEW")))</f>
        <v/>
      </c>
    </row>
    <row r="1902" spans="47:47" x14ac:dyDescent="0.25">
      <c r="AU1902" s="8" t="str">
        <f>IF(TRIM($G1902)="","",IF(COUNTIF(LISTS!$I$2:$I$16,TRIM($G1902))&gt;0,"COUNTED",IF(COUNTIF(LISTS!$J$2:$J$16,TRIM($G1902))&gt;0,"LEFT OUT","NEW")))</f>
        <v/>
      </c>
    </row>
    <row r="1903" spans="47:47" x14ac:dyDescent="0.25">
      <c r="AU1903" s="8" t="str">
        <f>IF(TRIM($G1903)="","",IF(COUNTIF(LISTS!$I$2:$I$16,TRIM($G1903))&gt;0,"COUNTED",IF(COUNTIF(LISTS!$J$2:$J$16,TRIM($G1903))&gt;0,"LEFT OUT","NEW")))</f>
        <v/>
      </c>
    </row>
    <row r="1904" spans="47:47" x14ac:dyDescent="0.25">
      <c r="AU1904" s="8" t="str">
        <f>IF(TRIM($G1904)="","",IF(COUNTIF(LISTS!$I$2:$I$16,TRIM($G1904))&gt;0,"COUNTED",IF(COUNTIF(LISTS!$J$2:$J$16,TRIM($G1904))&gt;0,"LEFT OUT","NEW")))</f>
        <v/>
      </c>
    </row>
    <row r="1905" spans="47:47" x14ac:dyDescent="0.25">
      <c r="AU1905" s="8" t="str">
        <f>IF(TRIM($G1905)="","",IF(COUNTIF(LISTS!$I$2:$I$16,TRIM($G1905))&gt;0,"COUNTED",IF(COUNTIF(LISTS!$J$2:$J$16,TRIM($G1905))&gt;0,"LEFT OUT","NEW")))</f>
        <v/>
      </c>
    </row>
    <row r="1906" spans="47:47" x14ac:dyDescent="0.25">
      <c r="AU1906" s="8" t="str">
        <f>IF(TRIM($G1906)="","",IF(COUNTIF(LISTS!$I$2:$I$16,TRIM($G1906))&gt;0,"COUNTED",IF(COUNTIF(LISTS!$J$2:$J$16,TRIM($G1906))&gt;0,"LEFT OUT","NEW")))</f>
        <v/>
      </c>
    </row>
    <row r="1907" spans="47:47" x14ac:dyDescent="0.25">
      <c r="AU1907" s="8" t="str">
        <f>IF(TRIM($G1907)="","",IF(COUNTIF(LISTS!$I$2:$I$16,TRIM($G1907))&gt;0,"COUNTED",IF(COUNTIF(LISTS!$J$2:$J$16,TRIM($G1907))&gt;0,"LEFT OUT","NEW")))</f>
        <v/>
      </c>
    </row>
    <row r="1908" spans="47:47" x14ac:dyDescent="0.25">
      <c r="AU1908" s="8" t="str">
        <f>IF(TRIM($G1908)="","",IF(COUNTIF(LISTS!$I$2:$I$16,TRIM($G1908))&gt;0,"COUNTED",IF(COUNTIF(LISTS!$J$2:$J$16,TRIM($G1908))&gt;0,"LEFT OUT","NEW")))</f>
        <v/>
      </c>
    </row>
    <row r="1909" spans="47:47" x14ac:dyDescent="0.25">
      <c r="AU1909" s="8" t="str">
        <f>IF(TRIM($G1909)="","",IF(COUNTIF(LISTS!$I$2:$I$16,TRIM($G1909))&gt;0,"COUNTED",IF(COUNTIF(LISTS!$J$2:$J$16,TRIM($G1909))&gt;0,"LEFT OUT","NEW")))</f>
        <v/>
      </c>
    </row>
    <row r="1910" spans="47:47" x14ac:dyDescent="0.25">
      <c r="AU1910" s="8" t="str">
        <f>IF(TRIM($G1910)="","",IF(COUNTIF(LISTS!$I$2:$I$16,TRIM($G1910))&gt;0,"COUNTED",IF(COUNTIF(LISTS!$J$2:$J$16,TRIM($G1910))&gt;0,"LEFT OUT","NEW")))</f>
        <v/>
      </c>
    </row>
    <row r="1911" spans="47:47" x14ac:dyDescent="0.25">
      <c r="AU1911" s="8" t="str">
        <f>IF(TRIM($G1911)="","",IF(COUNTIF(LISTS!$I$2:$I$16,TRIM($G1911))&gt;0,"COUNTED",IF(COUNTIF(LISTS!$J$2:$J$16,TRIM($G1911))&gt;0,"LEFT OUT","NEW")))</f>
        <v/>
      </c>
    </row>
    <row r="1912" spans="47:47" x14ac:dyDescent="0.25">
      <c r="AU1912" s="8" t="str">
        <f>IF(TRIM($G1912)="","",IF(COUNTIF(LISTS!$I$2:$I$16,TRIM($G1912))&gt;0,"COUNTED",IF(COUNTIF(LISTS!$J$2:$J$16,TRIM($G1912))&gt;0,"LEFT OUT","NEW")))</f>
        <v/>
      </c>
    </row>
    <row r="1913" spans="47:47" x14ac:dyDescent="0.25">
      <c r="AU1913" s="8" t="str">
        <f>IF(TRIM($G1913)="","",IF(COUNTIF(LISTS!$I$2:$I$16,TRIM($G1913))&gt;0,"COUNTED",IF(COUNTIF(LISTS!$J$2:$J$16,TRIM($G1913))&gt;0,"LEFT OUT","NEW")))</f>
        <v/>
      </c>
    </row>
    <row r="1914" spans="47:47" x14ac:dyDescent="0.25">
      <c r="AU1914" s="8" t="str">
        <f>IF(TRIM($G1914)="","",IF(COUNTIF(LISTS!$I$2:$I$16,TRIM($G1914))&gt;0,"COUNTED",IF(COUNTIF(LISTS!$J$2:$J$16,TRIM($G1914))&gt;0,"LEFT OUT","NEW")))</f>
        <v/>
      </c>
    </row>
    <row r="1915" spans="47:47" x14ac:dyDescent="0.25">
      <c r="AU1915" s="8" t="str">
        <f>IF(TRIM($G1915)="","",IF(COUNTIF(LISTS!$I$2:$I$16,TRIM($G1915))&gt;0,"COUNTED",IF(COUNTIF(LISTS!$J$2:$J$16,TRIM($G1915))&gt;0,"LEFT OUT","NEW")))</f>
        <v/>
      </c>
    </row>
    <row r="1916" spans="47:47" x14ac:dyDescent="0.25">
      <c r="AU1916" s="8" t="str">
        <f>IF(TRIM($G1916)="","",IF(COUNTIF(LISTS!$I$2:$I$16,TRIM($G1916))&gt;0,"COUNTED",IF(COUNTIF(LISTS!$J$2:$J$16,TRIM($G1916))&gt;0,"LEFT OUT","NEW")))</f>
        <v/>
      </c>
    </row>
    <row r="1917" spans="47:47" x14ac:dyDescent="0.25">
      <c r="AU1917" s="8" t="str">
        <f>IF(TRIM($G1917)="","",IF(COUNTIF(LISTS!$I$2:$I$16,TRIM($G1917))&gt;0,"COUNTED",IF(COUNTIF(LISTS!$J$2:$J$16,TRIM($G1917))&gt;0,"LEFT OUT","NEW")))</f>
        <v/>
      </c>
    </row>
    <row r="1918" spans="47:47" x14ac:dyDescent="0.25">
      <c r="AU1918" s="8" t="str">
        <f>IF(TRIM($G1918)="","",IF(COUNTIF(LISTS!$I$2:$I$16,TRIM($G1918))&gt;0,"COUNTED",IF(COUNTIF(LISTS!$J$2:$J$16,TRIM($G1918))&gt;0,"LEFT OUT","NEW")))</f>
        <v/>
      </c>
    </row>
    <row r="1919" spans="47:47" x14ac:dyDescent="0.25">
      <c r="AU1919" s="8" t="str">
        <f>IF(TRIM($G1919)="","",IF(COUNTIF(LISTS!$I$2:$I$16,TRIM($G1919))&gt;0,"COUNTED",IF(COUNTIF(LISTS!$J$2:$J$16,TRIM($G1919))&gt;0,"LEFT OUT","NEW")))</f>
        <v/>
      </c>
    </row>
    <row r="1920" spans="47:47" x14ac:dyDescent="0.25">
      <c r="AU1920" s="8" t="str">
        <f>IF(TRIM($G1920)="","",IF(COUNTIF(LISTS!$I$2:$I$16,TRIM($G1920))&gt;0,"COUNTED",IF(COUNTIF(LISTS!$J$2:$J$16,TRIM($G1920))&gt;0,"LEFT OUT","NEW")))</f>
        <v/>
      </c>
    </row>
    <row r="1921" spans="47:47" x14ac:dyDescent="0.25">
      <c r="AU1921" s="8" t="str">
        <f>IF(TRIM($G1921)="","",IF(COUNTIF(LISTS!$I$2:$I$16,TRIM($G1921))&gt;0,"COUNTED",IF(COUNTIF(LISTS!$J$2:$J$16,TRIM($G1921))&gt;0,"LEFT OUT","NEW")))</f>
        <v/>
      </c>
    </row>
    <row r="1922" spans="47:47" x14ac:dyDescent="0.25">
      <c r="AU1922" s="8" t="str">
        <f>IF(TRIM($G1922)="","",IF(COUNTIF(LISTS!$I$2:$I$16,TRIM($G1922))&gt;0,"COUNTED",IF(COUNTIF(LISTS!$J$2:$J$16,TRIM($G1922))&gt;0,"LEFT OUT","NEW")))</f>
        <v/>
      </c>
    </row>
    <row r="1923" spans="47:47" x14ac:dyDescent="0.25">
      <c r="AU1923" s="8" t="str">
        <f>IF(TRIM($G1923)="","",IF(COUNTIF(LISTS!$I$2:$I$16,TRIM($G1923))&gt;0,"COUNTED",IF(COUNTIF(LISTS!$J$2:$J$16,TRIM($G1923))&gt;0,"LEFT OUT","NEW")))</f>
        <v/>
      </c>
    </row>
    <row r="1924" spans="47:47" x14ac:dyDescent="0.25">
      <c r="AU1924" s="8" t="str">
        <f>IF(TRIM($G1924)="","",IF(COUNTIF(LISTS!$I$2:$I$16,TRIM($G1924))&gt;0,"COUNTED",IF(COUNTIF(LISTS!$J$2:$J$16,TRIM($G1924))&gt;0,"LEFT OUT","NEW")))</f>
        <v/>
      </c>
    </row>
    <row r="1925" spans="47:47" x14ac:dyDescent="0.25">
      <c r="AU1925" s="8" t="str">
        <f>IF(TRIM($G1925)="","",IF(COUNTIF(LISTS!$I$2:$I$16,TRIM($G1925))&gt;0,"COUNTED",IF(COUNTIF(LISTS!$J$2:$J$16,TRIM($G1925))&gt;0,"LEFT OUT","NEW")))</f>
        <v/>
      </c>
    </row>
    <row r="1926" spans="47:47" x14ac:dyDescent="0.25">
      <c r="AU1926" s="8" t="str">
        <f>IF(TRIM($G1926)="","",IF(COUNTIF(LISTS!$I$2:$I$16,TRIM($G1926))&gt;0,"COUNTED",IF(COUNTIF(LISTS!$J$2:$J$16,TRIM($G1926))&gt;0,"LEFT OUT","NEW")))</f>
        <v/>
      </c>
    </row>
    <row r="1927" spans="47:47" x14ac:dyDescent="0.25">
      <c r="AU1927" s="8" t="str">
        <f>IF(TRIM($G1927)="","",IF(COUNTIF(LISTS!$I$2:$I$16,TRIM($G1927))&gt;0,"COUNTED",IF(COUNTIF(LISTS!$J$2:$J$16,TRIM($G1927))&gt;0,"LEFT OUT","NEW")))</f>
        <v/>
      </c>
    </row>
    <row r="1928" spans="47:47" x14ac:dyDescent="0.25">
      <c r="AU1928" s="8" t="str">
        <f>IF(TRIM($G1928)="","",IF(COUNTIF(LISTS!$I$2:$I$16,TRIM($G1928))&gt;0,"COUNTED",IF(COUNTIF(LISTS!$J$2:$J$16,TRIM($G1928))&gt;0,"LEFT OUT","NEW")))</f>
        <v/>
      </c>
    </row>
    <row r="1929" spans="47:47" x14ac:dyDescent="0.25">
      <c r="AU1929" s="8" t="str">
        <f>IF(TRIM($G1929)="","",IF(COUNTIF(LISTS!$I$2:$I$16,TRIM($G1929))&gt;0,"COUNTED",IF(COUNTIF(LISTS!$J$2:$J$16,TRIM($G1929))&gt;0,"LEFT OUT","NEW")))</f>
        <v/>
      </c>
    </row>
    <row r="1930" spans="47:47" x14ac:dyDescent="0.25">
      <c r="AU1930" s="8" t="str">
        <f>IF(TRIM($G1930)="","",IF(COUNTIF(LISTS!$I$2:$I$16,TRIM($G1930))&gt;0,"COUNTED",IF(COUNTIF(LISTS!$J$2:$J$16,TRIM($G1930))&gt;0,"LEFT OUT","NEW")))</f>
        <v/>
      </c>
    </row>
    <row r="1931" spans="47:47" x14ac:dyDescent="0.25">
      <c r="AU1931" s="8" t="str">
        <f>IF(TRIM($G1931)="","",IF(COUNTIF(LISTS!$I$2:$I$16,TRIM($G1931))&gt;0,"COUNTED",IF(COUNTIF(LISTS!$J$2:$J$16,TRIM($G1931))&gt;0,"LEFT OUT","NEW")))</f>
        <v/>
      </c>
    </row>
    <row r="1932" spans="47:47" x14ac:dyDescent="0.25">
      <c r="AU1932" s="8" t="str">
        <f>IF(TRIM($G1932)="","",IF(COUNTIF(LISTS!$I$2:$I$16,TRIM($G1932))&gt;0,"COUNTED",IF(COUNTIF(LISTS!$J$2:$J$16,TRIM($G1932))&gt;0,"LEFT OUT","NEW")))</f>
        <v/>
      </c>
    </row>
    <row r="1933" spans="47:47" x14ac:dyDescent="0.25">
      <c r="AU1933" s="8" t="str">
        <f>IF(TRIM($G1933)="","",IF(COUNTIF(LISTS!$I$2:$I$16,TRIM($G1933))&gt;0,"COUNTED",IF(COUNTIF(LISTS!$J$2:$J$16,TRIM($G1933))&gt;0,"LEFT OUT","NEW")))</f>
        <v/>
      </c>
    </row>
    <row r="1934" spans="47:47" x14ac:dyDescent="0.25">
      <c r="AU1934" s="8" t="str">
        <f>IF(TRIM($G1934)="","",IF(COUNTIF(LISTS!$I$2:$I$16,TRIM($G1934))&gt;0,"COUNTED",IF(COUNTIF(LISTS!$J$2:$J$16,TRIM($G1934))&gt;0,"LEFT OUT","NEW")))</f>
        <v/>
      </c>
    </row>
    <row r="1935" spans="47:47" x14ac:dyDescent="0.25">
      <c r="AU1935" s="8" t="str">
        <f>IF(TRIM($G1935)="","",IF(COUNTIF(LISTS!$I$2:$I$16,TRIM($G1935))&gt;0,"COUNTED",IF(COUNTIF(LISTS!$J$2:$J$16,TRIM($G1935))&gt;0,"LEFT OUT","NEW")))</f>
        <v/>
      </c>
    </row>
    <row r="1936" spans="47:47" x14ac:dyDescent="0.25">
      <c r="AU1936" s="8" t="str">
        <f>IF(TRIM($G1936)="","",IF(COUNTIF(LISTS!$I$2:$I$16,TRIM($G1936))&gt;0,"COUNTED",IF(COUNTIF(LISTS!$J$2:$J$16,TRIM($G1936))&gt;0,"LEFT OUT","NEW")))</f>
        <v/>
      </c>
    </row>
    <row r="1937" spans="47:47" x14ac:dyDescent="0.25">
      <c r="AU1937" s="8" t="str">
        <f>IF(TRIM($G1937)="","",IF(COUNTIF(LISTS!$I$2:$I$16,TRIM($G1937))&gt;0,"COUNTED",IF(COUNTIF(LISTS!$J$2:$J$16,TRIM($G1937))&gt;0,"LEFT OUT","NEW")))</f>
        <v/>
      </c>
    </row>
    <row r="1938" spans="47:47" x14ac:dyDescent="0.25">
      <c r="AU1938" s="8" t="str">
        <f>IF(TRIM($G1938)="","",IF(COUNTIF(LISTS!$I$2:$I$16,TRIM($G1938))&gt;0,"COUNTED",IF(COUNTIF(LISTS!$J$2:$J$16,TRIM($G1938))&gt;0,"LEFT OUT","NEW")))</f>
        <v/>
      </c>
    </row>
    <row r="1939" spans="47:47" x14ac:dyDescent="0.25">
      <c r="AU1939" s="8" t="str">
        <f>IF(TRIM($G1939)="","",IF(COUNTIF(LISTS!$I$2:$I$16,TRIM($G1939))&gt;0,"COUNTED",IF(COUNTIF(LISTS!$J$2:$J$16,TRIM($G1939))&gt;0,"LEFT OUT","NEW")))</f>
        <v/>
      </c>
    </row>
    <row r="1940" spans="47:47" x14ac:dyDescent="0.25">
      <c r="AU1940" s="8" t="str">
        <f>IF(TRIM($G1940)="","",IF(COUNTIF(LISTS!$I$2:$I$16,TRIM($G1940))&gt;0,"COUNTED",IF(COUNTIF(LISTS!$J$2:$J$16,TRIM($G1940))&gt;0,"LEFT OUT","NEW")))</f>
        <v/>
      </c>
    </row>
    <row r="1941" spans="47:47" x14ac:dyDescent="0.25">
      <c r="AU1941" s="8" t="str">
        <f>IF(TRIM($G1941)="","",IF(COUNTIF(LISTS!$I$2:$I$16,TRIM($G1941))&gt;0,"COUNTED",IF(COUNTIF(LISTS!$J$2:$J$16,TRIM($G1941))&gt;0,"LEFT OUT","NEW")))</f>
        <v/>
      </c>
    </row>
    <row r="1942" spans="47:47" x14ac:dyDescent="0.25">
      <c r="AU1942" s="8" t="str">
        <f>IF(TRIM($G1942)="","",IF(COUNTIF(LISTS!$I$2:$I$16,TRIM($G1942))&gt;0,"COUNTED",IF(COUNTIF(LISTS!$J$2:$J$16,TRIM($G1942))&gt;0,"LEFT OUT","NEW")))</f>
        <v/>
      </c>
    </row>
    <row r="1943" spans="47:47" x14ac:dyDescent="0.25">
      <c r="AU1943" s="8" t="str">
        <f>IF(TRIM($G1943)="","",IF(COUNTIF(LISTS!$I$2:$I$16,TRIM($G1943))&gt;0,"COUNTED",IF(COUNTIF(LISTS!$J$2:$J$16,TRIM($G1943))&gt;0,"LEFT OUT","NEW")))</f>
        <v/>
      </c>
    </row>
    <row r="1944" spans="47:47" x14ac:dyDescent="0.25">
      <c r="AU1944" s="8" t="str">
        <f>IF(TRIM($G1944)="","",IF(COUNTIF(LISTS!$I$2:$I$16,TRIM($G1944))&gt;0,"COUNTED",IF(COUNTIF(LISTS!$J$2:$J$16,TRIM($G1944))&gt;0,"LEFT OUT","NEW")))</f>
        <v/>
      </c>
    </row>
    <row r="1945" spans="47:47" x14ac:dyDescent="0.25">
      <c r="AU1945" s="8" t="str">
        <f>IF(TRIM($G1945)="","",IF(COUNTIF(LISTS!$I$2:$I$16,TRIM($G1945))&gt;0,"COUNTED",IF(COUNTIF(LISTS!$J$2:$J$16,TRIM($G1945))&gt;0,"LEFT OUT","NEW")))</f>
        <v/>
      </c>
    </row>
    <row r="1946" spans="47:47" x14ac:dyDescent="0.25">
      <c r="AU1946" s="8" t="str">
        <f>IF(TRIM($G1946)="","",IF(COUNTIF(LISTS!$I$2:$I$16,TRIM($G1946))&gt;0,"COUNTED",IF(COUNTIF(LISTS!$J$2:$J$16,TRIM($G1946))&gt;0,"LEFT OUT","NEW")))</f>
        <v/>
      </c>
    </row>
    <row r="1947" spans="47:47" x14ac:dyDescent="0.25">
      <c r="AU1947" s="8" t="str">
        <f>IF(TRIM($G1947)="","",IF(COUNTIF(LISTS!$I$2:$I$16,TRIM($G1947))&gt;0,"COUNTED",IF(COUNTIF(LISTS!$J$2:$J$16,TRIM($G1947))&gt;0,"LEFT OUT","NEW")))</f>
        <v/>
      </c>
    </row>
    <row r="1948" spans="47:47" x14ac:dyDescent="0.25">
      <c r="AU1948" s="8" t="str">
        <f>IF(TRIM($G1948)="","",IF(COUNTIF(LISTS!$I$2:$I$16,TRIM($G1948))&gt;0,"COUNTED",IF(COUNTIF(LISTS!$J$2:$J$16,TRIM($G1948))&gt;0,"LEFT OUT","NEW")))</f>
        <v/>
      </c>
    </row>
    <row r="1949" spans="47:47" x14ac:dyDescent="0.25">
      <c r="AU1949" s="8" t="str">
        <f>IF(TRIM($G1949)="","",IF(COUNTIF(LISTS!$I$2:$I$16,TRIM($G1949))&gt;0,"COUNTED",IF(COUNTIF(LISTS!$J$2:$J$16,TRIM($G1949))&gt;0,"LEFT OUT","NEW")))</f>
        <v/>
      </c>
    </row>
    <row r="1950" spans="47:47" x14ac:dyDescent="0.25">
      <c r="AU1950" s="8" t="str">
        <f>IF(TRIM($G1950)="","",IF(COUNTIF(LISTS!$I$2:$I$16,TRIM($G1950))&gt;0,"COUNTED",IF(COUNTIF(LISTS!$J$2:$J$16,TRIM($G1950))&gt;0,"LEFT OUT","NEW")))</f>
        <v/>
      </c>
    </row>
    <row r="1951" spans="47:47" x14ac:dyDescent="0.25">
      <c r="AU1951" s="8" t="str">
        <f>IF(TRIM($G1951)="","",IF(COUNTIF(LISTS!$I$2:$I$16,TRIM($G1951))&gt;0,"COUNTED",IF(COUNTIF(LISTS!$J$2:$J$16,TRIM($G1951))&gt;0,"LEFT OUT","NEW")))</f>
        <v/>
      </c>
    </row>
    <row r="1952" spans="47:47" x14ac:dyDescent="0.25">
      <c r="AU1952" s="8" t="str">
        <f>IF(TRIM($G1952)="","",IF(COUNTIF(LISTS!$I$2:$I$16,TRIM($G1952))&gt;0,"COUNTED",IF(COUNTIF(LISTS!$J$2:$J$16,TRIM($G1952))&gt;0,"LEFT OUT","NEW")))</f>
        <v/>
      </c>
    </row>
    <row r="1953" spans="47:47" x14ac:dyDescent="0.25">
      <c r="AU1953" s="8" t="str">
        <f>IF(TRIM($G1953)="","",IF(COUNTIF(LISTS!$I$2:$I$16,TRIM($G1953))&gt;0,"COUNTED",IF(COUNTIF(LISTS!$J$2:$J$16,TRIM($G1953))&gt;0,"LEFT OUT","NEW")))</f>
        <v/>
      </c>
    </row>
    <row r="1954" spans="47:47" x14ac:dyDescent="0.25">
      <c r="AU1954" s="8" t="str">
        <f>IF(TRIM($G1954)="","",IF(COUNTIF(LISTS!$I$2:$I$16,TRIM($G1954))&gt;0,"COUNTED",IF(COUNTIF(LISTS!$J$2:$J$16,TRIM($G1954))&gt;0,"LEFT OUT","NEW")))</f>
        <v/>
      </c>
    </row>
    <row r="1955" spans="47:47" x14ac:dyDescent="0.25">
      <c r="AU1955" s="8" t="str">
        <f>IF(TRIM($G1955)="","",IF(COUNTIF(LISTS!$I$2:$I$16,TRIM($G1955))&gt;0,"COUNTED",IF(COUNTIF(LISTS!$J$2:$J$16,TRIM($G1955))&gt;0,"LEFT OUT","NEW")))</f>
        <v/>
      </c>
    </row>
    <row r="1956" spans="47:47" x14ac:dyDescent="0.25">
      <c r="AU1956" s="8" t="str">
        <f>IF(TRIM($G1956)="","",IF(COUNTIF(LISTS!$I$2:$I$16,TRIM($G1956))&gt;0,"COUNTED",IF(COUNTIF(LISTS!$J$2:$J$16,TRIM($G1956))&gt;0,"LEFT OUT","NEW")))</f>
        <v/>
      </c>
    </row>
    <row r="1957" spans="47:47" x14ac:dyDescent="0.25">
      <c r="AU1957" s="8" t="str">
        <f>IF(TRIM($G1957)="","",IF(COUNTIF(LISTS!$I$2:$I$16,TRIM($G1957))&gt;0,"COUNTED",IF(COUNTIF(LISTS!$J$2:$J$16,TRIM($G1957))&gt;0,"LEFT OUT","NEW")))</f>
        <v/>
      </c>
    </row>
    <row r="1958" spans="47:47" x14ac:dyDescent="0.25">
      <c r="AU1958" s="8" t="str">
        <f>IF(TRIM($G1958)="","",IF(COUNTIF(LISTS!$I$2:$I$16,TRIM($G1958))&gt;0,"COUNTED",IF(COUNTIF(LISTS!$J$2:$J$16,TRIM($G1958))&gt;0,"LEFT OUT","NEW")))</f>
        <v/>
      </c>
    </row>
    <row r="1959" spans="47:47" x14ac:dyDescent="0.25">
      <c r="AU1959" s="8" t="str">
        <f>IF(TRIM($G1959)="","",IF(COUNTIF(LISTS!$I$2:$I$16,TRIM($G1959))&gt;0,"COUNTED",IF(COUNTIF(LISTS!$J$2:$J$16,TRIM($G1959))&gt;0,"LEFT OUT","NEW")))</f>
        <v/>
      </c>
    </row>
    <row r="1960" spans="47:47" x14ac:dyDescent="0.25">
      <c r="AU1960" s="8" t="str">
        <f>IF(TRIM($G1960)="","",IF(COUNTIF(LISTS!$I$2:$I$16,TRIM($G1960))&gt;0,"COUNTED",IF(COUNTIF(LISTS!$J$2:$J$16,TRIM($G1960))&gt;0,"LEFT OUT","NEW")))</f>
        <v/>
      </c>
    </row>
    <row r="1961" spans="47:47" x14ac:dyDescent="0.25">
      <c r="AU1961" s="8" t="str">
        <f>IF(TRIM($G1961)="","",IF(COUNTIF(LISTS!$I$2:$I$16,TRIM($G1961))&gt;0,"COUNTED",IF(COUNTIF(LISTS!$J$2:$J$16,TRIM($G1961))&gt;0,"LEFT OUT","NEW")))</f>
        <v/>
      </c>
    </row>
    <row r="1962" spans="47:47" x14ac:dyDescent="0.25">
      <c r="AU1962" s="8" t="str">
        <f>IF(TRIM($G1962)="","",IF(COUNTIF(LISTS!$I$2:$I$16,TRIM($G1962))&gt;0,"COUNTED",IF(COUNTIF(LISTS!$J$2:$J$16,TRIM($G1962))&gt;0,"LEFT OUT","NEW")))</f>
        <v/>
      </c>
    </row>
    <row r="1963" spans="47:47" x14ac:dyDescent="0.25">
      <c r="AU1963" s="8" t="str">
        <f>IF(TRIM($G1963)="","",IF(COUNTIF(LISTS!$I$2:$I$16,TRIM($G1963))&gt;0,"COUNTED",IF(COUNTIF(LISTS!$J$2:$J$16,TRIM($G1963))&gt;0,"LEFT OUT","NEW")))</f>
        <v/>
      </c>
    </row>
    <row r="1964" spans="47:47" x14ac:dyDescent="0.25">
      <c r="AU1964" s="8" t="str">
        <f>IF(TRIM($G1964)="","",IF(COUNTIF(LISTS!$I$2:$I$16,TRIM($G1964))&gt;0,"COUNTED",IF(COUNTIF(LISTS!$J$2:$J$16,TRIM($G1964))&gt;0,"LEFT OUT","NEW")))</f>
        <v/>
      </c>
    </row>
    <row r="1965" spans="47:47" x14ac:dyDescent="0.25">
      <c r="AU1965" s="8" t="str">
        <f>IF(TRIM($G1965)="","",IF(COUNTIF(LISTS!$I$2:$I$16,TRIM($G1965))&gt;0,"COUNTED",IF(COUNTIF(LISTS!$J$2:$J$16,TRIM($G1965))&gt;0,"LEFT OUT","NEW")))</f>
        <v/>
      </c>
    </row>
    <row r="1966" spans="47:47" x14ac:dyDescent="0.25">
      <c r="AU1966" s="8" t="str">
        <f>IF(TRIM($G1966)="","",IF(COUNTIF(LISTS!$I$2:$I$16,TRIM($G1966))&gt;0,"COUNTED",IF(COUNTIF(LISTS!$J$2:$J$16,TRIM($G1966))&gt;0,"LEFT OUT","NEW")))</f>
        <v/>
      </c>
    </row>
    <row r="1967" spans="47:47" x14ac:dyDescent="0.25">
      <c r="AU1967" s="8" t="str">
        <f>IF(TRIM($G1967)="","",IF(COUNTIF(LISTS!$I$2:$I$16,TRIM($G1967))&gt;0,"COUNTED",IF(COUNTIF(LISTS!$J$2:$J$16,TRIM($G1967))&gt;0,"LEFT OUT","NEW")))</f>
        <v/>
      </c>
    </row>
    <row r="1968" spans="47:47" x14ac:dyDescent="0.25">
      <c r="AU1968" s="8" t="str">
        <f>IF(TRIM($G1968)="","",IF(COUNTIF(LISTS!$I$2:$I$16,TRIM($G1968))&gt;0,"COUNTED",IF(COUNTIF(LISTS!$J$2:$J$16,TRIM($G1968))&gt;0,"LEFT OUT","NEW")))</f>
        <v/>
      </c>
    </row>
    <row r="1969" spans="47:47" x14ac:dyDescent="0.25">
      <c r="AU1969" s="8" t="str">
        <f>IF(TRIM($G1969)="","",IF(COUNTIF(LISTS!$I$2:$I$16,TRIM($G1969))&gt;0,"COUNTED",IF(COUNTIF(LISTS!$J$2:$J$16,TRIM($G1969))&gt;0,"LEFT OUT","NEW")))</f>
        <v/>
      </c>
    </row>
    <row r="1970" spans="47:47" x14ac:dyDescent="0.25">
      <c r="AU1970" s="8" t="str">
        <f>IF(TRIM($G1970)="","",IF(COUNTIF(LISTS!$I$2:$I$16,TRIM($G1970))&gt;0,"COUNTED",IF(COUNTIF(LISTS!$J$2:$J$16,TRIM($G1970))&gt;0,"LEFT OUT","NEW")))</f>
        <v/>
      </c>
    </row>
    <row r="1971" spans="47:47" x14ac:dyDescent="0.25">
      <c r="AU1971" s="8" t="str">
        <f>IF(TRIM($G1971)="","",IF(COUNTIF(LISTS!$I$2:$I$16,TRIM($G1971))&gt;0,"COUNTED",IF(COUNTIF(LISTS!$J$2:$J$16,TRIM($G1971))&gt;0,"LEFT OUT","NEW")))</f>
        <v/>
      </c>
    </row>
    <row r="1972" spans="47:47" x14ac:dyDescent="0.25">
      <c r="AU1972" s="8" t="str">
        <f>IF(TRIM($G1972)="","",IF(COUNTIF(LISTS!$I$2:$I$16,TRIM($G1972))&gt;0,"COUNTED",IF(COUNTIF(LISTS!$J$2:$J$16,TRIM($G1972))&gt;0,"LEFT OUT","NEW")))</f>
        <v/>
      </c>
    </row>
    <row r="1973" spans="47:47" x14ac:dyDescent="0.25">
      <c r="AU1973" s="8" t="str">
        <f>IF(TRIM($G1973)="","",IF(COUNTIF(LISTS!$I$2:$I$16,TRIM($G1973))&gt;0,"COUNTED",IF(COUNTIF(LISTS!$J$2:$J$16,TRIM($G1973))&gt;0,"LEFT OUT","NEW")))</f>
        <v/>
      </c>
    </row>
    <row r="1974" spans="47:47" x14ac:dyDescent="0.25">
      <c r="AU1974" s="8" t="str">
        <f>IF(TRIM($G1974)="","",IF(COUNTIF(LISTS!$I$2:$I$16,TRIM($G1974))&gt;0,"COUNTED",IF(COUNTIF(LISTS!$J$2:$J$16,TRIM($G1974))&gt;0,"LEFT OUT","NEW")))</f>
        <v/>
      </c>
    </row>
    <row r="1975" spans="47:47" x14ac:dyDescent="0.25">
      <c r="AU1975" s="8" t="str">
        <f>IF(TRIM($G1975)="","",IF(COUNTIF(LISTS!$I$2:$I$16,TRIM($G1975))&gt;0,"COUNTED",IF(COUNTIF(LISTS!$J$2:$J$16,TRIM($G1975))&gt;0,"LEFT OUT","NEW")))</f>
        <v/>
      </c>
    </row>
    <row r="1976" spans="47:47" x14ac:dyDescent="0.25">
      <c r="AU1976" s="8" t="str">
        <f>IF(TRIM($G1976)="","",IF(COUNTIF(LISTS!$I$2:$I$16,TRIM($G1976))&gt;0,"COUNTED",IF(COUNTIF(LISTS!$J$2:$J$16,TRIM($G1976))&gt;0,"LEFT OUT","NEW")))</f>
        <v/>
      </c>
    </row>
    <row r="1977" spans="47:47" x14ac:dyDescent="0.25">
      <c r="AU1977" s="8" t="str">
        <f>IF(TRIM($G1977)="","",IF(COUNTIF(LISTS!$I$2:$I$16,TRIM($G1977))&gt;0,"COUNTED",IF(COUNTIF(LISTS!$J$2:$J$16,TRIM($G1977))&gt;0,"LEFT OUT","NEW")))</f>
        <v/>
      </c>
    </row>
    <row r="1978" spans="47:47" x14ac:dyDescent="0.25">
      <c r="AU1978" s="8" t="str">
        <f>IF(TRIM($G1978)="","",IF(COUNTIF(LISTS!$I$2:$I$16,TRIM($G1978))&gt;0,"COUNTED",IF(COUNTIF(LISTS!$J$2:$J$16,TRIM($G1978))&gt;0,"LEFT OUT","NEW")))</f>
        <v/>
      </c>
    </row>
    <row r="1979" spans="47:47" x14ac:dyDescent="0.25">
      <c r="AU1979" s="8" t="str">
        <f>IF(TRIM($G1979)="","",IF(COUNTIF(LISTS!$I$2:$I$16,TRIM($G1979))&gt;0,"COUNTED",IF(COUNTIF(LISTS!$J$2:$J$16,TRIM($G1979))&gt;0,"LEFT OUT","NEW")))</f>
        <v/>
      </c>
    </row>
    <row r="1980" spans="47:47" x14ac:dyDescent="0.25">
      <c r="AU1980" s="8" t="str">
        <f>IF(TRIM($G1980)="","",IF(COUNTIF(LISTS!$I$2:$I$16,TRIM($G1980))&gt;0,"COUNTED",IF(COUNTIF(LISTS!$J$2:$J$16,TRIM($G1980))&gt;0,"LEFT OUT","NEW")))</f>
        <v/>
      </c>
    </row>
    <row r="1981" spans="47:47" x14ac:dyDescent="0.25">
      <c r="AU1981" s="8" t="str">
        <f>IF(TRIM($G1981)="","",IF(COUNTIF(LISTS!$I$2:$I$16,TRIM($G1981))&gt;0,"COUNTED",IF(COUNTIF(LISTS!$J$2:$J$16,TRIM($G1981))&gt;0,"LEFT OUT","NEW")))</f>
        <v/>
      </c>
    </row>
    <row r="1982" spans="47:47" x14ac:dyDescent="0.25">
      <c r="AU1982" s="8" t="str">
        <f>IF(TRIM($G1982)="","",IF(COUNTIF(LISTS!$I$2:$I$16,TRIM($G1982))&gt;0,"COUNTED",IF(COUNTIF(LISTS!$J$2:$J$16,TRIM($G1982))&gt;0,"LEFT OUT","NEW")))</f>
        <v/>
      </c>
    </row>
    <row r="1983" spans="47:47" x14ac:dyDescent="0.25">
      <c r="AU1983" s="8" t="str">
        <f>IF(TRIM($G1983)="","",IF(COUNTIF(LISTS!$I$2:$I$16,TRIM($G1983))&gt;0,"COUNTED",IF(COUNTIF(LISTS!$J$2:$J$16,TRIM($G1983))&gt;0,"LEFT OUT","NEW")))</f>
        <v/>
      </c>
    </row>
    <row r="1984" spans="47:47" x14ac:dyDescent="0.25">
      <c r="AU1984" s="8" t="str">
        <f>IF(TRIM($G1984)="","",IF(COUNTIF(LISTS!$I$2:$I$16,TRIM($G1984))&gt;0,"COUNTED",IF(COUNTIF(LISTS!$J$2:$J$16,TRIM($G1984))&gt;0,"LEFT OUT","NEW")))</f>
        <v/>
      </c>
    </row>
    <row r="1985" spans="47:47" x14ac:dyDescent="0.25">
      <c r="AU1985" s="8" t="str">
        <f>IF(TRIM($G1985)="","",IF(COUNTIF(LISTS!$I$2:$I$16,TRIM($G1985))&gt;0,"COUNTED",IF(COUNTIF(LISTS!$J$2:$J$16,TRIM($G1985))&gt;0,"LEFT OUT","NEW")))</f>
        <v/>
      </c>
    </row>
    <row r="1986" spans="47:47" x14ac:dyDescent="0.25">
      <c r="AU1986" s="8" t="str">
        <f>IF(TRIM($G1986)="","",IF(COUNTIF(LISTS!$I$2:$I$16,TRIM($G1986))&gt;0,"COUNTED",IF(COUNTIF(LISTS!$J$2:$J$16,TRIM($G1986))&gt;0,"LEFT OUT","NEW")))</f>
        <v/>
      </c>
    </row>
    <row r="1987" spans="47:47" x14ac:dyDescent="0.25">
      <c r="AU1987" s="8" t="str">
        <f>IF(TRIM($G1987)="","",IF(COUNTIF(LISTS!$I$2:$I$16,TRIM($G1987))&gt;0,"COUNTED",IF(COUNTIF(LISTS!$J$2:$J$16,TRIM($G1987))&gt;0,"LEFT OUT","NEW")))</f>
        <v/>
      </c>
    </row>
    <row r="1988" spans="47:47" x14ac:dyDescent="0.25">
      <c r="AU1988" s="8" t="str">
        <f>IF(TRIM($G1988)="","",IF(COUNTIF(LISTS!$I$2:$I$16,TRIM($G1988))&gt;0,"COUNTED",IF(COUNTIF(LISTS!$J$2:$J$16,TRIM($G1988))&gt;0,"LEFT OUT","NEW")))</f>
        <v/>
      </c>
    </row>
    <row r="1989" spans="47:47" x14ac:dyDescent="0.25">
      <c r="AU1989" s="8" t="str">
        <f>IF(TRIM($G1989)="","",IF(COUNTIF(LISTS!$I$2:$I$16,TRIM($G1989))&gt;0,"COUNTED",IF(COUNTIF(LISTS!$J$2:$J$16,TRIM($G1989))&gt;0,"LEFT OUT","NEW")))</f>
        <v/>
      </c>
    </row>
    <row r="1990" spans="47:47" x14ac:dyDescent="0.25">
      <c r="AU1990" s="8" t="str">
        <f>IF(TRIM($G1990)="","",IF(COUNTIF(LISTS!$I$2:$I$16,TRIM($G1990))&gt;0,"COUNTED",IF(COUNTIF(LISTS!$J$2:$J$16,TRIM($G1990))&gt;0,"LEFT OUT","NEW")))</f>
        <v/>
      </c>
    </row>
    <row r="1991" spans="47:47" x14ac:dyDescent="0.25">
      <c r="AU1991" s="8" t="str">
        <f>IF(TRIM($G1991)="","",IF(COUNTIF(LISTS!$I$2:$I$16,TRIM($G1991))&gt;0,"COUNTED",IF(COUNTIF(LISTS!$J$2:$J$16,TRIM($G1991))&gt;0,"LEFT OUT","NEW")))</f>
        <v/>
      </c>
    </row>
    <row r="1992" spans="47:47" x14ac:dyDescent="0.25">
      <c r="AU1992" s="8" t="str">
        <f>IF(TRIM($G1992)="","",IF(COUNTIF(LISTS!$I$2:$I$16,TRIM($G1992))&gt;0,"COUNTED",IF(COUNTIF(LISTS!$J$2:$J$16,TRIM($G1992))&gt;0,"LEFT OUT","NEW")))</f>
        <v/>
      </c>
    </row>
    <row r="1993" spans="47:47" x14ac:dyDescent="0.25">
      <c r="AU1993" s="8" t="str">
        <f>IF(TRIM($G1993)="","",IF(COUNTIF(LISTS!$I$2:$I$16,TRIM($G1993))&gt;0,"COUNTED",IF(COUNTIF(LISTS!$J$2:$J$16,TRIM($G1993))&gt;0,"LEFT OUT","NEW")))</f>
        <v/>
      </c>
    </row>
    <row r="1994" spans="47:47" x14ac:dyDescent="0.25">
      <c r="AU1994" s="8" t="str">
        <f>IF(TRIM($G1994)="","",IF(COUNTIF(LISTS!$I$2:$I$16,TRIM($G1994))&gt;0,"COUNTED",IF(COUNTIF(LISTS!$J$2:$J$16,TRIM($G1994))&gt;0,"LEFT OUT","NEW")))</f>
        <v/>
      </c>
    </row>
    <row r="1995" spans="47:47" x14ac:dyDescent="0.25">
      <c r="AU1995" s="8" t="str">
        <f>IF(TRIM($G1995)="","",IF(COUNTIF(LISTS!$I$2:$I$16,TRIM($G1995))&gt;0,"COUNTED",IF(COUNTIF(LISTS!$J$2:$J$16,TRIM($G1995))&gt;0,"LEFT OUT","NEW")))</f>
        <v/>
      </c>
    </row>
    <row r="1996" spans="47:47" x14ac:dyDescent="0.25">
      <c r="AU1996" s="8" t="str">
        <f>IF(TRIM($G1996)="","",IF(COUNTIF(LISTS!$I$2:$I$16,TRIM($G1996))&gt;0,"COUNTED",IF(COUNTIF(LISTS!$J$2:$J$16,TRIM($G1996))&gt;0,"LEFT OUT","NEW")))</f>
        <v/>
      </c>
    </row>
    <row r="1997" spans="47:47" x14ac:dyDescent="0.25">
      <c r="AU1997" s="8" t="str">
        <f>IF(TRIM($G1997)="","",IF(COUNTIF(LISTS!$I$2:$I$16,TRIM($G1997))&gt;0,"COUNTED",IF(COUNTIF(LISTS!$J$2:$J$16,TRIM($G1997))&gt;0,"LEFT OUT","NEW")))</f>
        <v/>
      </c>
    </row>
    <row r="1998" spans="47:47" x14ac:dyDescent="0.25">
      <c r="AU1998" s="8" t="str">
        <f>IF(TRIM($G1998)="","",IF(COUNTIF(LISTS!$I$2:$I$16,TRIM($G1998))&gt;0,"COUNTED",IF(COUNTIF(LISTS!$J$2:$J$16,TRIM($G1998))&gt;0,"LEFT OUT","NEW")))</f>
        <v/>
      </c>
    </row>
    <row r="1999" spans="47:47" x14ac:dyDescent="0.25">
      <c r="AU1999" s="8" t="str">
        <f>IF(TRIM($G1999)="","",IF(COUNTIF(LISTS!$I$2:$I$16,TRIM($G1999))&gt;0,"COUNTED",IF(COUNTIF(LISTS!$J$2:$J$16,TRIM($G1999))&gt;0,"LEFT OUT","NEW")))</f>
        <v/>
      </c>
    </row>
    <row r="2000" spans="47:47" x14ac:dyDescent="0.25">
      <c r="AU2000" s="8" t="str">
        <f>IF(TRIM($G2000)="","",IF(COUNTIF(LISTS!$I$2:$I$16,TRIM($G2000))&gt;0,"COUNTED",IF(COUNTIF(LISTS!$J$2:$J$16,TRIM($G2000))&gt;0,"LEFT OUT","NEW")))</f>
        <v/>
      </c>
    </row>
    <row r="2001" spans="47:47" x14ac:dyDescent="0.25">
      <c r="AU2001" s="8" t="str">
        <f>IF(TRIM($G2001)="","",IF(COUNTIF(LISTS!$I$2:$I$16,TRIM($G2001))&gt;0,"COUNTED",IF(COUNTIF(LISTS!$J$2:$J$16,TRIM($G2001))&gt;0,"LEFT OUT","NEW")))</f>
        <v/>
      </c>
    </row>
    <row r="2002" spans="47:47" x14ac:dyDescent="0.25">
      <c r="AU2002" s="8" t="str">
        <f>IF(TRIM($G2002)="","",IF(COUNTIF(LISTS!$I$2:$I$16,TRIM($G2002))&gt;0,"COUNTED",IF(COUNTIF(LISTS!$J$2:$J$16,TRIM($G2002))&gt;0,"LEFT OUT","NEW")))</f>
        <v/>
      </c>
    </row>
    <row r="2003" spans="47:47" x14ac:dyDescent="0.25">
      <c r="AU2003" s="8" t="str">
        <f>IF(TRIM($G2003)="","",IF(COUNTIF(LISTS!$I$2:$I$16,TRIM($G2003))&gt;0,"COUNTED",IF(COUNTIF(LISTS!$J$2:$J$16,TRIM($G2003))&gt;0,"LEFT OUT","NEW")))</f>
        <v/>
      </c>
    </row>
    <row r="2004" spans="47:47" x14ac:dyDescent="0.25">
      <c r="AU2004" s="8" t="str">
        <f>IF(TRIM($G2004)="","",IF(COUNTIF(LISTS!$I$2:$I$16,TRIM($G2004))&gt;0,"COUNTED",IF(COUNTIF(LISTS!$J$2:$J$16,TRIM($G2004))&gt;0,"LEFT OUT","NEW")))</f>
        <v/>
      </c>
    </row>
    <row r="2005" spans="47:47" x14ac:dyDescent="0.25">
      <c r="AU2005" s="8" t="str">
        <f>IF(TRIM($G2005)="","",IF(COUNTIF(LISTS!$I$2:$I$16,TRIM($G2005))&gt;0,"COUNTED",IF(COUNTIF(LISTS!$J$2:$J$16,TRIM($G2005))&gt;0,"LEFT OUT","NEW")))</f>
        <v/>
      </c>
    </row>
    <row r="2006" spans="47:47" x14ac:dyDescent="0.25">
      <c r="AU2006" s="8" t="str">
        <f>IF(TRIM($G2006)="","",IF(COUNTIF(LISTS!$I$2:$I$16,TRIM($G2006))&gt;0,"COUNTED",IF(COUNTIF(LISTS!$J$2:$J$16,TRIM($G2006))&gt;0,"LEFT OUT","NEW")))</f>
        <v/>
      </c>
    </row>
    <row r="2007" spans="47:47" x14ac:dyDescent="0.25">
      <c r="AU2007" s="8" t="str">
        <f>IF(TRIM($G2007)="","",IF(COUNTIF(LISTS!$I$2:$I$16,TRIM($G2007))&gt;0,"COUNTED",IF(COUNTIF(LISTS!$J$2:$J$16,TRIM($G2007))&gt;0,"LEFT OUT","NEW")))</f>
        <v/>
      </c>
    </row>
    <row r="2008" spans="47:47" x14ac:dyDescent="0.25">
      <c r="AU2008" s="8" t="str">
        <f>IF(TRIM($G2008)="","",IF(COUNTIF(LISTS!$I$2:$I$16,TRIM($G2008))&gt;0,"COUNTED",IF(COUNTIF(LISTS!$J$2:$J$16,TRIM($G2008))&gt;0,"LEFT OUT","NEW")))</f>
        <v/>
      </c>
    </row>
    <row r="2009" spans="47:47" x14ac:dyDescent="0.25">
      <c r="AU2009" s="8" t="str">
        <f>IF(TRIM($G2009)="","",IF(COUNTIF(LISTS!$I$2:$I$16,TRIM($G2009))&gt;0,"COUNTED",IF(COUNTIF(LISTS!$J$2:$J$16,TRIM($G2009))&gt;0,"LEFT OUT","NEW")))</f>
        <v/>
      </c>
    </row>
    <row r="2010" spans="47:47" x14ac:dyDescent="0.25">
      <c r="AU2010" s="8" t="str">
        <f>IF(TRIM($G2010)="","",IF(COUNTIF(LISTS!$I$2:$I$16,TRIM($G2010))&gt;0,"COUNTED",IF(COUNTIF(LISTS!$J$2:$J$16,TRIM($G2010))&gt;0,"LEFT OUT","NEW")))</f>
        <v/>
      </c>
    </row>
    <row r="2011" spans="47:47" x14ac:dyDescent="0.25">
      <c r="AU2011" s="8" t="str">
        <f>IF(TRIM($G2011)="","",IF(COUNTIF(LISTS!$I$2:$I$16,TRIM($G2011))&gt;0,"COUNTED",IF(COUNTIF(LISTS!$J$2:$J$16,TRIM($G2011))&gt;0,"LEFT OUT","NEW")))</f>
        <v/>
      </c>
    </row>
    <row r="2012" spans="47:47" x14ac:dyDescent="0.25">
      <c r="AU2012" s="8" t="str">
        <f>IF(TRIM($G2012)="","",IF(COUNTIF(LISTS!$I$2:$I$16,TRIM($G2012))&gt;0,"COUNTED",IF(COUNTIF(LISTS!$J$2:$J$16,TRIM($G2012))&gt;0,"LEFT OUT","NEW")))</f>
        <v/>
      </c>
    </row>
    <row r="2013" spans="47:47" x14ac:dyDescent="0.25">
      <c r="AU2013" s="8" t="str">
        <f>IF(TRIM($G2013)="","",IF(COUNTIF(LISTS!$I$2:$I$16,TRIM($G2013))&gt;0,"COUNTED",IF(COUNTIF(LISTS!$J$2:$J$16,TRIM($G2013))&gt;0,"LEFT OUT","NEW")))</f>
        <v/>
      </c>
    </row>
    <row r="2014" spans="47:47" x14ac:dyDescent="0.25">
      <c r="AU2014" s="8" t="str">
        <f>IF(TRIM($G2014)="","",IF(COUNTIF(LISTS!$I$2:$I$16,TRIM($G2014))&gt;0,"COUNTED",IF(COUNTIF(LISTS!$J$2:$J$16,TRIM($G2014))&gt;0,"LEFT OUT","NEW")))</f>
        <v/>
      </c>
    </row>
    <row r="2015" spans="47:47" x14ac:dyDescent="0.25">
      <c r="AU2015" s="8" t="str">
        <f>IF(TRIM($G2015)="","",IF(COUNTIF(LISTS!$I$2:$I$16,TRIM($G2015))&gt;0,"COUNTED",IF(COUNTIF(LISTS!$J$2:$J$16,TRIM($G2015))&gt;0,"LEFT OUT","NEW")))</f>
        <v/>
      </c>
    </row>
    <row r="2016" spans="47:47" x14ac:dyDescent="0.25">
      <c r="AU2016" s="8" t="str">
        <f>IF(TRIM($G2016)="","",IF(COUNTIF(LISTS!$I$2:$I$16,TRIM($G2016))&gt;0,"COUNTED",IF(COUNTIF(LISTS!$J$2:$J$16,TRIM($G2016))&gt;0,"LEFT OUT","NEW")))</f>
        <v/>
      </c>
    </row>
    <row r="2017" spans="47:47" x14ac:dyDescent="0.25">
      <c r="AU2017" s="8" t="str">
        <f>IF(TRIM($G2017)="","",IF(COUNTIF(LISTS!$I$2:$I$16,TRIM($G2017))&gt;0,"COUNTED",IF(COUNTIF(LISTS!$J$2:$J$16,TRIM($G2017))&gt;0,"LEFT OUT","NEW")))</f>
        <v/>
      </c>
    </row>
    <row r="2018" spans="47:47" x14ac:dyDescent="0.25">
      <c r="AU2018" s="8" t="str">
        <f>IF(TRIM($G2018)="","",IF(COUNTIF(LISTS!$I$2:$I$16,TRIM($G2018))&gt;0,"COUNTED",IF(COUNTIF(LISTS!$J$2:$J$16,TRIM($G2018))&gt;0,"LEFT OUT","NEW")))</f>
        <v/>
      </c>
    </row>
    <row r="2019" spans="47:47" x14ac:dyDescent="0.25">
      <c r="AU2019" s="8" t="str">
        <f>IF(TRIM($G2019)="","",IF(COUNTIF(LISTS!$I$2:$I$16,TRIM($G2019))&gt;0,"COUNTED",IF(COUNTIF(LISTS!$J$2:$J$16,TRIM($G2019))&gt;0,"LEFT OUT","NEW")))</f>
        <v/>
      </c>
    </row>
    <row r="2020" spans="47:47" x14ac:dyDescent="0.25">
      <c r="AU2020" s="8" t="str">
        <f>IF(TRIM($G2020)="","",IF(COUNTIF(LISTS!$I$2:$I$16,TRIM($G2020))&gt;0,"COUNTED",IF(COUNTIF(LISTS!$J$2:$J$16,TRIM($G2020))&gt;0,"LEFT OUT","NEW")))</f>
        <v/>
      </c>
    </row>
    <row r="2021" spans="47:47" x14ac:dyDescent="0.25">
      <c r="AU2021" s="8" t="str">
        <f>IF(TRIM($G2021)="","",IF(COUNTIF(LISTS!$I$2:$I$16,TRIM($G2021))&gt;0,"COUNTED",IF(COUNTIF(LISTS!$J$2:$J$16,TRIM($G2021))&gt;0,"LEFT OUT","NEW")))</f>
        <v/>
      </c>
    </row>
    <row r="2022" spans="47:47" x14ac:dyDescent="0.25">
      <c r="AU2022" s="8" t="str">
        <f>IF(TRIM($G2022)="","",IF(COUNTIF(LISTS!$I$2:$I$16,TRIM($G2022))&gt;0,"COUNTED",IF(COUNTIF(LISTS!$J$2:$J$16,TRIM($G2022))&gt;0,"LEFT OUT","NEW")))</f>
        <v/>
      </c>
    </row>
    <row r="2023" spans="47:47" x14ac:dyDescent="0.25">
      <c r="AU2023" s="8" t="str">
        <f>IF(TRIM($G2023)="","",IF(COUNTIF(LISTS!$I$2:$I$16,TRIM($G2023))&gt;0,"COUNTED",IF(COUNTIF(LISTS!$J$2:$J$16,TRIM($G2023))&gt;0,"LEFT OUT","NEW")))</f>
        <v/>
      </c>
    </row>
    <row r="2024" spans="47:47" x14ac:dyDescent="0.25">
      <c r="AU2024" s="8" t="str">
        <f>IF(TRIM($G2024)="","",IF(COUNTIF(LISTS!$I$2:$I$16,TRIM($G2024))&gt;0,"COUNTED",IF(COUNTIF(LISTS!$J$2:$J$16,TRIM($G2024))&gt;0,"LEFT OUT","NEW")))</f>
        <v/>
      </c>
    </row>
    <row r="2025" spans="47:47" x14ac:dyDescent="0.25">
      <c r="AU2025" s="8" t="str">
        <f>IF(TRIM($G2025)="","",IF(COUNTIF(LISTS!$I$2:$I$16,TRIM($G2025))&gt;0,"COUNTED",IF(COUNTIF(LISTS!$J$2:$J$16,TRIM($G2025))&gt;0,"LEFT OUT","NEW")))</f>
        <v/>
      </c>
    </row>
    <row r="2026" spans="47:47" x14ac:dyDescent="0.25">
      <c r="AU2026" s="8" t="str">
        <f>IF(TRIM($G2026)="","",IF(COUNTIF(LISTS!$I$2:$I$16,TRIM($G2026))&gt;0,"COUNTED",IF(COUNTIF(LISTS!$J$2:$J$16,TRIM($G2026))&gt;0,"LEFT OUT","NEW")))</f>
        <v/>
      </c>
    </row>
    <row r="2027" spans="47:47" x14ac:dyDescent="0.25">
      <c r="AU2027" s="8" t="str">
        <f>IF(TRIM($G2027)="","",IF(COUNTIF(LISTS!$I$2:$I$16,TRIM($G2027))&gt;0,"COUNTED",IF(COUNTIF(LISTS!$J$2:$J$16,TRIM($G2027))&gt;0,"LEFT OUT","NEW")))</f>
        <v/>
      </c>
    </row>
    <row r="2028" spans="47:47" x14ac:dyDescent="0.25">
      <c r="AU2028" s="8" t="str">
        <f>IF(TRIM($G2028)="","",IF(COUNTIF(LISTS!$I$2:$I$16,TRIM($G2028))&gt;0,"COUNTED",IF(COUNTIF(LISTS!$J$2:$J$16,TRIM($G2028))&gt;0,"LEFT OUT","NEW")))</f>
        <v/>
      </c>
    </row>
    <row r="2029" spans="47:47" x14ac:dyDescent="0.25">
      <c r="AU2029" s="8" t="str">
        <f>IF(TRIM($G2029)="","",IF(COUNTIF(LISTS!$I$2:$I$16,TRIM($G2029))&gt;0,"COUNTED",IF(COUNTIF(LISTS!$J$2:$J$16,TRIM($G2029))&gt;0,"LEFT OUT","NEW")))</f>
        <v/>
      </c>
    </row>
    <row r="2030" spans="47:47" x14ac:dyDescent="0.25">
      <c r="AU2030" s="8" t="str">
        <f>IF(TRIM($G2030)="","",IF(COUNTIF(LISTS!$I$2:$I$16,TRIM($G2030))&gt;0,"COUNTED",IF(COUNTIF(LISTS!$J$2:$J$16,TRIM($G2030))&gt;0,"LEFT OUT","NEW")))</f>
        <v/>
      </c>
    </row>
    <row r="2031" spans="47:47" x14ac:dyDescent="0.25">
      <c r="AU2031" s="8" t="str">
        <f>IF(TRIM($G2031)="","",IF(COUNTIF(LISTS!$I$2:$I$16,TRIM($G2031))&gt;0,"COUNTED",IF(COUNTIF(LISTS!$J$2:$J$16,TRIM($G2031))&gt;0,"LEFT OUT","NEW")))</f>
        <v/>
      </c>
    </row>
    <row r="2032" spans="47:47" x14ac:dyDescent="0.25">
      <c r="AU2032" s="8" t="str">
        <f>IF(TRIM($G2032)="","",IF(COUNTIF(LISTS!$I$2:$I$16,TRIM($G2032))&gt;0,"COUNTED",IF(COUNTIF(LISTS!$J$2:$J$16,TRIM($G2032))&gt;0,"LEFT OUT","NEW")))</f>
        <v/>
      </c>
    </row>
    <row r="2033" spans="47:47" x14ac:dyDescent="0.25">
      <c r="AU2033" s="8" t="str">
        <f>IF(TRIM($G2033)="","",IF(COUNTIF(LISTS!$I$2:$I$16,TRIM($G2033))&gt;0,"COUNTED",IF(COUNTIF(LISTS!$J$2:$J$16,TRIM($G2033))&gt;0,"LEFT OUT","NEW")))</f>
        <v/>
      </c>
    </row>
    <row r="2034" spans="47:47" x14ac:dyDescent="0.25">
      <c r="AU2034" s="8" t="str">
        <f>IF(TRIM($G2034)="","",IF(COUNTIF(LISTS!$I$2:$I$16,TRIM($G2034))&gt;0,"COUNTED",IF(COUNTIF(LISTS!$J$2:$J$16,TRIM($G2034))&gt;0,"LEFT OUT","NEW")))</f>
        <v/>
      </c>
    </row>
    <row r="2035" spans="47:47" x14ac:dyDescent="0.25">
      <c r="AU2035" s="8" t="str">
        <f>IF(TRIM($G2035)="","",IF(COUNTIF(LISTS!$I$2:$I$16,TRIM($G2035))&gt;0,"COUNTED",IF(COUNTIF(LISTS!$J$2:$J$16,TRIM($G2035))&gt;0,"LEFT OUT","NEW")))</f>
        <v/>
      </c>
    </row>
    <row r="2036" spans="47:47" x14ac:dyDescent="0.25">
      <c r="AU2036" s="8" t="str">
        <f>IF(TRIM($G2036)="","",IF(COUNTIF(LISTS!$I$2:$I$16,TRIM($G2036))&gt;0,"COUNTED",IF(COUNTIF(LISTS!$J$2:$J$16,TRIM($G2036))&gt;0,"LEFT OUT","NEW")))</f>
        <v/>
      </c>
    </row>
    <row r="2037" spans="47:47" x14ac:dyDescent="0.25">
      <c r="AU2037" s="8" t="str">
        <f>IF(TRIM($G2037)="","",IF(COUNTIF(LISTS!$I$2:$I$16,TRIM($G2037))&gt;0,"COUNTED",IF(COUNTIF(LISTS!$J$2:$J$16,TRIM($G2037))&gt;0,"LEFT OUT","NEW")))</f>
        <v/>
      </c>
    </row>
    <row r="2038" spans="47:47" x14ac:dyDescent="0.25">
      <c r="AU2038" s="8" t="str">
        <f>IF(TRIM($G2038)="","",IF(COUNTIF(LISTS!$I$2:$I$16,TRIM($G2038))&gt;0,"COUNTED",IF(COUNTIF(LISTS!$J$2:$J$16,TRIM($G2038))&gt;0,"LEFT OUT","NEW")))</f>
        <v/>
      </c>
    </row>
    <row r="2039" spans="47:47" x14ac:dyDescent="0.25">
      <c r="AU2039" s="8" t="str">
        <f>IF(TRIM($G2039)="","",IF(COUNTIF(LISTS!$I$2:$I$16,TRIM($G2039))&gt;0,"COUNTED",IF(COUNTIF(LISTS!$J$2:$J$16,TRIM($G2039))&gt;0,"LEFT OUT","NEW")))</f>
        <v/>
      </c>
    </row>
    <row r="2040" spans="47:47" x14ac:dyDescent="0.25">
      <c r="AU2040" s="8" t="str">
        <f>IF(TRIM($G2040)="","",IF(COUNTIF(LISTS!$I$2:$I$16,TRIM($G2040))&gt;0,"COUNTED",IF(COUNTIF(LISTS!$J$2:$J$16,TRIM($G2040))&gt;0,"LEFT OUT","NEW")))</f>
        <v/>
      </c>
    </row>
    <row r="2041" spans="47:47" x14ac:dyDescent="0.25">
      <c r="AU2041" s="8" t="str">
        <f>IF(TRIM($G2041)="","",IF(COUNTIF(LISTS!$I$2:$I$16,TRIM($G2041))&gt;0,"COUNTED",IF(COUNTIF(LISTS!$J$2:$J$16,TRIM($G2041))&gt;0,"LEFT OUT","NEW")))</f>
        <v/>
      </c>
    </row>
    <row r="2042" spans="47:47" x14ac:dyDescent="0.25">
      <c r="AU2042" s="8" t="str">
        <f>IF(TRIM($G2042)="","",IF(COUNTIF(LISTS!$I$2:$I$16,TRIM($G2042))&gt;0,"COUNTED",IF(COUNTIF(LISTS!$J$2:$J$16,TRIM($G2042))&gt;0,"LEFT OUT","NEW")))</f>
        <v/>
      </c>
    </row>
    <row r="2043" spans="47:47" x14ac:dyDescent="0.25">
      <c r="AU2043" s="8" t="str">
        <f>IF(TRIM($G2043)="","",IF(COUNTIF(LISTS!$I$2:$I$16,TRIM($G2043))&gt;0,"COUNTED",IF(COUNTIF(LISTS!$J$2:$J$16,TRIM($G2043))&gt;0,"LEFT OUT","NEW")))</f>
        <v/>
      </c>
    </row>
    <row r="2044" spans="47:47" x14ac:dyDescent="0.25">
      <c r="AU2044" s="8" t="str">
        <f>IF(TRIM($G2044)="","",IF(COUNTIF(LISTS!$I$2:$I$16,TRIM($G2044))&gt;0,"COUNTED",IF(COUNTIF(LISTS!$J$2:$J$16,TRIM($G2044))&gt;0,"LEFT OUT","NEW")))</f>
        <v/>
      </c>
    </row>
    <row r="2045" spans="47:47" x14ac:dyDescent="0.25">
      <c r="AU2045" s="8" t="str">
        <f>IF(TRIM($G2045)="","",IF(COUNTIF(LISTS!$I$2:$I$16,TRIM($G2045))&gt;0,"COUNTED",IF(COUNTIF(LISTS!$J$2:$J$16,TRIM($G2045))&gt;0,"LEFT OUT","NEW")))</f>
        <v/>
      </c>
    </row>
    <row r="2046" spans="47:47" x14ac:dyDescent="0.25">
      <c r="AU2046" s="8" t="str">
        <f>IF(TRIM($G2046)="","",IF(COUNTIF(LISTS!$I$2:$I$16,TRIM($G2046))&gt;0,"COUNTED",IF(COUNTIF(LISTS!$J$2:$J$16,TRIM($G2046))&gt;0,"LEFT OUT","NEW")))</f>
        <v/>
      </c>
    </row>
    <row r="2047" spans="47:47" x14ac:dyDescent="0.25">
      <c r="AU2047" s="8" t="str">
        <f>IF(TRIM($G2047)="","",IF(COUNTIF(LISTS!$I$2:$I$16,TRIM($G2047))&gt;0,"COUNTED",IF(COUNTIF(LISTS!$J$2:$J$16,TRIM($G2047))&gt;0,"LEFT OUT","NEW")))</f>
        <v/>
      </c>
    </row>
    <row r="2048" spans="47:47" x14ac:dyDescent="0.25">
      <c r="AU2048" s="8" t="str">
        <f>IF(TRIM($G2048)="","",IF(COUNTIF(LISTS!$I$2:$I$16,TRIM($G2048))&gt;0,"COUNTED",IF(COUNTIF(LISTS!$J$2:$J$16,TRIM($G2048))&gt;0,"LEFT OUT","NEW")))</f>
        <v/>
      </c>
    </row>
    <row r="2049" spans="47:47" x14ac:dyDescent="0.25">
      <c r="AU2049" s="8" t="str">
        <f>IF(TRIM($G2049)="","",IF(COUNTIF(LISTS!$I$2:$I$16,TRIM($G2049))&gt;0,"COUNTED",IF(COUNTIF(LISTS!$J$2:$J$16,TRIM($G2049))&gt;0,"LEFT OUT","NEW")))</f>
        <v/>
      </c>
    </row>
    <row r="2050" spans="47:47" x14ac:dyDescent="0.25">
      <c r="AU2050" s="8" t="str">
        <f>IF(TRIM($G2050)="","",IF(COUNTIF(LISTS!$I$2:$I$16,TRIM($G2050))&gt;0,"COUNTED",IF(COUNTIF(LISTS!$J$2:$J$16,TRIM($G2050))&gt;0,"LEFT OUT","NEW")))</f>
        <v/>
      </c>
    </row>
    <row r="2051" spans="47:47" x14ac:dyDescent="0.25">
      <c r="AU2051" s="8" t="str">
        <f>IF(TRIM($G2051)="","",IF(COUNTIF(LISTS!$I$2:$I$16,TRIM($G2051))&gt;0,"COUNTED",IF(COUNTIF(LISTS!$J$2:$J$16,TRIM($G2051))&gt;0,"LEFT OUT","NEW")))</f>
        <v/>
      </c>
    </row>
    <row r="2052" spans="47:47" x14ac:dyDescent="0.25">
      <c r="AU2052" s="8" t="str">
        <f>IF(TRIM($G2052)="","",IF(COUNTIF(LISTS!$I$2:$I$16,TRIM($G2052))&gt;0,"COUNTED",IF(COUNTIF(LISTS!$J$2:$J$16,TRIM($G2052))&gt;0,"LEFT OUT","NEW")))</f>
        <v/>
      </c>
    </row>
    <row r="2053" spans="47:47" x14ac:dyDescent="0.25">
      <c r="AU2053" s="8" t="str">
        <f>IF(TRIM($G2053)="","",IF(COUNTIF(LISTS!$I$2:$I$16,TRIM($G2053))&gt;0,"COUNTED",IF(COUNTIF(LISTS!$J$2:$J$16,TRIM($G2053))&gt;0,"LEFT OUT","NEW")))</f>
        <v/>
      </c>
    </row>
    <row r="2054" spans="47:47" x14ac:dyDescent="0.25">
      <c r="AU2054" s="8" t="str">
        <f>IF(TRIM($G2054)="","",IF(COUNTIF(LISTS!$I$2:$I$16,TRIM($G2054))&gt;0,"COUNTED",IF(COUNTIF(LISTS!$J$2:$J$16,TRIM($G2054))&gt;0,"LEFT OUT","NEW")))</f>
        <v/>
      </c>
    </row>
    <row r="2055" spans="47:47" x14ac:dyDescent="0.25">
      <c r="AU2055" s="8" t="str">
        <f>IF(TRIM($G2055)="","",IF(COUNTIF(LISTS!$I$2:$I$16,TRIM($G2055))&gt;0,"COUNTED",IF(COUNTIF(LISTS!$J$2:$J$16,TRIM($G2055))&gt;0,"LEFT OUT","NEW")))</f>
        <v/>
      </c>
    </row>
    <row r="2056" spans="47:47" x14ac:dyDescent="0.25">
      <c r="AU2056" s="8" t="str">
        <f>IF(TRIM($G2056)="","",IF(COUNTIF(LISTS!$I$2:$I$16,TRIM($G2056))&gt;0,"COUNTED",IF(COUNTIF(LISTS!$J$2:$J$16,TRIM($G2056))&gt;0,"LEFT OUT","NEW")))</f>
        <v/>
      </c>
    </row>
    <row r="2057" spans="47:47" x14ac:dyDescent="0.25">
      <c r="AU2057" s="8" t="str">
        <f>IF(TRIM($G2057)="","",IF(COUNTIF(LISTS!$I$2:$I$16,TRIM($G2057))&gt;0,"COUNTED",IF(COUNTIF(LISTS!$J$2:$J$16,TRIM($G2057))&gt;0,"LEFT OUT","NEW")))</f>
        <v/>
      </c>
    </row>
    <row r="2058" spans="47:47" x14ac:dyDescent="0.25">
      <c r="AU2058" s="8" t="str">
        <f>IF(TRIM($G2058)="","",IF(COUNTIF(LISTS!$I$2:$I$16,TRIM($G2058))&gt;0,"COUNTED",IF(COUNTIF(LISTS!$J$2:$J$16,TRIM($G2058))&gt;0,"LEFT OUT","NEW")))</f>
        <v/>
      </c>
    </row>
    <row r="2059" spans="47:47" x14ac:dyDescent="0.25">
      <c r="AU2059" s="8" t="str">
        <f>IF(TRIM($G2059)="","",IF(COUNTIF(LISTS!$I$2:$I$16,TRIM($G2059))&gt;0,"COUNTED",IF(COUNTIF(LISTS!$J$2:$J$16,TRIM($G2059))&gt;0,"LEFT OUT","NEW")))</f>
        <v/>
      </c>
    </row>
    <row r="2060" spans="47:47" x14ac:dyDescent="0.25">
      <c r="AU2060" s="8" t="str">
        <f>IF(TRIM($G2060)="","",IF(COUNTIF(LISTS!$I$2:$I$16,TRIM($G2060))&gt;0,"COUNTED",IF(COUNTIF(LISTS!$J$2:$J$16,TRIM($G2060))&gt;0,"LEFT OUT","NEW")))</f>
        <v/>
      </c>
    </row>
    <row r="2061" spans="47:47" x14ac:dyDescent="0.25">
      <c r="AU2061" s="8" t="str">
        <f>IF(TRIM($G2061)="","",IF(COUNTIF(LISTS!$I$2:$I$16,TRIM($G2061))&gt;0,"COUNTED",IF(COUNTIF(LISTS!$J$2:$J$16,TRIM($G2061))&gt;0,"LEFT OUT","NEW")))</f>
        <v/>
      </c>
    </row>
    <row r="2062" spans="47:47" x14ac:dyDescent="0.25">
      <c r="AU2062" s="8" t="str">
        <f>IF(TRIM($G2062)="","",IF(COUNTIF(LISTS!$I$2:$I$16,TRIM($G2062))&gt;0,"COUNTED",IF(COUNTIF(LISTS!$J$2:$J$16,TRIM($G2062))&gt;0,"LEFT OUT","NEW")))</f>
        <v/>
      </c>
    </row>
    <row r="2063" spans="47:47" x14ac:dyDescent="0.25">
      <c r="AU2063" s="8" t="str">
        <f>IF(TRIM($G2063)="","",IF(COUNTIF(LISTS!$I$2:$I$16,TRIM($G2063))&gt;0,"COUNTED",IF(COUNTIF(LISTS!$J$2:$J$16,TRIM($G2063))&gt;0,"LEFT OUT","NEW")))</f>
        <v/>
      </c>
    </row>
    <row r="2064" spans="47:47" x14ac:dyDescent="0.25">
      <c r="AU2064" s="8" t="str">
        <f>IF(TRIM($G2064)="","",IF(COUNTIF(LISTS!$I$2:$I$16,TRIM($G2064))&gt;0,"COUNTED",IF(COUNTIF(LISTS!$J$2:$J$16,TRIM($G2064))&gt;0,"LEFT OUT","NEW")))</f>
        <v/>
      </c>
    </row>
    <row r="2065" spans="47:47" x14ac:dyDescent="0.25">
      <c r="AU2065" s="8" t="str">
        <f>IF(TRIM($G2065)="","",IF(COUNTIF(LISTS!$I$2:$I$16,TRIM($G2065))&gt;0,"COUNTED",IF(COUNTIF(LISTS!$J$2:$J$16,TRIM($G2065))&gt;0,"LEFT OUT","NEW")))</f>
        <v/>
      </c>
    </row>
    <row r="2066" spans="47:47" x14ac:dyDescent="0.25">
      <c r="AU2066" s="8" t="str">
        <f>IF(TRIM($G2066)="","",IF(COUNTIF(LISTS!$I$2:$I$16,TRIM($G2066))&gt;0,"COUNTED",IF(COUNTIF(LISTS!$J$2:$J$16,TRIM($G2066))&gt;0,"LEFT OUT","NEW")))</f>
        <v/>
      </c>
    </row>
    <row r="2067" spans="47:47" x14ac:dyDescent="0.25">
      <c r="AU2067" s="8" t="str">
        <f>IF(TRIM($G2067)="","",IF(COUNTIF(LISTS!$I$2:$I$16,TRIM($G2067))&gt;0,"COUNTED",IF(COUNTIF(LISTS!$J$2:$J$16,TRIM($G2067))&gt;0,"LEFT OUT","NEW")))</f>
        <v/>
      </c>
    </row>
    <row r="2068" spans="47:47" x14ac:dyDescent="0.25">
      <c r="AU2068" s="8" t="str">
        <f>IF(TRIM($G2068)="","",IF(COUNTIF(LISTS!$I$2:$I$16,TRIM($G2068))&gt;0,"COUNTED",IF(COUNTIF(LISTS!$J$2:$J$16,TRIM($G2068))&gt;0,"LEFT OUT","NEW")))</f>
        <v/>
      </c>
    </row>
    <row r="2069" spans="47:47" x14ac:dyDescent="0.25">
      <c r="AU2069" s="8" t="str">
        <f>IF(TRIM($G2069)="","",IF(COUNTIF(LISTS!$I$2:$I$16,TRIM($G2069))&gt;0,"COUNTED",IF(COUNTIF(LISTS!$J$2:$J$16,TRIM($G2069))&gt;0,"LEFT OUT","NEW")))</f>
        <v/>
      </c>
    </row>
    <row r="2070" spans="47:47" x14ac:dyDescent="0.25">
      <c r="AU2070" s="8" t="str">
        <f>IF(TRIM($G2070)="","",IF(COUNTIF(LISTS!$I$2:$I$16,TRIM($G2070))&gt;0,"COUNTED",IF(COUNTIF(LISTS!$J$2:$J$16,TRIM($G2070))&gt;0,"LEFT OUT","NEW")))</f>
        <v/>
      </c>
    </row>
    <row r="2071" spans="47:47" x14ac:dyDescent="0.25">
      <c r="AU2071" s="8" t="str">
        <f>IF(TRIM($G2071)="","",IF(COUNTIF(LISTS!$I$2:$I$16,TRIM($G2071))&gt;0,"COUNTED",IF(COUNTIF(LISTS!$J$2:$J$16,TRIM($G2071))&gt;0,"LEFT OUT","NEW")))</f>
        <v/>
      </c>
    </row>
    <row r="2072" spans="47:47" x14ac:dyDescent="0.25">
      <c r="AU2072" s="8" t="str">
        <f>IF(TRIM($G2072)="","",IF(COUNTIF(LISTS!$I$2:$I$16,TRIM($G2072))&gt;0,"COUNTED",IF(COUNTIF(LISTS!$J$2:$J$16,TRIM($G2072))&gt;0,"LEFT OUT","NEW")))</f>
        <v/>
      </c>
    </row>
    <row r="2073" spans="47:47" x14ac:dyDescent="0.25">
      <c r="AU2073" s="8" t="str">
        <f>IF(TRIM($G2073)="","",IF(COUNTIF(LISTS!$I$2:$I$16,TRIM($G2073))&gt;0,"COUNTED",IF(COUNTIF(LISTS!$J$2:$J$16,TRIM($G2073))&gt;0,"LEFT OUT","NEW")))</f>
        <v/>
      </c>
    </row>
    <row r="2074" spans="47:47" x14ac:dyDescent="0.25">
      <c r="AU2074" s="8" t="str">
        <f>IF(TRIM($G2074)="","",IF(COUNTIF(LISTS!$I$2:$I$16,TRIM($G2074))&gt;0,"COUNTED",IF(COUNTIF(LISTS!$J$2:$J$16,TRIM($G2074))&gt;0,"LEFT OUT","NEW")))</f>
        <v/>
      </c>
    </row>
    <row r="2075" spans="47:47" x14ac:dyDescent="0.25">
      <c r="AU2075" s="8" t="str">
        <f>IF(TRIM($G2075)="","",IF(COUNTIF(LISTS!$I$2:$I$16,TRIM($G2075))&gt;0,"COUNTED",IF(COUNTIF(LISTS!$J$2:$J$16,TRIM($G2075))&gt;0,"LEFT OUT","NEW")))</f>
        <v/>
      </c>
    </row>
    <row r="2076" spans="47:47" x14ac:dyDescent="0.25">
      <c r="AU2076" s="8" t="str">
        <f>IF(TRIM($G2076)="","",IF(COUNTIF(LISTS!$I$2:$I$16,TRIM($G2076))&gt;0,"COUNTED",IF(COUNTIF(LISTS!$J$2:$J$16,TRIM($G2076))&gt;0,"LEFT OUT","NEW")))</f>
        <v/>
      </c>
    </row>
    <row r="2077" spans="47:47" x14ac:dyDescent="0.25">
      <c r="AU2077" s="8" t="str">
        <f>IF(TRIM($G2077)="","",IF(COUNTIF(LISTS!$I$2:$I$16,TRIM($G2077))&gt;0,"COUNTED",IF(COUNTIF(LISTS!$J$2:$J$16,TRIM($G2077))&gt;0,"LEFT OUT","NEW")))</f>
        <v/>
      </c>
    </row>
    <row r="2078" spans="47:47" x14ac:dyDescent="0.25">
      <c r="AU2078" s="8" t="str">
        <f>IF(TRIM($G2078)="","",IF(COUNTIF(LISTS!$I$2:$I$16,TRIM($G2078))&gt;0,"COUNTED",IF(COUNTIF(LISTS!$J$2:$J$16,TRIM($G2078))&gt;0,"LEFT OUT","NEW")))</f>
        <v/>
      </c>
    </row>
    <row r="2079" spans="47:47" x14ac:dyDescent="0.25">
      <c r="AU2079" s="8" t="str">
        <f>IF(TRIM($G2079)="","",IF(COUNTIF(LISTS!$I$2:$I$16,TRIM($G2079))&gt;0,"COUNTED",IF(COUNTIF(LISTS!$J$2:$J$16,TRIM($G2079))&gt;0,"LEFT OUT","NEW")))</f>
        <v/>
      </c>
    </row>
    <row r="2080" spans="47:47" x14ac:dyDescent="0.25">
      <c r="AU2080" s="8" t="str">
        <f>IF(TRIM($G2080)="","",IF(COUNTIF(LISTS!$I$2:$I$16,TRIM($G2080))&gt;0,"COUNTED",IF(COUNTIF(LISTS!$J$2:$J$16,TRIM($G2080))&gt;0,"LEFT OUT","NEW")))</f>
        <v/>
      </c>
    </row>
    <row r="2081" spans="47:47" x14ac:dyDescent="0.25">
      <c r="AU2081" s="8" t="str">
        <f>IF(TRIM($G2081)="","",IF(COUNTIF(LISTS!$I$2:$I$16,TRIM($G2081))&gt;0,"COUNTED",IF(COUNTIF(LISTS!$J$2:$J$16,TRIM($G2081))&gt;0,"LEFT OUT","NEW")))</f>
        <v/>
      </c>
    </row>
    <row r="2082" spans="47:47" x14ac:dyDescent="0.25">
      <c r="AU2082" s="8" t="str">
        <f>IF(TRIM($G2082)="","",IF(COUNTIF(LISTS!$I$2:$I$16,TRIM($G2082))&gt;0,"COUNTED",IF(COUNTIF(LISTS!$J$2:$J$16,TRIM($G2082))&gt;0,"LEFT OUT","NEW")))</f>
        <v/>
      </c>
    </row>
    <row r="2083" spans="47:47" x14ac:dyDescent="0.25">
      <c r="AU2083" s="8" t="str">
        <f>IF(TRIM($G2083)="","",IF(COUNTIF(LISTS!$I$2:$I$16,TRIM($G2083))&gt;0,"COUNTED",IF(COUNTIF(LISTS!$J$2:$J$16,TRIM($G2083))&gt;0,"LEFT OUT","NEW")))</f>
        <v/>
      </c>
    </row>
    <row r="2084" spans="47:47" x14ac:dyDescent="0.25">
      <c r="AU2084" s="8" t="str">
        <f>IF(TRIM($G2084)="","",IF(COUNTIF(LISTS!$I$2:$I$16,TRIM($G2084))&gt;0,"COUNTED",IF(COUNTIF(LISTS!$J$2:$J$16,TRIM($G2084))&gt;0,"LEFT OUT","NEW")))</f>
        <v/>
      </c>
    </row>
    <row r="2085" spans="47:47" x14ac:dyDescent="0.25">
      <c r="AU2085" s="8" t="str">
        <f>IF(TRIM($G2085)="","",IF(COUNTIF(LISTS!$I$2:$I$16,TRIM($G2085))&gt;0,"COUNTED",IF(COUNTIF(LISTS!$J$2:$J$16,TRIM($G2085))&gt;0,"LEFT OUT","NEW")))</f>
        <v/>
      </c>
    </row>
    <row r="2086" spans="47:47" x14ac:dyDescent="0.25">
      <c r="AU2086" s="8" t="str">
        <f>IF(TRIM($G2086)="","",IF(COUNTIF(LISTS!$I$2:$I$16,TRIM($G2086))&gt;0,"COUNTED",IF(COUNTIF(LISTS!$J$2:$J$16,TRIM($G2086))&gt;0,"LEFT OUT","NEW")))</f>
        <v/>
      </c>
    </row>
    <row r="2087" spans="47:47" x14ac:dyDescent="0.25">
      <c r="AU2087" s="8" t="str">
        <f>IF(TRIM($G2087)="","",IF(COUNTIF(LISTS!$I$2:$I$16,TRIM($G2087))&gt;0,"COUNTED",IF(COUNTIF(LISTS!$J$2:$J$16,TRIM($G2087))&gt;0,"LEFT OUT","NEW")))</f>
        <v/>
      </c>
    </row>
    <row r="2088" spans="47:47" x14ac:dyDescent="0.25">
      <c r="AU2088" s="8" t="str">
        <f>IF(TRIM($G2088)="","",IF(COUNTIF(LISTS!$I$2:$I$16,TRIM($G2088))&gt;0,"COUNTED",IF(COUNTIF(LISTS!$J$2:$J$16,TRIM($G2088))&gt;0,"LEFT OUT","NEW")))</f>
        <v/>
      </c>
    </row>
    <row r="2089" spans="47:47" x14ac:dyDescent="0.25">
      <c r="AU2089" s="8" t="str">
        <f>IF(TRIM($G2089)="","",IF(COUNTIF(LISTS!$I$2:$I$16,TRIM($G2089))&gt;0,"COUNTED",IF(COUNTIF(LISTS!$J$2:$J$16,TRIM($G2089))&gt;0,"LEFT OUT","NEW")))</f>
        <v/>
      </c>
    </row>
    <row r="2090" spans="47:47" x14ac:dyDescent="0.25">
      <c r="AU2090" s="8" t="str">
        <f>IF(TRIM($G2090)="","",IF(COUNTIF(LISTS!$I$2:$I$16,TRIM($G2090))&gt;0,"COUNTED",IF(COUNTIF(LISTS!$J$2:$J$16,TRIM($G2090))&gt;0,"LEFT OUT","NEW")))</f>
        <v/>
      </c>
    </row>
    <row r="2091" spans="47:47" x14ac:dyDescent="0.25">
      <c r="AU2091" s="8" t="str">
        <f>IF(TRIM($G2091)="","",IF(COUNTIF(LISTS!$I$2:$I$16,TRIM($G2091))&gt;0,"COUNTED",IF(COUNTIF(LISTS!$J$2:$J$16,TRIM($G2091))&gt;0,"LEFT OUT","NEW")))</f>
        <v/>
      </c>
    </row>
    <row r="2092" spans="47:47" x14ac:dyDescent="0.25">
      <c r="AU2092" s="8" t="str">
        <f>IF(TRIM($G2092)="","",IF(COUNTIF(LISTS!$I$2:$I$16,TRIM($G2092))&gt;0,"COUNTED",IF(COUNTIF(LISTS!$J$2:$J$16,TRIM($G2092))&gt;0,"LEFT OUT","NEW")))</f>
        <v/>
      </c>
    </row>
    <row r="2093" spans="47:47" x14ac:dyDescent="0.25">
      <c r="AU2093" s="8" t="str">
        <f>IF(TRIM($G2093)="","",IF(COUNTIF(LISTS!$I$2:$I$16,TRIM($G2093))&gt;0,"COUNTED",IF(COUNTIF(LISTS!$J$2:$J$16,TRIM($G2093))&gt;0,"LEFT OUT","NEW")))</f>
        <v/>
      </c>
    </row>
    <row r="2094" spans="47:47" x14ac:dyDescent="0.25">
      <c r="AU2094" s="8" t="str">
        <f>IF(TRIM($G2094)="","",IF(COUNTIF(LISTS!$I$2:$I$16,TRIM($G2094))&gt;0,"COUNTED",IF(COUNTIF(LISTS!$J$2:$J$16,TRIM($G2094))&gt;0,"LEFT OUT","NEW")))</f>
        <v/>
      </c>
    </row>
    <row r="2095" spans="47:47" x14ac:dyDescent="0.25">
      <c r="AU2095" s="8" t="str">
        <f>IF(TRIM($G2095)="","",IF(COUNTIF(LISTS!$I$2:$I$16,TRIM($G2095))&gt;0,"COUNTED",IF(COUNTIF(LISTS!$J$2:$J$16,TRIM($G2095))&gt;0,"LEFT OUT","NEW")))</f>
        <v/>
      </c>
    </row>
    <row r="2096" spans="47:47" x14ac:dyDescent="0.25">
      <c r="AU2096" s="8" t="str">
        <f>IF(TRIM($G2096)="","",IF(COUNTIF(LISTS!$I$2:$I$16,TRIM($G2096))&gt;0,"COUNTED",IF(COUNTIF(LISTS!$J$2:$J$16,TRIM($G2096))&gt;0,"LEFT OUT","NEW")))</f>
        <v/>
      </c>
    </row>
    <row r="2097" spans="47:47" x14ac:dyDescent="0.25">
      <c r="AU2097" s="8" t="str">
        <f>IF(TRIM($G2097)="","",IF(COUNTIF(LISTS!$I$2:$I$16,TRIM($G2097))&gt;0,"COUNTED",IF(COUNTIF(LISTS!$J$2:$J$16,TRIM($G2097))&gt;0,"LEFT OUT","NEW")))</f>
        <v/>
      </c>
    </row>
    <row r="2098" spans="47:47" x14ac:dyDescent="0.25">
      <c r="AU2098" s="8" t="str">
        <f>IF(TRIM($G2098)="","",IF(COUNTIF(LISTS!$I$2:$I$16,TRIM($G2098))&gt;0,"COUNTED",IF(COUNTIF(LISTS!$J$2:$J$16,TRIM($G2098))&gt;0,"LEFT OUT","NEW")))</f>
        <v/>
      </c>
    </row>
    <row r="2099" spans="47:47" x14ac:dyDescent="0.25">
      <c r="AU2099" s="8" t="str">
        <f>IF(TRIM($G2099)="","",IF(COUNTIF(LISTS!$I$2:$I$16,TRIM($G2099))&gt;0,"COUNTED",IF(COUNTIF(LISTS!$J$2:$J$16,TRIM($G2099))&gt;0,"LEFT OUT","NEW")))</f>
        <v/>
      </c>
    </row>
    <row r="2100" spans="47:47" x14ac:dyDescent="0.25">
      <c r="AU2100" s="8" t="str">
        <f>IF(TRIM($G2100)="","",IF(COUNTIF(LISTS!$I$2:$I$16,TRIM($G2100))&gt;0,"COUNTED",IF(COUNTIF(LISTS!$J$2:$J$16,TRIM($G2100))&gt;0,"LEFT OUT","NEW")))</f>
        <v/>
      </c>
    </row>
    <row r="2101" spans="47:47" x14ac:dyDescent="0.25">
      <c r="AU2101" s="8" t="str">
        <f>IF(TRIM($G2101)="","",IF(COUNTIF(LISTS!$I$2:$I$16,TRIM($G2101))&gt;0,"COUNTED",IF(COUNTIF(LISTS!$J$2:$J$16,TRIM($G2101))&gt;0,"LEFT OUT","NEW")))</f>
        <v/>
      </c>
    </row>
    <row r="2102" spans="47:47" x14ac:dyDescent="0.25">
      <c r="AU2102" s="8" t="str">
        <f>IF(TRIM($G2102)="","",IF(COUNTIF(LISTS!$I$2:$I$16,TRIM($G2102))&gt;0,"COUNTED",IF(COUNTIF(LISTS!$J$2:$J$16,TRIM($G2102))&gt;0,"LEFT OUT","NEW")))</f>
        <v/>
      </c>
    </row>
    <row r="2103" spans="47:47" x14ac:dyDescent="0.25">
      <c r="AU2103" s="8" t="str">
        <f>IF(TRIM($G2103)="","",IF(COUNTIF(LISTS!$I$2:$I$16,TRIM($G2103))&gt;0,"COUNTED",IF(COUNTIF(LISTS!$J$2:$J$16,TRIM($G2103))&gt;0,"LEFT OUT","NEW")))</f>
        <v/>
      </c>
    </row>
    <row r="2104" spans="47:47" x14ac:dyDescent="0.25">
      <c r="AU2104" s="8" t="str">
        <f>IF(TRIM($G2104)="","",IF(COUNTIF(LISTS!$I$2:$I$16,TRIM($G2104))&gt;0,"COUNTED",IF(COUNTIF(LISTS!$J$2:$J$16,TRIM($G2104))&gt;0,"LEFT OUT","NEW")))</f>
        <v/>
      </c>
    </row>
    <row r="2105" spans="47:47" x14ac:dyDescent="0.25">
      <c r="AU2105" s="8" t="str">
        <f>IF(TRIM($G2105)="","",IF(COUNTIF(LISTS!$I$2:$I$16,TRIM($G2105))&gt;0,"COUNTED",IF(COUNTIF(LISTS!$J$2:$J$16,TRIM($G2105))&gt;0,"LEFT OUT","NEW")))</f>
        <v/>
      </c>
    </row>
    <row r="2106" spans="47:47" x14ac:dyDescent="0.25">
      <c r="AU2106" s="8" t="str">
        <f>IF(TRIM($G2106)="","",IF(COUNTIF(LISTS!$I$2:$I$16,TRIM($G2106))&gt;0,"COUNTED",IF(COUNTIF(LISTS!$J$2:$J$16,TRIM($G2106))&gt;0,"LEFT OUT","NEW")))</f>
        <v/>
      </c>
    </row>
    <row r="2107" spans="47:47" x14ac:dyDescent="0.25">
      <c r="AU2107" s="8" t="str">
        <f>IF(TRIM($G2107)="","",IF(COUNTIF(LISTS!$I$2:$I$16,TRIM($G2107))&gt;0,"COUNTED",IF(COUNTIF(LISTS!$J$2:$J$16,TRIM($G2107))&gt;0,"LEFT OUT","NEW")))</f>
        <v/>
      </c>
    </row>
    <row r="2108" spans="47:47" x14ac:dyDescent="0.25">
      <c r="AU2108" s="8" t="str">
        <f>IF(TRIM($G2108)="","",IF(COUNTIF(LISTS!$I$2:$I$16,TRIM($G2108))&gt;0,"COUNTED",IF(COUNTIF(LISTS!$J$2:$J$16,TRIM($G2108))&gt;0,"LEFT OUT","NEW")))</f>
        <v/>
      </c>
    </row>
    <row r="2109" spans="47:47" x14ac:dyDescent="0.25">
      <c r="AU2109" s="8" t="str">
        <f>IF(TRIM($G2109)="","",IF(COUNTIF(LISTS!$I$2:$I$16,TRIM($G2109))&gt;0,"COUNTED",IF(COUNTIF(LISTS!$J$2:$J$16,TRIM($G2109))&gt;0,"LEFT OUT","NEW")))</f>
        <v/>
      </c>
    </row>
    <row r="2110" spans="47:47" x14ac:dyDescent="0.25">
      <c r="AU2110" s="8" t="str">
        <f>IF(TRIM($G2110)="","",IF(COUNTIF(LISTS!$I$2:$I$16,TRIM($G2110))&gt;0,"COUNTED",IF(COUNTIF(LISTS!$J$2:$J$16,TRIM($G2110))&gt;0,"LEFT OUT","NEW")))</f>
        <v/>
      </c>
    </row>
    <row r="2111" spans="47:47" x14ac:dyDescent="0.25">
      <c r="AU2111" s="8" t="str">
        <f>IF(TRIM($G2111)="","",IF(COUNTIF(LISTS!$I$2:$I$16,TRIM($G2111))&gt;0,"COUNTED",IF(COUNTIF(LISTS!$J$2:$J$16,TRIM($G2111))&gt;0,"LEFT OUT","NEW")))</f>
        <v/>
      </c>
    </row>
    <row r="2112" spans="47:47" x14ac:dyDescent="0.25">
      <c r="AU2112" s="8" t="str">
        <f>IF(TRIM($G2112)="","",IF(COUNTIF(LISTS!$I$2:$I$16,TRIM($G2112))&gt;0,"COUNTED",IF(COUNTIF(LISTS!$J$2:$J$16,TRIM($G2112))&gt;0,"LEFT OUT","NEW")))</f>
        <v/>
      </c>
    </row>
    <row r="2113" spans="47:47" x14ac:dyDescent="0.25">
      <c r="AU2113" s="8" t="str">
        <f>IF(TRIM($G2113)="","",IF(COUNTIF(LISTS!$I$2:$I$16,TRIM($G2113))&gt;0,"COUNTED",IF(COUNTIF(LISTS!$J$2:$J$16,TRIM($G2113))&gt;0,"LEFT OUT","NEW")))</f>
        <v/>
      </c>
    </row>
    <row r="2114" spans="47:47" x14ac:dyDescent="0.25">
      <c r="AU2114" s="8" t="str">
        <f>IF(TRIM($G2114)="","",IF(COUNTIF(LISTS!$I$2:$I$16,TRIM($G2114))&gt;0,"COUNTED",IF(COUNTIF(LISTS!$J$2:$J$16,TRIM($G2114))&gt;0,"LEFT OUT","NEW")))</f>
        <v/>
      </c>
    </row>
    <row r="2115" spans="47:47" x14ac:dyDescent="0.25">
      <c r="AU2115" s="8" t="str">
        <f>IF(TRIM($G2115)="","",IF(COUNTIF(LISTS!$I$2:$I$16,TRIM($G2115))&gt;0,"COUNTED",IF(COUNTIF(LISTS!$J$2:$J$16,TRIM($G2115))&gt;0,"LEFT OUT","NEW")))</f>
        <v/>
      </c>
    </row>
    <row r="2116" spans="47:47" x14ac:dyDescent="0.25">
      <c r="AU2116" s="8" t="str">
        <f>IF(TRIM($G2116)="","",IF(COUNTIF(LISTS!$I$2:$I$16,TRIM($G2116))&gt;0,"COUNTED",IF(COUNTIF(LISTS!$J$2:$J$16,TRIM($G2116))&gt;0,"LEFT OUT","NEW")))</f>
        <v/>
      </c>
    </row>
    <row r="2117" spans="47:47" x14ac:dyDescent="0.25">
      <c r="AU2117" s="8" t="str">
        <f>IF(TRIM($G2117)="","",IF(COUNTIF(LISTS!$I$2:$I$16,TRIM($G2117))&gt;0,"COUNTED",IF(COUNTIF(LISTS!$J$2:$J$16,TRIM($G2117))&gt;0,"LEFT OUT","NEW")))</f>
        <v/>
      </c>
    </row>
    <row r="2118" spans="47:47" x14ac:dyDescent="0.25">
      <c r="AU2118" s="8" t="str">
        <f>IF(TRIM($G2118)="","",IF(COUNTIF(LISTS!$I$2:$I$16,TRIM($G2118))&gt;0,"COUNTED",IF(COUNTIF(LISTS!$J$2:$J$16,TRIM($G2118))&gt;0,"LEFT OUT","NEW")))</f>
        <v/>
      </c>
    </row>
    <row r="2119" spans="47:47" x14ac:dyDescent="0.25">
      <c r="AU2119" s="8" t="str">
        <f>IF(TRIM($G2119)="","",IF(COUNTIF(LISTS!$I$2:$I$16,TRIM($G2119))&gt;0,"COUNTED",IF(COUNTIF(LISTS!$J$2:$J$16,TRIM($G2119))&gt;0,"LEFT OUT","NEW")))</f>
        <v/>
      </c>
    </row>
    <row r="2120" spans="47:47" x14ac:dyDescent="0.25">
      <c r="AU2120" s="8" t="str">
        <f>IF(TRIM($G2120)="","",IF(COUNTIF(LISTS!$I$2:$I$16,TRIM($G2120))&gt;0,"COUNTED",IF(COUNTIF(LISTS!$J$2:$J$16,TRIM($G2120))&gt;0,"LEFT OUT","NEW")))</f>
        <v/>
      </c>
    </row>
    <row r="2121" spans="47:47" x14ac:dyDescent="0.25">
      <c r="AU2121" s="8" t="str">
        <f>IF(TRIM($G2121)="","",IF(COUNTIF(LISTS!$I$2:$I$16,TRIM($G2121))&gt;0,"COUNTED",IF(COUNTIF(LISTS!$J$2:$J$16,TRIM($G2121))&gt;0,"LEFT OUT","NEW")))</f>
        <v/>
      </c>
    </row>
    <row r="2122" spans="47:47" x14ac:dyDescent="0.25">
      <c r="AU2122" s="8" t="str">
        <f>IF(TRIM($G2122)="","",IF(COUNTIF(LISTS!$I$2:$I$16,TRIM($G2122))&gt;0,"COUNTED",IF(COUNTIF(LISTS!$J$2:$J$16,TRIM($G2122))&gt;0,"LEFT OUT","NEW")))</f>
        <v/>
      </c>
    </row>
    <row r="2123" spans="47:47" x14ac:dyDescent="0.25">
      <c r="AU2123" s="8" t="str">
        <f>IF(TRIM($G2123)="","",IF(COUNTIF(LISTS!$I$2:$I$16,TRIM($G2123))&gt;0,"COUNTED",IF(COUNTIF(LISTS!$J$2:$J$16,TRIM($G2123))&gt;0,"LEFT OUT","NEW")))</f>
        <v/>
      </c>
    </row>
    <row r="2124" spans="47:47" x14ac:dyDescent="0.25">
      <c r="AU2124" s="8" t="str">
        <f>IF(TRIM($G2124)="","",IF(COUNTIF(LISTS!$I$2:$I$16,TRIM($G2124))&gt;0,"COUNTED",IF(COUNTIF(LISTS!$J$2:$J$16,TRIM($G2124))&gt;0,"LEFT OUT","NEW")))</f>
        <v/>
      </c>
    </row>
    <row r="2125" spans="47:47" x14ac:dyDescent="0.25">
      <c r="AU2125" s="8" t="str">
        <f>IF(TRIM($G2125)="","",IF(COUNTIF(LISTS!$I$2:$I$16,TRIM($G2125))&gt;0,"COUNTED",IF(COUNTIF(LISTS!$J$2:$J$16,TRIM($G2125))&gt;0,"LEFT OUT","NEW")))</f>
        <v/>
      </c>
    </row>
    <row r="2126" spans="47:47" x14ac:dyDescent="0.25">
      <c r="AU2126" s="8" t="str">
        <f>IF(TRIM($G2126)="","",IF(COUNTIF(LISTS!$I$2:$I$16,TRIM($G2126))&gt;0,"COUNTED",IF(COUNTIF(LISTS!$J$2:$J$16,TRIM($G2126))&gt;0,"LEFT OUT","NEW")))</f>
        <v/>
      </c>
    </row>
    <row r="2127" spans="47:47" x14ac:dyDescent="0.25">
      <c r="AU2127" s="8" t="str">
        <f>IF(TRIM($G2127)="","",IF(COUNTIF(LISTS!$I$2:$I$16,TRIM($G2127))&gt;0,"COUNTED",IF(COUNTIF(LISTS!$J$2:$J$16,TRIM($G2127))&gt;0,"LEFT OUT","NEW")))</f>
        <v/>
      </c>
    </row>
    <row r="2128" spans="47:47" x14ac:dyDescent="0.25">
      <c r="AU2128" s="8" t="str">
        <f>IF(TRIM($G2128)="","",IF(COUNTIF(LISTS!$I$2:$I$16,TRIM($G2128))&gt;0,"COUNTED",IF(COUNTIF(LISTS!$J$2:$J$16,TRIM($G2128))&gt;0,"LEFT OUT","NEW")))</f>
        <v/>
      </c>
    </row>
    <row r="2129" spans="47:47" x14ac:dyDescent="0.25">
      <c r="AU2129" s="8" t="str">
        <f>IF(TRIM($G2129)="","",IF(COUNTIF(LISTS!$I$2:$I$16,TRIM($G2129))&gt;0,"COUNTED",IF(COUNTIF(LISTS!$J$2:$J$16,TRIM($G2129))&gt;0,"LEFT OUT","NEW")))</f>
        <v/>
      </c>
    </row>
    <row r="2130" spans="47:47" x14ac:dyDescent="0.25">
      <c r="AU2130" s="8" t="str">
        <f>IF(TRIM($G2130)="","",IF(COUNTIF(LISTS!$I$2:$I$16,TRIM($G2130))&gt;0,"COUNTED",IF(COUNTIF(LISTS!$J$2:$J$16,TRIM($G2130))&gt;0,"LEFT OUT","NEW")))</f>
        <v/>
      </c>
    </row>
    <row r="2131" spans="47:47" x14ac:dyDescent="0.25">
      <c r="AU2131" s="8" t="str">
        <f>IF(TRIM($G2131)="","",IF(COUNTIF(LISTS!$I$2:$I$16,TRIM($G2131))&gt;0,"COUNTED",IF(COUNTIF(LISTS!$J$2:$J$16,TRIM($G2131))&gt;0,"LEFT OUT","NEW")))</f>
        <v/>
      </c>
    </row>
    <row r="2132" spans="47:47" x14ac:dyDescent="0.25">
      <c r="AU2132" s="8" t="str">
        <f>IF(TRIM($G2132)="","",IF(COUNTIF(LISTS!$I$2:$I$16,TRIM($G2132))&gt;0,"COUNTED",IF(COUNTIF(LISTS!$J$2:$J$16,TRIM($G2132))&gt;0,"LEFT OUT","NEW")))</f>
        <v/>
      </c>
    </row>
    <row r="2133" spans="47:47" x14ac:dyDescent="0.25">
      <c r="AU2133" s="8" t="str">
        <f>IF(TRIM($G2133)="","",IF(COUNTIF(LISTS!$I$2:$I$16,TRIM($G2133))&gt;0,"COUNTED",IF(COUNTIF(LISTS!$J$2:$J$16,TRIM($G2133))&gt;0,"LEFT OUT","NEW")))</f>
        <v/>
      </c>
    </row>
    <row r="2134" spans="47:47" x14ac:dyDescent="0.25">
      <c r="AU2134" s="8" t="str">
        <f>IF(TRIM($G2134)="","",IF(COUNTIF(LISTS!$I$2:$I$16,TRIM($G2134))&gt;0,"COUNTED",IF(COUNTIF(LISTS!$J$2:$J$16,TRIM($G2134))&gt;0,"LEFT OUT","NEW")))</f>
        <v/>
      </c>
    </row>
    <row r="2135" spans="47:47" x14ac:dyDescent="0.25">
      <c r="AU2135" s="8" t="str">
        <f>IF(TRIM($G2135)="","",IF(COUNTIF(LISTS!$I$2:$I$16,TRIM($G2135))&gt;0,"COUNTED",IF(COUNTIF(LISTS!$J$2:$J$16,TRIM($G2135))&gt;0,"LEFT OUT","NEW")))</f>
        <v/>
      </c>
    </row>
    <row r="2136" spans="47:47" x14ac:dyDescent="0.25">
      <c r="AU2136" s="8" t="str">
        <f>IF(TRIM($G2136)="","",IF(COUNTIF(LISTS!$I$2:$I$16,TRIM($G2136))&gt;0,"COUNTED",IF(COUNTIF(LISTS!$J$2:$J$16,TRIM($G2136))&gt;0,"LEFT OUT","NEW")))</f>
        <v/>
      </c>
    </row>
    <row r="2137" spans="47:47" x14ac:dyDescent="0.25">
      <c r="AU2137" s="8" t="str">
        <f>IF(TRIM($G2137)="","",IF(COUNTIF(LISTS!$I$2:$I$16,TRIM($G2137))&gt;0,"COUNTED",IF(COUNTIF(LISTS!$J$2:$J$16,TRIM($G2137))&gt;0,"LEFT OUT","NEW")))</f>
        <v/>
      </c>
    </row>
    <row r="2138" spans="47:47" x14ac:dyDescent="0.25">
      <c r="AU2138" s="8" t="str">
        <f>IF(TRIM($G2138)="","",IF(COUNTIF(LISTS!$I$2:$I$16,TRIM($G2138))&gt;0,"COUNTED",IF(COUNTIF(LISTS!$J$2:$J$16,TRIM($G2138))&gt;0,"LEFT OUT","NEW")))</f>
        <v/>
      </c>
    </row>
    <row r="2139" spans="47:47" x14ac:dyDescent="0.25">
      <c r="AU2139" s="8" t="str">
        <f>IF(TRIM($G2139)="","",IF(COUNTIF(LISTS!$I$2:$I$16,TRIM($G2139))&gt;0,"COUNTED",IF(COUNTIF(LISTS!$J$2:$J$16,TRIM($G2139))&gt;0,"LEFT OUT","NEW")))</f>
        <v/>
      </c>
    </row>
    <row r="2140" spans="47:47" x14ac:dyDescent="0.25">
      <c r="AU2140" s="8" t="str">
        <f>IF(TRIM($G2140)="","",IF(COUNTIF(LISTS!$I$2:$I$16,TRIM($G2140))&gt;0,"COUNTED",IF(COUNTIF(LISTS!$J$2:$J$16,TRIM($G2140))&gt;0,"LEFT OUT","NEW")))</f>
        <v/>
      </c>
    </row>
    <row r="2141" spans="47:47" x14ac:dyDescent="0.25">
      <c r="AU2141" s="8" t="str">
        <f>IF(TRIM($G2141)="","",IF(COUNTIF(LISTS!$I$2:$I$16,TRIM($G2141))&gt;0,"COUNTED",IF(COUNTIF(LISTS!$J$2:$J$16,TRIM($G2141))&gt;0,"LEFT OUT","NEW")))</f>
        <v/>
      </c>
    </row>
    <row r="2142" spans="47:47" x14ac:dyDescent="0.25">
      <c r="AU2142" s="8" t="str">
        <f>IF(TRIM($G2142)="","",IF(COUNTIF(LISTS!$I$2:$I$16,TRIM($G2142))&gt;0,"COUNTED",IF(COUNTIF(LISTS!$J$2:$J$16,TRIM($G2142))&gt;0,"LEFT OUT","NEW")))</f>
        <v/>
      </c>
    </row>
    <row r="2143" spans="47:47" x14ac:dyDescent="0.25">
      <c r="AU2143" s="8" t="str">
        <f>IF(TRIM($G2143)="","",IF(COUNTIF(LISTS!$I$2:$I$16,TRIM($G2143))&gt;0,"COUNTED",IF(COUNTIF(LISTS!$J$2:$J$16,TRIM($G2143))&gt;0,"LEFT OUT","NEW")))</f>
        <v/>
      </c>
    </row>
    <row r="2144" spans="47:47" x14ac:dyDescent="0.25">
      <c r="AU2144" s="8" t="str">
        <f>IF(TRIM($G2144)="","",IF(COUNTIF(LISTS!$I$2:$I$16,TRIM($G2144))&gt;0,"COUNTED",IF(COUNTIF(LISTS!$J$2:$J$16,TRIM($G2144))&gt;0,"LEFT OUT","NEW")))</f>
        <v/>
      </c>
    </row>
    <row r="2145" spans="47:47" x14ac:dyDescent="0.25">
      <c r="AU2145" s="8" t="str">
        <f>IF(TRIM($G2145)="","",IF(COUNTIF(LISTS!$I$2:$I$16,TRIM($G2145))&gt;0,"COUNTED",IF(COUNTIF(LISTS!$J$2:$J$16,TRIM($G2145))&gt;0,"LEFT OUT","NEW")))</f>
        <v/>
      </c>
    </row>
    <row r="2146" spans="47:47" x14ac:dyDescent="0.25">
      <c r="AU2146" s="8" t="str">
        <f>IF(TRIM($G2146)="","",IF(COUNTIF(LISTS!$I$2:$I$16,TRIM($G2146))&gt;0,"COUNTED",IF(COUNTIF(LISTS!$J$2:$J$16,TRIM($G2146))&gt;0,"LEFT OUT","NEW")))</f>
        <v/>
      </c>
    </row>
    <row r="2147" spans="47:47" x14ac:dyDescent="0.25">
      <c r="AU2147" s="8" t="str">
        <f>IF(TRIM($G2147)="","",IF(COUNTIF(LISTS!$I$2:$I$16,TRIM($G2147))&gt;0,"COUNTED",IF(COUNTIF(LISTS!$J$2:$J$16,TRIM($G2147))&gt;0,"LEFT OUT","NEW")))</f>
        <v/>
      </c>
    </row>
    <row r="2148" spans="47:47" x14ac:dyDescent="0.25">
      <c r="AU2148" s="8" t="str">
        <f>IF(TRIM($G2148)="","",IF(COUNTIF(LISTS!$I$2:$I$16,TRIM($G2148))&gt;0,"COUNTED",IF(COUNTIF(LISTS!$J$2:$J$16,TRIM($G2148))&gt;0,"LEFT OUT","NEW")))</f>
        <v/>
      </c>
    </row>
    <row r="2149" spans="47:47" x14ac:dyDescent="0.25">
      <c r="AU2149" s="8" t="str">
        <f>IF(TRIM($G2149)="","",IF(COUNTIF(LISTS!$I$2:$I$16,TRIM($G2149))&gt;0,"COUNTED",IF(COUNTIF(LISTS!$J$2:$J$16,TRIM($G2149))&gt;0,"LEFT OUT","NEW")))</f>
        <v/>
      </c>
    </row>
    <row r="2150" spans="47:47" x14ac:dyDescent="0.25">
      <c r="AU2150" s="8" t="str">
        <f>IF(TRIM($G2150)="","",IF(COUNTIF(LISTS!$I$2:$I$16,TRIM($G2150))&gt;0,"COUNTED",IF(COUNTIF(LISTS!$J$2:$J$16,TRIM($G2150))&gt;0,"LEFT OUT","NEW")))</f>
        <v/>
      </c>
    </row>
    <row r="2151" spans="47:47" x14ac:dyDescent="0.25">
      <c r="AU2151" s="8" t="str">
        <f>IF(TRIM($G2151)="","",IF(COUNTIF(LISTS!$I$2:$I$16,TRIM($G2151))&gt;0,"COUNTED",IF(COUNTIF(LISTS!$J$2:$J$16,TRIM($G2151))&gt;0,"LEFT OUT","NEW")))</f>
        <v/>
      </c>
    </row>
    <row r="2152" spans="47:47" x14ac:dyDescent="0.25">
      <c r="AU2152" s="8" t="str">
        <f>IF(TRIM($G2152)="","",IF(COUNTIF(LISTS!$I$2:$I$16,TRIM($G2152))&gt;0,"COUNTED",IF(COUNTIF(LISTS!$J$2:$J$16,TRIM($G2152))&gt;0,"LEFT OUT","NEW")))</f>
        <v/>
      </c>
    </row>
    <row r="2153" spans="47:47" x14ac:dyDescent="0.25">
      <c r="AU2153" s="8" t="str">
        <f>IF(TRIM($G2153)="","",IF(COUNTIF(LISTS!$I$2:$I$16,TRIM($G2153))&gt;0,"COUNTED",IF(COUNTIF(LISTS!$J$2:$J$16,TRIM($G2153))&gt;0,"LEFT OUT","NEW")))</f>
        <v/>
      </c>
    </row>
    <row r="2154" spans="47:47" x14ac:dyDescent="0.25">
      <c r="AU2154" s="8" t="str">
        <f>IF(TRIM($G2154)="","",IF(COUNTIF(LISTS!$I$2:$I$16,TRIM($G2154))&gt;0,"COUNTED",IF(COUNTIF(LISTS!$J$2:$J$16,TRIM($G2154))&gt;0,"LEFT OUT","NEW")))</f>
        <v/>
      </c>
    </row>
    <row r="2155" spans="47:47" x14ac:dyDescent="0.25">
      <c r="AU2155" s="8" t="str">
        <f>IF(TRIM($G2155)="","",IF(COUNTIF(LISTS!$I$2:$I$16,TRIM($G2155))&gt;0,"COUNTED",IF(COUNTIF(LISTS!$J$2:$J$16,TRIM($G2155))&gt;0,"LEFT OUT","NEW")))</f>
        <v/>
      </c>
    </row>
    <row r="2156" spans="47:47" x14ac:dyDescent="0.25">
      <c r="AU2156" s="8" t="str">
        <f>IF(TRIM($G2156)="","",IF(COUNTIF(LISTS!$I$2:$I$16,TRIM($G2156))&gt;0,"COUNTED",IF(COUNTIF(LISTS!$J$2:$J$16,TRIM($G2156))&gt;0,"LEFT OUT","NEW")))</f>
        <v/>
      </c>
    </row>
    <row r="2157" spans="47:47" x14ac:dyDescent="0.25">
      <c r="AU2157" s="8" t="str">
        <f>IF(TRIM($G2157)="","",IF(COUNTIF(LISTS!$I$2:$I$16,TRIM($G2157))&gt;0,"COUNTED",IF(COUNTIF(LISTS!$J$2:$J$16,TRIM($G2157))&gt;0,"LEFT OUT","NEW")))</f>
        <v/>
      </c>
    </row>
    <row r="2158" spans="47:47" x14ac:dyDescent="0.25">
      <c r="AU2158" s="8" t="str">
        <f>IF(TRIM($G2158)="","",IF(COUNTIF(LISTS!$I$2:$I$16,TRIM($G2158))&gt;0,"COUNTED",IF(COUNTIF(LISTS!$J$2:$J$16,TRIM($G2158))&gt;0,"LEFT OUT","NEW")))</f>
        <v/>
      </c>
    </row>
    <row r="2159" spans="47:47" x14ac:dyDescent="0.25">
      <c r="AU2159" s="8" t="str">
        <f>IF(TRIM($G2159)="","",IF(COUNTIF(LISTS!$I$2:$I$16,TRIM($G2159))&gt;0,"COUNTED",IF(COUNTIF(LISTS!$J$2:$J$16,TRIM($G2159))&gt;0,"LEFT OUT","NEW")))</f>
        <v/>
      </c>
    </row>
    <row r="2160" spans="47:47" x14ac:dyDescent="0.25">
      <c r="AU2160" s="8" t="str">
        <f>IF(TRIM($G2160)="","",IF(COUNTIF(LISTS!$I$2:$I$16,TRIM($G2160))&gt;0,"COUNTED",IF(COUNTIF(LISTS!$J$2:$J$16,TRIM($G2160))&gt;0,"LEFT OUT","NEW")))</f>
        <v/>
      </c>
    </row>
    <row r="2161" spans="47:47" x14ac:dyDescent="0.25">
      <c r="AU2161" s="8" t="str">
        <f>IF(TRIM($G2161)="","",IF(COUNTIF(LISTS!$I$2:$I$16,TRIM($G2161))&gt;0,"COUNTED",IF(COUNTIF(LISTS!$J$2:$J$16,TRIM($G2161))&gt;0,"LEFT OUT","NEW")))</f>
        <v/>
      </c>
    </row>
    <row r="2162" spans="47:47" x14ac:dyDescent="0.25">
      <c r="AU2162" s="8" t="str">
        <f>IF(TRIM($G2162)="","",IF(COUNTIF(LISTS!$I$2:$I$16,TRIM($G2162))&gt;0,"COUNTED",IF(COUNTIF(LISTS!$J$2:$J$16,TRIM($G2162))&gt;0,"LEFT OUT","NEW")))</f>
        <v/>
      </c>
    </row>
    <row r="2163" spans="47:47" x14ac:dyDescent="0.25">
      <c r="AU2163" s="8" t="str">
        <f>IF(TRIM($G2163)="","",IF(COUNTIF(LISTS!$I$2:$I$16,TRIM($G2163))&gt;0,"COUNTED",IF(COUNTIF(LISTS!$J$2:$J$16,TRIM($G2163))&gt;0,"LEFT OUT","NEW")))</f>
        <v/>
      </c>
    </row>
    <row r="2164" spans="47:47" x14ac:dyDescent="0.25">
      <c r="AU2164" s="8" t="str">
        <f>IF(TRIM($G2164)="","",IF(COUNTIF(LISTS!$I$2:$I$16,TRIM($G2164))&gt;0,"COUNTED",IF(COUNTIF(LISTS!$J$2:$J$16,TRIM($G2164))&gt;0,"LEFT OUT","NEW")))</f>
        <v/>
      </c>
    </row>
    <row r="2165" spans="47:47" x14ac:dyDescent="0.25">
      <c r="AU2165" s="8" t="str">
        <f>IF(TRIM($G2165)="","",IF(COUNTIF(LISTS!$I$2:$I$16,TRIM($G2165))&gt;0,"COUNTED",IF(COUNTIF(LISTS!$J$2:$J$16,TRIM($G2165))&gt;0,"LEFT OUT","NEW")))</f>
        <v/>
      </c>
    </row>
    <row r="2166" spans="47:47" x14ac:dyDescent="0.25">
      <c r="AU2166" s="8" t="str">
        <f>IF(TRIM($G2166)="","",IF(COUNTIF(LISTS!$I$2:$I$16,TRIM($G2166))&gt;0,"COUNTED",IF(COUNTIF(LISTS!$J$2:$J$16,TRIM($G2166))&gt;0,"LEFT OUT","NEW")))</f>
        <v/>
      </c>
    </row>
    <row r="2167" spans="47:47" x14ac:dyDescent="0.25">
      <c r="AU2167" s="8" t="str">
        <f>IF(TRIM($G2167)="","",IF(COUNTIF(LISTS!$I$2:$I$16,TRIM($G2167))&gt;0,"COUNTED",IF(COUNTIF(LISTS!$J$2:$J$16,TRIM($G2167))&gt;0,"LEFT OUT","NEW")))</f>
        <v/>
      </c>
    </row>
    <row r="2168" spans="47:47" x14ac:dyDescent="0.25">
      <c r="AU2168" s="8" t="str">
        <f>IF(TRIM($G2168)="","",IF(COUNTIF(LISTS!$I$2:$I$16,TRIM($G2168))&gt;0,"COUNTED",IF(COUNTIF(LISTS!$J$2:$J$16,TRIM($G2168))&gt;0,"LEFT OUT","NEW")))</f>
        <v/>
      </c>
    </row>
    <row r="2169" spans="47:47" x14ac:dyDescent="0.25">
      <c r="AU2169" s="8" t="str">
        <f>IF(TRIM($G2169)="","",IF(COUNTIF(LISTS!$I$2:$I$16,TRIM($G2169))&gt;0,"COUNTED",IF(COUNTIF(LISTS!$J$2:$J$16,TRIM($G2169))&gt;0,"LEFT OUT","NEW")))</f>
        <v/>
      </c>
    </row>
    <row r="2170" spans="47:47" x14ac:dyDescent="0.25">
      <c r="AU2170" s="8" t="str">
        <f>IF(TRIM($G2170)="","",IF(COUNTIF(LISTS!$I$2:$I$16,TRIM($G2170))&gt;0,"COUNTED",IF(COUNTIF(LISTS!$J$2:$J$16,TRIM($G2170))&gt;0,"LEFT OUT","NEW")))</f>
        <v/>
      </c>
    </row>
    <row r="2171" spans="47:47" x14ac:dyDescent="0.25">
      <c r="AU2171" s="8" t="str">
        <f>IF(TRIM($G2171)="","",IF(COUNTIF(LISTS!$I$2:$I$16,TRIM($G2171))&gt;0,"COUNTED",IF(COUNTIF(LISTS!$J$2:$J$16,TRIM($G2171))&gt;0,"LEFT OUT","NEW")))</f>
        <v/>
      </c>
    </row>
    <row r="2172" spans="47:47" x14ac:dyDescent="0.25">
      <c r="AU2172" s="8" t="str">
        <f>IF(TRIM($G2172)="","",IF(COUNTIF(LISTS!$I$2:$I$16,TRIM($G2172))&gt;0,"COUNTED",IF(COUNTIF(LISTS!$J$2:$J$16,TRIM($G2172))&gt;0,"LEFT OUT","NEW")))</f>
        <v/>
      </c>
    </row>
    <row r="2173" spans="47:47" x14ac:dyDescent="0.25">
      <c r="AU2173" s="8" t="str">
        <f>IF(TRIM($G2173)="","",IF(COUNTIF(LISTS!$I$2:$I$16,TRIM($G2173))&gt;0,"COUNTED",IF(COUNTIF(LISTS!$J$2:$J$16,TRIM($G2173))&gt;0,"LEFT OUT","NEW")))</f>
        <v/>
      </c>
    </row>
    <row r="2174" spans="47:47" x14ac:dyDescent="0.25">
      <c r="AU2174" s="8" t="str">
        <f>IF(TRIM($G2174)="","",IF(COUNTIF(LISTS!$I$2:$I$16,TRIM($G2174))&gt;0,"COUNTED",IF(COUNTIF(LISTS!$J$2:$J$16,TRIM($G2174))&gt;0,"LEFT OUT","NEW")))</f>
        <v/>
      </c>
    </row>
    <row r="2175" spans="47:47" x14ac:dyDescent="0.25">
      <c r="AU2175" s="8" t="str">
        <f>IF(TRIM($G2175)="","",IF(COUNTIF(LISTS!$I$2:$I$16,TRIM($G2175))&gt;0,"COUNTED",IF(COUNTIF(LISTS!$J$2:$J$16,TRIM($G2175))&gt;0,"LEFT OUT","NEW")))</f>
        <v/>
      </c>
    </row>
    <row r="2176" spans="47:47" x14ac:dyDescent="0.25">
      <c r="AU2176" s="8" t="str">
        <f>IF(TRIM($G2176)="","",IF(COUNTIF(LISTS!$I$2:$I$16,TRIM($G2176))&gt;0,"COUNTED",IF(COUNTIF(LISTS!$J$2:$J$16,TRIM($G2176))&gt;0,"LEFT OUT","NEW")))</f>
        <v/>
      </c>
    </row>
    <row r="2177" spans="47:47" x14ac:dyDescent="0.25">
      <c r="AU2177" s="8" t="str">
        <f>IF(TRIM($G2177)="","",IF(COUNTIF(LISTS!$I$2:$I$16,TRIM($G2177))&gt;0,"COUNTED",IF(COUNTIF(LISTS!$J$2:$J$16,TRIM($G2177))&gt;0,"LEFT OUT","NEW")))</f>
        <v/>
      </c>
    </row>
    <row r="2178" spans="47:47" x14ac:dyDescent="0.25">
      <c r="AU2178" s="8" t="str">
        <f>IF(TRIM($G2178)="","",IF(COUNTIF(LISTS!$I$2:$I$16,TRIM($G2178))&gt;0,"COUNTED",IF(COUNTIF(LISTS!$J$2:$J$16,TRIM($G2178))&gt;0,"LEFT OUT","NEW")))</f>
        <v/>
      </c>
    </row>
    <row r="2179" spans="47:47" x14ac:dyDescent="0.25">
      <c r="AU2179" s="8" t="str">
        <f>IF(TRIM($G2179)="","",IF(COUNTIF(LISTS!$I$2:$I$16,TRIM($G2179))&gt;0,"COUNTED",IF(COUNTIF(LISTS!$J$2:$J$16,TRIM($G2179))&gt;0,"LEFT OUT","NEW")))</f>
        <v/>
      </c>
    </row>
    <row r="2180" spans="47:47" x14ac:dyDescent="0.25">
      <c r="AU2180" s="8" t="str">
        <f>IF(TRIM($G2180)="","",IF(COUNTIF(LISTS!$I$2:$I$16,TRIM($G2180))&gt;0,"COUNTED",IF(COUNTIF(LISTS!$J$2:$J$16,TRIM($G2180))&gt;0,"LEFT OUT","NEW")))</f>
        <v/>
      </c>
    </row>
    <row r="2181" spans="47:47" x14ac:dyDescent="0.25">
      <c r="AU2181" s="8" t="str">
        <f>IF(TRIM($G2181)="","",IF(COUNTIF(LISTS!$I$2:$I$16,TRIM($G2181))&gt;0,"COUNTED",IF(COUNTIF(LISTS!$J$2:$J$16,TRIM($G2181))&gt;0,"LEFT OUT","NEW")))</f>
        <v/>
      </c>
    </row>
    <row r="2182" spans="47:47" x14ac:dyDescent="0.25">
      <c r="AU2182" s="8" t="str">
        <f>IF(TRIM($G2182)="","",IF(COUNTIF(LISTS!$I$2:$I$16,TRIM($G2182))&gt;0,"COUNTED",IF(COUNTIF(LISTS!$J$2:$J$16,TRIM($G2182))&gt;0,"LEFT OUT","NEW")))</f>
        <v/>
      </c>
    </row>
    <row r="2183" spans="47:47" x14ac:dyDescent="0.25">
      <c r="AU2183" s="8" t="str">
        <f>IF(TRIM($G2183)="","",IF(COUNTIF(LISTS!$I$2:$I$16,TRIM($G2183))&gt;0,"COUNTED",IF(COUNTIF(LISTS!$J$2:$J$16,TRIM($G2183))&gt;0,"LEFT OUT","NEW")))</f>
        <v/>
      </c>
    </row>
    <row r="2184" spans="47:47" x14ac:dyDescent="0.25">
      <c r="AU2184" s="8" t="str">
        <f>IF(TRIM($G2184)="","",IF(COUNTIF(LISTS!$I$2:$I$16,TRIM($G2184))&gt;0,"COUNTED",IF(COUNTIF(LISTS!$J$2:$J$16,TRIM($G2184))&gt;0,"LEFT OUT","NEW")))</f>
        <v/>
      </c>
    </row>
    <row r="2185" spans="47:47" x14ac:dyDescent="0.25">
      <c r="AU2185" s="8" t="str">
        <f>IF(TRIM($G2185)="","",IF(COUNTIF(LISTS!$I$2:$I$16,TRIM($G2185))&gt;0,"COUNTED",IF(COUNTIF(LISTS!$J$2:$J$16,TRIM($G2185))&gt;0,"LEFT OUT","NEW")))</f>
        <v/>
      </c>
    </row>
    <row r="2186" spans="47:47" x14ac:dyDescent="0.25">
      <c r="AU2186" s="8" t="str">
        <f>IF(TRIM($G2186)="","",IF(COUNTIF(LISTS!$I$2:$I$16,TRIM($G2186))&gt;0,"COUNTED",IF(COUNTIF(LISTS!$J$2:$J$16,TRIM($G2186))&gt;0,"LEFT OUT","NEW")))</f>
        <v/>
      </c>
    </row>
    <row r="2187" spans="47:47" x14ac:dyDescent="0.25">
      <c r="AU2187" s="8" t="str">
        <f>IF(TRIM($G2187)="","",IF(COUNTIF(LISTS!$I$2:$I$16,TRIM($G2187))&gt;0,"COUNTED",IF(COUNTIF(LISTS!$J$2:$J$16,TRIM($G2187))&gt;0,"LEFT OUT","NEW")))</f>
        <v/>
      </c>
    </row>
    <row r="2188" spans="47:47" x14ac:dyDescent="0.25">
      <c r="AU2188" s="8" t="str">
        <f>IF(TRIM($G2188)="","",IF(COUNTIF(LISTS!$I$2:$I$16,TRIM($G2188))&gt;0,"COUNTED",IF(COUNTIF(LISTS!$J$2:$J$16,TRIM($G2188))&gt;0,"LEFT OUT","NEW")))</f>
        <v/>
      </c>
    </row>
    <row r="2189" spans="47:47" x14ac:dyDescent="0.25">
      <c r="AU2189" s="8" t="str">
        <f>IF(TRIM($G2189)="","",IF(COUNTIF(LISTS!$I$2:$I$16,TRIM($G2189))&gt;0,"COUNTED",IF(COUNTIF(LISTS!$J$2:$J$16,TRIM($G2189))&gt;0,"LEFT OUT","NEW")))</f>
        <v/>
      </c>
    </row>
    <row r="2190" spans="47:47" x14ac:dyDescent="0.25">
      <c r="AU2190" s="8" t="str">
        <f>IF(TRIM($G2190)="","",IF(COUNTIF(LISTS!$I$2:$I$16,TRIM($G2190))&gt;0,"COUNTED",IF(COUNTIF(LISTS!$J$2:$J$16,TRIM($G2190))&gt;0,"LEFT OUT","NEW")))</f>
        <v/>
      </c>
    </row>
    <row r="2191" spans="47:47" x14ac:dyDescent="0.25">
      <c r="AU2191" s="8" t="str">
        <f>IF(TRIM($G2191)="","",IF(COUNTIF(LISTS!$I$2:$I$16,TRIM($G2191))&gt;0,"COUNTED",IF(COUNTIF(LISTS!$J$2:$J$16,TRIM($G2191))&gt;0,"LEFT OUT","NEW")))</f>
        <v/>
      </c>
    </row>
    <row r="2192" spans="47:47" x14ac:dyDescent="0.25">
      <c r="AU2192" s="8" t="str">
        <f>IF(TRIM($G2192)="","",IF(COUNTIF(LISTS!$I$2:$I$16,TRIM($G2192))&gt;0,"COUNTED",IF(COUNTIF(LISTS!$J$2:$J$16,TRIM($G2192))&gt;0,"LEFT OUT","NEW")))</f>
        <v/>
      </c>
    </row>
    <row r="2193" spans="47:47" x14ac:dyDescent="0.25">
      <c r="AU2193" s="8" t="str">
        <f>IF(TRIM($G2193)="","",IF(COUNTIF(LISTS!$I$2:$I$16,TRIM($G2193))&gt;0,"COUNTED",IF(COUNTIF(LISTS!$J$2:$J$16,TRIM($G2193))&gt;0,"LEFT OUT","NEW")))</f>
        <v/>
      </c>
    </row>
    <row r="2194" spans="47:47" x14ac:dyDescent="0.25">
      <c r="AU2194" s="8" t="str">
        <f>IF(TRIM($G2194)="","",IF(COUNTIF(LISTS!$I$2:$I$16,TRIM($G2194))&gt;0,"COUNTED",IF(COUNTIF(LISTS!$J$2:$J$16,TRIM($G2194))&gt;0,"LEFT OUT","NEW")))</f>
        <v/>
      </c>
    </row>
    <row r="2195" spans="47:47" x14ac:dyDescent="0.25">
      <c r="AU2195" s="8" t="str">
        <f>IF(TRIM($G2195)="","",IF(COUNTIF(LISTS!$I$2:$I$16,TRIM($G2195))&gt;0,"COUNTED",IF(COUNTIF(LISTS!$J$2:$J$16,TRIM($G2195))&gt;0,"LEFT OUT","NEW")))</f>
        <v/>
      </c>
    </row>
    <row r="2196" spans="47:47" x14ac:dyDescent="0.25">
      <c r="AU2196" s="8" t="str">
        <f>IF(TRIM($G2196)="","",IF(COUNTIF(LISTS!$I$2:$I$16,TRIM($G2196))&gt;0,"COUNTED",IF(COUNTIF(LISTS!$J$2:$J$16,TRIM($G2196))&gt;0,"LEFT OUT","NEW")))</f>
        <v/>
      </c>
    </row>
    <row r="2197" spans="47:47" x14ac:dyDescent="0.25">
      <c r="AU2197" s="8" t="str">
        <f>IF(TRIM($G2197)="","",IF(COUNTIF(LISTS!$I$2:$I$16,TRIM($G2197))&gt;0,"COUNTED",IF(COUNTIF(LISTS!$J$2:$J$16,TRIM($G2197))&gt;0,"LEFT OUT","NEW")))</f>
        <v/>
      </c>
    </row>
    <row r="2198" spans="47:47" x14ac:dyDescent="0.25">
      <c r="AU2198" s="8" t="str">
        <f>IF(TRIM($G2198)="","",IF(COUNTIF(LISTS!$I$2:$I$16,TRIM($G2198))&gt;0,"COUNTED",IF(COUNTIF(LISTS!$J$2:$J$16,TRIM($G2198))&gt;0,"LEFT OUT","NEW")))</f>
        <v/>
      </c>
    </row>
    <row r="2199" spans="47:47" x14ac:dyDescent="0.25">
      <c r="AU2199" s="8" t="str">
        <f>IF(TRIM($G2199)="","",IF(COUNTIF(LISTS!$I$2:$I$16,TRIM($G2199))&gt;0,"COUNTED",IF(COUNTIF(LISTS!$J$2:$J$16,TRIM($G2199))&gt;0,"LEFT OUT","NEW")))</f>
        <v/>
      </c>
    </row>
    <row r="2200" spans="47:47" x14ac:dyDescent="0.25">
      <c r="AU2200" s="8" t="str">
        <f>IF(TRIM($G2200)="","",IF(COUNTIF(LISTS!$I$2:$I$16,TRIM($G2200))&gt;0,"COUNTED",IF(COUNTIF(LISTS!$J$2:$J$16,TRIM($G2200))&gt;0,"LEFT OUT","NEW")))</f>
        <v/>
      </c>
    </row>
    <row r="2201" spans="47:47" x14ac:dyDescent="0.25">
      <c r="AU2201" s="8" t="str">
        <f>IF(TRIM($G2201)="","",IF(COUNTIF(LISTS!$I$2:$I$16,TRIM($G2201))&gt;0,"COUNTED",IF(COUNTIF(LISTS!$J$2:$J$16,TRIM($G2201))&gt;0,"LEFT OUT","NEW")))</f>
        <v/>
      </c>
    </row>
    <row r="2202" spans="47:47" x14ac:dyDescent="0.25">
      <c r="AU2202" s="8" t="str">
        <f>IF(TRIM($G2202)="","",IF(COUNTIF(LISTS!$I$2:$I$16,TRIM($G2202))&gt;0,"COUNTED",IF(COUNTIF(LISTS!$J$2:$J$16,TRIM($G2202))&gt;0,"LEFT OUT","NEW")))</f>
        <v/>
      </c>
    </row>
    <row r="2203" spans="47:47" x14ac:dyDescent="0.25">
      <c r="AU2203" s="8" t="str">
        <f>IF(TRIM($G2203)="","",IF(COUNTIF(LISTS!$I$2:$I$16,TRIM($G2203))&gt;0,"COUNTED",IF(COUNTIF(LISTS!$J$2:$J$16,TRIM($G2203))&gt;0,"LEFT OUT","NEW")))</f>
        <v/>
      </c>
    </row>
    <row r="2204" spans="47:47" x14ac:dyDescent="0.25">
      <c r="AU2204" s="8" t="str">
        <f>IF(TRIM($G2204)="","",IF(COUNTIF(LISTS!$I$2:$I$16,TRIM($G2204))&gt;0,"COUNTED",IF(COUNTIF(LISTS!$J$2:$J$16,TRIM($G2204))&gt;0,"LEFT OUT","NEW")))</f>
        <v/>
      </c>
    </row>
    <row r="2205" spans="47:47" x14ac:dyDescent="0.25">
      <c r="AU2205" s="8" t="str">
        <f>IF(TRIM($G2205)="","",IF(COUNTIF(LISTS!$I$2:$I$16,TRIM($G2205))&gt;0,"COUNTED",IF(COUNTIF(LISTS!$J$2:$J$16,TRIM($G2205))&gt;0,"LEFT OUT","NEW")))</f>
        <v/>
      </c>
    </row>
    <row r="2206" spans="47:47" x14ac:dyDescent="0.25">
      <c r="AU2206" s="8" t="str">
        <f>IF(TRIM($G2206)="","",IF(COUNTIF(LISTS!$I$2:$I$16,TRIM($G2206))&gt;0,"COUNTED",IF(COUNTIF(LISTS!$J$2:$J$16,TRIM($G2206))&gt;0,"LEFT OUT","NEW")))</f>
        <v/>
      </c>
    </row>
    <row r="2207" spans="47:47" x14ac:dyDescent="0.25">
      <c r="AU2207" s="8" t="str">
        <f>IF(TRIM($G2207)="","",IF(COUNTIF(LISTS!$I$2:$I$16,TRIM($G2207))&gt;0,"COUNTED",IF(COUNTIF(LISTS!$J$2:$J$16,TRIM($G2207))&gt;0,"LEFT OUT","NEW")))</f>
        <v/>
      </c>
    </row>
    <row r="2208" spans="47:47" x14ac:dyDescent="0.25">
      <c r="AU2208" s="8" t="str">
        <f>IF(TRIM($G2208)="","",IF(COUNTIF(LISTS!$I$2:$I$16,TRIM($G2208))&gt;0,"COUNTED",IF(COUNTIF(LISTS!$J$2:$J$16,TRIM($G2208))&gt;0,"LEFT OUT","NEW")))</f>
        <v/>
      </c>
    </row>
    <row r="2209" spans="47:47" x14ac:dyDescent="0.25">
      <c r="AU2209" s="8" t="str">
        <f>IF(TRIM($G2209)="","",IF(COUNTIF(LISTS!$I$2:$I$16,TRIM($G2209))&gt;0,"COUNTED",IF(COUNTIF(LISTS!$J$2:$J$16,TRIM($G2209))&gt;0,"LEFT OUT","NEW")))</f>
        <v/>
      </c>
    </row>
    <row r="2210" spans="47:47" x14ac:dyDescent="0.25">
      <c r="AU2210" s="8" t="str">
        <f>IF(TRIM($G2210)="","",IF(COUNTIF(LISTS!$I$2:$I$16,TRIM($G2210))&gt;0,"COUNTED",IF(COUNTIF(LISTS!$J$2:$J$16,TRIM($G2210))&gt;0,"LEFT OUT","NEW")))</f>
        <v/>
      </c>
    </row>
    <row r="2211" spans="47:47" x14ac:dyDescent="0.25">
      <c r="AU2211" s="8" t="str">
        <f>IF(TRIM($G2211)="","",IF(COUNTIF(LISTS!$I$2:$I$16,TRIM($G2211))&gt;0,"COUNTED",IF(COUNTIF(LISTS!$J$2:$J$16,TRIM($G2211))&gt;0,"LEFT OUT","NEW")))</f>
        <v/>
      </c>
    </row>
    <row r="2212" spans="47:47" x14ac:dyDescent="0.25">
      <c r="AU2212" s="8" t="str">
        <f>IF(TRIM($G2212)="","",IF(COUNTIF(LISTS!$I$2:$I$16,TRIM($G2212))&gt;0,"COUNTED",IF(COUNTIF(LISTS!$J$2:$J$16,TRIM($G2212))&gt;0,"LEFT OUT","NEW")))</f>
        <v/>
      </c>
    </row>
    <row r="2213" spans="47:47" x14ac:dyDescent="0.25">
      <c r="AU2213" s="8" t="str">
        <f>IF(TRIM($G2213)="","",IF(COUNTIF(LISTS!$I$2:$I$16,TRIM($G2213))&gt;0,"COUNTED",IF(COUNTIF(LISTS!$J$2:$J$16,TRIM($G2213))&gt;0,"LEFT OUT","NEW")))</f>
        <v/>
      </c>
    </row>
    <row r="2214" spans="47:47" x14ac:dyDescent="0.25">
      <c r="AU2214" s="8" t="str">
        <f>IF(TRIM($G2214)="","",IF(COUNTIF(LISTS!$I$2:$I$16,TRIM($G2214))&gt;0,"COUNTED",IF(COUNTIF(LISTS!$J$2:$J$16,TRIM($G2214))&gt;0,"LEFT OUT","NEW")))</f>
        <v/>
      </c>
    </row>
    <row r="2215" spans="47:47" x14ac:dyDescent="0.25">
      <c r="AU2215" s="8" t="str">
        <f>IF(TRIM($G2215)="","",IF(COUNTIF(LISTS!$I$2:$I$16,TRIM($G2215))&gt;0,"COUNTED",IF(COUNTIF(LISTS!$J$2:$J$16,TRIM($G2215))&gt;0,"LEFT OUT","NEW")))</f>
        <v/>
      </c>
    </row>
    <row r="2216" spans="47:47" x14ac:dyDescent="0.25">
      <c r="AU2216" s="8" t="str">
        <f>IF(TRIM($G2216)="","",IF(COUNTIF(LISTS!$I$2:$I$16,TRIM($G2216))&gt;0,"COUNTED",IF(COUNTIF(LISTS!$J$2:$J$16,TRIM($G2216))&gt;0,"LEFT OUT","NEW")))</f>
        <v/>
      </c>
    </row>
    <row r="2217" spans="47:47" x14ac:dyDescent="0.25">
      <c r="AU2217" s="8" t="str">
        <f>IF(TRIM($G2217)="","",IF(COUNTIF(LISTS!$I$2:$I$16,TRIM($G2217))&gt;0,"COUNTED",IF(COUNTIF(LISTS!$J$2:$J$16,TRIM($G2217))&gt;0,"LEFT OUT","NEW")))</f>
        <v/>
      </c>
    </row>
    <row r="2218" spans="47:47" x14ac:dyDescent="0.25">
      <c r="AU2218" s="8" t="str">
        <f>IF(TRIM($G2218)="","",IF(COUNTIF(LISTS!$I$2:$I$16,TRIM($G2218))&gt;0,"COUNTED",IF(COUNTIF(LISTS!$J$2:$J$16,TRIM($G2218))&gt;0,"LEFT OUT","NEW")))</f>
        <v/>
      </c>
    </row>
    <row r="2219" spans="47:47" x14ac:dyDescent="0.25">
      <c r="AU2219" s="8" t="str">
        <f>IF(TRIM($G2219)="","",IF(COUNTIF(LISTS!$I$2:$I$16,TRIM($G2219))&gt;0,"COUNTED",IF(COUNTIF(LISTS!$J$2:$J$16,TRIM($G2219))&gt;0,"LEFT OUT","NEW")))</f>
        <v/>
      </c>
    </row>
    <row r="2220" spans="47:47" x14ac:dyDescent="0.25">
      <c r="AU2220" s="8" t="str">
        <f>IF(TRIM($G2220)="","",IF(COUNTIF(LISTS!$I$2:$I$16,TRIM($G2220))&gt;0,"COUNTED",IF(COUNTIF(LISTS!$J$2:$J$16,TRIM($G2220))&gt;0,"LEFT OUT","NEW")))</f>
        <v/>
      </c>
    </row>
    <row r="2221" spans="47:47" x14ac:dyDescent="0.25">
      <c r="AU2221" s="8" t="str">
        <f>IF(TRIM($G2221)="","",IF(COUNTIF(LISTS!$I$2:$I$16,TRIM($G2221))&gt;0,"COUNTED",IF(COUNTIF(LISTS!$J$2:$J$16,TRIM($G2221))&gt;0,"LEFT OUT","NEW")))</f>
        <v/>
      </c>
    </row>
    <row r="2222" spans="47:47" x14ac:dyDescent="0.25">
      <c r="AU2222" s="8" t="str">
        <f>IF(TRIM($G2222)="","",IF(COUNTIF(LISTS!$I$2:$I$16,TRIM($G2222))&gt;0,"COUNTED",IF(COUNTIF(LISTS!$J$2:$J$16,TRIM($G2222))&gt;0,"LEFT OUT","NEW")))</f>
        <v/>
      </c>
    </row>
    <row r="2223" spans="47:47" x14ac:dyDescent="0.25">
      <c r="AU2223" s="8" t="str">
        <f>IF(TRIM($G2223)="","",IF(COUNTIF(LISTS!$I$2:$I$16,TRIM($G2223))&gt;0,"COUNTED",IF(COUNTIF(LISTS!$J$2:$J$16,TRIM($G2223))&gt;0,"LEFT OUT","NEW")))</f>
        <v/>
      </c>
    </row>
    <row r="2224" spans="47:47" x14ac:dyDescent="0.25">
      <c r="AU2224" s="8" t="str">
        <f>IF(TRIM($G2224)="","",IF(COUNTIF(LISTS!$I$2:$I$16,TRIM($G2224))&gt;0,"COUNTED",IF(COUNTIF(LISTS!$J$2:$J$16,TRIM($G2224))&gt;0,"LEFT OUT","NEW")))</f>
        <v/>
      </c>
    </row>
    <row r="2225" spans="47:47" x14ac:dyDescent="0.25">
      <c r="AU2225" s="8" t="str">
        <f>IF(TRIM($G2225)="","",IF(COUNTIF(LISTS!$I$2:$I$16,TRIM($G2225))&gt;0,"COUNTED",IF(COUNTIF(LISTS!$J$2:$J$16,TRIM($G2225))&gt;0,"LEFT OUT","NEW")))</f>
        <v/>
      </c>
    </row>
    <row r="2226" spans="47:47" x14ac:dyDescent="0.25">
      <c r="AU2226" s="8" t="str">
        <f>IF(TRIM($G2226)="","",IF(COUNTIF(LISTS!$I$2:$I$16,TRIM($G2226))&gt;0,"COUNTED",IF(COUNTIF(LISTS!$J$2:$J$16,TRIM($G2226))&gt;0,"LEFT OUT","NEW")))</f>
        <v/>
      </c>
    </row>
    <row r="2227" spans="47:47" x14ac:dyDescent="0.25">
      <c r="AU2227" s="8" t="str">
        <f>IF(TRIM($G2227)="","",IF(COUNTIF(LISTS!$I$2:$I$16,TRIM($G2227))&gt;0,"COUNTED",IF(COUNTIF(LISTS!$J$2:$J$16,TRIM($G2227))&gt;0,"LEFT OUT","NEW")))</f>
        <v/>
      </c>
    </row>
    <row r="2228" spans="47:47" x14ac:dyDescent="0.25">
      <c r="AU2228" s="8" t="str">
        <f>IF(TRIM($G2228)="","",IF(COUNTIF(LISTS!$I$2:$I$16,TRIM($G2228))&gt;0,"COUNTED",IF(COUNTIF(LISTS!$J$2:$J$16,TRIM($G2228))&gt;0,"LEFT OUT","NEW")))</f>
        <v/>
      </c>
    </row>
    <row r="2229" spans="47:47" x14ac:dyDescent="0.25">
      <c r="AU2229" s="8" t="str">
        <f>IF(TRIM($G2229)="","",IF(COUNTIF(LISTS!$I$2:$I$16,TRIM($G2229))&gt;0,"COUNTED",IF(COUNTIF(LISTS!$J$2:$J$16,TRIM($G2229))&gt;0,"LEFT OUT","NEW")))</f>
        <v/>
      </c>
    </row>
    <row r="2230" spans="47:47" x14ac:dyDescent="0.25">
      <c r="AU2230" s="8" t="str">
        <f>IF(TRIM($G2230)="","",IF(COUNTIF(LISTS!$I$2:$I$16,TRIM($G2230))&gt;0,"COUNTED",IF(COUNTIF(LISTS!$J$2:$J$16,TRIM($G2230))&gt;0,"LEFT OUT","NEW")))</f>
        <v/>
      </c>
    </row>
    <row r="2231" spans="47:47" x14ac:dyDescent="0.25">
      <c r="AU2231" s="8" t="str">
        <f>IF(TRIM($G2231)="","",IF(COUNTIF(LISTS!$I$2:$I$16,TRIM($G2231))&gt;0,"COUNTED",IF(COUNTIF(LISTS!$J$2:$J$16,TRIM($G2231))&gt;0,"LEFT OUT","NEW")))</f>
        <v/>
      </c>
    </row>
    <row r="2232" spans="47:47" x14ac:dyDescent="0.25">
      <c r="AU2232" s="8" t="str">
        <f>IF(TRIM($G2232)="","",IF(COUNTIF(LISTS!$I$2:$I$16,TRIM($G2232))&gt;0,"COUNTED",IF(COUNTIF(LISTS!$J$2:$J$16,TRIM($G2232))&gt;0,"LEFT OUT","NEW")))</f>
        <v/>
      </c>
    </row>
    <row r="2233" spans="47:47" x14ac:dyDescent="0.25">
      <c r="AU2233" s="8" t="str">
        <f>IF(TRIM($G2233)="","",IF(COUNTIF(LISTS!$I$2:$I$16,TRIM($G2233))&gt;0,"COUNTED",IF(COUNTIF(LISTS!$J$2:$J$16,TRIM($G2233))&gt;0,"LEFT OUT","NEW")))</f>
        <v/>
      </c>
    </row>
    <row r="2234" spans="47:47" x14ac:dyDescent="0.25">
      <c r="AU2234" s="8" t="str">
        <f>IF(TRIM($G2234)="","",IF(COUNTIF(LISTS!$I$2:$I$16,TRIM($G2234))&gt;0,"COUNTED",IF(COUNTIF(LISTS!$J$2:$J$16,TRIM($G2234))&gt;0,"LEFT OUT","NEW")))</f>
        <v/>
      </c>
    </row>
    <row r="2235" spans="47:47" x14ac:dyDescent="0.25">
      <c r="AU2235" s="8" t="str">
        <f>IF(TRIM($G2235)="","",IF(COUNTIF(LISTS!$I$2:$I$16,TRIM($G2235))&gt;0,"COUNTED",IF(COUNTIF(LISTS!$J$2:$J$16,TRIM($G2235))&gt;0,"LEFT OUT","NEW")))</f>
        <v/>
      </c>
    </row>
    <row r="2236" spans="47:47" x14ac:dyDescent="0.25">
      <c r="AU2236" s="8" t="str">
        <f>IF(TRIM($G2236)="","",IF(COUNTIF(LISTS!$I$2:$I$16,TRIM($G2236))&gt;0,"COUNTED",IF(COUNTIF(LISTS!$J$2:$J$16,TRIM($G2236))&gt;0,"LEFT OUT","NEW")))</f>
        <v/>
      </c>
    </row>
    <row r="2237" spans="47:47" x14ac:dyDescent="0.25">
      <c r="AU2237" s="8" t="str">
        <f>IF(TRIM($G2237)="","",IF(COUNTIF(LISTS!$I$2:$I$16,TRIM($G2237))&gt;0,"COUNTED",IF(COUNTIF(LISTS!$J$2:$J$16,TRIM($G2237))&gt;0,"LEFT OUT","NEW")))</f>
        <v/>
      </c>
    </row>
    <row r="2238" spans="47:47" x14ac:dyDescent="0.25">
      <c r="AU2238" s="8" t="str">
        <f>IF(TRIM($G2238)="","",IF(COUNTIF(LISTS!$I$2:$I$16,TRIM($G2238))&gt;0,"COUNTED",IF(COUNTIF(LISTS!$J$2:$J$16,TRIM($G2238))&gt;0,"LEFT OUT","NEW")))</f>
        <v/>
      </c>
    </row>
    <row r="2239" spans="47:47" x14ac:dyDescent="0.25">
      <c r="AU2239" s="8" t="str">
        <f>IF(TRIM($G2239)="","",IF(COUNTIF(LISTS!$I$2:$I$16,TRIM($G2239))&gt;0,"COUNTED",IF(COUNTIF(LISTS!$J$2:$J$16,TRIM($G2239))&gt;0,"LEFT OUT","NEW")))</f>
        <v/>
      </c>
    </row>
    <row r="2240" spans="47:47" x14ac:dyDescent="0.25">
      <c r="AU2240" s="8" t="str">
        <f>IF(TRIM($G2240)="","",IF(COUNTIF(LISTS!$I$2:$I$16,TRIM($G2240))&gt;0,"COUNTED",IF(COUNTIF(LISTS!$J$2:$J$16,TRIM($G2240))&gt;0,"LEFT OUT","NEW")))</f>
        <v/>
      </c>
    </row>
    <row r="2241" spans="47:47" x14ac:dyDescent="0.25">
      <c r="AU2241" s="8" t="str">
        <f>IF(TRIM($G2241)="","",IF(COUNTIF(LISTS!$I$2:$I$16,TRIM($G2241))&gt;0,"COUNTED",IF(COUNTIF(LISTS!$J$2:$J$16,TRIM($G2241))&gt;0,"LEFT OUT","NEW")))</f>
        <v/>
      </c>
    </row>
    <row r="2242" spans="47:47" x14ac:dyDescent="0.25">
      <c r="AU2242" s="8" t="str">
        <f>IF(TRIM($G2242)="","",IF(COUNTIF(LISTS!$I$2:$I$16,TRIM($G2242))&gt;0,"COUNTED",IF(COUNTIF(LISTS!$J$2:$J$16,TRIM($G2242))&gt;0,"LEFT OUT","NEW")))</f>
        <v/>
      </c>
    </row>
    <row r="2243" spans="47:47" x14ac:dyDescent="0.25">
      <c r="AU2243" s="8" t="str">
        <f>IF(TRIM($G2243)="","",IF(COUNTIF(LISTS!$I$2:$I$16,TRIM($G2243))&gt;0,"COUNTED",IF(COUNTIF(LISTS!$J$2:$J$16,TRIM($G2243))&gt;0,"LEFT OUT","NEW")))</f>
        <v/>
      </c>
    </row>
    <row r="2244" spans="47:47" x14ac:dyDescent="0.25">
      <c r="AU2244" s="8" t="str">
        <f>IF(TRIM($G2244)="","",IF(COUNTIF(LISTS!$I$2:$I$16,TRIM($G2244))&gt;0,"COUNTED",IF(COUNTIF(LISTS!$J$2:$J$16,TRIM($G2244))&gt;0,"LEFT OUT","NEW")))</f>
        <v/>
      </c>
    </row>
    <row r="2245" spans="47:47" x14ac:dyDescent="0.25">
      <c r="AU2245" s="8" t="str">
        <f>IF(TRIM($G2245)="","",IF(COUNTIF(LISTS!$I$2:$I$16,TRIM($G2245))&gt;0,"COUNTED",IF(COUNTIF(LISTS!$J$2:$J$16,TRIM($G2245))&gt;0,"LEFT OUT","NEW")))</f>
        <v/>
      </c>
    </row>
    <row r="2246" spans="47:47" x14ac:dyDescent="0.25">
      <c r="AU2246" s="8" t="str">
        <f>IF(TRIM($G2246)="","",IF(COUNTIF(LISTS!$I$2:$I$16,TRIM($G2246))&gt;0,"COUNTED",IF(COUNTIF(LISTS!$J$2:$J$16,TRIM($G2246))&gt;0,"LEFT OUT","NEW")))</f>
        <v/>
      </c>
    </row>
    <row r="2247" spans="47:47" x14ac:dyDescent="0.25">
      <c r="AU2247" s="8" t="str">
        <f>IF(TRIM($G2247)="","",IF(COUNTIF(LISTS!$I$2:$I$16,TRIM($G2247))&gt;0,"COUNTED",IF(COUNTIF(LISTS!$J$2:$J$16,TRIM($G2247))&gt;0,"LEFT OUT","NEW")))</f>
        <v/>
      </c>
    </row>
    <row r="2248" spans="47:47" x14ac:dyDescent="0.25">
      <c r="AU2248" s="8" t="str">
        <f>IF(TRIM($G2248)="","",IF(COUNTIF(LISTS!$I$2:$I$16,TRIM($G2248))&gt;0,"COUNTED",IF(COUNTIF(LISTS!$J$2:$J$16,TRIM($G2248))&gt;0,"LEFT OUT","NEW")))</f>
        <v/>
      </c>
    </row>
    <row r="2249" spans="47:47" x14ac:dyDescent="0.25">
      <c r="AU2249" s="8" t="str">
        <f>IF(TRIM($G2249)="","",IF(COUNTIF(LISTS!$I$2:$I$16,TRIM($G2249))&gt;0,"COUNTED",IF(COUNTIF(LISTS!$J$2:$J$16,TRIM($G2249))&gt;0,"LEFT OUT","NEW")))</f>
        <v/>
      </c>
    </row>
    <row r="2250" spans="47:47" x14ac:dyDescent="0.25">
      <c r="AU2250" s="8" t="str">
        <f>IF(TRIM($G2250)="","",IF(COUNTIF(LISTS!$I$2:$I$16,TRIM($G2250))&gt;0,"COUNTED",IF(COUNTIF(LISTS!$J$2:$J$16,TRIM($G2250))&gt;0,"LEFT OUT","NEW")))</f>
        <v/>
      </c>
    </row>
    <row r="2251" spans="47:47" x14ac:dyDescent="0.25">
      <c r="AU2251" s="8" t="str">
        <f>IF(TRIM($G2251)="","",IF(COUNTIF(LISTS!$I$2:$I$16,TRIM($G2251))&gt;0,"COUNTED",IF(COUNTIF(LISTS!$J$2:$J$16,TRIM($G2251))&gt;0,"LEFT OUT","NEW")))</f>
        <v/>
      </c>
    </row>
    <row r="2252" spans="47:47" x14ac:dyDescent="0.25">
      <c r="AU2252" s="8" t="str">
        <f>IF(TRIM($G2252)="","",IF(COUNTIF(LISTS!$I$2:$I$16,TRIM($G2252))&gt;0,"COUNTED",IF(COUNTIF(LISTS!$J$2:$J$16,TRIM($G2252))&gt;0,"LEFT OUT","NEW")))</f>
        <v/>
      </c>
    </row>
    <row r="2253" spans="47:47" x14ac:dyDescent="0.25">
      <c r="AU2253" s="8" t="str">
        <f>IF(TRIM($G2253)="","",IF(COUNTIF(LISTS!$I$2:$I$16,TRIM($G2253))&gt;0,"COUNTED",IF(COUNTIF(LISTS!$J$2:$J$16,TRIM($G2253))&gt;0,"LEFT OUT","NEW")))</f>
        <v/>
      </c>
    </row>
    <row r="2254" spans="47:47" x14ac:dyDescent="0.25">
      <c r="AU2254" s="8" t="str">
        <f>IF(TRIM($G2254)="","",IF(COUNTIF(LISTS!$I$2:$I$16,TRIM($G2254))&gt;0,"COUNTED",IF(COUNTIF(LISTS!$J$2:$J$16,TRIM($G2254))&gt;0,"LEFT OUT","NEW")))</f>
        <v/>
      </c>
    </row>
    <row r="2255" spans="47:47" x14ac:dyDescent="0.25">
      <c r="AU2255" s="8" t="str">
        <f>IF(TRIM($G2255)="","",IF(COUNTIF(LISTS!$I$2:$I$16,TRIM($G2255))&gt;0,"COUNTED",IF(COUNTIF(LISTS!$J$2:$J$16,TRIM($G2255))&gt;0,"LEFT OUT","NEW")))</f>
        <v/>
      </c>
    </row>
    <row r="2256" spans="47:47" x14ac:dyDescent="0.25">
      <c r="AU2256" s="8" t="str">
        <f>IF(TRIM($G2256)="","",IF(COUNTIF(LISTS!$I$2:$I$16,TRIM($G2256))&gt;0,"COUNTED",IF(COUNTIF(LISTS!$J$2:$J$16,TRIM($G2256))&gt;0,"LEFT OUT","NEW")))</f>
        <v/>
      </c>
    </row>
    <row r="2257" spans="47:47" x14ac:dyDescent="0.25">
      <c r="AU2257" s="8" t="str">
        <f>IF(TRIM($G2257)="","",IF(COUNTIF(LISTS!$I$2:$I$16,TRIM($G2257))&gt;0,"COUNTED",IF(COUNTIF(LISTS!$J$2:$J$16,TRIM($G2257))&gt;0,"LEFT OUT","NEW")))</f>
        <v/>
      </c>
    </row>
    <row r="2258" spans="47:47" x14ac:dyDescent="0.25">
      <c r="AU2258" s="8" t="str">
        <f>IF(TRIM($G2258)="","",IF(COUNTIF(LISTS!$I$2:$I$16,TRIM($G2258))&gt;0,"COUNTED",IF(COUNTIF(LISTS!$J$2:$J$16,TRIM($G2258))&gt;0,"LEFT OUT","NEW")))</f>
        <v/>
      </c>
    </row>
    <row r="2259" spans="47:47" x14ac:dyDescent="0.25">
      <c r="AU2259" s="8" t="str">
        <f>IF(TRIM($G2259)="","",IF(COUNTIF(LISTS!$I$2:$I$16,TRIM($G2259))&gt;0,"COUNTED",IF(COUNTIF(LISTS!$J$2:$J$16,TRIM($G2259))&gt;0,"LEFT OUT","NEW")))</f>
        <v/>
      </c>
    </row>
    <row r="2260" spans="47:47" x14ac:dyDescent="0.25">
      <c r="AU2260" s="8" t="str">
        <f>IF(TRIM($G2260)="","",IF(COUNTIF(LISTS!$I$2:$I$16,TRIM($G2260))&gt;0,"COUNTED",IF(COUNTIF(LISTS!$J$2:$J$16,TRIM($G2260))&gt;0,"LEFT OUT","NEW")))</f>
        <v/>
      </c>
    </row>
    <row r="2261" spans="47:47" x14ac:dyDescent="0.25">
      <c r="AU2261" s="8" t="str">
        <f>IF(TRIM($G2261)="","",IF(COUNTIF(LISTS!$I$2:$I$16,TRIM($G2261))&gt;0,"COUNTED",IF(COUNTIF(LISTS!$J$2:$J$16,TRIM($G2261))&gt;0,"LEFT OUT","NEW")))</f>
        <v/>
      </c>
    </row>
    <row r="2262" spans="47:47" x14ac:dyDescent="0.25">
      <c r="AU2262" s="8" t="str">
        <f>IF(TRIM($G2262)="","",IF(COUNTIF(LISTS!$I$2:$I$16,TRIM($G2262))&gt;0,"COUNTED",IF(COUNTIF(LISTS!$J$2:$J$16,TRIM($G2262))&gt;0,"LEFT OUT","NEW")))</f>
        <v/>
      </c>
    </row>
    <row r="2263" spans="47:47" x14ac:dyDescent="0.25">
      <c r="AU2263" s="8" t="str">
        <f>IF(TRIM($G2263)="","",IF(COUNTIF(LISTS!$I$2:$I$16,TRIM($G2263))&gt;0,"COUNTED",IF(COUNTIF(LISTS!$J$2:$J$16,TRIM($G2263))&gt;0,"LEFT OUT","NEW")))</f>
        <v/>
      </c>
    </row>
    <row r="2264" spans="47:47" x14ac:dyDescent="0.25">
      <c r="AU2264" s="8" t="str">
        <f>IF(TRIM($G2264)="","",IF(COUNTIF(LISTS!$I$2:$I$16,TRIM($G2264))&gt;0,"COUNTED",IF(COUNTIF(LISTS!$J$2:$J$16,TRIM($G2264))&gt;0,"LEFT OUT","NEW")))</f>
        <v/>
      </c>
    </row>
    <row r="2265" spans="47:47" x14ac:dyDescent="0.25">
      <c r="AU2265" s="8" t="str">
        <f>IF(TRIM($G2265)="","",IF(COUNTIF(LISTS!$I$2:$I$16,TRIM($G2265))&gt;0,"COUNTED",IF(COUNTIF(LISTS!$J$2:$J$16,TRIM($G2265))&gt;0,"LEFT OUT","NEW")))</f>
        <v/>
      </c>
    </row>
    <row r="2266" spans="47:47" x14ac:dyDescent="0.25">
      <c r="AU2266" s="8" t="str">
        <f>IF(TRIM($G2266)="","",IF(COUNTIF(LISTS!$I$2:$I$16,TRIM($G2266))&gt;0,"COUNTED",IF(COUNTIF(LISTS!$J$2:$J$16,TRIM($G2266))&gt;0,"LEFT OUT","NEW")))</f>
        <v/>
      </c>
    </row>
    <row r="2267" spans="47:47" x14ac:dyDescent="0.25">
      <c r="AU2267" s="8" t="str">
        <f>IF(TRIM($G2267)="","",IF(COUNTIF(LISTS!$I$2:$I$16,TRIM($G2267))&gt;0,"COUNTED",IF(COUNTIF(LISTS!$J$2:$J$16,TRIM($G2267))&gt;0,"LEFT OUT","NEW")))</f>
        <v/>
      </c>
    </row>
    <row r="2268" spans="47:47" x14ac:dyDescent="0.25">
      <c r="AU2268" s="8" t="str">
        <f>IF(TRIM($G2268)="","",IF(COUNTIF(LISTS!$I$2:$I$16,TRIM($G2268))&gt;0,"COUNTED",IF(COUNTIF(LISTS!$J$2:$J$16,TRIM($G2268))&gt;0,"LEFT OUT","NEW")))</f>
        <v/>
      </c>
    </row>
    <row r="2269" spans="47:47" x14ac:dyDescent="0.25">
      <c r="AU2269" s="8" t="str">
        <f>IF(TRIM($G2269)="","",IF(COUNTIF(LISTS!$I$2:$I$16,TRIM($G2269))&gt;0,"COUNTED",IF(COUNTIF(LISTS!$J$2:$J$16,TRIM($G2269))&gt;0,"LEFT OUT","NEW")))</f>
        <v/>
      </c>
    </row>
    <row r="2270" spans="47:47" x14ac:dyDescent="0.25">
      <c r="AU2270" s="8" t="str">
        <f>IF(TRIM($G2270)="","",IF(COUNTIF(LISTS!$I$2:$I$16,TRIM($G2270))&gt;0,"COUNTED",IF(COUNTIF(LISTS!$J$2:$J$16,TRIM($G2270))&gt;0,"LEFT OUT","NEW")))</f>
        <v/>
      </c>
    </row>
    <row r="2271" spans="47:47" x14ac:dyDescent="0.25">
      <c r="AU2271" s="8" t="str">
        <f>IF(TRIM($G2271)="","",IF(COUNTIF(LISTS!$I$2:$I$16,TRIM($G2271))&gt;0,"COUNTED",IF(COUNTIF(LISTS!$J$2:$J$16,TRIM($G2271))&gt;0,"LEFT OUT","NEW")))</f>
        <v/>
      </c>
    </row>
    <row r="2272" spans="47:47" x14ac:dyDescent="0.25">
      <c r="AU2272" s="8" t="str">
        <f>IF(TRIM($G2272)="","",IF(COUNTIF(LISTS!$I$2:$I$16,TRIM($G2272))&gt;0,"COUNTED",IF(COUNTIF(LISTS!$J$2:$J$16,TRIM($G2272))&gt;0,"LEFT OUT","NEW")))</f>
        <v/>
      </c>
    </row>
    <row r="2273" spans="47:47" x14ac:dyDescent="0.25">
      <c r="AU2273" s="8" t="str">
        <f>IF(TRIM($G2273)="","",IF(COUNTIF(LISTS!$I$2:$I$16,TRIM($G2273))&gt;0,"COUNTED",IF(COUNTIF(LISTS!$J$2:$J$16,TRIM($G2273))&gt;0,"LEFT OUT","NEW")))</f>
        <v/>
      </c>
    </row>
    <row r="2274" spans="47:47" x14ac:dyDescent="0.25">
      <c r="AU2274" s="8" t="str">
        <f>IF(TRIM($G2274)="","",IF(COUNTIF(LISTS!$I$2:$I$16,TRIM($G2274))&gt;0,"COUNTED",IF(COUNTIF(LISTS!$J$2:$J$16,TRIM($G2274))&gt;0,"LEFT OUT","NEW")))</f>
        <v/>
      </c>
    </row>
    <row r="2275" spans="47:47" x14ac:dyDescent="0.25">
      <c r="AU2275" s="8" t="str">
        <f>IF(TRIM($G2275)="","",IF(COUNTIF(LISTS!$I$2:$I$16,TRIM($G2275))&gt;0,"COUNTED",IF(COUNTIF(LISTS!$J$2:$J$16,TRIM($G2275))&gt;0,"LEFT OUT","NEW")))</f>
        <v/>
      </c>
    </row>
    <row r="2276" spans="47:47" x14ac:dyDescent="0.25">
      <c r="AU2276" s="8" t="str">
        <f>IF(TRIM($G2276)="","",IF(COUNTIF(LISTS!$I$2:$I$16,TRIM($G2276))&gt;0,"COUNTED",IF(COUNTIF(LISTS!$J$2:$J$16,TRIM($G2276))&gt;0,"LEFT OUT","NEW")))</f>
        <v/>
      </c>
    </row>
    <row r="2277" spans="47:47" x14ac:dyDescent="0.25">
      <c r="AU2277" s="8" t="str">
        <f>IF(TRIM($G2277)="","",IF(COUNTIF(LISTS!$I$2:$I$16,TRIM($G2277))&gt;0,"COUNTED",IF(COUNTIF(LISTS!$J$2:$J$16,TRIM($G2277))&gt;0,"LEFT OUT","NEW")))</f>
        <v/>
      </c>
    </row>
    <row r="2278" spans="47:47" x14ac:dyDescent="0.25">
      <c r="AU2278" s="8" t="str">
        <f>IF(TRIM($G2278)="","",IF(COUNTIF(LISTS!$I$2:$I$16,TRIM($G2278))&gt;0,"COUNTED",IF(COUNTIF(LISTS!$J$2:$J$16,TRIM($G2278))&gt;0,"LEFT OUT","NEW")))</f>
        <v/>
      </c>
    </row>
    <row r="2279" spans="47:47" x14ac:dyDescent="0.25">
      <c r="AU2279" s="8" t="str">
        <f>IF(TRIM($G2279)="","",IF(COUNTIF(LISTS!$I$2:$I$16,TRIM($G2279))&gt;0,"COUNTED",IF(COUNTIF(LISTS!$J$2:$J$16,TRIM($G2279))&gt;0,"LEFT OUT","NEW")))</f>
        <v/>
      </c>
    </row>
    <row r="2280" spans="47:47" x14ac:dyDescent="0.25">
      <c r="AU2280" s="8" t="str">
        <f>IF(TRIM($G2280)="","",IF(COUNTIF(LISTS!$I$2:$I$16,TRIM($G2280))&gt;0,"COUNTED",IF(COUNTIF(LISTS!$J$2:$J$16,TRIM($G2280))&gt;0,"LEFT OUT","NEW")))</f>
        <v/>
      </c>
    </row>
    <row r="2281" spans="47:47" x14ac:dyDescent="0.25">
      <c r="AU2281" s="8" t="str">
        <f>IF(TRIM($G2281)="","",IF(COUNTIF(LISTS!$I$2:$I$16,TRIM($G2281))&gt;0,"COUNTED",IF(COUNTIF(LISTS!$J$2:$J$16,TRIM($G2281))&gt;0,"LEFT OUT","NEW")))</f>
        <v/>
      </c>
    </row>
    <row r="2282" spans="47:47" x14ac:dyDescent="0.25">
      <c r="AU2282" s="8" t="str">
        <f>IF(TRIM($G2282)="","",IF(COUNTIF(LISTS!$I$2:$I$16,TRIM($G2282))&gt;0,"COUNTED",IF(COUNTIF(LISTS!$J$2:$J$16,TRIM($G2282))&gt;0,"LEFT OUT","NEW")))</f>
        <v/>
      </c>
    </row>
    <row r="2283" spans="47:47" x14ac:dyDescent="0.25">
      <c r="AU2283" s="8" t="str">
        <f>IF(TRIM($G2283)="","",IF(COUNTIF(LISTS!$I$2:$I$16,TRIM($G2283))&gt;0,"COUNTED",IF(COUNTIF(LISTS!$J$2:$J$16,TRIM($G2283))&gt;0,"LEFT OUT","NEW")))</f>
        <v/>
      </c>
    </row>
    <row r="2284" spans="47:47" x14ac:dyDescent="0.25">
      <c r="AU2284" s="8" t="str">
        <f>IF(TRIM($G2284)="","",IF(COUNTIF(LISTS!$I$2:$I$16,TRIM($G2284))&gt;0,"COUNTED",IF(COUNTIF(LISTS!$J$2:$J$16,TRIM($G2284))&gt;0,"LEFT OUT","NEW")))</f>
        <v/>
      </c>
    </row>
    <row r="2285" spans="47:47" x14ac:dyDescent="0.25">
      <c r="AU2285" s="8" t="str">
        <f>IF(TRIM($G2285)="","",IF(COUNTIF(LISTS!$I$2:$I$16,TRIM($G2285))&gt;0,"COUNTED",IF(COUNTIF(LISTS!$J$2:$J$16,TRIM($G2285))&gt;0,"LEFT OUT","NEW")))</f>
        <v/>
      </c>
    </row>
    <row r="2286" spans="47:47" x14ac:dyDescent="0.25">
      <c r="AU2286" s="8" t="str">
        <f>IF(TRIM($G2286)="","",IF(COUNTIF(LISTS!$I$2:$I$16,TRIM($G2286))&gt;0,"COUNTED",IF(COUNTIF(LISTS!$J$2:$J$16,TRIM($G2286))&gt;0,"LEFT OUT","NEW")))</f>
        <v/>
      </c>
    </row>
    <row r="2287" spans="47:47" x14ac:dyDescent="0.25">
      <c r="AU2287" s="8" t="str">
        <f>IF(TRIM($G2287)="","",IF(COUNTIF(LISTS!$I$2:$I$16,TRIM($G2287))&gt;0,"COUNTED",IF(COUNTIF(LISTS!$J$2:$J$16,TRIM($G2287))&gt;0,"LEFT OUT","NEW")))</f>
        <v/>
      </c>
    </row>
    <row r="2288" spans="47:47" x14ac:dyDescent="0.25">
      <c r="AU2288" s="8" t="str">
        <f>IF(TRIM($G2288)="","",IF(COUNTIF(LISTS!$I$2:$I$16,TRIM($G2288))&gt;0,"COUNTED",IF(COUNTIF(LISTS!$J$2:$J$16,TRIM($G2288))&gt;0,"LEFT OUT","NEW")))</f>
        <v/>
      </c>
    </row>
    <row r="2289" spans="47:47" x14ac:dyDescent="0.25">
      <c r="AU2289" s="8" t="str">
        <f>IF(TRIM($G2289)="","",IF(COUNTIF(LISTS!$I$2:$I$16,TRIM($G2289))&gt;0,"COUNTED",IF(COUNTIF(LISTS!$J$2:$J$16,TRIM($G2289))&gt;0,"LEFT OUT","NEW")))</f>
        <v/>
      </c>
    </row>
    <row r="2290" spans="47:47" x14ac:dyDescent="0.25">
      <c r="AU2290" s="8" t="str">
        <f>IF(TRIM($G2290)="","",IF(COUNTIF(LISTS!$I$2:$I$16,TRIM($G2290))&gt;0,"COUNTED",IF(COUNTIF(LISTS!$J$2:$J$16,TRIM($G2290))&gt;0,"LEFT OUT","NEW")))</f>
        <v/>
      </c>
    </row>
    <row r="2291" spans="47:47" x14ac:dyDescent="0.25">
      <c r="AU2291" s="8" t="str">
        <f>IF(TRIM($G2291)="","",IF(COUNTIF(LISTS!$I$2:$I$16,TRIM($G2291))&gt;0,"COUNTED",IF(COUNTIF(LISTS!$J$2:$J$16,TRIM($G2291))&gt;0,"LEFT OUT","NEW")))</f>
        <v/>
      </c>
    </row>
    <row r="2292" spans="47:47" x14ac:dyDescent="0.25">
      <c r="AU2292" s="8" t="str">
        <f>IF(TRIM($G2292)="","",IF(COUNTIF(LISTS!$I$2:$I$16,TRIM($G2292))&gt;0,"COUNTED",IF(COUNTIF(LISTS!$J$2:$J$16,TRIM($G2292))&gt;0,"LEFT OUT","NEW")))</f>
        <v/>
      </c>
    </row>
    <row r="2293" spans="47:47" x14ac:dyDescent="0.25">
      <c r="AU2293" s="8" t="str">
        <f>IF(TRIM($G2293)="","",IF(COUNTIF(LISTS!$I$2:$I$16,TRIM($G2293))&gt;0,"COUNTED",IF(COUNTIF(LISTS!$J$2:$J$16,TRIM($G2293))&gt;0,"LEFT OUT","NEW")))</f>
        <v/>
      </c>
    </row>
    <row r="2294" spans="47:47" x14ac:dyDescent="0.25">
      <c r="AU2294" s="8" t="str">
        <f>IF(TRIM($G2294)="","",IF(COUNTIF(LISTS!$I$2:$I$16,TRIM($G2294))&gt;0,"COUNTED",IF(COUNTIF(LISTS!$J$2:$J$16,TRIM($G2294))&gt;0,"LEFT OUT","NEW")))</f>
        <v/>
      </c>
    </row>
    <row r="2295" spans="47:47" x14ac:dyDescent="0.25">
      <c r="AU2295" s="8" t="str">
        <f>IF(TRIM($G2295)="","",IF(COUNTIF(LISTS!$I$2:$I$16,TRIM($G2295))&gt;0,"COUNTED",IF(COUNTIF(LISTS!$J$2:$J$16,TRIM($G2295))&gt;0,"LEFT OUT","NEW")))</f>
        <v/>
      </c>
    </row>
    <row r="2296" spans="47:47" x14ac:dyDescent="0.25">
      <c r="AU2296" s="8" t="str">
        <f>IF(TRIM($G2296)="","",IF(COUNTIF(LISTS!$I$2:$I$16,TRIM($G2296))&gt;0,"COUNTED",IF(COUNTIF(LISTS!$J$2:$J$16,TRIM($G2296))&gt;0,"LEFT OUT","NEW")))</f>
        <v/>
      </c>
    </row>
    <row r="2297" spans="47:47" x14ac:dyDescent="0.25">
      <c r="AU2297" s="8" t="str">
        <f>IF(TRIM($G2297)="","",IF(COUNTIF(LISTS!$I$2:$I$16,TRIM($G2297))&gt;0,"COUNTED",IF(COUNTIF(LISTS!$J$2:$J$16,TRIM($G2297))&gt;0,"LEFT OUT","NEW")))</f>
        <v/>
      </c>
    </row>
    <row r="2298" spans="47:47" x14ac:dyDescent="0.25">
      <c r="AU2298" s="8" t="str">
        <f>IF(TRIM($G2298)="","",IF(COUNTIF(LISTS!$I$2:$I$16,TRIM($G2298))&gt;0,"COUNTED",IF(COUNTIF(LISTS!$J$2:$J$16,TRIM($G2298))&gt;0,"LEFT OUT","NEW")))</f>
        <v/>
      </c>
    </row>
    <row r="2299" spans="47:47" x14ac:dyDescent="0.25">
      <c r="AU2299" s="8" t="str">
        <f>IF(TRIM($G2299)="","",IF(COUNTIF(LISTS!$I$2:$I$16,TRIM($G2299))&gt;0,"COUNTED",IF(COUNTIF(LISTS!$J$2:$J$16,TRIM($G2299))&gt;0,"LEFT OUT","NEW")))</f>
        <v/>
      </c>
    </row>
    <row r="2300" spans="47:47" x14ac:dyDescent="0.25">
      <c r="AU2300" s="8" t="str">
        <f>IF(TRIM($G2300)="","",IF(COUNTIF(LISTS!$I$2:$I$16,TRIM($G2300))&gt;0,"COUNTED",IF(COUNTIF(LISTS!$J$2:$J$16,TRIM($G2300))&gt;0,"LEFT OUT","NEW")))</f>
        <v/>
      </c>
    </row>
    <row r="2301" spans="47:47" x14ac:dyDescent="0.25">
      <c r="AU2301" s="8" t="str">
        <f>IF(TRIM($G2301)="","",IF(COUNTIF(LISTS!$I$2:$I$16,TRIM($G2301))&gt;0,"COUNTED",IF(COUNTIF(LISTS!$J$2:$J$16,TRIM($G2301))&gt;0,"LEFT OUT","NEW")))</f>
        <v/>
      </c>
    </row>
    <row r="2302" spans="47:47" x14ac:dyDescent="0.25">
      <c r="AU2302" s="8" t="str">
        <f>IF(TRIM($G2302)="","",IF(COUNTIF(LISTS!$I$2:$I$16,TRIM($G2302))&gt;0,"COUNTED",IF(COUNTIF(LISTS!$J$2:$J$16,TRIM($G2302))&gt;0,"LEFT OUT","NEW")))</f>
        <v/>
      </c>
    </row>
    <row r="2303" spans="47:47" x14ac:dyDescent="0.25">
      <c r="AU2303" s="8" t="str">
        <f>IF(TRIM($G2303)="","",IF(COUNTIF(LISTS!$I$2:$I$16,TRIM($G2303))&gt;0,"COUNTED",IF(COUNTIF(LISTS!$J$2:$J$16,TRIM($G2303))&gt;0,"LEFT OUT","NEW")))</f>
        <v/>
      </c>
    </row>
    <row r="2304" spans="47:47" x14ac:dyDescent="0.25">
      <c r="AU2304" s="8" t="str">
        <f>IF(TRIM($G2304)="","",IF(COUNTIF(LISTS!$I$2:$I$16,TRIM($G2304))&gt;0,"COUNTED",IF(COUNTIF(LISTS!$J$2:$J$16,TRIM($G2304))&gt;0,"LEFT OUT","NEW")))</f>
        <v/>
      </c>
    </row>
    <row r="2305" spans="47:47" x14ac:dyDescent="0.25">
      <c r="AU2305" s="8" t="str">
        <f>IF(TRIM($G2305)="","",IF(COUNTIF(LISTS!$I$2:$I$16,TRIM($G2305))&gt;0,"COUNTED",IF(COUNTIF(LISTS!$J$2:$J$16,TRIM($G2305))&gt;0,"LEFT OUT","NEW")))</f>
        <v/>
      </c>
    </row>
    <row r="2306" spans="47:47" x14ac:dyDescent="0.25">
      <c r="AU2306" s="8" t="str">
        <f>IF(TRIM($G2306)="","",IF(COUNTIF(LISTS!$I$2:$I$16,TRIM($G2306))&gt;0,"COUNTED",IF(COUNTIF(LISTS!$J$2:$J$16,TRIM($G2306))&gt;0,"LEFT OUT","NEW")))</f>
        <v/>
      </c>
    </row>
    <row r="2307" spans="47:47" x14ac:dyDescent="0.25">
      <c r="AU2307" s="8" t="str">
        <f>IF(TRIM($G2307)="","",IF(COUNTIF(LISTS!$I$2:$I$16,TRIM($G2307))&gt;0,"COUNTED",IF(COUNTIF(LISTS!$J$2:$J$16,TRIM($G2307))&gt;0,"LEFT OUT","NEW")))</f>
        <v/>
      </c>
    </row>
    <row r="2308" spans="47:47" x14ac:dyDescent="0.25">
      <c r="AU2308" s="8" t="str">
        <f>IF(TRIM($G2308)="","",IF(COUNTIF(LISTS!$I$2:$I$16,TRIM($G2308))&gt;0,"COUNTED",IF(COUNTIF(LISTS!$J$2:$J$16,TRIM($G2308))&gt;0,"LEFT OUT","NEW")))</f>
        <v/>
      </c>
    </row>
    <row r="2309" spans="47:47" x14ac:dyDescent="0.25">
      <c r="AU2309" s="8" t="str">
        <f>IF(TRIM($G2309)="","",IF(COUNTIF(LISTS!$I$2:$I$16,TRIM($G2309))&gt;0,"COUNTED",IF(COUNTIF(LISTS!$J$2:$J$16,TRIM($G2309))&gt;0,"LEFT OUT","NEW")))</f>
        <v/>
      </c>
    </row>
    <row r="2310" spans="47:47" x14ac:dyDescent="0.25">
      <c r="AU2310" s="8" t="str">
        <f>IF(TRIM($G2310)="","",IF(COUNTIF(LISTS!$I$2:$I$16,TRIM($G2310))&gt;0,"COUNTED",IF(COUNTIF(LISTS!$J$2:$J$16,TRIM($G2310))&gt;0,"LEFT OUT","NEW")))</f>
        <v/>
      </c>
    </row>
    <row r="2311" spans="47:47" x14ac:dyDescent="0.25">
      <c r="AU2311" s="8" t="str">
        <f>IF(TRIM($G2311)="","",IF(COUNTIF(LISTS!$I$2:$I$16,TRIM($G2311))&gt;0,"COUNTED",IF(COUNTIF(LISTS!$J$2:$J$16,TRIM($G2311))&gt;0,"LEFT OUT","NEW")))</f>
        <v/>
      </c>
    </row>
    <row r="2312" spans="47:47" x14ac:dyDescent="0.25">
      <c r="AU2312" s="8" t="str">
        <f>IF(TRIM($G2312)="","",IF(COUNTIF(LISTS!$I$2:$I$16,TRIM($G2312))&gt;0,"COUNTED",IF(COUNTIF(LISTS!$J$2:$J$16,TRIM($G2312))&gt;0,"LEFT OUT","NEW")))</f>
        <v/>
      </c>
    </row>
    <row r="2313" spans="47:47" x14ac:dyDescent="0.25">
      <c r="AU2313" s="8" t="str">
        <f>IF(TRIM($G2313)="","",IF(COUNTIF(LISTS!$I$2:$I$16,TRIM($G2313))&gt;0,"COUNTED",IF(COUNTIF(LISTS!$J$2:$J$16,TRIM($G2313))&gt;0,"LEFT OUT","NEW")))</f>
        <v/>
      </c>
    </row>
    <row r="2314" spans="47:47" x14ac:dyDescent="0.25">
      <c r="AU2314" s="8" t="str">
        <f>IF(TRIM($G2314)="","",IF(COUNTIF(LISTS!$I$2:$I$16,TRIM($G2314))&gt;0,"COUNTED",IF(COUNTIF(LISTS!$J$2:$J$16,TRIM($G2314))&gt;0,"LEFT OUT","NEW")))</f>
        <v/>
      </c>
    </row>
    <row r="2315" spans="47:47" x14ac:dyDescent="0.25">
      <c r="AU2315" s="8" t="str">
        <f>IF(TRIM($G2315)="","",IF(COUNTIF(LISTS!$I$2:$I$16,TRIM($G2315))&gt;0,"COUNTED",IF(COUNTIF(LISTS!$J$2:$J$16,TRIM($G2315))&gt;0,"LEFT OUT","NEW")))</f>
        <v/>
      </c>
    </row>
    <row r="2316" spans="47:47" x14ac:dyDescent="0.25">
      <c r="AU2316" s="8" t="str">
        <f>IF(TRIM($G2316)="","",IF(COUNTIF(LISTS!$I$2:$I$16,TRIM($G2316))&gt;0,"COUNTED",IF(COUNTIF(LISTS!$J$2:$J$16,TRIM($G2316))&gt;0,"LEFT OUT","NEW")))</f>
        <v/>
      </c>
    </row>
    <row r="2317" spans="47:47" x14ac:dyDescent="0.25">
      <c r="AU2317" s="8" t="str">
        <f>IF(TRIM($G2317)="","",IF(COUNTIF(LISTS!$I$2:$I$16,TRIM($G2317))&gt;0,"COUNTED",IF(COUNTIF(LISTS!$J$2:$J$16,TRIM($G2317))&gt;0,"LEFT OUT","NEW")))</f>
        <v/>
      </c>
    </row>
    <row r="2318" spans="47:47" x14ac:dyDescent="0.25">
      <c r="AU2318" s="8" t="str">
        <f>IF(TRIM($G2318)="","",IF(COUNTIF(LISTS!$I$2:$I$16,TRIM($G2318))&gt;0,"COUNTED",IF(COUNTIF(LISTS!$J$2:$J$16,TRIM($G2318))&gt;0,"LEFT OUT","NEW")))</f>
        <v/>
      </c>
    </row>
    <row r="2319" spans="47:47" x14ac:dyDescent="0.25">
      <c r="AU2319" s="8" t="str">
        <f>IF(TRIM($G2319)="","",IF(COUNTIF(LISTS!$I$2:$I$16,TRIM($G2319))&gt;0,"COUNTED",IF(COUNTIF(LISTS!$J$2:$J$16,TRIM($G2319))&gt;0,"LEFT OUT","NEW")))</f>
        <v/>
      </c>
    </row>
    <row r="2320" spans="47:47" x14ac:dyDescent="0.25">
      <c r="AU2320" s="8" t="str">
        <f>IF(TRIM($G2320)="","",IF(COUNTIF(LISTS!$I$2:$I$16,TRIM($G2320))&gt;0,"COUNTED",IF(COUNTIF(LISTS!$J$2:$J$16,TRIM($G2320))&gt;0,"LEFT OUT","NEW")))</f>
        <v/>
      </c>
    </row>
    <row r="2321" spans="47:47" x14ac:dyDescent="0.25">
      <c r="AU2321" s="8" t="str">
        <f>IF(TRIM($G2321)="","",IF(COUNTIF(LISTS!$I$2:$I$16,TRIM($G2321))&gt;0,"COUNTED",IF(COUNTIF(LISTS!$J$2:$J$16,TRIM($G2321))&gt;0,"LEFT OUT","NEW")))</f>
        <v/>
      </c>
    </row>
    <row r="2322" spans="47:47" x14ac:dyDescent="0.25">
      <c r="AU2322" s="8" t="str">
        <f>IF(TRIM($G2322)="","",IF(COUNTIF(LISTS!$I$2:$I$16,TRIM($G2322))&gt;0,"COUNTED",IF(COUNTIF(LISTS!$J$2:$J$16,TRIM($G2322))&gt;0,"LEFT OUT","NEW")))</f>
        <v/>
      </c>
    </row>
    <row r="2323" spans="47:47" x14ac:dyDescent="0.25">
      <c r="AU2323" s="8" t="str">
        <f>IF(TRIM($G2323)="","",IF(COUNTIF(LISTS!$I$2:$I$16,TRIM($G2323))&gt;0,"COUNTED",IF(COUNTIF(LISTS!$J$2:$J$16,TRIM($G2323))&gt;0,"LEFT OUT","NEW")))</f>
        <v/>
      </c>
    </row>
    <row r="2324" spans="47:47" x14ac:dyDescent="0.25">
      <c r="AU2324" s="8" t="str">
        <f>IF(TRIM($G2324)="","",IF(COUNTIF(LISTS!$I$2:$I$16,TRIM($G2324))&gt;0,"COUNTED",IF(COUNTIF(LISTS!$J$2:$J$16,TRIM($G2324))&gt;0,"LEFT OUT","NEW")))</f>
        <v/>
      </c>
    </row>
    <row r="2325" spans="47:47" x14ac:dyDescent="0.25">
      <c r="AU2325" s="8" t="str">
        <f>IF(TRIM($G2325)="","",IF(COUNTIF(LISTS!$I$2:$I$16,TRIM($G2325))&gt;0,"COUNTED",IF(COUNTIF(LISTS!$J$2:$J$16,TRIM($G2325))&gt;0,"LEFT OUT","NEW")))</f>
        <v/>
      </c>
    </row>
    <row r="2326" spans="47:47" x14ac:dyDescent="0.25">
      <c r="AU2326" s="8" t="str">
        <f>IF(TRIM($G2326)="","",IF(COUNTIF(LISTS!$I$2:$I$16,TRIM($G2326))&gt;0,"COUNTED",IF(COUNTIF(LISTS!$J$2:$J$16,TRIM($G2326))&gt;0,"LEFT OUT","NEW")))</f>
        <v/>
      </c>
    </row>
    <row r="2327" spans="47:47" x14ac:dyDescent="0.25">
      <c r="AU2327" s="8" t="str">
        <f>IF(TRIM($G2327)="","",IF(COUNTIF(LISTS!$I$2:$I$16,TRIM($G2327))&gt;0,"COUNTED",IF(COUNTIF(LISTS!$J$2:$J$16,TRIM($G2327))&gt;0,"LEFT OUT","NEW")))</f>
        <v/>
      </c>
    </row>
    <row r="2328" spans="47:47" x14ac:dyDescent="0.25">
      <c r="AU2328" s="8" t="str">
        <f>IF(TRIM($G2328)="","",IF(COUNTIF(LISTS!$I$2:$I$16,TRIM($G2328))&gt;0,"COUNTED",IF(COUNTIF(LISTS!$J$2:$J$16,TRIM($G2328))&gt;0,"LEFT OUT","NEW")))</f>
        <v/>
      </c>
    </row>
    <row r="2329" spans="47:47" x14ac:dyDescent="0.25">
      <c r="AU2329" s="8" t="str">
        <f>IF(TRIM($G2329)="","",IF(COUNTIF(LISTS!$I$2:$I$16,TRIM($G2329))&gt;0,"COUNTED",IF(COUNTIF(LISTS!$J$2:$J$16,TRIM($G2329))&gt;0,"LEFT OUT","NEW")))</f>
        <v/>
      </c>
    </row>
    <row r="2330" spans="47:47" x14ac:dyDescent="0.25">
      <c r="AU2330" s="8" t="str">
        <f>IF(TRIM($G2330)="","",IF(COUNTIF(LISTS!$I$2:$I$16,TRIM($G2330))&gt;0,"COUNTED",IF(COUNTIF(LISTS!$J$2:$J$16,TRIM($G2330))&gt;0,"LEFT OUT","NEW")))</f>
        <v/>
      </c>
    </row>
    <row r="2331" spans="47:47" x14ac:dyDescent="0.25">
      <c r="AU2331" s="8" t="str">
        <f>IF(TRIM($G2331)="","",IF(COUNTIF(LISTS!$I$2:$I$16,TRIM($G2331))&gt;0,"COUNTED",IF(COUNTIF(LISTS!$J$2:$J$16,TRIM($G2331))&gt;0,"LEFT OUT","NEW")))</f>
        <v/>
      </c>
    </row>
    <row r="2332" spans="47:47" x14ac:dyDescent="0.25">
      <c r="AU2332" s="8" t="str">
        <f>IF(TRIM($G2332)="","",IF(COUNTIF(LISTS!$I$2:$I$16,TRIM($G2332))&gt;0,"COUNTED",IF(COUNTIF(LISTS!$J$2:$J$16,TRIM($G2332))&gt;0,"LEFT OUT","NEW")))</f>
        <v/>
      </c>
    </row>
    <row r="2333" spans="47:47" x14ac:dyDescent="0.25">
      <c r="AU2333" s="8" t="str">
        <f>IF(TRIM($G2333)="","",IF(COUNTIF(LISTS!$I$2:$I$16,TRIM($G2333))&gt;0,"COUNTED",IF(COUNTIF(LISTS!$J$2:$J$16,TRIM($G2333))&gt;0,"LEFT OUT","NEW")))</f>
        <v/>
      </c>
    </row>
    <row r="2334" spans="47:47" x14ac:dyDescent="0.25">
      <c r="AU2334" s="8" t="str">
        <f>IF(TRIM($G2334)="","",IF(COUNTIF(LISTS!$I$2:$I$16,TRIM($G2334))&gt;0,"COUNTED",IF(COUNTIF(LISTS!$J$2:$J$16,TRIM($G2334))&gt;0,"LEFT OUT","NEW")))</f>
        <v/>
      </c>
    </row>
    <row r="2335" spans="47:47" x14ac:dyDescent="0.25">
      <c r="AU2335" s="8" t="str">
        <f>IF(TRIM($G2335)="","",IF(COUNTIF(LISTS!$I$2:$I$16,TRIM($G2335))&gt;0,"COUNTED",IF(COUNTIF(LISTS!$J$2:$J$16,TRIM($G2335))&gt;0,"LEFT OUT","NEW")))</f>
        <v/>
      </c>
    </row>
    <row r="2336" spans="47:47" x14ac:dyDescent="0.25">
      <c r="AU2336" s="8" t="str">
        <f>IF(TRIM($G2336)="","",IF(COUNTIF(LISTS!$I$2:$I$16,TRIM($G2336))&gt;0,"COUNTED",IF(COUNTIF(LISTS!$J$2:$J$16,TRIM($G2336))&gt;0,"LEFT OUT","NEW")))</f>
        <v/>
      </c>
    </row>
    <row r="2337" spans="47:47" x14ac:dyDescent="0.25">
      <c r="AU2337" s="8" t="str">
        <f>IF(TRIM($G2337)="","",IF(COUNTIF(LISTS!$I$2:$I$16,TRIM($G2337))&gt;0,"COUNTED",IF(COUNTIF(LISTS!$J$2:$J$16,TRIM($G2337))&gt;0,"LEFT OUT","NEW")))</f>
        <v/>
      </c>
    </row>
    <row r="2338" spans="47:47" x14ac:dyDescent="0.25">
      <c r="AU2338" s="8" t="str">
        <f>IF(TRIM($G2338)="","",IF(COUNTIF(LISTS!$I$2:$I$16,TRIM($G2338))&gt;0,"COUNTED",IF(COUNTIF(LISTS!$J$2:$J$16,TRIM($G2338))&gt;0,"LEFT OUT","NEW")))</f>
        <v/>
      </c>
    </row>
    <row r="2339" spans="47:47" x14ac:dyDescent="0.25">
      <c r="AU2339" s="8" t="str">
        <f>IF(TRIM($G2339)="","",IF(COUNTIF(LISTS!$I$2:$I$16,TRIM($G2339))&gt;0,"COUNTED",IF(COUNTIF(LISTS!$J$2:$J$16,TRIM($G2339))&gt;0,"LEFT OUT","NEW")))</f>
        <v/>
      </c>
    </row>
    <row r="2340" spans="47:47" x14ac:dyDescent="0.25">
      <c r="AU2340" s="8" t="str">
        <f>IF(TRIM($G2340)="","",IF(COUNTIF(LISTS!$I$2:$I$16,TRIM($G2340))&gt;0,"COUNTED",IF(COUNTIF(LISTS!$J$2:$J$16,TRIM($G2340))&gt;0,"LEFT OUT","NEW")))</f>
        <v/>
      </c>
    </row>
    <row r="2341" spans="47:47" x14ac:dyDescent="0.25">
      <c r="AU2341" s="8" t="str">
        <f>IF(TRIM($G2341)="","",IF(COUNTIF(LISTS!$I$2:$I$16,TRIM($G2341))&gt;0,"COUNTED",IF(COUNTIF(LISTS!$J$2:$J$16,TRIM($G2341))&gt;0,"LEFT OUT","NEW")))</f>
        <v/>
      </c>
    </row>
    <row r="2342" spans="47:47" x14ac:dyDescent="0.25">
      <c r="AU2342" s="8" t="str">
        <f>IF(TRIM($G2342)="","",IF(COUNTIF(LISTS!$I$2:$I$16,TRIM($G2342))&gt;0,"COUNTED",IF(COUNTIF(LISTS!$J$2:$J$16,TRIM($G2342))&gt;0,"LEFT OUT","NEW")))</f>
        <v/>
      </c>
    </row>
    <row r="2343" spans="47:47" x14ac:dyDescent="0.25">
      <c r="AU2343" s="8" t="str">
        <f>IF(TRIM($G2343)="","",IF(COUNTIF(LISTS!$I$2:$I$16,TRIM($G2343))&gt;0,"COUNTED",IF(COUNTIF(LISTS!$J$2:$J$16,TRIM($G2343))&gt;0,"LEFT OUT","NEW")))</f>
        <v/>
      </c>
    </row>
    <row r="2344" spans="47:47" x14ac:dyDescent="0.25">
      <c r="AU2344" s="8" t="str">
        <f>IF(TRIM($G2344)="","",IF(COUNTIF(LISTS!$I$2:$I$16,TRIM($G2344))&gt;0,"COUNTED",IF(COUNTIF(LISTS!$J$2:$J$16,TRIM($G2344))&gt;0,"LEFT OUT","NEW")))</f>
        <v/>
      </c>
    </row>
    <row r="2345" spans="47:47" x14ac:dyDescent="0.25">
      <c r="AU2345" s="8" t="str">
        <f>IF(TRIM($G2345)="","",IF(COUNTIF(LISTS!$I$2:$I$16,TRIM($G2345))&gt;0,"COUNTED",IF(COUNTIF(LISTS!$J$2:$J$16,TRIM($G2345))&gt;0,"LEFT OUT","NEW")))</f>
        <v/>
      </c>
    </row>
    <row r="2346" spans="47:47" x14ac:dyDescent="0.25">
      <c r="AU2346" s="8" t="str">
        <f>IF(TRIM($G2346)="","",IF(COUNTIF(LISTS!$I$2:$I$16,TRIM($G2346))&gt;0,"COUNTED",IF(COUNTIF(LISTS!$J$2:$J$16,TRIM($G2346))&gt;0,"LEFT OUT","NEW")))</f>
        <v/>
      </c>
    </row>
    <row r="2347" spans="47:47" x14ac:dyDescent="0.25">
      <c r="AU2347" s="8" t="str">
        <f>IF(TRIM($G2347)="","",IF(COUNTIF(LISTS!$I$2:$I$16,TRIM($G2347))&gt;0,"COUNTED",IF(COUNTIF(LISTS!$J$2:$J$16,TRIM($G2347))&gt;0,"LEFT OUT","NEW")))</f>
        <v/>
      </c>
    </row>
    <row r="2348" spans="47:47" x14ac:dyDescent="0.25">
      <c r="AU2348" s="8" t="str">
        <f>IF(TRIM($G2348)="","",IF(COUNTIF(LISTS!$I$2:$I$16,TRIM($G2348))&gt;0,"COUNTED",IF(COUNTIF(LISTS!$J$2:$J$16,TRIM($G2348))&gt;0,"LEFT OUT","NEW")))</f>
        <v/>
      </c>
    </row>
    <row r="2349" spans="47:47" x14ac:dyDescent="0.25">
      <c r="AU2349" s="8" t="str">
        <f>IF(TRIM($G2349)="","",IF(COUNTIF(LISTS!$I$2:$I$16,TRIM($G2349))&gt;0,"COUNTED",IF(COUNTIF(LISTS!$J$2:$J$16,TRIM($G2349))&gt;0,"LEFT OUT","NEW")))</f>
        <v/>
      </c>
    </row>
    <row r="2350" spans="47:47" x14ac:dyDescent="0.25">
      <c r="AU2350" s="8" t="str">
        <f>IF(TRIM($G2350)="","",IF(COUNTIF(LISTS!$I$2:$I$16,TRIM($G2350))&gt;0,"COUNTED",IF(COUNTIF(LISTS!$J$2:$J$16,TRIM($G2350))&gt;0,"LEFT OUT","NEW")))</f>
        <v/>
      </c>
    </row>
    <row r="2351" spans="47:47" x14ac:dyDescent="0.25">
      <c r="AU2351" s="8" t="str">
        <f>IF(TRIM($G2351)="","",IF(COUNTIF(LISTS!$I$2:$I$16,TRIM($G2351))&gt;0,"COUNTED",IF(COUNTIF(LISTS!$J$2:$J$16,TRIM($G2351))&gt;0,"LEFT OUT","NEW")))</f>
        <v/>
      </c>
    </row>
    <row r="2352" spans="47:47" x14ac:dyDescent="0.25">
      <c r="AU2352" s="8" t="str">
        <f>IF(TRIM($G2352)="","",IF(COUNTIF(LISTS!$I$2:$I$16,TRIM($G2352))&gt;0,"COUNTED",IF(COUNTIF(LISTS!$J$2:$J$16,TRIM($G2352))&gt;0,"LEFT OUT","NEW")))</f>
        <v/>
      </c>
    </row>
    <row r="2353" spans="47:47" x14ac:dyDescent="0.25">
      <c r="AU2353" s="8" t="str">
        <f>IF(TRIM($G2353)="","",IF(COUNTIF(LISTS!$I$2:$I$16,TRIM($G2353))&gt;0,"COUNTED",IF(COUNTIF(LISTS!$J$2:$J$16,TRIM($G2353))&gt;0,"LEFT OUT","NEW")))</f>
        <v/>
      </c>
    </row>
    <row r="2354" spans="47:47" x14ac:dyDescent="0.25">
      <c r="AU2354" s="8" t="str">
        <f>IF(TRIM($G2354)="","",IF(COUNTIF(LISTS!$I$2:$I$16,TRIM($G2354))&gt;0,"COUNTED",IF(COUNTIF(LISTS!$J$2:$J$16,TRIM($G2354))&gt;0,"LEFT OUT","NEW")))</f>
        <v/>
      </c>
    </row>
    <row r="2355" spans="47:47" x14ac:dyDescent="0.25">
      <c r="AU2355" s="8" t="str">
        <f>IF(TRIM($G2355)="","",IF(COUNTIF(LISTS!$I$2:$I$16,TRIM($G2355))&gt;0,"COUNTED",IF(COUNTIF(LISTS!$J$2:$J$16,TRIM($G2355))&gt;0,"LEFT OUT","NEW")))</f>
        <v/>
      </c>
    </row>
    <row r="2356" spans="47:47" x14ac:dyDescent="0.25">
      <c r="AU2356" s="8" t="str">
        <f>IF(TRIM($G2356)="","",IF(COUNTIF(LISTS!$I$2:$I$16,TRIM($G2356))&gt;0,"COUNTED",IF(COUNTIF(LISTS!$J$2:$J$16,TRIM($G2356))&gt;0,"LEFT OUT","NEW")))</f>
        <v/>
      </c>
    </row>
    <row r="2357" spans="47:47" x14ac:dyDescent="0.25">
      <c r="AU2357" s="8" t="str">
        <f>IF(TRIM($G2357)="","",IF(COUNTIF(LISTS!$I$2:$I$16,TRIM($G2357))&gt;0,"COUNTED",IF(COUNTIF(LISTS!$J$2:$J$16,TRIM($G2357))&gt;0,"LEFT OUT","NEW")))</f>
        <v/>
      </c>
    </row>
    <row r="2358" spans="47:47" x14ac:dyDescent="0.25">
      <c r="AU2358" s="8" t="str">
        <f>IF(TRIM($G2358)="","",IF(COUNTIF(LISTS!$I$2:$I$16,TRIM($G2358))&gt;0,"COUNTED",IF(COUNTIF(LISTS!$J$2:$J$16,TRIM($G2358))&gt;0,"LEFT OUT","NEW")))</f>
        <v/>
      </c>
    </row>
    <row r="2359" spans="47:47" x14ac:dyDescent="0.25">
      <c r="AU2359" s="8" t="str">
        <f>IF(TRIM($G2359)="","",IF(COUNTIF(LISTS!$I$2:$I$16,TRIM($G2359))&gt;0,"COUNTED",IF(COUNTIF(LISTS!$J$2:$J$16,TRIM($G2359))&gt;0,"LEFT OUT","NEW")))</f>
        <v/>
      </c>
    </row>
    <row r="2360" spans="47:47" x14ac:dyDescent="0.25">
      <c r="AU2360" s="8" t="str">
        <f>IF(TRIM($G2360)="","",IF(COUNTIF(LISTS!$I$2:$I$16,TRIM($G2360))&gt;0,"COUNTED",IF(COUNTIF(LISTS!$J$2:$J$16,TRIM($G2360))&gt;0,"LEFT OUT","NEW")))</f>
        <v/>
      </c>
    </row>
    <row r="2361" spans="47:47" x14ac:dyDescent="0.25">
      <c r="AU2361" s="8" t="str">
        <f>IF(TRIM($G2361)="","",IF(COUNTIF(LISTS!$I$2:$I$16,TRIM($G2361))&gt;0,"COUNTED",IF(COUNTIF(LISTS!$J$2:$J$16,TRIM($G2361))&gt;0,"LEFT OUT","NEW")))</f>
        <v/>
      </c>
    </row>
    <row r="2362" spans="47:47" x14ac:dyDescent="0.25">
      <c r="AU2362" s="8" t="str">
        <f>IF(TRIM($G2362)="","",IF(COUNTIF(LISTS!$I$2:$I$16,TRIM($G2362))&gt;0,"COUNTED",IF(COUNTIF(LISTS!$J$2:$J$16,TRIM($G2362))&gt;0,"LEFT OUT","NEW")))</f>
        <v/>
      </c>
    </row>
    <row r="2363" spans="47:47" x14ac:dyDescent="0.25">
      <c r="AU2363" s="8" t="str">
        <f>IF(TRIM($G2363)="","",IF(COUNTIF(LISTS!$I$2:$I$16,TRIM($G2363))&gt;0,"COUNTED",IF(COUNTIF(LISTS!$J$2:$J$16,TRIM($G2363))&gt;0,"LEFT OUT","NEW")))</f>
        <v/>
      </c>
    </row>
    <row r="2364" spans="47:47" x14ac:dyDescent="0.25">
      <c r="AU2364" s="8" t="str">
        <f>IF(TRIM($G2364)="","",IF(COUNTIF(LISTS!$I$2:$I$16,TRIM($G2364))&gt;0,"COUNTED",IF(COUNTIF(LISTS!$J$2:$J$16,TRIM($G2364))&gt;0,"LEFT OUT","NEW")))</f>
        <v/>
      </c>
    </row>
    <row r="2365" spans="47:47" x14ac:dyDescent="0.25">
      <c r="AU2365" s="8" t="str">
        <f>IF(TRIM($G2365)="","",IF(COUNTIF(LISTS!$I$2:$I$16,TRIM($G2365))&gt;0,"COUNTED",IF(COUNTIF(LISTS!$J$2:$J$16,TRIM($G2365))&gt;0,"LEFT OUT","NEW")))</f>
        <v/>
      </c>
    </row>
    <row r="2366" spans="47:47" x14ac:dyDescent="0.25">
      <c r="AU2366" s="8" t="str">
        <f>IF(TRIM($G2366)="","",IF(COUNTIF(LISTS!$I$2:$I$16,TRIM($G2366))&gt;0,"COUNTED",IF(COUNTIF(LISTS!$J$2:$J$16,TRIM($G2366))&gt;0,"LEFT OUT","NEW")))</f>
        <v/>
      </c>
    </row>
    <row r="2367" spans="47:47" x14ac:dyDescent="0.25">
      <c r="AU2367" s="8" t="str">
        <f>IF(TRIM($G2367)="","",IF(COUNTIF(LISTS!$I$2:$I$16,TRIM($G2367))&gt;0,"COUNTED",IF(COUNTIF(LISTS!$J$2:$J$16,TRIM($G2367))&gt;0,"LEFT OUT","NEW")))</f>
        <v/>
      </c>
    </row>
    <row r="2368" spans="47:47" x14ac:dyDescent="0.25">
      <c r="AU2368" s="8" t="str">
        <f>IF(TRIM($G2368)="","",IF(COUNTIF(LISTS!$I$2:$I$16,TRIM($G2368))&gt;0,"COUNTED",IF(COUNTIF(LISTS!$J$2:$J$16,TRIM($G2368))&gt;0,"LEFT OUT","NEW")))</f>
        <v/>
      </c>
    </row>
    <row r="2369" spans="47:47" x14ac:dyDescent="0.25">
      <c r="AU2369" s="8" t="str">
        <f>IF(TRIM($G2369)="","",IF(COUNTIF(LISTS!$I$2:$I$16,TRIM($G2369))&gt;0,"COUNTED",IF(COUNTIF(LISTS!$J$2:$J$16,TRIM($G2369))&gt;0,"LEFT OUT","NEW")))</f>
        <v/>
      </c>
    </row>
    <row r="2370" spans="47:47" x14ac:dyDescent="0.25">
      <c r="AU2370" s="8" t="str">
        <f>IF(TRIM($G2370)="","",IF(COUNTIF(LISTS!$I$2:$I$16,TRIM($G2370))&gt;0,"COUNTED",IF(COUNTIF(LISTS!$J$2:$J$16,TRIM($G2370))&gt;0,"LEFT OUT","NEW")))</f>
        <v/>
      </c>
    </row>
    <row r="2371" spans="47:47" x14ac:dyDescent="0.25">
      <c r="AU2371" s="8" t="str">
        <f>IF(TRIM($G2371)="","",IF(COUNTIF(LISTS!$I$2:$I$16,TRIM($G2371))&gt;0,"COUNTED",IF(COUNTIF(LISTS!$J$2:$J$16,TRIM($G2371))&gt;0,"LEFT OUT","NEW")))</f>
        <v/>
      </c>
    </row>
    <row r="2372" spans="47:47" x14ac:dyDescent="0.25">
      <c r="AU2372" s="8" t="str">
        <f>IF(TRIM($G2372)="","",IF(COUNTIF(LISTS!$I$2:$I$16,TRIM($G2372))&gt;0,"COUNTED",IF(COUNTIF(LISTS!$J$2:$J$16,TRIM($G2372))&gt;0,"LEFT OUT","NEW")))</f>
        <v/>
      </c>
    </row>
    <row r="2373" spans="47:47" x14ac:dyDescent="0.25">
      <c r="AU2373" s="8" t="str">
        <f>IF(TRIM($G2373)="","",IF(COUNTIF(LISTS!$I$2:$I$16,TRIM($G2373))&gt;0,"COUNTED",IF(COUNTIF(LISTS!$J$2:$J$16,TRIM($G2373))&gt;0,"LEFT OUT","NEW")))</f>
        <v/>
      </c>
    </row>
    <row r="2374" spans="47:47" x14ac:dyDescent="0.25">
      <c r="AU2374" s="8" t="str">
        <f>IF(TRIM($G2374)="","",IF(COUNTIF(LISTS!$I$2:$I$16,TRIM($G2374))&gt;0,"COUNTED",IF(COUNTIF(LISTS!$J$2:$J$16,TRIM($G2374))&gt;0,"LEFT OUT","NEW")))</f>
        <v/>
      </c>
    </row>
    <row r="2375" spans="47:47" x14ac:dyDescent="0.25">
      <c r="AU2375" s="8" t="str">
        <f>IF(TRIM($G2375)="","",IF(COUNTIF(LISTS!$I$2:$I$16,TRIM($G2375))&gt;0,"COUNTED",IF(COUNTIF(LISTS!$J$2:$J$16,TRIM($G2375))&gt;0,"LEFT OUT","NEW")))</f>
        <v/>
      </c>
    </row>
    <row r="2376" spans="47:47" x14ac:dyDescent="0.25">
      <c r="AU2376" s="8" t="str">
        <f>IF(TRIM($G2376)="","",IF(COUNTIF(LISTS!$I$2:$I$16,TRIM($G2376))&gt;0,"COUNTED",IF(COUNTIF(LISTS!$J$2:$J$16,TRIM($G2376))&gt;0,"LEFT OUT","NEW")))</f>
        <v/>
      </c>
    </row>
    <row r="2377" spans="47:47" x14ac:dyDescent="0.25">
      <c r="AU2377" s="8" t="str">
        <f>IF(TRIM($G2377)="","",IF(COUNTIF(LISTS!$I$2:$I$16,TRIM($G2377))&gt;0,"COUNTED",IF(COUNTIF(LISTS!$J$2:$J$16,TRIM($G2377))&gt;0,"LEFT OUT","NEW")))</f>
        <v/>
      </c>
    </row>
    <row r="2378" spans="47:47" x14ac:dyDescent="0.25">
      <c r="AU2378" s="8" t="str">
        <f>IF(TRIM($G2378)="","",IF(COUNTIF(LISTS!$I$2:$I$16,TRIM($G2378))&gt;0,"COUNTED",IF(COUNTIF(LISTS!$J$2:$J$16,TRIM($G2378))&gt;0,"LEFT OUT","NEW")))</f>
        <v/>
      </c>
    </row>
    <row r="2379" spans="47:47" x14ac:dyDescent="0.25">
      <c r="AU2379" s="8" t="str">
        <f>IF(TRIM($G2379)="","",IF(COUNTIF(LISTS!$I$2:$I$16,TRIM($G2379))&gt;0,"COUNTED",IF(COUNTIF(LISTS!$J$2:$J$16,TRIM($G2379))&gt;0,"LEFT OUT","NEW")))</f>
        <v/>
      </c>
    </row>
    <row r="2380" spans="47:47" x14ac:dyDescent="0.25">
      <c r="AU2380" s="8" t="str">
        <f>IF(TRIM($G2380)="","",IF(COUNTIF(LISTS!$I$2:$I$16,TRIM($G2380))&gt;0,"COUNTED",IF(COUNTIF(LISTS!$J$2:$J$16,TRIM($G2380))&gt;0,"LEFT OUT","NEW")))</f>
        <v/>
      </c>
    </row>
    <row r="2381" spans="47:47" x14ac:dyDescent="0.25">
      <c r="AU2381" s="8" t="str">
        <f>IF(TRIM($G2381)="","",IF(COUNTIF(LISTS!$I$2:$I$16,TRIM($G2381))&gt;0,"COUNTED",IF(COUNTIF(LISTS!$J$2:$J$16,TRIM($G2381))&gt;0,"LEFT OUT","NEW")))</f>
        <v/>
      </c>
    </row>
    <row r="2382" spans="47:47" x14ac:dyDescent="0.25">
      <c r="AU2382" s="8" t="str">
        <f>IF(TRIM($G2382)="","",IF(COUNTIF(LISTS!$I$2:$I$16,TRIM($G2382))&gt;0,"COUNTED",IF(COUNTIF(LISTS!$J$2:$J$16,TRIM($G2382))&gt;0,"LEFT OUT","NEW")))</f>
        <v/>
      </c>
    </row>
    <row r="2383" spans="47:47" x14ac:dyDescent="0.25">
      <c r="AU2383" s="8" t="str">
        <f>IF(TRIM($G2383)="","",IF(COUNTIF(LISTS!$I$2:$I$16,TRIM($G2383))&gt;0,"COUNTED",IF(COUNTIF(LISTS!$J$2:$J$16,TRIM($G2383))&gt;0,"LEFT OUT","NEW")))</f>
        <v/>
      </c>
    </row>
    <row r="2384" spans="47:47" x14ac:dyDescent="0.25">
      <c r="AU2384" s="8" t="str">
        <f>IF(TRIM($G2384)="","",IF(COUNTIF(LISTS!$I$2:$I$16,TRIM($G2384))&gt;0,"COUNTED",IF(COUNTIF(LISTS!$J$2:$J$16,TRIM($G2384))&gt;0,"LEFT OUT","NEW")))</f>
        <v/>
      </c>
    </row>
    <row r="2385" spans="47:47" x14ac:dyDescent="0.25">
      <c r="AU2385" s="8" t="str">
        <f>IF(TRIM($G2385)="","",IF(COUNTIF(LISTS!$I$2:$I$16,TRIM($G2385))&gt;0,"COUNTED",IF(COUNTIF(LISTS!$J$2:$J$16,TRIM($G2385))&gt;0,"LEFT OUT","NEW")))</f>
        <v/>
      </c>
    </row>
    <row r="2386" spans="47:47" x14ac:dyDescent="0.25">
      <c r="AU2386" s="8" t="str">
        <f>IF(TRIM($G2386)="","",IF(COUNTIF(LISTS!$I$2:$I$16,TRIM($G2386))&gt;0,"COUNTED",IF(COUNTIF(LISTS!$J$2:$J$16,TRIM($G2386))&gt;0,"LEFT OUT","NEW")))</f>
        <v/>
      </c>
    </row>
    <row r="2387" spans="47:47" x14ac:dyDescent="0.25">
      <c r="AU2387" s="8" t="str">
        <f>IF(TRIM($G2387)="","",IF(COUNTIF(LISTS!$I$2:$I$16,TRIM($G2387))&gt;0,"COUNTED",IF(COUNTIF(LISTS!$J$2:$J$16,TRIM($G2387))&gt;0,"LEFT OUT","NEW")))</f>
        <v/>
      </c>
    </row>
    <row r="2388" spans="47:47" x14ac:dyDescent="0.25">
      <c r="AU2388" s="8" t="str">
        <f>IF(TRIM($G2388)="","",IF(COUNTIF(LISTS!$I$2:$I$16,TRIM($G2388))&gt;0,"COUNTED",IF(COUNTIF(LISTS!$J$2:$J$16,TRIM($G2388))&gt;0,"LEFT OUT","NEW")))</f>
        <v/>
      </c>
    </row>
    <row r="2389" spans="47:47" x14ac:dyDescent="0.25">
      <c r="AU2389" s="8" t="str">
        <f>IF(TRIM($G2389)="","",IF(COUNTIF(LISTS!$I$2:$I$16,TRIM($G2389))&gt;0,"COUNTED",IF(COUNTIF(LISTS!$J$2:$J$16,TRIM($G2389))&gt;0,"LEFT OUT","NEW")))</f>
        <v/>
      </c>
    </row>
    <row r="2390" spans="47:47" x14ac:dyDescent="0.25">
      <c r="AU2390" s="8" t="str">
        <f>IF(TRIM($G2390)="","",IF(COUNTIF(LISTS!$I$2:$I$16,TRIM($G2390))&gt;0,"COUNTED",IF(COUNTIF(LISTS!$J$2:$J$16,TRIM($G2390))&gt;0,"LEFT OUT","NEW")))</f>
        <v/>
      </c>
    </row>
    <row r="2391" spans="47:47" x14ac:dyDescent="0.25">
      <c r="AU2391" s="8" t="str">
        <f>IF(TRIM($G2391)="","",IF(COUNTIF(LISTS!$I$2:$I$16,TRIM($G2391))&gt;0,"COUNTED",IF(COUNTIF(LISTS!$J$2:$J$16,TRIM($G2391))&gt;0,"LEFT OUT","NEW")))</f>
        <v/>
      </c>
    </row>
    <row r="2392" spans="47:47" x14ac:dyDescent="0.25">
      <c r="AU2392" s="8" t="str">
        <f>IF(TRIM($G2392)="","",IF(COUNTIF(LISTS!$I$2:$I$16,TRIM($G2392))&gt;0,"COUNTED",IF(COUNTIF(LISTS!$J$2:$J$16,TRIM($G2392))&gt;0,"LEFT OUT","NEW")))</f>
        <v/>
      </c>
    </row>
    <row r="2393" spans="47:47" x14ac:dyDescent="0.25">
      <c r="AU2393" s="8" t="str">
        <f>IF(TRIM($G2393)="","",IF(COUNTIF(LISTS!$I$2:$I$16,TRIM($G2393))&gt;0,"COUNTED",IF(COUNTIF(LISTS!$J$2:$J$16,TRIM($G2393))&gt;0,"LEFT OUT","NEW")))</f>
        <v/>
      </c>
    </row>
    <row r="2394" spans="47:47" x14ac:dyDescent="0.25">
      <c r="AU2394" s="8" t="str">
        <f>IF(TRIM($G2394)="","",IF(COUNTIF(LISTS!$I$2:$I$16,TRIM($G2394))&gt;0,"COUNTED",IF(COUNTIF(LISTS!$J$2:$J$16,TRIM($G2394))&gt;0,"LEFT OUT","NEW")))</f>
        <v/>
      </c>
    </row>
    <row r="2395" spans="47:47" x14ac:dyDescent="0.25">
      <c r="AU2395" s="8" t="str">
        <f>IF(TRIM($G2395)="","",IF(COUNTIF(LISTS!$I$2:$I$16,TRIM($G2395))&gt;0,"COUNTED",IF(COUNTIF(LISTS!$J$2:$J$16,TRIM($G2395))&gt;0,"LEFT OUT","NEW")))</f>
        <v/>
      </c>
    </row>
    <row r="2396" spans="47:47" x14ac:dyDescent="0.25">
      <c r="AU2396" s="8" t="str">
        <f>IF(TRIM($G2396)="","",IF(COUNTIF(LISTS!$I$2:$I$16,TRIM($G2396))&gt;0,"COUNTED",IF(COUNTIF(LISTS!$J$2:$J$16,TRIM($G2396))&gt;0,"LEFT OUT","NEW")))</f>
        <v/>
      </c>
    </row>
    <row r="2397" spans="47:47" x14ac:dyDescent="0.25">
      <c r="AU2397" s="8" t="str">
        <f>IF(TRIM($G2397)="","",IF(COUNTIF(LISTS!$I$2:$I$16,TRIM($G2397))&gt;0,"COUNTED",IF(COUNTIF(LISTS!$J$2:$J$16,TRIM($G2397))&gt;0,"LEFT OUT","NEW")))</f>
        <v/>
      </c>
    </row>
    <row r="2398" spans="47:47" x14ac:dyDescent="0.25">
      <c r="AU2398" s="8" t="str">
        <f>IF(TRIM($G2398)="","",IF(COUNTIF(LISTS!$I$2:$I$16,TRIM($G2398))&gt;0,"COUNTED",IF(COUNTIF(LISTS!$J$2:$J$16,TRIM($G2398))&gt;0,"LEFT OUT","NEW")))</f>
        <v/>
      </c>
    </row>
    <row r="2399" spans="47:47" x14ac:dyDescent="0.25">
      <c r="AU2399" s="8" t="str">
        <f>IF(TRIM($G2399)="","",IF(COUNTIF(LISTS!$I$2:$I$16,TRIM($G2399))&gt;0,"COUNTED",IF(COUNTIF(LISTS!$J$2:$J$16,TRIM($G2399))&gt;0,"LEFT OUT","NEW")))</f>
        <v/>
      </c>
    </row>
    <row r="2400" spans="47:47" x14ac:dyDescent="0.25">
      <c r="AU2400" s="8" t="str">
        <f>IF(TRIM($G2400)="","",IF(COUNTIF(LISTS!$I$2:$I$16,TRIM($G2400))&gt;0,"COUNTED",IF(COUNTIF(LISTS!$J$2:$J$16,TRIM($G2400))&gt;0,"LEFT OUT","NEW")))</f>
        <v/>
      </c>
    </row>
    <row r="2401" spans="47:47" x14ac:dyDescent="0.25">
      <c r="AU2401" s="8" t="str">
        <f>IF(TRIM($G2401)="","",IF(COUNTIF(LISTS!$I$2:$I$16,TRIM($G2401))&gt;0,"COUNTED",IF(COUNTIF(LISTS!$J$2:$J$16,TRIM($G2401))&gt;0,"LEFT OUT","NEW")))</f>
        <v/>
      </c>
    </row>
    <row r="2402" spans="47:47" x14ac:dyDescent="0.25">
      <c r="AU2402" s="8" t="str">
        <f>IF(TRIM($G2402)="","",IF(COUNTIF(LISTS!$I$2:$I$16,TRIM($G2402))&gt;0,"COUNTED",IF(COUNTIF(LISTS!$J$2:$J$16,TRIM($G2402))&gt;0,"LEFT OUT","NEW")))</f>
        <v/>
      </c>
    </row>
    <row r="2403" spans="47:47" x14ac:dyDescent="0.25">
      <c r="AU2403" s="8" t="str">
        <f>IF(TRIM($G2403)="","",IF(COUNTIF(LISTS!$I$2:$I$16,TRIM($G2403))&gt;0,"COUNTED",IF(COUNTIF(LISTS!$J$2:$J$16,TRIM($G2403))&gt;0,"LEFT OUT","NEW")))</f>
        <v/>
      </c>
    </row>
    <row r="2404" spans="47:47" x14ac:dyDescent="0.25">
      <c r="AU2404" s="8" t="str">
        <f>IF(TRIM($G2404)="","",IF(COUNTIF(LISTS!$I$2:$I$16,TRIM($G2404))&gt;0,"COUNTED",IF(COUNTIF(LISTS!$J$2:$J$16,TRIM($G2404))&gt;0,"LEFT OUT","NEW")))</f>
        <v/>
      </c>
    </row>
    <row r="2405" spans="47:47" x14ac:dyDescent="0.25">
      <c r="AU2405" s="8" t="str">
        <f>IF(TRIM($G2405)="","",IF(COUNTIF(LISTS!$I$2:$I$16,TRIM($G2405))&gt;0,"COUNTED",IF(COUNTIF(LISTS!$J$2:$J$16,TRIM($G2405))&gt;0,"LEFT OUT","NEW")))</f>
        <v/>
      </c>
    </row>
    <row r="2406" spans="47:47" x14ac:dyDescent="0.25">
      <c r="AU2406" s="8" t="str">
        <f>IF(TRIM($G2406)="","",IF(COUNTIF(LISTS!$I$2:$I$16,TRIM($G2406))&gt;0,"COUNTED",IF(COUNTIF(LISTS!$J$2:$J$16,TRIM($G2406))&gt;0,"LEFT OUT","NEW")))</f>
        <v/>
      </c>
    </row>
    <row r="2407" spans="47:47" x14ac:dyDescent="0.25">
      <c r="AU2407" s="8" t="str">
        <f>IF(TRIM($G2407)="","",IF(COUNTIF(LISTS!$I$2:$I$16,TRIM($G2407))&gt;0,"COUNTED",IF(COUNTIF(LISTS!$J$2:$J$16,TRIM($G2407))&gt;0,"LEFT OUT","NEW")))</f>
        <v/>
      </c>
    </row>
    <row r="2408" spans="47:47" x14ac:dyDescent="0.25">
      <c r="AU2408" s="8" t="str">
        <f>IF(TRIM($G2408)="","",IF(COUNTIF(LISTS!$I$2:$I$16,TRIM($G2408))&gt;0,"COUNTED",IF(COUNTIF(LISTS!$J$2:$J$16,TRIM($G2408))&gt;0,"LEFT OUT","NEW")))</f>
        <v/>
      </c>
    </row>
    <row r="2409" spans="47:47" x14ac:dyDescent="0.25">
      <c r="AU2409" s="8" t="str">
        <f>IF(TRIM($G2409)="","",IF(COUNTIF(LISTS!$I$2:$I$16,TRIM($G2409))&gt;0,"COUNTED",IF(COUNTIF(LISTS!$J$2:$J$16,TRIM($G2409))&gt;0,"LEFT OUT","NEW")))</f>
        <v/>
      </c>
    </row>
    <row r="2410" spans="47:47" x14ac:dyDescent="0.25">
      <c r="AU2410" s="8" t="str">
        <f>IF(TRIM($G2410)="","",IF(COUNTIF(LISTS!$I$2:$I$16,TRIM($G2410))&gt;0,"COUNTED",IF(COUNTIF(LISTS!$J$2:$J$16,TRIM($G2410))&gt;0,"LEFT OUT","NEW")))</f>
        <v/>
      </c>
    </row>
    <row r="2411" spans="47:47" x14ac:dyDescent="0.25">
      <c r="AU2411" s="8" t="str">
        <f>IF(TRIM($G2411)="","",IF(COUNTIF(LISTS!$I$2:$I$16,TRIM($G2411))&gt;0,"COUNTED",IF(COUNTIF(LISTS!$J$2:$J$16,TRIM($G2411))&gt;0,"LEFT OUT","NEW")))</f>
        <v/>
      </c>
    </row>
    <row r="2412" spans="47:47" x14ac:dyDescent="0.25">
      <c r="AU2412" s="8" t="str">
        <f>IF(TRIM($G2412)="","",IF(COUNTIF(LISTS!$I$2:$I$16,TRIM($G2412))&gt;0,"COUNTED",IF(COUNTIF(LISTS!$J$2:$J$16,TRIM($G2412))&gt;0,"LEFT OUT","NEW")))</f>
        <v/>
      </c>
    </row>
    <row r="2413" spans="47:47" x14ac:dyDescent="0.25">
      <c r="AU2413" s="8" t="str">
        <f>IF(TRIM($G2413)="","",IF(COUNTIF(LISTS!$I$2:$I$16,TRIM($G2413))&gt;0,"COUNTED",IF(COUNTIF(LISTS!$J$2:$J$16,TRIM($G2413))&gt;0,"LEFT OUT","NEW")))</f>
        <v/>
      </c>
    </row>
    <row r="2414" spans="47:47" x14ac:dyDescent="0.25">
      <c r="AU2414" s="8" t="str">
        <f>IF(TRIM($G2414)="","",IF(COUNTIF(LISTS!$I$2:$I$16,TRIM($G2414))&gt;0,"COUNTED",IF(COUNTIF(LISTS!$J$2:$J$16,TRIM($G2414))&gt;0,"LEFT OUT","NEW")))</f>
        <v/>
      </c>
    </row>
    <row r="2415" spans="47:47" x14ac:dyDescent="0.25">
      <c r="AU2415" s="8" t="str">
        <f>IF(TRIM($G2415)="","",IF(COUNTIF(LISTS!$I$2:$I$16,TRIM($G2415))&gt;0,"COUNTED",IF(COUNTIF(LISTS!$J$2:$J$16,TRIM($G2415))&gt;0,"LEFT OUT","NEW")))</f>
        <v/>
      </c>
    </row>
    <row r="2416" spans="47:47" x14ac:dyDescent="0.25">
      <c r="AU2416" s="8" t="str">
        <f>IF(TRIM($G2416)="","",IF(COUNTIF(LISTS!$I$2:$I$16,TRIM($G2416))&gt;0,"COUNTED",IF(COUNTIF(LISTS!$J$2:$J$16,TRIM($G2416))&gt;0,"LEFT OUT","NEW")))</f>
        <v/>
      </c>
    </row>
    <row r="2417" spans="47:47" x14ac:dyDescent="0.25">
      <c r="AU2417" s="8" t="str">
        <f>IF(TRIM($G2417)="","",IF(COUNTIF(LISTS!$I$2:$I$16,TRIM($G2417))&gt;0,"COUNTED",IF(COUNTIF(LISTS!$J$2:$J$16,TRIM($G2417))&gt;0,"LEFT OUT","NEW")))</f>
        <v/>
      </c>
    </row>
    <row r="2418" spans="47:47" x14ac:dyDescent="0.25">
      <c r="AU2418" s="8" t="str">
        <f>IF(TRIM($G2418)="","",IF(COUNTIF(LISTS!$I$2:$I$16,TRIM($G2418))&gt;0,"COUNTED",IF(COUNTIF(LISTS!$J$2:$J$16,TRIM($G2418))&gt;0,"LEFT OUT","NEW")))</f>
        <v/>
      </c>
    </row>
    <row r="2419" spans="47:47" x14ac:dyDescent="0.25">
      <c r="AU2419" s="8" t="str">
        <f>IF(TRIM($G2419)="","",IF(COUNTIF(LISTS!$I$2:$I$16,TRIM($G2419))&gt;0,"COUNTED",IF(COUNTIF(LISTS!$J$2:$J$16,TRIM($G2419))&gt;0,"LEFT OUT","NEW")))</f>
        <v/>
      </c>
    </row>
    <row r="2420" spans="47:47" x14ac:dyDescent="0.25">
      <c r="AU2420" s="8" t="str">
        <f>IF(TRIM($G2420)="","",IF(COUNTIF(LISTS!$I$2:$I$16,TRIM($G2420))&gt;0,"COUNTED",IF(COUNTIF(LISTS!$J$2:$J$16,TRIM($G2420))&gt;0,"LEFT OUT","NEW")))</f>
        <v/>
      </c>
    </row>
    <row r="2421" spans="47:47" x14ac:dyDescent="0.25">
      <c r="AU2421" s="8" t="str">
        <f>IF(TRIM($G2421)="","",IF(COUNTIF(LISTS!$I$2:$I$16,TRIM($G2421))&gt;0,"COUNTED",IF(COUNTIF(LISTS!$J$2:$J$16,TRIM($G2421))&gt;0,"LEFT OUT","NEW")))</f>
        <v/>
      </c>
    </row>
    <row r="2422" spans="47:47" x14ac:dyDescent="0.25">
      <c r="AU2422" s="8" t="str">
        <f>IF(TRIM($G2422)="","",IF(COUNTIF(LISTS!$I$2:$I$16,TRIM($G2422))&gt;0,"COUNTED",IF(COUNTIF(LISTS!$J$2:$J$16,TRIM($G2422))&gt;0,"LEFT OUT","NEW")))</f>
        <v/>
      </c>
    </row>
    <row r="2423" spans="47:47" x14ac:dyDescent="0.25">
      <c r="AU2423" s="8" t="str">
        <f>IF(TRIM($G2423)="","",IF(COUNTIF(LISTS!$I$2:$I$16,TRIM($G2423))&gt;0,"COUNTED",IF(COUNTIF(LISTS!$J$2:$J$16,TRIM($G2423))&gt;0,"LEFT OUT","NEW")))</f>
        <v/>
      </c>
    </row>
    <row r="2424" spans="47:47" x14ac:dyDescent="0.25">
      <c r="AU2424" s="8" t="str">
        <f>IF(TRIM($G2424)="","",IF(COUNTIF(LISTS!$I$2:$I$16,TRIM($G2424))&gt;0,"COUNTED",IF(COUNTIF(LISTS!$J$2:$J$16,TRIM($G2424))&gt;0,"LEFT OUT","NEW")))</f>
        <v/>
      </c>
    </row>
    <row r="2425" spans="47:47" x14ac:dyDescent="0.25">
      <c r="AU2425" s="8" t="str">
        <f>IF(TRIM($G2425)="","",IF(COUNTIF(LISTS!$I$2:$I$16,TRIM($G2425))&gt;0,"COUNTED",IF(COUNTIF(LISTS!$J$2:$J$16,TRIM($G2425))&gt;0,"LEFT OUT","NEW")))</f>
        <v/>
      </c>
    </row>
    <row r="2426" spans="47:47" x14ac:dyDescent="0.25">
      <c r="AU2426" s="8" t="str">
        <f>IF(TRIM($G2426)="","",IF(COUNTIF(LISTS!$I$2:$I$16,TRIM($G2426))&gt;0,"COUNTED",IF(COUNTIF(LISTS!$J$2:$J$16,TRIM($G2426))&gt;0,"LEFT OUT","NEW")))</f>
        <v/>
      </c>
    </row>
    <row r="2427" spans="47:47" x14ac:dyDescent="0.25">
      <c r="AU2427" s="8" t="str">
        <f>IF(TRIM($G2427)="","",IF(COUNTIF(LISTS!$I$2:$I$16,TRIM($G2427))&gt;0,"COUNTED",IF(COUNTIF(LISTS!$J$2:$J$16,TRIM($G2427))&gt;0,"LEFT OUT","NEW")))</f>
        <v/>
      </c>
    </row>
    <row r="2428" spans="47:47" x14ac:dyDescent="0.25">
      <c r="AU2428" s="8" t="str">
        <f>IF(TRIM($G2428)="","",IF(COUNTIF(LISTS!$I$2:$I$16,TRIM($G2428))&gt;0,"COUNTED",IF(COUNTIF(LISTS!$J$2:$J$16,TRIM($G2428))&gt;0,"LEFT OUT","NEW")))</f>
        <v/>
      </c>
    </row>
    <row r="2429" spans="47:47" x14ac:dyDescent="0.25">
      <c r="AU2429" s="8" t="str">
        <f>IF(TRIM($G2429)="","",IF(COUNTIF(LISTS!$I$2:$I$16,TRIM($G2429))&gt;0,"COUNTED",IF(COUNTIF(LISTS!$J$2:$J$16,TRIM($G2429))&gt;0,"LEFT OUT","NEW")))</f>
        <v/>
      </c>
    </row>
    <row r="2430" spans="47:47" x14ac:dyDescent="0.25">
      <c r="AU2430" s="8" t="str">
        <f>IF(TRIM($G2430)="","",IF(COUNTIF(LISTS!$I$2:$I$16,TRIM($G2430))&gt;0,"COUNTED",IF(COUNTIF(LISTS!$J$2:$J$16,TRIM($G2430))&gt;0,"LEFT OUT","NEW")))</f>
        <v/>
      </c>
    </row>
    <row r="2431" spans="47:47" x14ac:dyDescent="0.25">
      <c r="AU2431" s="8" t="str">
        <f>IF(TRIM($G2431)="","",IF(COUNTIF(LISTS!$I$2:$I$16,TRIM($G2431))&gt;0,"COUNTED",IF(COUNTIF(LISTS!$J$2:$J$16,TRIM($G2431))&gt;0,"LEFT OUT","NEW")))</f>
        <v/>
      </c>
    </row>
    <row r="2432" spans="47:47" x14ac:dyDescent="0.25">
      <c r="AU2432" s="8" t="str">
        <f>IF(TRIM($G2432)="","",IF(COUNTIF(LISTS!$I$2:$I$16,TRIM($G2432))&gt;0,"COUNTED",IF(COUNTIF(LISTS!$J$2:$J$16,TRIM($G2432))&gt;0,"LEFT OUT","NEW")))</f>
        <v/>
      </c>
    </row>
    <row r="2433" spans="47:47" x14ac:dyDescent="0.25">
      <c r="AU2433" s="8" t="str">
        <f>IF(TRIM($G2433)="","",IF(COUNTIF(LISTS!$I$2:$I$16,TRIM($G2433))&gt;0,"COUNTED",IF(COUNTIF(LISTS!$J$2:$J$16,TRIM($G2433))&gt;0,"LEFT OUT","NEW")))</f>
        <v/>
      </c>
    </row>
    <row r="2434" spans="47:47" x14ac:dyDescent="0.25">
      <c r="AU2434" s="8" t="str">
        <f>IF(TRIM($G2434)="","",IF(COUNTIF(LISTS!$I$2:$I$16,TRIM($G2434))&gt;0,"COUNTED",IF(COUNTIF(LISTS!$J$2:$J$16,TRIM($G2434))&gt;0,"LEFT OUT","NEW")))</f>
        <v/>
      </c>
    </row>
    <row r="2435" spans="47:47" x14ac:dyDescent="0.25">
      <c r="AU2435" s="8" t="str">
        <f>IF(TRIM($G2435)="","",IF(COUNTIF(LISTS!$I$2:$I$16,TRIM($G2435))&gt;0,"COUNTED",IF(COUNTIF(LISTS!$J$2:$J$16,TRIM($G2435))&gt;0,"LEFT OUT","NEW")))</f>
        <v/>
      </c>
    </row>
    <row r="2436" spans="47:47" x14ac:dyDescent="0.25">
      <c r="AU2436" s="8" t="str">
        <f>IF(TRIM($G2436)="","",IF(COUNTIF(LISTS!$I$2:$I$16,TRIM($G2436))&gt;0,"COUNTED",IF(COUNTIF(LISTS!$J$2:$J$16,TRIM($G2436))&gt;0,"LEFT OUT","NEW")))</f>
        <v/>
      </c>
    </row>
    <row r="2437" spans="47:47" x14ac:dyDescent="0.25">
      <c r="AU2437" s="8" t="str">
        <f>IF(TRIM($G2437)="","",IF(COUNTIF(LISTS!$I$2:$I$16,TRIM($G2437))&gt;0,"COUNTED",IF(COUNTIF(LISTS!$J$2:$J$16,TRIM($G2437))&gt;0,"LEFT OUT","NEW")))</f>
        <v/>
      </c>
    </row>
    <row r="2438" spans="47:47" x14ac:dyDescent="0.25">
      <c r="AU2438" s="8" t="str">
        <f>IF(TRIM($G2438)="","",IF(COUNTIF(LISTS!$I$2:$I$16,TRIM($G2438))&gt;0,"COUNTED",IF(COUNTIF(LISTS!$J$2:$J$16,TRIM($G2438))&gt;0,"LEFT OUT","NEW")))</f>
        <v/>
      </c>
    </row>
    <row r="2439" spans="47:47" x14ac:dyDescent="0.25">
      <c r="AU2439" s="8" t="str">
        <f>IF(TRIM($G2439)="","",IF(COUNTIF(LISTS!$I$2:$I$16,TRIM($G2439))&gt;0,"COUNTED",IF(COUNTIF(LISTS!$J$2:$J$16,TRIM($G2439))&gt;0,"LEFT OUT","NEW")))</f>
        <v/>
      </c>
    </row>
    <row r="2440" spans="47:47" x14ac:dyDescent="0.25">
      <c r="AU2440" s="8" t="str">
        <f>IF(TRIM($G2440)="","",IF(COUNTIF(LISTS!$I$2:$I$16,TRIM($G2440))&gt;0,"COUNTED",IF(COUNTIF(LISTS!$J$2:$J$16,TRIM($G2440))&gt;0,"LEFT OUT","NEW")))</f>
        <v/>
      </c>
    </row>
    <row r="2441" spans="47:47" x14ac:dyDescent="0.25">
      <c r="AU2441" s="8" t="str">
        <f>IF(TRIM($G2441)="","",IF(COUNTIF(LISTS!$I$2:$I$16,TRIM($G2441))&gt;0,"COUNTED",IF(COUNTIF(LISTS!$J$2:$J$16,TRIM($G2441))&gt;0,"LEFT OUT","NEW")))</f>
        <v/>
      </c>
    </row>
    <row r="2442" spans="47:47" x14ac:dyDescent="0.25">
      <c r="AU2442" s="8" t="str">
        <f>IF(TRIM($G2442)="","",IF(COUNTIF(LISTS!$I$2:$I$16,TRIM($G2442))&gt;0,"COUNTED",IF(COUNTIF(LISTS!$J$2:$J$16,TRIM($G2442))&gt;0,"LEFT OUT","NEW")))</f>
        <v/>
      </c>
    </row>
    <row r="2443" spans="47:47" x14ac:dyDescent="0.25">
      <c r="AU2443" s="8" t="str">
        <f>IF(TRIM($G2443)="","",IF(COUNTIF(LISTS!$I$2:$I$16,TRIM($G2443))&gt;0,"COUNTED",IF(COUNTIF(LISTS!$J$2:$J$16,TRIM($G2443))&gt;0,"LEFT OUT","NEW")))</f>
        <v/>
      </c>
    </row>
    <row r="2444" spans="47:47" x14ac:dyDescent="0.25">
      <c r="AU2444" s="8" t="str">
        <f>IF(TRIM($G2444)="","",IF(COUNTIF(LISTS!$I$2:$I$16,TRIM($G2444))&gt;0,"COUNTED",IF(COUNTIF(LISTS!$J$2:$J$16,TRIM($G2444))&gt;0,"LEFT OUT","NEW")))</f>
        <v/>
      </c>
    </row>
    <row r="2445" spans="47:47" x14ac:dyDescent="0.25">
      <c r="AU2445" s="8" t="str">
        <f>IF(TRIM($G2445)="","",IF(COUNTIF(LISTS!$I$2:$I$16,TRIM($G2445))&gt;0,"COUNTED",IF(COUNTIF(LISTS!$J$2:$J$16,TRIM($G2445))&gt;0,"LEFT OUT","NEW")))</f>
        <v/>
      </c>
    </row>
    <row r="2446" spans="47:47" x14ac:dyDescent="0.25">
      <c r="AU2446" s="8" t="str">
        <f>IF(TRIM($G2446)="","",IF(COUNTIF(LISTS!$I$2:$I$16,TRIM($G2446))&gt;0,"COUNTED",IF(COUNTIF(LISTS!$J$2:$J$16,TRIM($G2446))&gt;0,"LEFT OUT","NEW")))</f>
        <v/>
      </c>
    </row>
    <row r="2447" spans="47:47" x14ac:dyDescent="0.25">
      <c r="AU2447" s="8" t="str">
        <f>IF(TRIM($G2447)="","",IF(COUNTIF(LISTS!$I$2:$I$16,TRIM($G2447))&gt;0,"COUNTED",IF(COUNTIF(LISTS!$J$2:$J$16,TRIM($G2447))&gt;0,"LEFT OUT","NEW")))</f>
        <v/>
      </c>
    </row>
    <row r="2448" spans="47:47" x14ac:dyDescent="0.25">
      <c r="AU2448" s="8" t="str">
        <f>IF(TRIM($G2448)="","",IF(COUNTIF(LISTS!$I$2:$I$16,TRIM($G2448))&gt;0,"COUNTED",IF(COUNTIF(LISTS!$J$2:$J$16,TRIM($G2448))&gt;0,"LEFT OUT","NEW")))</f>
        <v/>
      </c>
    </row>
    <row r="2449" spans="47:47" x14ac:dyDescent="0.25">
      <c r="AU2449" s="8" t="str">
        <f>IF(TRIM($G2449)="","",IF(COUNTIF(LISTS!$I$2:$I$16,TRIM($G2449))&gt;0,"COUNTED",IF(COUNTIF(LISTS!$J$2:$J$16,TRIM($G2449))&gt;0,"LEFT OUT","NEW")))</f>
        <v/>
      </c>
    </row>
    <row r="2450" spans="47:47" x14ac:dyDescent="0.25">
      <c r="AU2450" s="8" t="str">
        <f>IF(TRIM($G2450)="","",IF(COUNTIF(LISTS!$I$2:$I$16,TRIM($G2450))&gt;0,"COUNTED",IF(COUNTIF(LISTS!$J$2:$J$16,TRIM($G2450))&gt;0,"LEFT OUT","NEW")))</f>
        <v/>
      </c>
    </row>
    <row r="2451" spans="47:47" x14ac:dyDescent="0.25">
      <c r="AU2451" s="8" t="str">
        <f>IF(TRIM($G2451)="","",IF(COUNTIF(LISTS!$I$2:$I$16,TRIM($G2451))&gt;0,"COUNTED",IF(COUNTIF(LISTS!$J$2:$J$16,TRIM($G2451))&gt;0,"LEFT OUT","NEW")))</f>
        <v/>
      </c>
    </row>
    <row r="2452" spans="47:47" x14ac:dyDescent="0.25">
      <c r="AU2452" s="8" t="str">
        <f>IF(TRIM($G2452)="","",IF(COUNTIF(LISTS!$I$2:$I$16,TRIM($G2452))&gt;0,"COUNTED",IF(COUNTIF(LISTS!$J$2:$J$16,TRIM($G2452))&gt;0,"LEFT OUT","NEW")))</f>
        <v/>
      </c>
    </row>
    <row r="2453" spans="47:47" x14ac:dyDescent="0.25">
      <c r="AU2453" s="8" t="str">
        <f>IF(TRIM($G2453)="","",IF(COUNTIF(LISTS!$I$2:$I$16,TRIM($G2453))&gt;0,"COUNTED",IF(COUNTIF(LISTS!$J$2:$J$16,TRIM($G2453))&gt;0,"LEFT OUT","NEW")))</f>
        <v/>
      </c>
    </row>
    <row r="2454" spans="47:47" x14ac:dyDescent="0.25">
      <c r="AU2454" s="8" t="str">
        <f>IF(TRIM($G2454)="","",IF(COUNTIF(LISTS!$I$2:$I$16,TRIM($G2454))&gt;0,"COUNTED",IF(COUNTIF(LISTS!$J$2:$J$16,TRIM($G2454))&gt;0,"LEFT OUT","NEW")))</f>
        <v/>
      </c>
    </row>
    <row r="2455" spans="47:47" x14ac:dyDescent="0.25">
      <c r="AU2455" s="8" t="str">
        <f>IF(TRIM($G2455)="","",IF(COUNTIF(LISTS!$I$2:$I$16,TRIM($G2455))&gt;0,"COUNTED",IF(COUNTIF(LISTS!$J$2:$J$16,TRIM($G2455))&gt;0,"LEFT OUT","NEW")))</f>
        <v/>
      </c>
    </row>
    <row r="2456" spans="47:47" x14ac:dyDescent="0.25">
      <c r="AU2456" s="8" t="str">
        <f>IF(TRIM($G2456)="","",IF(COUNTIF(LISTS!$I$2:$I$16,TRIM($G2456))&gt;0,"COUNTED",IF(COUNTIF(LISTS!$J$2:$J$16,TRIM($G2456))&gt;0,"LEFT OUT","NEW")))</f>
        <v/>
      </c>
    </row>
    <row r="2457" spans="47:47" x14ac:dyDescent="0.25">
      <c r="AU2457" s="8" t="str">
        <f>IF(TRIM($G2457)="","",IF(COUNTIF(LISTS!$I$2:$I$16,TRIM($G2457))&gt;0,"COUNTED",IF(COUNTIF(LISTS!$J$2:$J$16,TRIM($G2457))&gt;0,"LEFT OUT","NEW")))</f>
        <v/>
      </c>
    </row>
    <row r="2458" spans="47:47" x14ac:dyDescent="0.25">
      <c r="AU2458" s="8" t="str">
        <f>IF(TRIM($G2458)="","",IF(COUNTIF(LISTS!$I$2:$I$16,TRIM($G2458))&gt;0,"COUNTED",IF(COUNTIF(LISTS!$J$2:$J$16,TRIM($G2458))&gt;0,"LEFT OUT","NEW")))</f>
        <v/>
      </c>
    </row>
    <row r="2459" spans="47:47" x14ac:dyDescent="0.25">
      <c r="AU2459" s="8" t="str">
        <f>IF(TRIM($G2459)="","",IF(COUNTIF(LISTS!$I$2:$I$16,TRIM($G2459))&gt;0,"COUNTED",IF(COUNTIF(LISTS!$J$2:$J$16,TRIM($G2459))&gt;0,"LEFT OUT","NEW")))</f>
        <v/>
      </c>
    </row>
    <row r="2460" spans="47:47" x14ac:dyDescent="0.25">
      <c r="AU2460" s="8" t="str">
        <f>IF(TRIM($G2460)="","",IF(COUNTIF(LISTS!$I$2:$I$16,TRIM($G2460))&gt;0,"COUNTED",IF(COUNTIF(LISTS!$J$2:$J$16,TRIM($G2460))&gt;0,"LEFT OUT","NEW")))</f>
        <v/>
      </c>
    </row>
    <row r="2461" spans="47:47" x14ac:dyDescent="0.25">
      <c r="AU2461" s="8" t="str">
        <f>IF(TRIM($G2461)="","",IF(COUNTIF(LISTS!$I$2:$I$16,TRIM($G2461))&gt;0,"COUNTED",IF(COUNTIF(LISTS!$J$2:$J$16,TRIM($G2461))&gt;0,"LEFT OUT","NEW")))</f>
        <v/>
      </c>
    </row>
    <row r="2462" spans="47:47" x14ac:dyDescent="0.25">
      <c r="AU2462" s="8" t="str">
        <f>IF(TRIM($G2462)="","",IF(COUNTIF(LISTS!$I$2:$I$16,TRIM($G2462))&gt;0,"COUNTED",IF(COUNTIF(LISTS!$J$2:$J$16,TRIM($G2462))&gt;0,"LEFT OUT","NEW")))</f>
        <v/>
      </c>
    </row>
    <row r="2463" spans="47:47" x14ac:dyDescent="0.25">
      <c r="AU2463" s="8" t="str">
        <f>IF(TRIM($G2463)="","",IF(COUNTIF(LISTS!$I$2:$I$16,TRIM($G2463))&gt;0,"COUNTED",IF(COUNTIF(LISTS!$J$2:$J$16,TRIM($G2463))&gt;0,"LEFT OUT","NEW")))</f>
        <v/>
      </c>
    </row>
    <row r="2464" spans="47:47" x14ac:dyDescent="0.25">
      <c r="AU2464" s="8" t="str">
        <f>IF(TRIM($G2464)="","",IF(COUNTIF(LISTS!$I$2:$I$16,TRIM($G2464))&gt;0,"COUNTED",IF(COUNTIF(LISTS!$J$2:$J$16,TRIM($G2464))&gt;0,"LEFT OUT","NEW")))</f>
        <v/>
      </c>
    </row>
    <row r="2465" spans="47:47" x14ac:dyDescent="0.25">
      <c r="AU2465" s="8" t="str">
        <f>IF(TRIM($G2465)="","",IF(COUNTIF(LISTS!$I$2:$I$16,TRIM($G2465))&gt;0,"COUNTED",IF(COUNTIF(LISTS!$J$2:$J$16,TRIM($G2465))&gt;0,"LEFT OUT","NEW")))</f>
        <v/>
      </c>
    </row>
    <row r="2466" spans="47:47" x14ac:dyDescent="0.25">
      <c r="AU2466" s="8" t="str">
        <f>IF(TRIM($G2466)="","",IF(COUNTIF(LISTS!$I$2:$I$16,TRIM($G2466))&gt;0,"COUNTED",IF(COUNTIF(LISTS!$J$2:$J$16,TRIM($G2466))&gt;0,"LEFT OUT","NEW")))</f>
        <v/>
      </c>
    </row>
    <row r="2467" spans="47:47" x14ac:dyDescent="0.25">
      <c r="AU2467" s="8" t="str">
        <f>IF(TRIM($G2467)="","",IF(COUNTIF(LISTS!$I$2:$I$16,TRIM($G2467))&gt;0,"COUNTED",IF(COUNTIF(LISTS!$J$2:$J$16,TRIM($G2467))&gt;0,"LEFT OUT","NEW")))</f>
        <v/>
      </c>
    </row>
    <row r="2468" spans="47:47" x14ac:dyDescent="0.25">
      <c r="AU2468" s="8" t="str">
        <f>IF(TRIM($G2468)="","",IF(COUNTIF(LISTS!$I$2:$I$16,TRIM($G2468))&gt;0,"COUNTED",IF(COUNTIF(LISTS!$J$2:$J$16,TRIM($G2468))&gt;0,"LEFT OUT","NEW")))</f>
        <v/>
      </c>
    </row>
    <row r="2469" spans="47:47" x14ac:dyDescent="0.25">
      <c r="AU2469" s="8" t="str">
        <f>IF(TRIM($G2469)="","",IF(COUNTIF(LISTS!$I$2:$I$16,TRIM($G2469))&gt;0,"COUNTED",IF(COUNTIF(LISTS!$J$2:$J$16,TRIM($G2469))&gt;0,"LEFT OUT","NEW")))</f>
        <v/>
      </c>
    </row>
    <row r="2470" spans="47:47" x14ac:dyDescent="0.25">
      <c r="AU2470" s="8" t="str">
        <f>IF(TRIM($G2470)="","",IF(COUNTIF(LISTS!$I$2:$I$16,TRIM($G2470))&gt;0,"COUNTED",IF(COUNTIF(LISTS!$J$2:$J$16,TRIM($G2470))&gt;0,"LEFT OUT","NEW")))</f>
        <v/>
      </c>
    </row>
    <row r="2471" spans="47:47" x14ac:dyDescent="0.25">
      <c r="AU2471" s="8" t="str">
        <f>IF(TRIM($G2471)="","",IF(COUNTIF(LISTS!$I$2:$I$16,TRIM($G2471))&gt;0,"COUNTED",IF(COUNTIF(LISTS!$J$2:$J$16,TRIM($G2471))&gt;0,"LEFT OUT","NEW")))</f>
        <v/>
      </c>
    </row>
    <row r="2472" spans="47:47" x14ac:dyDescent="0.25">
      <c r="AU2472" s="8" t="str">
        <f>IF(TRIM($G2472)="","",IF(COUNTIF(LISTS!$I$2:$I$16,TRIM($G2472))&gt;0,"COUNTED",IF(COUNTIF(LISTS!$J$2:$J$16,TRIM($G2472))&gt;0,"LEFT OUT","NEW")))</f>
        <v/>
      </c>
    </row>
    <row r="2473" spans="47:47" x14ac:dyDescent="0.25">
      <c r="AU2473" s="8" t="str">
        <f>IF(TRIM($G2473)="","",IF(COUNTIF(LISTS!$I$2:$I$16,TRIM($G2473))&gt;0,"COUNTED",IF(COUNTIF(LISTS!$J$2:$J$16,TRIM($G2473))&gt;0,"LEFT OUT","NEW")))</f>
        <v/>
      </c>
    </row>
    <row r="2474" spans="47:47" x14ac:dyDescent="0.25">
      <c r="AU2474" s="8" t="str">
        <f>IF(TRIM($G2474)="","",IF(COUNTIF(LISTS!$I$2:$I$16,TRIM($G2474))&gt;0,"COUNTED",IF(COUNTIF(LISTS!$J$2:$J$16,TRIM($G2474))&gt;0,"LEFT OUT","NEW")))</f>
        <v/>
      </c>
    </row>
    <row r="2475" spans="47:47" x14ac:dyDescent="0.25">
      <c r="AU2475" s="8" t="str">
        <f>IF(TRIM($G2475)="","",IF(COUNTIF(LISTS!$I$2:$I$16,TRIM($G2475))&gt;0,"COUNTED",IF(COUNTIF(LISTS!$J$2:$J$16,TRIM($G2475))&gt;0,"LEFT OUT","NEW")))</f>
        <v/>
      </c>
    </row>
    <row r="2476" spans="47:47" x14ac:dyDescent="0.25">
      <c r="AU2476" s="8" t="str">
        <f>IF(TRIM($G2476)="","",IF(COUNTIF(LISTS!$I$2:$I$16,TRIM($G2476))&gt;0,"COUNTED",IF(COUNTIF(LISTS!$J$2:$J$16,TRIM($G2476))&gt;0,"LEFT OUT","NEW")))</f>
        <v/>
      </c>
    </row>
    <row r="2477" spans="47:47" x14ac:dyDescent="0.25">
      <c r="AU2477" s="8" t="str">
        <f>IF(TRIM($G2477)="","",IF(COUNTIF(LISTS!$I$2:$I$16,TRIM($G2477))&gt;0,"COUNTED",IF(COUNTIF(LISTS!$J$2:$J$16,TRIM($G2477))&gt;0,"LEFT OUT","NEW")))</f>
        <v/>
      </c>
    </row>
    <row r="2478" spans="47:47" x14ac:dyDescent="0.25">
      <c r="AU2478" s="8" t="str">
        <f>IF(TRIM($G2478)="","",IF(COUNTIF(LISTS!$I$2:$I$16,TRIM($G2478))&gt;0,"COUNTED",IF(COUNTIF(LISTS!$J$2:$J$16,TRIM($G2478))&gt;0,"LEFT OUT","NEW")))</f>
        <v/>
      </c>
    </row>
    <row r="2479" spans="47:47" x14ac:dyDescent="0.25">
      <c r="AU2479" s="8" t="str">
        <f>IF(TRIM($G2479)="","",IF(COUNTIF(LISTS!$I$2:$I$16,TRIM($G2479))&gt;0,"COUNTED",IF(COUNTIF(LISTS!$J$2:$J$16,TRIM($G2479))&gt;0,"LEFT OUT","NEW")))</f>
        <v/>
      </c>
    </row>
    <row r="2480" spans="47:47" x14ac:dyDescent="0.25">
      <c r="AU2480" s="8" t="str">
        <f>IF(TRIM($G2480)="","",IF(COUNTIF(LISTS!$I$2:$I$16,TRIM($G2480))&gt;0,"COUNTED",IF(COUNTIF(LISTS!$J$2:$J$16,TRIM($G2480))&gt;0,"LEFT OUT","NEW")))</f>
        <v/>
      </c>
    </row>
    <row r="2481" spans="47:47" x14ac:dyDescent="0.25">
      <c r="AU2481" s="8" t="str">
        <f>IF(TRIM($G2481)="","",IF(COUNTIF(LISTS!$I$2:$I$16,TRIM($G2481))&gt;0,"COUNTED",IF(COUNTIF(LISTS!$J$2:$J$16,TRIM($G2481))&gt;0,"LEFT OUT","NEW")))</f>
        <v/>
      </c>
    </row>
    <row r="2482" spans="47:47" x14ac:dyDescent="0.25">
      <c r="AU2482" s="8" t="str">
        <f>IF(TRIM($G2482)="","",IF(COUNTIF(LISTS!$I$2:$I$16,TRIM($G2482))&gt;0,"COUNTED",IF(COUNTIF(LISTS!$J$2:$J$16,TRIM($G2482))&gt;0,"LEFT OUT","NEW")))</f>
        <v/>
      </c>
    </row>
    <row r="2483" spans="47:47" x14ac:dyDescent="0.25">
      <c r="AU2483" s="8" t="str">
        <f>IF(TRIM($G2483)="","",IF(COUNTIF(LISTS!$I$2:$I$16,TRIM($G2483))&gt;0,"COUNTED",IF(COUNTIF(LISTS!$J$2:$J$16,TRIM($G2483))&gt;0,"LEFT OUT","NEW")))</f>
        <v/>
      </c>
    </row>
    <row r="2484" spans="47:47" x14ac:dyDescent="0.25">
      <c r="AU2484" s="8" t="str">
        <f>IF(TRIM($G2484)="","",IF(COUNTIF(LISTS!$I$2:$I$16,TRIM($G2484))&gt;0,"COUNTED",IF(COUNTIF(LISTS!$J$2:$J$16,TRIM($G2484))&gt;0,"LEFT OUT","NEW")))</f>
        <v/>
      </c>
    </row>
    <row r="2485" spans="47:47" x14ac:dyDescent="0.25">
      <c r="AU2485" s="8" t="str">
        <f>IF(TRIM($G2485)="","",IF(COUNTIF(LISTS!$I$2:$I$16,TRIM($G2485))&gt;0,"COUNTED",IF(COUNTIF(LISTS!$J$2:$J$16,TRIM($G2485))&gt;0,"LEFT OUT","NEW")))</f>
        <v/>
      </c>
    </row>
    <row r="2486" spans="47:47" x14ac:dyDescent="0.25">
      <c r="AU2486" s="8" t="str">
        <f>IF(TRIM($G2486)="","",IF(COUNTIF(LISTS!$I$2:$I$16,TRIM($G2486))&gt;0,"COUNTED",IF(COUNTIF(LISTS!$J$2:$J$16,TRIM($G2486))&gt;0,"LEFT OUT","NEW")))</f>
        <v/>
      </c>
    </row>
    <row r="2487" spans="47:47" x14ac:dyDescent="0.25">
      <c r="AU2487" s="8" t="str">
        <f>IF(TRIM($G2487)="","",IF(COUNTIF(LISTS!$I$2:$I$16,TRIM($G2487))&gt;0,"COUNTED",IF(COUNTIF(LISTS!$J$2:$J$16,TRIM($G2487))&gt;0,"LEFT OUT","NEW")))</f>
        <v/>
      </c>
    </row>
    <row r="2488" spans="47:47" x14ac:dyDescent="0.25">
      <c r="AU2488" s="8" t="str">
        <f>IF(TRIM($G2488)="","",IF(COUNTIF(LISTS!$I$2:$I$16,TRIM($G2488))&gt;0,"COUNTED",IF(COUNTIF(LISTS!$J$2:$J$16,TRIM($G2488))&gt;0,"LEFT OUT","NEW")))</f>
        <v/>
      </c>
    </row>
    <row r="2489" spans="47:47" x14ac:dyDescent="0.25">
      <c r="AU2489" s="8" t="str">
        <f>IF(TRIM($G2489)="","",IF(COUNTIF(LISTS!$I$2:$I$16,TRIM($G2489))&gt;0,"COUNTED",IF(COUNTIF(LISTS!$J$2:$J$16,TRIM($G2489))&gt;0,"LEFT OUT","NEW")))</f>
        <v/>
      </c>
    </row>
    <row r="2490" spans="47:47" x14ac:dyDescent="0.25">
      <c r="AU2490" s="8" t="str">
        <f>IF(TRIM($G2490)="","",IF(COUNTIF(LISTS!$I$2:$I$16,TRIM($G2490))&gt;0,"COUNTED",IF(COUNTIF(LISTS!$J$2:$J$16,TRIM($G2490))&gt;0,"LEFT OUT","NEW")))</f>
        <v/>
      </c>
    </row>
    <row r="2491" spans="47:47" x14ac:dyDescent="0.25">
      <c r="AU2491" s="8" t="str">
        <f>IF(TRIM($G2491)="","",IF(COUNTIF(LISTS!$I$2:$I$16,TRIM($G2491))&gt;0,"COUNTED",IF(COUNTIF(LISTS!$J$2:$J$16,TRIM($G2491))&gt;0,"LEFT OUT","NEW")))</f>
        <v/>
      </c>
    </row>
    <row r="2492" spans="47:47" x14ac:dyDescent="0.25">
      <c r="AU2492" s="8" t="str">
        <f>IF(TRIM($G2492)="","",IF(COUNTIF(LISTS!$I$2:$I$16,TRIM($G2492))&gt;0,"COUNTED",IF(COUNTIF(LISTS!$J$2:$J$16,TRIM($G2492))&gt;0,"LEFT OUT","NEW")))</f>
        <v/>
      </c>
    </row>
    <row r="2493" spans="47:47" x14ac:dyDescent="0.25">
      <c r="AU2493" s="8" t="str">
        <f>IF(TRIM($G2493)="","",IF(COUNTIF(LISTS!$I$2:$I$16,TRIM($G2493))&gt;0,"COUNTED",IF(COUNTIF(LISTS!$J$2:$J$16,TRIM($G2493))&gt;0,"LEFT OUT","NEW")))</f>
        <v/>
      </c>
    </row>
    <row r="2494" spans="47:47" x14ac:dyDescent="0.25">
      <c r="AU2494" s="8" t="str">
        <f>IF(TRIM($G2494)="","",IF(COUNTIF(LISTS!$I$2:$I$16,TRIM($G2494))&gt;0,"COUNTED",IF(COUNTIF(LISTS!$J$2:$J$16,TRIM($G2494))&gt;0,"LEFT OUT","NEW")))</f>
        <v/>
      </c>
    </row>
    <row r="2495" spans="47:47" x14ac:dyDescent="0.25">
      <c r="AU2495" s="8" t="str">
        <f>IF(TRIM($G2495)="","",IF(COUNTIF(LISTS!$I$2:$I$16,TRIM($G2495))&gt;0,"COUNTED",IF(COUNTIF(LISTS!$J$2:$J$16,TRIM($G2495))&gt;0,"LEFT OUT","NEW")))</f>
        <v/>
      </c>
    </row>
    <row r="2496" spans="47:47" x14ac:dyDescent="0.25">
      <c r="AU2496" s="8" t="str">
        <f>IF(TRIM($G2496)="","",IF(COUNTIF(LISTS!$I$2:$I$16,TRIM($G2496))&gt;0,"COUNTED",IF(COUNTIF(LISTS!$J$2:$J$16,TRIM($G2496))&gt;0,"LEFT OUT","NEW")))</f>
        <v/>
      </c>
    </row>
    <row r="2497" spans="47:47" x14ac:dyDescent="0.25">
      <c r="AU2497" s="8" t="str">
        <f>IF(TRIM($G2497)="","",IF(COUNTIF(LISTS!$I$2:$I$16,TRIM($G2497))&gt;0,"COUNTED",IF(COUNTIF(LISTS!$J$2:$J$16,TRIM($G2497))&gt;0,"LEFT OUT","NEW")))</f>
        <v/>
      </c>
    </row>
    <row r="2498" spans="47:47" x14ac:dyDescent="0.25">
      <c r="AU2498" s="8" t="str">
        <f>IF(TRIM($G2498)="","",IF(COUNTIF(LISTS!$I$2:$I$16,TRIM($G2498))&gt;0,"COUNTED",IF(COUNTIF(LISTS!$J$2:$J$16,TRIM($G2498))&gt;0,"LEFT OUT","NEW")))</f>
        <v/>
      </c>
    </row>
    <row r="2499" spans="47:47" x14ac:dyDescent="0.25">
      <c r="AU2499" s="8" t="str">
        <f>IF(TRIM($G2499)="","",IF(COUNTIF(LISTS!$I$2:$I$16,TRIM($G2499))&gt;0,"COUNTED",IF(COUNTIF(LISTS!$J$2:$J$16,TRIM($G2499))&gt;0,"LEFT OUT","NEW")))</f>
        <v/>
      </c>
    </row>
    <row r="2500" spans="47:47" x14ac:dyDescent="0.25">
      <c r="AU2500" s="8" t="str">
        <f>IF(TRIM($G2500)="","",IF(COUNTIF(LISTS!$I$2:$I$16,TRIM($G2500))&gt;0,"COUNTED",IF(COUNTIF(LISTS!$J$2:$J$16,TRIM($G2500))&gt;0,"LEFT OUT","NEW")))</f>
        <v/>
      </c>
    </row>
    <row r="2501" spans="47:47" x14ac:dyDescent="0.25">
      <c r="AU2501" s="8" t="str">
        <f>IF(TRIM($G2501)="","",IF(COUNTIF(LISTS!$I$2:$I$16,TRIM($G2501))&gt;0,"COUNTED",IF(COUNTIF(LISTS!$J$2:$J$16,TRIM($G2501))&gt;0,"LEFT OUT","NEW")))</f>
        <v/>
      </c>
    </row>
    <row r="2502" spans="47:47" x14ac:dyDescent="0.25">
      <c r="AU2502" s="8" t="str">
        <f>IF(TRIM($G2502)="","",IF(COUNTIF(LISTS!$I$2:$I$16,TRIM($G2502))&gt;0,"COUNTED",IF(COUNTIF(LISTS!$J$2:$J$16,TRIM($G2502))&gt;0,"LEFT OUT","NEW")))</f>
        <v/>
      </c>
    </row>
    <row r="2503" spans="47:47" x14ac:dyDescent="0.25">
      <c r="AU2503" s="8" t="str">
        <f>IF(TRIM($G2503)="","",IF(COUNTIF(LISTS!$I$2:$I$16,TRIM($G2503))&gt;0,"COUNTED",IF(COUNTIF(LISTS!$J$2:$J$16,TRIM($G2503))&gt;0,"LEFT OUT","NEW")))</f>
        <v/>
      </c>
    </row>
    <row r="2504" spans="47:47" x14ac:dyDescent="0.25">
      <c r="AU2504" s="8" t="str">
        <f>IF(TRIM($G2504)="","",IF(COUNTIF(LISTS!$I$2:$I$16,TRIM($G2504))&gt;0,"COUNTED",IF(COUNTIF(LISTS!$J$2:$J$16,TRIM($G2504))&gt;0,"LEFT OUT","NEW")))</f>
        <v/>
      </c>
    </row>
    <row r="2505" spans="47:47" x14ac:dyDescent="0.25">
      <c r="AU2505" s="8" t="str">
        <f>IF(TRIM($G2505)="","",IF(COUNTIF(LISTS!$I$2:$I$16,TRIM($G2505))&gt;0,"COUNTED",IF(COUNTIF(LISTS!$J$2:$J$16,TRIM($G2505))&gt;0,"LEFT OUT","NEW")))</f>
        <v/>
      </c>
    </row>
    <row r="2506" spans="47:47" x14ac:dyDescent="0.25">
      <c r="AU2506" s="8" t="str">
        <f>IF(TRIM($G2506)="","",IF(COUNTIF(LISTS!$I$2:$I$16,TRIM($G2506))&gt;0,"COUNTED",IF(COUNTIF(LISTS!$J$2:$J$16,TRIM($G2506))&gt;0,"LEFT OUT","NEW")))</f>
        <v/>
      </c>
    </row>
    <row r="2507" spans="47:47" x14ac:dyDescent="0.25">
      <c r="AU2507" s="8" t="str">
        <f>IF(TRIM($G2507)="","",IF(COUNTIF(LISTS!$I$2:$I$16,TRIM($G2507))&gt;0,"COUNTED",IF(COUNTIF(LISTS!$J$2:$J$16,TRIM($G2507))&gt;0,"LEFT OUT","NEW")))</f>
        <v/>
      </c>
    </row>
    <row r="2508" spans="47:47" x14ac:dyDescent="0.25">
      <c r="AU2508" s="8" t="str">
        <f>IF(TRIM($G2508)="","",IF(COUNTIF(LISTS!$I$2:$I$16,TRIM($G2508))&gt;0,"COUNTED",IF(COUNTIF(LISTS!$J$2:$J$16,TRIM($G2508))&gt;0,"LEFT OUT","NEW")))</f>
        <v/>
      </c>
    </row>
    <row r="2509" spans="47:47" x14ac:dyDescent="0.25">
      <c r="AU2509" s="8" t="str">
        <f>IF(TRIM($G2509)="","",IF(COUNTIF(LISTS!$I$2:$I$16,TRIM($G2509))&gt;0,"COUNTED",IF(COUNTIF(LISTS!$J$2:$J$16,TRIM($G2509))&gt;0,"LEFT OUT","NEW")))</f>
        <v/>
      </c>
    </row>
    <row r="2510" spans="47:47" x14ac:dyDescent="0.25">
      <c r="AU2510" s="8" t="str">
        <f>IF(TRIM($G2510)="","",IF(COUNTIF(LISTS!$I$2:$I$16,TRIM($G2510))&gt;0,"COUNTED",IF(COUNTIF(LISTS!$J$2:$J$16,TRIM($G2510))&gt;0,"LEFT OUT","NEW")))</f>
        <v/>
      </c>
    </row>
    <row r="2511" spans="47:47" x14ac:dyDescent="0.25">
      <c r="AU2511" s="8" t="str">
        <f>IF(TRIM($G2511)="","",IF(COUNTIF(LISTS!$I$2:$I$16,TRIM($G2511))&gt;0,"COUNTED",IF(COUNTIF(LISTS!$J$2:$J$16,TRIM($G2511))&gt;0,"LEFT OUT","NEW")))</f>
        <v/>
      </c>
    </row>
    <row r="2512" spans="47:47" x14ac:dyDescent="0.25">
      <c r="AU2512" s="8" t="str">
        <f>IF(TRIM($G2512)="","",IF(COUNTIF(LISTS!$I$2:$I$16,TRIM($G2512))&gt;0,"COUNTED",IF(COUNTIF(LISTS!$J$2:$J$16,TRIM($G2512))&gt;0,"LEFT OUT","NEW")))</f>
        <v/>
      </c>
    </row>
    <row r="2513" spans="47:47" x14ac:dyDescent="0.25">
      <c r="AU2513" s="8" t="str">
        <f>IF(TRIM($G2513)="","",IF(COUNTIF(LISTS!$I$2:$I$16,TRIM($G2513))&gt;0,"COUNTED",IF(COUNTIF(LISTS!$J$2:$J$16,TRIM($G2513))&gt;0,"LEFT OUT","NEW")))</f>
        <v/>
      </c>
    </row>
    <row r="2514" spans="47:47" x14ac:dyDescent="0.25">
      <c r="AU2514" s="8" t="str">
        <f>IF(TRIM($G2514)="","",IF(COUNTIF(LISTS!$I$2:$I$16,TRIM($G2514))&gt;0,"COUNTED",IF(COUNTIF(LISTS!$J$2:$J$16,TRIM($G2514))&gt;0,"LEFT OUT","NEW")))</f>
        <v/>
      </c>
    </row>
    <row r="2515" spans="47:47" x14ac:dyDescent="0.25">
      <c r="AU2515" s="8" t="str">
        <f>IF(TRIM($G2515)="","",IF(COUNTIF(LISTS!$I$2:$I$16,TRIM($G2515))&gt;0,"COUNTED",IF(COUNTIF(LISTS!$J$2:$J$16,TRIM($G2515))&gt;0,"LEFT OUT","NEW")))</f>
        <v/>
      </c>
    </row>
    <row r="2516" spans="47:47" x14ac:dyDescent="0.25">
      <c r="AU2516" s="8" t="str">
        <f>IF(TRIM($G2516)="","",IF(COUNTIF(LISTS!$I$2:$I$16,TRIM($G2516))&gt;0,"COUNTED",IF(COUNTIF(LISTS!$J$2:$J$16,TRIM($G2516))&gt;0,"LEFT OUT","NEW")))</f>
        <v/>
      </c>
    </row>
    <row r="2517" spans="47:47" x14ac:dyDescent="0.25">
      <c r="AU2517" s="8" t="str">
        <f>IF(TRIM($G2517)="","",IF(COUNTIF(LISTS!$I$2:$I$16,TRIM($G2517))&gt;0,"COUNTED",IF(COUNTIF(LISTS!$J$2:$J$16,TRIM($G2517))&gt;0,"LEFT OUT","NEW")))</f>
        <v/>
      </c>
    </row>
    <row r="2518" spans="47:47" x14ac:dyDescent="0.25">
      <c r="AU2518" s="8" t="str">
        <f>IF(TRIM($G2518)="","",IF(COUNTIF(LISTS!$I$2:$I$16,TRIM($G2518))&gt;0,"COUNTED",IF(COUNTIF(LISTS!$J$2:$J$16,TRIM($G2518))&gt;0,"LEFT OUT","NEW")))</f>
        <v/>
      </c>
    </row>
    <row r="2519" spans="47:47" x14ac:dyDescent="0.25">
      <c r="AU2519" s="8" t="str">
        <f>IF(TRIM($G2519)="","",IF(COUNTIF(LISTS!$I$2:$I$16,TRIM($G2519))&gt;0,"COUNTED",IF(COUNTIF(LISTS!$J$2:$J$16,TRIM($G2519))&gt;0,"LEFT OUT","NEW")))</f>
        <v/>
      </c>
    </row>
    <row r="2520" spans="47:47" x14ac:dyDescent="0.25">
      <c r="AU2520" s="8" t="str">
        <f>IF(TRIM($G2520)="","",IF(COUNTIF(LISTS!$I$2:$I$16,TRIM($G2520))&gt;0,"COUNTED",IF(COUNTIF(LISTS!$J$2:$J$16,TRIM($G2520))&gt;0,"LEFT OUT","NEW")))</f>
        <v/>
      </c>
    </row>
    <row r="2521" spans="47:47" x14ac:dyDescent="0.25">
      <c r="AU2521" s="8" t="str">
        <f>IF(TRIM($G2521)="","",IF(COUNTIF(LISTS!$I$2:$I$16,TRIM($G2521))&gt;0,"COUNTED",IF(COUNTIF(LISTS!$J$2:$J$16,TRIM($G2521))&gt;0,"LEFT OUT","NEW")))</f>
        <v/>
      </c>
    </row>
    <row r="2522" spans="47:47" x14ac:dyDescent="0.25">
      <c r="AU2522" s="8" t="str">
        <f>IF(TRIM($G2522)="","",IF(COUNTIF(LISTS!$I$2:$I$16,TRIM($G2522))&gt;0,"COUNTED",IF(COUNTIF(LISTS!$J$2:$J$16,TRIM($G2522))&gt;0,"LEFT OUT","NEW")))</f>
        <v/>
      </c>
    </row>
    <row r="2523" spans="47:47" x14ac:dyDescent="0.25">
      <c r="AU2523" s="8" t="str">
        <f>IF(TRIM($G2523)="","",IF(COUNTIF(LISTS!$I$2:$I$16,TRIM($G2523))&gt;0,"COUNTED",IF(COUNTIF(LISTS!$J$2:$J$16,TRIM($G2523))&gt;0,"LEFT OUT","NEW")))</f>
        <v/>
      </c>
    </row>
    <row r="2524" spans="47:47" x14ac:dyDescent="0.25">
      <c r="AU2524" s="8" t="str">
        <f>IF(TRIM($G2524)="","",IF(COUNTIF(LISTS!$I$2:$I$16,TRIM($G2524))&gt;0,"COUNTED",IF(COUNTIF(LISTS!$J$2:$J$16,TRIM($G2524))&gt;0,"LEFT OUT","NEW")))</f>
        <v/>
      </c>
    </row>
    <row r="2525" spans="47:47" x14ac:dyDescent="0.25">
      <c r="AU2525" s="8" t="str">
        <f>IF(TRIM($G2525)="","",IF(COUNTIF(LISTS!$I$2:$I$16,TRIM($G2525))&gt;0,"COUNTED",IF(COUNTIF(LISTS!$J$2:$J$16,TRIM($G2525))&gt;0,"LEFT OUT","NEW")))</f>
        <v/>
      </c>
    </row>
    <row r="2526" spans="47:47" x14ac:dyDescent="0.25">
      <c r="AU2526" s="8" t="str">
        <f>IF(TRIM($G2526)="","",IF(COUNTIF(LISTS!$I$2:$I$16,TRIM($G2526))&gt;0,"COUNTED",IF(COUNTIF(LISTS!$J$2:$J$16,TRIM($G2526))&gt;0,"LEFT OUT","NEW")))</f>
        <v/>
      </c>
    </row>
    <row r="2527" spans="47:47" x14ac:dyDescent="0.25">
      <c r="AU2527" s="8" t="str">
        <f>IF(TRIM($G2527)="","",IF(COUNTIF(LISTS!$I$2:$I$16,TRIM($G2527))&gt;0,"COUNTED",IF(COUNTIF(LISTS!$J$2:$J$16,TRIM($G2527))&gt;0,"LEFT OUT","NEW")))</f>
        <v/>
      </c>
    </row>
    <row r="2528" spans="47:47" x14ac:dyDescent="0.25">
      <c r="AU2528" s="8" t="str">
        <f>IF(TRIM($G2528)="","",IF(COUNTIF(LISTS!$I$2:$I$16,TRIM($G2528))&gt;0,"COUNTED",IF(COUNTIF(LISTS!$J$2:$J$16,TRIM($G2528))&gt;0,"LEFT OUT","NEW")))</f>
        <v/>
      </c>
    </row>
    <row r="2529" spans="47:47" x14ac:dyDescent="0.25">
      <c r="AU2529" s="8" t="str">
        <f>IF(TRIM($G2529)="","",IF(COUNTIF(LISTS!$I$2:$I$16,TRIM($G2529))&gt;0,"COUNTED",IF(COUNTIF(LISTS!$J$2:$J$16,TRIM($G2529))&gt;0,"LEFT OUT","NEW")))</f>
        <v/>
      </c>
    </row>
    <row r="2530" spans="47:47" x14ac:dyDescent="0.25">
      <c r="AU2530" s="8" t="str">
        <f>IF(TRIM($G2530)="","",IF(COUNTIF(LISTS!$I$2:$I$16,TRIM($G2530))&gt;0,"COUNTED",IF(COUNTIF(LISTS!$J$2:$J$16,TRIM($G2530))&gt;0,"LEFT OUT","NEW")))</f>
        <v/>
      </c>
    </row>
    <row r="2531" spans="47:47" x14ac:dyDescent="0.25">
      <c r="AU2531" s="8" t="str">
        <f>IF(TRIM($G2531)="","",IF(COUNTIF(LISTS!$I$2:$I$16,TRIM($G2531))&gt;0,"COUNTED",IF(COUNTIF(LISTS!$J$2:$J$16,TRIM($G2531))&gt;0,"LEFT OUT","NEW")))</f>
        <v/>
      </c>
    </row>
    <row r="2532" spans="47:47" x14ac:dyDescent="0.25">
      <c r="AU2532" s="8" t="str">
        <f>IF(TRIM($G2532)="","",IF(COUNTIF(LISTS!$I$2:$I$16,TRIM($G2532))&gt;0,"COUNTED",IF(COUNTIF(LISTS!$J$2:$J$16,TRIM($G2532))&gt;0,"LEFT OUT","NEW")))</f>
        <v/>
      </c>
    </row>
    <row r="2533" spans="47:47" x14ac:dyDescent="0.25">
      <c r="AU2533" s="8" t="str">
        <f>IF(TRIM($G2533)="","",IF(COUNTIF(LISTS!$I$2:$I$16,TRIM($G2533))&gt;0,"COUNTED",IF(COUNTIF(LISTS!$J$2:$J$16,TRIM($G2533))&gt;0,"LEFT OUT","NEW")))</f>
        <v/>
      </c>
    </row>
    <row r="2534" spans="47:47" x14ac:dyDescent="0.25">
      <c r="AU2534" s="8" t="str">
        <f>IF(TRIM($G2534)="","",IF(COUNTIF(LISTS!$I$2:$I$16,TRIM($G2534))&gt;0,"COUNTED",IF(COUNTIF(LISTS!$J$2:$J$16,TRIM($G2534))&gt;0,"LEFT OUT","NEW")))</f>
        <v/>
      </c>
    </row>
    <row r="2535" spans="47:47" x14ac:dyDescent="0.25">
      <c r="AU2535" s="8" t="str">
        <f>IF(TRIM($G2535)="","",IF(COUNTIF(LISTS!$I$2:$I$16,TRIM($G2535))&gt;0,"COUNTED",IF(COUNTIF(LISTS!$J$2:$J$16,TRIM($G2535))&gt;0,"LEFT OUT","NEW")))</f>
        <v/>
      </c>
    </row>
    <row r="2536" spans="47:47" x14ac:dyDescent="0.25">
      <c r="AU2536" s="8" t="str">
        <f>IF(TRIM($G2536)="","",IF(COUNTIF(LISTS!$I$2:$I$16,TRIM($G2536))&gt;0,"COUNTED",IF(COUNTIF(LISTS!$J$2:$J$16,TRIM($G2536))&gt;0,"LEFT OUT","NEW")))</f>
        <v/>
      </c>
    </row>
    <row r="2537" spans="47:47" x14ac:dyDescent="0.25">
      <c r="AU2537" s="8" t="str">
        <f>IF(TRIM($G2537)="","",IF(COUNTIF(LISTS!$I$2:$I$16,TRIM($G2537))&gt;0,"COUNTED",IF(COUNTIF(LISTS!$J$2:$J$16,TRIM($G2537))&gt;0,"LEFT OUT","NEW")))</f>
        <v/>
      </c>
    </row>
    <row r="2538" spans="47:47" x14ac:dyDescent="0.25">
      <c r="AU2538" s="8" t="str">
        <f>IF(TRIM($G2538)="","",IF(COUNTIF(LISTS!$I$2:$I$16,TRIM($G2538))&gt;0,"COUNTED",IF(COUNTIF(LISTS!$J$2:$J$16,TRIM($G2538))&gt;0,"LEFT OUT","NEW")))</f>
        <v/>
      </c>
    </row>
    <row r="2539" spans="47:47" x14ac:dyDescent="0.25">
      <c r="AU2539" s="8" t="str">
        <f>IF(TRIM($G2539)="","",IF(COUNTIF(LISTS!$I$2:$I$16,TRIM($G2539))&gt;0,"COUNTED",IF(COUNTIF(LISTS!$J$2:$J$16,TRIM($G2539))&gt;0,"LEFT OUT","NEW")))</f>
        <v/>
      </c>
    </row>
    <row r="2540" spans="47:47" x14ac:dyDescent="0.25">
      <c r="AU2540" s="8" t="str">
        <f>IF(TRIM($G2540)="","",IF(COUNTIF(LISTS!$I$2:$I$16,TRIM($G2540))&gt;0,"COUNTED",IF(COUNTIF(LISTS!$J$2:$J$16,TRIM($G2540))&gt;0,"LEFT OUT","NEW")))</f>
        <v/>
      </c>
    </row>
    <row r="2541" spans="47:47" x14ac:dyDescent="0.25">
      <c r="AU2541" s="8" t="str">
        <f>IF(TRIM($G2541)="","",IF(COUNTIF(LISTS!$I$2:$I$16,TRIM($G2541))&gt;0,"COUNTED",IF(COUNTIF(LISTS!$J$2:$J$16,TRIM($G2541))&gt;0,"LEFT OUT","NEW")))</f>
        <v/>
      </c>
    </row>
    <row r="2542" spans="47:47" x14ac:dyDescent="0.25">
      <c r="AU2542" s="8" t="str">
        <f>IF(TRIM($G2542)="","",IF(COUNTIF(LISTS!$I$2:$I$16,TRIM($G2542))&gt;0,"COUNTED",IF(COUNTIF(LISTS!$J$2:$J$16,TRIM($G2542))&gt;0,"LEFT OUT","NEW")))</f>
        <v/>
      </c>
    </row>
    <row r="2543" spans="47:47" x14ac:dyDescent="0.25">
      <c r="AU2543" s="8" t="str">
        <f>IF(TRIM($G2543)="","",IF(COUNTIF(LISTS!$I$2:$I$16,TRIM($G2543))&gt;0,"COUNTED",IF(COUNTIF(LISTS!$J$2:$J$16,TRIM($G2543))&gt;0,"LEFT OUT","NEW")))</f>
        <v/>
      </c>
    </row>
    <row r="2544" spans="47:47" x14ac:dyDescent="0.25">
      <c r="AU2544" s="8" t="str">
        <f>IF(TRIM($G2544)="","",IF(COUNTIF(LISTS!$I$2:$I$16,TRIM($G2544))&gt;0,"COUNTED",IF(COUNTIF(LISTS!$J$2:$J$16,TRIM($G2544))&gt;0,"LEFT OUT","NEW")))</f>
        <v/>
      </c>
    </row>
    <row r="2545" spans="47:47" x14ac:dyDescent="0.25">
      <c r="AU2545" s="8" t="str">
        <f>IF(TRIM($G2545)="","",IF(COUNTIF(LISTS!$I$2:$I$16,TRIM($G2545))&gt;0,"COUNTED",IF(COUNTIF(LISTS!$J$2:$J$16,TRIM($G2545))&gt;0,"LEFT OUT","NEW")))</f>
        <v/>
      </c>
    </row>
    <row r="2546" spans="47:47" x14ac:dyDescent="0.25">
      <c r="AU2546" s="8" t="str">
        <f>IF(TRIM($G2546)="","",IF(COUNTIF(LISTS!$I$2:$I$16,TRIM($G2546))&gt;0,"COUNTED",IF(COUNTIF(LISTS!$J$2:$J$16,TRIM($G2546))&gt;0,"LEFT OUT","NEW")))</f>
        <v/>
      </c>
    </row>
    <row r="2547" spans="47:47" x14ac:dyDescent="0.25">
      <c r="AU2547" s="8" t="str">
        <f>IF(TRIM($G2547)="","",IF(COUNTIF(LISTS!$I$2:$I$16,TRIM($G2547))&gt;0,"COUNTED",IF(COUNTIF(LISTS!$J$2:$J$16,TRIM($G2547))&gt;0,"LEFT OUT","NEW")))</f>
        <v/>
      </c>
    </row>
    <row r="2548" spans="47:47" x14ac:dyDescent="0.25">
      <c r="AU2548" s="8" t="str">
        <f>IF(TRIM($G2548)="","",IF(COUNTIF(LISTS!$I$2:$I$16,TRIM($G2548))&gt;0,"COUNTED",IF(COUNTIF(LISTS!$J$2:$J$16,TRIM($G2548))&gt;0,"LEFT OUT","NEW")))</f>
        <v/>
      </c>
    </row>
    <row r="2549" spans="47:47" x14ac:dyDescent="0.25">
      <c r="AU2549" s="8" t="str">
        <f>IF(TRIM($G2549)="","",IF(COUNTIF(LISTS!$I$2:$I$16,TRIM($G2549))&gt;0,"COUNTED",IF(COUNTIF(LISTS!$J$2:$J$16,TRIM($G2549))&gt;0,"LEFT OUT","NEW")))</f>
        <v/>
      </c>
    </row>
    <row r="2550" spans="47:47" x14ac:dyDescent="0.25">
      <c r="AU2550" s="8" t="str">
        <f>IF(TRIM($G2550)="","",IF(COUNTIF(LISTS!$I$2:$I$16,TRIM($G2550))&gt;0,"COUNTED",IF(COUNTIF(LISTS!$J$2:$J$16,TRIM($G2550))&gt;0,"LEFT OUT","NEW")))</f>
        <v/>
      </c>
    </row>
    <row r="2551" spans="47:47" x14ac:dyDescent="0.25">
      <c r="AU2551" s="8" t="str">
        <f>IF(TRIM($G2551)="","",IF(COUNTIF(LISTS!$I$2:$I$16,TRIM($G2551))&gt;0,"COUNTED",IF(COUNTIF(LISTS!$J$2:$J$16,TRIM($G2551))&gt;0,"LEFT OUT","NEW")))</f>
        <v/>
      </c>
    </row>
    <row r="2552" spans="47:47" x14ac:dyDescent="0.25">
      <c r="AU2552" s="8" t="str">
        <f>IF(TRIM($G2552)="","",IF(COUNTIF(LISTS!$I$2:$I$16,TRIM($G2552))&gt;0,"COUNTED",IF(COUNTIF(LISTS!$J$2:$J$16,TRIM($G2552))&gt;0,"LEFT OUT","NEW")))</f>
        <v/>
      </c>
    </row>
    <row r="2553" spans="47:47" x14ac:dyDescent="0.25">
      <c r="AU2553" s="8" t="str">
        <f>IF(TRIM($G2553)="","",IF(COUNTIF(LISTS!$I$2:$I$16,TRIM($G2553))&gt;0,"COUNTED",IF(COUNTIF(LISTS!$J$2:$J$16,TRIM($G2553))&gt;0,"LEFT OUT","NEW")))</f>
        <v/>
      </c>
    </row>
    <row r="2554" spans="47:47" x14ac:dyDescent="0.25">
      <c r="AU2554" s="8" t="str">
        <f>IF(TRIM($G2554)="","",IF(COUNTIF(LISTS!$I$2:$I$16,TRIM($G2554))&gt;0,"COUNTED",IF(COUNTIF(LISTS!$J$2:$J$16,TRIM($G2554))&gt;0,"LEFT OUT","NEW")))</f>
        <v/>
      </c>
    </row>
    <row r="2555" spans="47:47" x14ac:dyDescent="0.25">
      <c r="AU2555" s="8" t="str">
        <f>IF(TRIM($G2555)="","",IF(COUNTIF(LISTS!$I$2:$I$16,TRIM($G2555))&gt;0,"COUNTED",IF(COUNTIF(LISTS!$J$2:$J$16,TRIM($G2555))&gt;0,"LEFT OUT","NEW")))</f>
        <v/>
      </c>
    </row>
    <row r="2556" spans="47:47" x14ac:dyDescent="0.25">
      <c r="AU2556" s="8" t="str">
        <f>IF(TRIM($G2556)="","",IF(COUNTIF(LISTS!$I$2:$I$16,TRIM($G2556))&gt;0,"COUNTED",IF(COUNTIF(LISTS!$J$2:$J$16,TRIM($G2556))&gt;0,"LEFT OUT","NEW")))</f>
        <v/>
      </c>
    </row>
    <row r="2557" spans="47:47" x14ac:dyDescent="0.25">
      <c r="AU2557" s="8" t="str">
        <f>IF(TRIM($G2557)="","",IF(COUNTIF(LISTS!$I$2:$I$16,TRIM($G2557))&gt;0,"COUNTED",IF(COUNTIF(LISTS!$J$2:$J$16,TRIM($G2557))&gt;0,"LEFT OUT","NEW")))</f>
        <v/>
      </c>
    </row>
    <row r="2558" spans="47:47" x14ac:dyDescent="0.25">
      <c r="AU2558" s="8" t="str">
        <f>IF(TRIM($G2558)="","",IF(COUNTIF(LISTS!$I$2:$I$16,TRIM($G2558))&gt;0,"COUNTED",IF(COUNTIF(LISTS!$J$2:$J$16,TRIM($G2558))&gt;0,"LEFT OUT","NEW")))</f>
        <v/>
      </c>
    </row>
    <row r="2559" spans="47:47" x14ac:dyDescent="0.25">
      <c r="AU2559" s="8" t="str">
        <f>IF(TRIM($G2559)="","",IF(COUNTIF(LISTS!$I$2:$I$16,TRIM($G2559))&gt;0,"COUNTED",IF(COUNTIF(LISTS!$J$2:$J$16,TRIM($G2559))&gt;0,"LEFT OUT","NEW")))</f>
        <v/>
      </c>
    </row>
    <row r="2560" spans="47:47" x14ac:dyDescent="0.25">
      <c r="AU2560" s="8" t="str">
        <f>IF(TRIM($G2560)="","",IF(COUNTIF(LISTS!$I$2:$I$16,TRIM($G2560))&gt;0,"COUNTED",IF(COUNTIF(LISTS!$J$2:$J$16,TRIM($G2560))&gt;0,"LEFT OUT","NEW")))</f>
        <v/>
      </c>
    </row>
    <row r="2561" spans="47:47" x14ac:dyDescent="0.25">
      <c r="AU2561" s="8" t="str">
        <f>IF(TRIM($G2561)="","",IF(COUNTIF(LISTS!$I$2:$I$16,TRIM($G2561))&gt;0,"COUNTED",IF(COUNTIF(LISTS!$J$2:$J$16,TRIM($G2561))&gt;0,"LEFT OUT","NEW")))</f>
        <v/>
      </c>
    </row>
    <row r="2562" spans="47:47" x14ac:dyDescent="0.25">
      <c r="AU2562" s="8" t="str">
        <f>IF(TRIM($G2562)="","",IF(COUNTIF(LISTS!$I$2:$I$16,TRIM($G2562))&gt;0,"COUNTED",IF(COUNTIF(LISTS!$J$2:$J$16,TRIM($G2562))&gt;0,"LEFT OUT","NEW")))</f>
        <v/>
      </c>
    </row>
    <row r="2563" spans="47:47" x14ac:dyDescent="0.25">
      <c r="AU2563" s="8" t="str">
        <f>IF(TRIM($G2563)="","",IF(COUNTIF(LISTS!$I$2:$I$16,TRIM($G2563))&gt;0,"COUNTED",IF(COUNTIF(LISTS!$J$2:$J$16,TRIM($G2563))&gt;0,"LEFT OUT","NEW")))</f>
        <v/>
      </c>
    </row>
    <row r="2564" spans="47:47" x14ac:dyDescent="0.25">
      <c r="AU2564" s="8" t="str">
        <f>IF(TRIM($G2564)="","",IF(COUNTIF(LISTS!$I$2:$I$16,TRIM($G2564))&gt;0,"COUNTED",IF(COUNTIF(LISTS!$J$2:$J$16,TRIM($G2564))&gt;0,"LEFT OUT","NEW")))</f>
        <v/>
      </c>
    </row>
    <row r="2565" spans="47:47" x14ac:dyDescent="0.25">
      <c r="AU2565" s="8" t="str">
        <f>IF(TRIM($G2565)="","",IF(COUNTIF(LISTS!$I$2:$I$16,TRIM($G2565))&gt;0,"COUNTED",IF(COUNTIF(LISTS!$J$2:$J$16,TRIM($G2565))&gt;0,"LEFT OUT","NEW")))</f>
        <v/>
      </c>
    </row>
    <row r="2566" spans="47:47" x14ac:dyDescent="0.25">
      <c r="AU2566" s="8" t="str">
        <f>IF(TRIM($G2566)="","",IF(COUNTIF(LISTS!$I$2:$I$16,TRIM($G2566))&gt;0,"COUNTED",IF(COUNTIF(LISTS!$J$2:$J$16,TRIM($G2566))&gt;0,"LEFT OUT","NEW")))</f>
        <v/>
      </c>
    </row>
    <row r="2567" spans="47:47" x14ac:dyDescent="0.25">
      <c r="AU2567" s="8" t="str">
        <f>IF(TRIM($G2567)="","",IF(COUNTIF(LISTS!$I$2:$I$16,TRIM($G2567))&gt;0,"COUNTED",IF(COUNTIF(LISTS!$J$2:$J$16,TRIM($G2567))&gt;0,"LEFT OUT","NEW")))</f>
        <v/>
      </c>
    </row>
    <row r="2568" spans="47:47" x14ac:dyDescent="0.25">
      <c r="AU2568" s="8" t="str">
        <f>IF(TRIM($G2568)="","",IF(COUNTIF(LISTS!$I$2:$I$16,TRIM($G2568))&gt;0,"COUNTED",IF(COUNTIF(LISTS!$J$2:$J$16,TRIM($G2568))&gt;0,"LEFT OUT","NEW")))</f>
        <v/>
      </c>
    </row>
    <row r="2569" spans="47:47" x14ac:dyDescent="0.25">
      <c r="AU2569" s="8" t="str">
        <f>IF(TRIM($G2569)="","",IF(COUNTIF(LISTS!$I$2:$I$16,TRIM($G2569))&gt;0,"COUNTED",IF(COUNTIF(LISTS!$J$2:$J$16,TRIM($G2569))&gt;0,"LEFT OUT","NEW")))</f>
        <v/>
      </c>
    </row>
    <row r="2570" spans="47:47" x14ac:dyDescent="0.25">
      <c r="AU2570" s="8" t="str">
        <f>IF(TRIM($G2570)="","",IF(COUNTIF(LISTS!$I$2:$I$16,TRIM($G2570))&gt;0,"COUNTED",IF(COUNTIF(LISTS!$J$2:$J$16,TRIM($G2570))&gt;0,"LEFT OUT","NEW")))</f>
        <v/>
      </c>
    </row>
    <row r="2571" spans="47:47" x14ac:dyDescent="0.25">
      <c r="AU2571" s="8" t="str">
        <f>IF(TRIM($G2571)="","",IF(COUNTIF(LISTS!$I$2:$I$16,TRIM($G2571))&gt;0,"COUNTED",IF(COUNTIF(LISTS!$J$2:$J$16,TRIM($G2571))&gt;0,"LEFT OUT","NEW")))</f>
        <v/>
      </c>
    </row>
    <row r="2572" spans="47:47" x14ac:dyDescent="0.25">
      <c r="AU2572" s="8" t="str">
        <f>IF(TRIM($G2572)="","",IF(COUNTIF(LISTS!$I$2:$I$16,TRIM($G2572))&gt;0,"COUNTED",IF(COUNTIF(LISTS!$J$2:$J$16,TRIM($G2572))&gt;0,"LEFT OUT","NEW")))</f>
        <v/>
      </c>
    </row>
    <row r="2573" spans="47:47" x14ac:dyDescent="0.25">
      <c r="AU2573" s="8" t="str">
        <f>IF(TRIM($G2573)="","",IF(COUNTIF(LISTS!$I$2:$I$16,TRIM($G2573))&gt;0,"COUNTED",IF(COUNTIF(LISTS!$J$2:$J$16,TRIM($G2573))&gt;0,"LEFT OUT","NEW")))</f>
        <v/>
      </c>
    </row>
    <row r="2574" spans="47:47" x14ac:dyDescent="0.25">
      <c r="AU2574" s="8" t="str">
        <f>IF(TRIM($G2574)="","",IF(COUNTIF(LISTS!$I$2:$I$16,TRIM($G2574))&gt;0,"COUNTED",IF(COUNTIF(LISTS!$J$2:$J$16,TRIM($G2574))&gt;0,"LEFT OUT","NEW")))</f>
        <v/>
      </c>
    </row>
    <row r="2575" spans="47:47" x14ac:dyDescent="0.25">
      <c r="AU2575" s="8" t="str">
        <f>IF(TRIM($G2575)="","",IF(COUNTIF(LISTS!$I$2:$I$16,TRIM($G2575))&gt;0,"COUNTED",IF(COUNTIF(LISTS!$J$2:$J$16,TRIM($G2575))&gt;0,"LEFT OUT","NEW")))</f>
        <v/>
      </c>
    </row>
    <row r="2576" spans="47:47" x14ac:dyDescent="0.25">
      <c r="AU2576" s="8" t="str">
        <f>IF(TRIM($G2576)="","",IF(COUNTIF(LISTS!$I$2:$I$16,TRIM($G2576))&gt;0,"COUNTED",IF(COUNTIF(LISTS!$J$2:$J$16,TRIM($G2576))&gt;0,"LEFT OUT","NEW")))</f>
        <v/>
      </c>
    </row>
    <row r="2577" spans="47:47" x14ac:dyDescent="0.25">
      <c r="AU2577" s="8" t="str">
        <f>IF(TRIM($G2577)="","",IF(COUNTIF(LISTS!$I$2:$I$16,TRIM($G2577))&gt;0,"COUNTED",IF(COUNTIF(LISTS!$J$2:$J$16,TRIM($G2577))&gt;0,"LEFT OUT","NEW")))</f>
        <v/>
      </c>
    </row>
    <row r="2578" spans="47:47" x14ac:dyDescent="0.25">
      <c r="AU2578" s="8" t="str">
        <f>IF(TRIM($G2578)="","",IF(COUNTIF(LISTS!$I$2:$I$16,TRIM($G2578))&gt;0,"COUNTED",IF(COUNTIF(LISTS!$J$2:$J$16,TRIM($G2578))&gt;0,"LEFT OUT","NEW")))</f>
        <v/>
      </c>
    </row>
    <row r="2579" spans="47:47" x14ac:dyDescent="0.25">
      <c r="AU2579" s="8" t="str">
        <f>IF(TRIM($G2579)="","",IF(COUNTIF(LISTS!$I$2:$I$16,TRIM($G2579))&gt;0,"COUNTED",IF(COUNTIF(LISTS!$J$2:$J$16,TRIM($G2579))&gt;0,"LEFT OUT","NEW")))</f>
        <v/>
      </c>
    </row>
    <row r="2580" spans="47:47" x14ac:dyDescent="0.25">
      <c r="AU2580" s="8" t="str">
        <f>IF(TRIM($G2580)="","",IF(COUNTIF(LISTS!$I$2:$I$16,TRIM($G2580))&gt;0,"COUNTED",IF(COUNTIF(LISTS!$J$2:$J$16,TRIM($G2580))&gt;0,"LEFT OUT","NEW")))</f>
        <v/>
      </c>
    </row>
    <row r="2581" spans="47:47" x14ac:dyDescent="0.25">
      <c r="AU2581" s="8" t="str">
        <f>IF(TRIM($G2581)="","",IF(COUNTIF(LISTS!$I$2:$I$16,TRIM($G2581))&gt;0,"COUNTED",IF(COUNTIF(LISTS!$J$2:$J$16,TRIM($G2581))&gt;0,"LEFT OUT","NEW")))</f>
        <v/>
      </c>
    </row>
    <row r="2582" spans="47:47" x14ac:dyDescent="0.25">
      <c r="AU2582" s="8" t="str">
        <f>IF(TRIM($G2582)="","",IF(COUNTIF(LISTS!$I$2:$I$16,TRIM($G2582))&gt;0,"COUNTED",IF(COUNTIF(LISTS!$J$2:$J$16,TRIM($G2582))&gt;0,"LEFT OUT","NEW")))</f>
        <v/>
      </c>
    </row>
    <row r="2583" spans="47:47" x14ac:dyDescent="0.25">
      <c r="AU2583" s="8" t="str">
        <f>IF(TRIM($G2583)="","",IF(COUNTIF(LISTS!$I$2:$I$16,TRIM($G2583))&gt;0,"COUNTED",IF(COUNTIF(LISTS!$J$2:$J$16,TRIM($G2583))&gt;0,"LEFT OUT","NEW")))</f>
        <v/>
      </c>
    </row>
    <row r="2584" spans="47:47" x14ac:dyDescent="0.25">
      <c r="AU2584" s="8" t="str">
        <f>IF(TRIM($G2584)="","",IF(COUNTIF(LISTS!$I$2:$I$16,TRIM($G2584))&gt;0,"COUNTED",IF(COUNTIF(LISTS!$J$2:$J$16,TRIM($G2584))&gt;0,"LEFT OUT","NEW")))</f>
        <v/>
      </c>
    </row>
    <row r="2585" spans="47:47" x14ac:dyDescent="0.25">
      <c r="AU2585" s="8" t="str">
        <f>IF(TRIM($G2585)="","",IF(COUNTIF(LISTS!$I$2:$I$16,TRIM($G2585))&gt;0,"COUNTED",IF(COUNTIF(LISTS!$J$2:$J$16,TRIM($G2585))&gt;0,"LEFT OUT","NEW")))</f>
        <v/>
      </c>
    </row>
    <row r="2586" spans="47:47" x14ac:dyDescent="0.25">
      <c r="AU2586" s="8" t="str">
        <f>IF(TRIM($G2586)="","",IF(COUNTIF(LISTS!$I$2:$I$16,TRIM($G2586))&gt;0,"COUNTED",IF(COUNTIF(LISTS!$J$2:$J$16,TRIM($G2586))&gt;0,"LEFT OUT","NEW")))</f>
        <v/>
      </c>
    </row>
    <row r="2587" spans="47:47" x14ac:dyDescent="0.25">
      <c r="AU2587" s="8" t="str">
        <f>IF(TRIM($G2587)="","",IF(COUNTIF(LISTS!$I$2:$I$16,TRIM($G2587))&gt;0,"COUNTED",IF(COUNTIF(LISTS!$J$2:$J$16,TRIM($G2587))&gt;0,"LEFT OUT","NEW")))</f>
        <v/>
      </c>
    </row>
    <row r="2588" spans="47:47" x14ac:dyDescent="0.25">
      <c r="AU2588" s="8" t="str">
        <f>IF(TRIM($G2588)="","",IF(COUNTIF(LISTS!$I$2:$I$16,TRIM($G2588))&gt;0,"COUNTED",IF(COUNTIF(LISTS!$J$2:$J$16,TRIM($G2588))&gt;0,"LEFT OUT","NEW")))</f>
        <v/>
      </c>
    </row>
    <row r="2589" spans="47:47" x14ac:dyDescent="0.25">
      <c r="AU2589" s="8" t="str">
        <f>IF(TRIM($G2589)="","",IF(COUNTIF(LISTS!$I$2:$I$16,TRIM($G2589))&gt;0,"COUNTED",IF(COUNTIF(LISTS!$J$2:$J$16,TRIM($G2589))&gt;0,"LEFT OUT","NEW")))</f>
        <v/>
      </c>
    </row>
    <row r="2590" spans="47:47" x14ac:dyDescent="0.25">
      <c r="AU2590" s="8" t="str">
        <f>IF(TRIM($G2590)="","",IF(COUNTIF(LISTS!$I$2:$I$16,TRIM($G2590))&gt;0,"COUNTED",IF(COUNTIF(LISTS!$J$2:$J$16,TRIM($G2590))&gt;0,"LEFT OUT","NEW")))</f>
        <v/>
      </c>
    </row>
    <row r="2591" spans="47:47" x14ac:dyDescent="0.25">
      <c r="AU2591" s="8" t="str">
        <f>IF(TRIM($G2591)="","",IF(COUNTIF(LISTS!$I$2:$I$16,TRIM($G2591))&gt;0,"COUNTED",IF(COUNTIF(LISTS!$J$2:$J$16,TRIM($G2591))&gt;0,"LEFT OUT","NEW")))</f>
        <v/>
      </c>
    </row>
    <row r="2592" spans="47:47" x14ac:dyDescent="0.25">
      <c r="AU2592" s="8" t="str">
        <f>IF(TRIM($G2592)="","",IF(COUNTIF(LISTS!$I$2:$I$16,TRIM($G2592))&gt;0,"COUNTED",IF(COUNTIF(LISTS!$J$2:$J$16,TRIM($G2592))&gt;0,"LEFT OUT","NEW")))</f>
        <v/>
      </c>
    </row>
    <row r="2593" spans="47:47" x14ac:dyDescent="0.25">
      <c r="AU2593" s="8" t="str">
        <f>IF(TRIM($G2593)="","",IF(COUNTIF(LISTS!$I$2:$I$16,TRIM($G2593))&gt;0,"COUNTED",IF(COUNTIF(LISTS!$J$2:$J$16,TRIM($G2593))&gt;0,"LEFT OUT","NEW")))</f>
        <v/>
      </c>
    </row>
    <row r="2594" spans="47:47" x14ac:dyDescent="0.25">
      <c r="AU2594" s="8" t="str">
        <f>IF(TRIM($G2594)="","",IF(COUNTIF(LISTS!$I$2:$I$16,TRIM($G2594))&gt;0,"COUNTED",IF(COUNTIF(LISTS!$J$2:$J$16,TRIM($G2594))&gt;0,"LEFT OUT","NEW")))</f>
        <v/>
      </c>
    </row>
    <row r="2595" spans="47:47" x14ac:dyDescent="0.25">
      <c r="AU2595" s="8" t="str">
        <f>IF(TRIM($G2595)="","",IF(COUNTIF(LISTS!$I$2:$I$16,TRIM($G2595))&gt;0,"COUNTED",IF(COUNTIF(LISTS!$J$2:$J$16,TRIM($G2595))&gt;0,"LEFT OUT","NEW")))</f>
        <v/>
      </c>
    </row>
    <row r="2596" spans="47:47" x14ac:dyDescent="0.25">
      <c r="AU2596" s="8" t="str">
        <f>IF(TRIM($G2596)="","",IF(COUNTIF(LISTS!$I$2:$I$16,TRIM($G2596))&gt;0,"COUNTED",IF(COUNTIF(LISTS!$J$2:$J$16,TRIM($G2596))&gt;0,"LEFT OUT","NEW")))</f>
        <v/>
      </c>
    </row>
    <row r="2597" spans="47:47" x14ac:dyDescent="0.25">
      <c r="AU2597" s="8" t="str">
        <f>IF(TRIM($G2597)="","",IF(COUNTIF(LISTS!$I$2:$I$16,TRIM($G2597))&gt;0,"COUNTED",IF(COUNTIF(LISTS!$J$2:$J$16,TRIM($G2597))&gt;0,"LEFT OUT","NEW")))</f>
        <v/>
      </c>
    </row>
    <row r="2598" spans="47:47" x14ac:dyDescent="0.25">
      <c r="AU2598" s="8" t="str">
        <f>IF(TRIM($G2598)="","",IF(COUNTIF(LISTS!$I$2:$I$16,TRIM($G2598))&gt;0,"COUNTED",IF(COUNTIF(LISTS!$J$2:$J$16,TRIM($G2598))&gt;0,"LEFT OUT","NEW")))</f>
        <v/>
      </c>
    </row>
    <row r="2599" spans="47:47" x14ac:dyDescent="0.25">
      <c r="AU2599" s="8" t="str">
        <f>IF(TRIM($G2599)="","",IF(COUNTIF(LISTS!$I$2:$I$16,TRIM($G2599))&gt;0,"COUNTED",IF(COUNTIF(LISTS!$J$2:$J$16,TRIM($G2599))&gt;0,"LEFT OUT","NEW")))</f>
        <v/>
      </c>
    </row>
    <row r="2600" spans="47:47" x14ac:dyDescent="0.25">
      <c r="AU2600" s="8" t="str">
        <f>IF(TRIM($G2600)="","",IF(COUNTIF(LISTS!$I$2:$I$16,TRIM($G2600))&gt;0,"COUNTED",IF(COUNTIF(LISTS!$J$2:$J$16,TRIM($G2600))&gt;0,"LEFT OUT","NEW")))</f>
        <v/>
      </c>
    </row>
    <row r="2601" spans="47:47" x14ac:dyDescent="0.25">
      <c r="AU2601" s="8" t="str">
        <f>IF(TRIM($G2601)="","",IF(COUNTIF(LISTS!$I$2:$I$16,TRIM($G2601))&gt;0,"COUNTED",IF(COUNTIF(LISTS!$J$2:$J$16,TRIM($G2601))&gt;0,"LEFT OUT","NEW")))</f>
        <v/>
      </c>
    </row>
    <row r="2602" spans="47:47" x14ac:dyDescent="0.25">
      <c r="AU2602" s="8" t="str">
        <f>IF(TRIM($G2602)="","",IF(COUNTIF(LISTS!$I$2:$I$16,TRIM($G2602))&gt;0,"COUNTED",IF(COUNTIF(LISTS!$J$2:$J$16,TRIM($G2602))&gt;0,"LEFT OUT","NEW")))</f>
        <v/>
      </c>
    </row>
    <row r="2603" spans="47:47" x14ac:dyDescent="0.25">
      <c r="AU2603" s="8" t="str">
        <f>IF(TRIM($G2603)="","",IF(COUNTIF(LISTS!$I$2:$I$16,TRIM($G2603))&gt;0,"COUNTED",IF(COUNTIF(LISTS!$J$2:$J$16,TRIM($G2603))&gt;0,"LEFT OUT","NEW")))</f>
        <v/>
      </c>
    </row>
    <row r="2604" spans="47:47" x14ac:dyDescent="0.25">
      <c r="AU2604" s="8" t="str">
        <f>IF(TRIM($G2604)="","",IF(COUNTIF(LISTS!$I$2:$I$16,TRIM($G2604))&gt;0,"COUNTED",IF(COUNTIF(LISTS!$J$2:$J$16,TRIM($G2604))&gt;0,"LEFT OUT","NEW")))</f>
        <v/>
      </c>
    </row>
    <row r="2605" spans="47:47" x14ac:dyDescent="0.25">
      <c r="AU2605" s="8" t="str">
        <f>IF(TRIM($G2605)="","",IF(COUNTIF(LISTS!$I$2:$I$16,TRIM($G2605))&gt;0,"COUNTED",IF(COUNTIF(LISTS!$J$2:$J$16,TRIM($G2605))&gt;0,"LEFT OUT","NEW")))</f>
        <v/>
      </c>
    </row>
    <row r="2606" spans="47:47" x14ac:dyDescent="0.25">
      <c r="AU2606" s="8" t="str">
        <f>IF(TRIM($G2606)="","",IF(COUNTIF(LISTS!$I$2:$I$16,TRIM($G2606))&gt;0,"COUNTED",IF(COUNTIF(LISTS!$J$2:$J$16,TRIM($G2606))&gt;0,"LEFT OUT","NEW")))</f>
        <v/>
      </c>
    </row>
    <row r="2607" spans="47:47" x14ac:dyDescent="0.25">
      <c r="AU2607" s="8" t="str">
        <f>IF(TRIM($G2607)="","",IF(COUNTIF(LISTS!$I$2:$I$16,TRIM($G2607))&gt;0,"COUNTED",IF(COUNTIF(LISTS!$J$2:$J$16,TRIM($G2607))&gt;0,"LEFT OUT","NEW")))</f>
        <v/>
      </c>
    </row>
    <row r="2608" spans="47:47" x14ac:dyDescent="0.25">
      <c r="AU2608" s="8" t="str">
        <f>IF(TRIM($G2608)="","",IF(COUNTIF(LISTS!$I$2:$I$16,TRIM($G2608))&gt;0,"COUNTED",IF(COUNTIF(LISTS!$J$2:$J$16,TRIM($G2608))&gt;0,"LEFT OUT","NEW")))</f>
        <v/>
      </c>
    </row>
    <row r="2609" spans="47:47" x14ac:dyDescent="0.25">
      <c r="AU2609" s="8" t="str">
        <f>IF(TRIM($G2609)="","",IF(COUNTIF(LISTS!$I$2:$I$16,TRIM($G2609))&gt;0,"COUNTED",IF(COUNTIF(LISTS!$J$2:$J$16,TRIM($G2609))&gt;0,"LEFT OUT","NEW")))</f>
        <v/>
      </c>
    </row>
    <row r="2610" spans="47:47" x14ac:dyDescent="0.25">
      <c r="AU2610" s="8" t="str">
        <f>IF(TRIM($G2610)="","",IF(COUNTIF(LISTS!$I$2:$I$16,TRIM($G2610))&gt;0,"COUNTED",IF(COUNTIF(LISTS!$J$2:$J$16,TRIM($G2610))&gt;0,"LEFT OUT","NEW")))</f>
        <v/>
      </c>
    </row>
    <row r="2611" spans="47:47" x14ac:dyDescent="0.25">
      <c r="AU2611" s="8" t="str">
        <f>IF(TRIM($G2611)="","",IF(COUNTIF(LISTS!$I$2:$I$16,TRIM($G2611))&gt;0,"COUNTED",IF(COUNTIF(LISTS!$J$2:$J$16,TRIM($G2611))&gt;0,"LEFT OUT","NEW")))</f>
        <v/>
      </c>
    </row>
    <row r="2612" spans="47:47" x14ac:dyDescent="0.25">
      <c r="AU2612" s="8" t="str">
        <f>IF(TRIM($G2612)="","",IF(COUNTIF(LISTS!$I$2:$I$16,TRIM($G2612))&gt;0,"COUNTED",IF(COUNTIF(LISTS!$J$2:$J$16,TRIM($G2612))&gt;0,"LEFT OUT","NEW")))</f>
        <v/>
      </c>
    </row>
    <row r="2613" spans="47:47" x14ac:dyDescent="0.25">
      <c r="AU2613" s="8" t="str">
        <f>IF(TRIM($G2613)="","",IF(COUNTIF(LISTS!$I$2:$I$16,TRIM($G2613))&gt;0,"COUNTED",IF(COUNTIF(LISTS!$J$2:$J$16,TRIM($G2613))&gt;0,"LEFT OUT","NEW")))</f>
        <v/>
      </c>
    </row>
    <row r="2614" spans="47:47" x14ac:dyDescent="0.25">
      <c r="AU2614" s="8" t="str">
        <f>IF(TRIM($G2614)="","",IF(COUNTIF(LISTS!$I$2:$I$16,TRIM($G2614))&gt;0,"COUNTED",IF(COUNTIF(LISTS!$J$2:$J$16,TRIM($G2614))&gt;0,"LEFT OUT","NEW")))</f>
        <v/>
      </c>
    </row>
    <row r="2615" spans="47:47" x14ac:dyDescent="0.25">
      <c r="AU2615" s="8" t="str">
        <f>IF(TRIM($G2615)="","",IF(COUNTIF(LISTS!$I$2:$I$16,TRIM($G2615))&gt;0,"COUNTED",IF(COUNTIF(LISTS!$J$2:$J$16,TRIM($G2615))&gt;0,"LEFT OUT","NEW")))</f>
        <v/>
      </c>
    </row>
    <row r="2616" spans="47:47" x14ac:dyDescent="0.25">
      <c r="AU2616" s="8" t="str">
        <f>IF(TRIM($G2616)="","",IF(COUNTIF(LISTS!$I$2:$I$16,TRIM($G2616))&gt;0,"COUNTED",IF(COUNTIF(LISTS!$J$2:$J$16,TRIM($G2616))&gt;0,"LEFT OUT","NEW")))</f>
        <v/>
      </c>
    </row>
    <row r="2617" spans="47:47" x14ac:dyDescent="0.25">
      <c r="AU2617" s="8" t="str">
        <f>IF(TRIM($G2617)="","",IF(COUNTIF(LISTS!$I$2:$I$16,TRIM($G2617))&gt;0,"COUNTED",IF(COUNTIF(LISTS!$J$2:$J$16,TRIM($G2617))&gt;0,"LEFT OUT","NEW")))</f>
        <v/>
      </c>
    </row>
    <row r="2618" spans="47:47" x14ac:dyDescent="0.25">
      <c r="AU2618" s="8" t="str">
        <f>IF(TRIM($G2618)="","",IF(COUNTIF(LISTS!$I$2:$I$16,TRIM($G2618))&gt;0,"COUNTED",IF(COUNTIF(LISTS!$J$2:$J$16,TRIM($G2618))&gt;0,"LEFT OUT","NEW")))</f>
        <v/>
      </c>
    </row>
    <row r="2619" spans="47:47" x14ac:dyDescent="0.25">
      <c r="AU2619" s="8" t="str">
        <f>IF(TRIM($G2619)="","",IF(COUNTIF(LISTS!$I$2:$I$16,TRIM($G2619))&gt;0,"COUNTED",IF(COUNTIF(LISTS!$J$2:$J$16,TRIM($G2619))&gt;0,"LEFT OUT","NEW")))</f>
        <v/>
      </c>
    </row>
    <row r="2620" spans="47:47" x14ac:dyDescent="0.25">
      <c r="AU2620" s="8" t="str">
        <f>IF(TRIM($G2620)="","",IF(COUNTIF(LISTS!$I$2:$I$16,TRIM($G2620))&gt;0,"COUNTED",IF(COUNTIF(LISTS!$J$2:$J$16,TRIM($G2620))&gt;0,"LEFT OUT","NEW")))</f>
        <v/>
      </c>
    </row>
    <row r="2621" spans="47:47" x14ac:dyDescent="0.25">
      <c r="AU2621" s="8" t="str">
        <f>IF(TRIM($G2621)="","",IF(COUNTIF(LISTS!$I$2:$I$16,TRIM($G2621))&gt;0,"COUNTED",IF(COUNTIF(LISTS!$J$2:$J$16,TRIM($G2621))&gt;0,"LEFT OUT","NEW")))</f>
        <v/>
      </c>
    </row>
    <row r="2622" spans="47:47" x14ac:dyDescent="0.25">
      <c r="AU2622" s="8" t="str">
        <f>IF(TRIM($G2622)="","",IF(COUNTIF(LISTS!$I$2:$I$16,TRIM($G2622))&gt;0,"COUNTED",IF(COUNTIF(LISTS!$J$2:$J$16,TRIM($G2622))&gt;0,"LEFT OUT","NEW")))</f>
        <v/>
      </c>
    </row>
    <row r="2623" spans="47:47" x14ac:dyDescent="0.25">
      <c r="AU2623" s="8" t="str">
        <f>IF(TRIM($G2623)="","",IF(COUNTIF(LISTS!$I$2:$I$16,TRIM($G2623))&gt;0,"COUNTED",IF(COUNTIF(LISTS!$J$2:$J$16,TRIM($G2623))&gt;0,"LEFT OUT","NEW")))</f>
        <v/>
      </c>
    </row>
    <row r="2624" spans="47:47" x14ac:dyDescent="0.25">
      <c r="AU2624" s="8" t="str">
        <f>IF(TRIM($G2624)="","",IF(COUNTIF(LISTS!$I$2:$I$16,TRIM($G2624))&gt;0,"COUNTED",IF(COUNTIF(LISTS!$J$2:$J$16,TRIM($G2624))&gt;0,"LEFT OUT","NEW")))</f>
        <v/>
      </c>
    </row>
    <row r="2625" spans="47:47" x14ac:dyDescent="0.25">
      <c r="AU2625" s="8" t="str">
        <f>IF(TRIM($G2625)="","",IF(COUNTIF(LISTS!$I$2:$I$16,TRIM($G2625))&gt;0,"COUNTED",IF(COUNTIF(LISTS!$J$2:$J$16,TRIM($G2625))&gt;0,"LEFT OUT","NEW")))</f>
        <v/>
      </c>
    </row>
    <row r="2626" spans="47:47" x14ac:dyDescent="0.25">
      <c r="AU2626" s="8" t="str">
        <f>IF(TRIM($G2626)="","",IF(COUNTIF(LISTS!$I$2:$I$16,TRIM($G2626))&gt;0,"COUNTED",IF(COUNTIF(LISTS!$J$2:$J$16,TRIM($G2626))&gt;0,"LEFT OUT","NEW")))</f>
        <v/>
      </c>
    </row>
    <row r="2627" spans="47:47" x14ac:dyDescent="0.25">
      <c r="AU2627" s="8" t="str">
        <f>IF(TRIM($G2627)="","",IF(COUNTIF(LISTS!$I$2:$I$16,TRIM($G2627))&gt;0,"COUNTED",IF(COUNTIF(LISTS!$J$2:$J$16,TRIM($G2627))&gt;0,"LEFT OUT","NEW")))</f>
        <v/>
      </c>
    </row>
    <row r="2628" spans="47:47" x14ac:dyDescent="0.25">
      <c r="AU2628" s="8" t="str">
        <f>IF(TRIM($G2628)="","",IF(COUNTIF(LISTS!$I$2:$I$16,TRIM($G2628))&gt;0,"COUNTED",IF(COUNTIF(LISTS!$J$2:$J$16,TRIM($G2628))&gt;0,"LEFT OUT","NEW")))</f>
        <v/>
      </c>
    </row>
    <row r="2629" spans="47:47" x14ac:dyDescent="0.25">
      <c r="AU2629" s="8" t="str">
        <f>IF(TRIM($G2629)="","",IF(COUNTIF(LISTS!$I$2:$I$16,TRIM($G2629))&gt;0,"COUNTED",IF(COUNTIF(LISTS!$J$2:$J$16,TRIM($G2629))&gt;0,"LEFT OUT","NEW")))</f>
        <v/>
      </c>
    </row>
    <row r="2630" spans="47:47" x14ac:dyDescent="0.25">
      <c r="AU2630" s="8" t="str">
        <f>IF(TRIM($G2630)="","",IF(COUNTIF(LISTS!$I$2:$I$16,TRIM($G2630))&gt;0,"COUNTED",IF(COUNTIF(LISTS!$J$2:$J$16,TRIM($G2630))&gt;0,"LEFT OUT","NEW")))</f>
        <v/>
      </c>
    </row>
    <row r="2631" spans="47:47" x14ac:dyDescent="0.25">
      <c r="AU2631" s="8" t="str">
        <f>IF(TRIM($G2631)="","",IF(COUNTIF(LISTS!$I$2:$I$16,TRIM($G2631))&gt;0,"COUNTED",IF(COUNTIF(LISTS!$J$2:$J$16,TRIM($G2631))&gt;0,"LEFT OUT","NEW")))</f>
        <v/>
      </c>
    </row>
    <row r="2632" spans="47:47" x14ac:dyDescent="0.25">
      <c r="AU2632" s="8" t="str">
        <f>IF(TRIM($G2632)="","",IF(COUNTIF(LISTS!$I$2:$I$16,TRIM($G2632))&gt;0,"COUNTED",IF(COUNTIF(LISTS!$J$2:$J$16,TRIM($G2632))&gt;0,"LEFT OUT","NEW")))</f>
        <v/>
      </c>
    </row>
    <row r="2633" spans="47:47" x14ac:dyDescent="0.25">
      <c r="AU2633" s="8" t="str">
        <f>IF(TRIM($G2633)="","",IF(COUNTIF(LISTS!$I$2:$I$16,TRIM($G2633))&gt;0,"COUNTED",IF(COUNTIF(LISTS!$J$2:$J$16,TRIM($G2633))&gt;0,"LEFT OUT","NEW")))</f>
        <v/>
      </c>
    </row>
    <row r="2634" spans="47:47" x14ac:dyDescent="0.25">
      <c r="AU2634" s="8" t="str">
        <f>IF(TRIM($G2634)="","",IF(COUNTIF(LISTS!$I$2:$I$16,TRIM($G2634))&gt;0,"COUNTED",IF(COUNTIF(LISTS!$J$2:$J$16,TRIM($G2634))&gt;0,"LEFT OUT","NEW")))</f>
        <v/>
      </c>
    </row>
    <row r="2635" spans="47:47" x14ac:dyDescent="0.25">
      <c r="AU2635" s="8" t="str">
        <f>IF(TRIM($G2635)="","",IF(COUNTIF(LISTS!$I$2:$I$16,TRIM($G2635))&gt;0,"COUNTED",IF(COUNTIF(LISTS!$J$2:$J$16,TRIM($G2635))&gt;0,"LEFT OUT","NEW")))</f>
        <v/>
      </c>
    </row>
    <row r="2636" spans="47:47" x14ac:dyDescent="0.25">
      <c r="AU2636" s="8" t="str">
        <f>IF(TRIM($G2636)="","",IF(COUNTIF(LISTS!$I$2:$I$16,TRIM($G2636))&gt;0,"COUNTED",IF(COUNTIF(LISTS!$J$2:$J$16,TRIM($G2636))&gt;0,"LEFT OUT","NEW")))</f>
        <v/>
      </c>
    </row>
    <row r="2637" spans="47:47" x14ac:dyDescent="0.25">
      <c r="AU2637" s="8" t="str">
        <f>IF(TRIM($G2637)="","",IF(COUNTIF(LISTS!$I$2:$I$16,TRIM($G2637))&gt;0,"COUNTED",IF(COUNTIF(LISTS!$J$2:$J$16,TRIM($G2637))&gt;0,"LEFT OUT","NEW")))</f>
        <v/>
      </c>
    </row>
    <row r="2638" spans="47:47" x14ac:dyDescent="0.25">
      <c r="AU2638" s="8" t="str">
        <f>IF(TRIM($G2638)="","",IF(COUNTIF(LISTS!$I$2:$I$16,TRIM($G2638))&gt;0,"COUNTED",IF(COUNTIF(LISTS!$J$2:$J$16,TRIM($G2638))&gt;0,"LEFT OUT","NEW")))</f>
        <v/>
      </c>
    </row>
    <row r="2639" spans="47:47" x14ac:dyDescent="0.25">
      <c r="AU2639" s="8" t="str">
        <f>IF(TRIM($G2639)="","",IF(COUNTIF(LISTS!$I$2:$I$16,TRIM($G2639))&gt;0,"COUNTED",IF(COUNTIF(LISTS!$J$2:$J$16,TRIM($G2639))&gt;0,"LEFT OUT","NEW")))</f>
        <v/>
      </c>
    </row>
    <row r="2640" spans="47:47" x14ac:dyDescent="0.25">
      <c r="AU2640" s="8" t="str">
        <f>IF(TRIM($G2640)="","",IF(COUNTIF(LISTS!$I$2:$I$16,TRIM($G2640))&gt;0,"COUNTED",IF(COUNTIF(LISTS!$J$2:$J$16,TRIM($G2640))&gt;0,"LEFT OUT","NEW")))</f>
        <v/>
      </c>
    </row>
    <row r="2641" spans="47:47" x14ac:dyDescent="0.25">
      <c r="AU2641" s="8" t="str">
        <f>IF(TRIM($G2641)="","",IF(COUNTIF(LISTS!$I$2:$I$16,TRIM($G2641))&gt;0,"COUNTED",IF(COUNTIF(LISTS!$J$2:$J$16,TRIM($G2641))&gt;0,"LEFT OUT","NEW")))</f>
        <v/>
      </c>
    </row>
    <row r="2642" spans="47:47" x14ac:dyDescent="0.25">
      <c r="AU2642" s="8" t="str">
        <f>IF(TRIM($G2642)="","",IF(COUNTIF(LISTS!$I$2:$I$16,TRIM($G2642))&gt;0,"COUNTED",IF(COUNTIF(LISTS!$J$2:$J$16,TRIM($G2642))&gt;0,"LEFT OUT","NEW")))</f>
        <v/>
      </c>
    </row>
    <row r="2643" spans="47:47" x14ac:dyDescent="0.25">
      <c r="AU2643" s="8" t="str">
        <f>IF(TRIM($G2643)="","",IF(COUNTIF(LISTS!$I$2:$I$16,TRIM($G2643))&gt;0,"COUNTED",IF(COUNTIF(LISTS!$J$2:$J$16,TRIM($G2643))&gt;0,"LEFT OUT","NEW")))</f>
        <v/>
      </c>
    </row>
    <row r="2644" spans="47:47" x14ac:dyDescent="0.25">
      <c r="AU2644" s="8" t="str">
        <f>IF(TRIM($G2644)="","",IF(COUNTIF(LISTS!$I$2:$I$16,TRIM($G2644))&gt;0,"COUNTED",IF(COUNTIF(LISTS!$J$2:$J$16,TRIM($G2644))&gt;0,"LEFT OUT","NEW")))</f>
        <v/>
      </c>
    </row>
    <row r="2645" spans="47:47" x14ac:dyDescent="0.25">
      <c r="AU2645" s="8" t="str">
        <f>IF(TRIM($G2645)="","",IF(COUNTIF(LISTS!$I$2:$I$16,TRIM($G2645))&gt;0,"COUNTED",IF(COUNTIF(LISTS!$J$2:$J$16,TRIM($G2645))&gt;0,"LEFT OUT","NEW")))</f>
        <v/>
      </c>
    </row>
    <row r="2646" spans="47:47" x14ac:dyDescent="0.25">
      <c r="AU2646" s="8" t="str">
        <f>IF(TRIM($G2646)="","",IF(COUNTIF(LISTS!$I$2:$I$16,TRIM($G2646))&gt;0,"COUNTED",IF(COUNTIF(LISTS!$J$2:$J$16,TRIM($G2646))&gt;0,"LEFT OUT","NEW")))</f>
        <v/>
      </c>
    </row>
    <row r="2647" spans="47:47" x14ac:dyDescent="0.25">
      <c r="AU2647" s="8" t="str">
        <f>IF(TRIM($G2647)="","",IF(COUNTIF(LISTS!$I$2:$I$16,TRIM($G2647))&gt;0,"COUNTED",IF(COUNTIF(LISTS!$J$2:$J$16,TRIM($G2647))&gt;0,"LEFT OUT","NEW")))</f>
        <v/>
      </c>
    </row>
    <row r="2648" spans="47:47" x14ac:dyDescent="0.25">
      <c r="AU2648" s="8" t="str">
        <f>IF(TRIM($G2648)="","",IF(COUNTIF(LISTS!$I$2:$I$16,TRIM($G2648))&gt;0,"COUNTED",IF(COUNTIF(LISTS!$J$2:$J$16,TRIM($G2648))&gt;0,"LEFT OUT","NEW")))</f>
        <v/>
      </c>
    </row>
    <row r="2649" spans="47:47" x14ac:dyDescent="0.25">
      <c r="AU2649" s="8" t="str">
        <f>IF(TRIM($G2649)="","",IF(COUNTIF(LISTS!$I$2:$I$16,TRIM($G2649))&gt;0,"COUNTED",IF(COUNTIF(LISTS!$J$2:$J$16,TRIM($G2649))&gt;0,"LEFT OUT","NEW")))</f>
        <v/>
      </c>
    </row>
    <row r="2650" spans="47:47" x14ac:dyDescent="0.25">
      <c r="AU2650" s="8" t="str">
        <f>IF(TRIM($G2650)="","",IF(COUNTIF(LISTS!$I$2:$I$16,TRIM($G2650))&gt;0,"COUNTED",IF(COUNTIF(LISTS!$J$2:$J$16,TRIM($G2650))&gt;0,"LEFT OUT","NEW")))</f>
        <v/>
      </c>
    </row>
    <row r="2651" spans="47:47" x14ac:dyDescent="0.25">
      <c r="AU2651" s="8" t="str">
        <f>IF(TRIM($G2651)="","",IF(COUNTIF(LISTS!$I$2:$I$16,TRIM($G2651))&gt;0,"COUNTED",IF(COUNTIF(LISTS!$J$2:$J$16,TRIM($G2651))&gt;0,"LEFT OUT","NEW")))</f>
        <v/>
      </c>
    </row>
    <row r="2652" spans="47:47" x14ac:dyDescent="0.25">
      <c r="AU2652" s="8" t="str">
        <f>IF(TRIM($G2652)="","",IF(COUNTIF(LISTS!$I$2:$I$16,TRIM($G2652))&gt;0,"COUNTED",IF(COUNTIF(LISTS!$J$2:$J$16,TRIM($G2652))&gt;0,"LEFT OUT","NEW")))</f>
        <v/>
      </c>
    </row>
    <row r="2653" spans="47:47" x14ac:dyDescent="0.25">
      <c r="AU2653" s="8" t="str">
        <f>IF(TRIM($G2653)="","",IF(COUNTIF(LISTS!$I$2:$I$16,TRIM($G2653))&gt;0,"COUNTED",IF(COUNTIF(LISTS!$J$2:$J$16,TRIM($G2653))&gt;0,"LEFT OUT","NEW")))</f>
        <v/>
      </c>
    </row>
    <row r="2654" spans="47:47" x14ac:dyDescent="0.25">
      <c r="AU2654" s="8" t="str">
        <f>IF(TRIM($G2654)="","",IF(COUNTIF(LISTS!$I$2:$I$16,TRIM($G2654))&gt;0,"COUNTED",IF(COUNTIF(LISTS!$J$2:$J$16,TRIM($G2654))&gt;0,"LEFT OUT","NEW")))</f>
        <v/>
      </c>
    </row>
    <row r="2655" spans="47:47" x14ac:dyDescent="0.25">
      <c r="AU2655" s="8" t="str">
        <f>IF(TRIM($G2655)="","",IF(COUNTIF(LISTS!$I$2:$I$16,TRIM($G2655))&gt;0,"COUNTED",IF(COUNTIF(LISTS!$J$2:$J$16,TRIM($G2655))&gt;0,"LEFT OUT","NEW")))</f>
        <v/>
      </c>
    </row>
    <row r="2656" spans="47:47" x14ac:dyDescent="0.25">
      <c r="AU2656" s="8" t="str">
        <f>IF(TRIM($G2656)="","",IF(COUNTIF(LISTS!$I$2:$I$16,TRIM($G2656))&gt;0,"COUNTED",IF(COUNTIF(LISTS!$J$2:$J$16,TRIM($G2656))&gt;0,"LEFT OUT","NEW")))</f>
        <v/>
      </c>
    </row>
    <row r="2657" spans="47:47" x14ac:dyDescent="0.25">
      <c r="AU2657" s="8" t="str">
        <f>IF(TRIM($G2657)="","",IF(COUNTIF(LISTS!$I$2:$I$16,TRIM($G2657))&gt;0,"COUNTED",IF(COUNTIF(LISTS!$J$2:$J$16,TRIM($G2657))&gt;0,"LEFT OUT","NEW")))</f>
        <v/>
      </c>
    </row>
    <row r="2658" spans="47:47" x14ac:dyDescent="0.25">
      <c r="AU2658" s="8" t="str">
        <f>IF(TRIM($G2658)="","",IF(COUNTIF(LISTS!$I$2:$I$16,TRIM($G2658))&gt;0,"COUNTED",IF(COUNTIF(LISTS!$J$2:$J$16,TRIM($G2658))&gt;0,"LEFT OUT","NEW")))</f>
        <v/>
      </c>
    </row>
    <row r="2659" spans="47:47" x14ac:dyDescent="0.25">
      <c r="AU2659" s="8" t="str">
        <f>IF(TRIM($G2659)="","",IF(COUNTIF(LISTS!$I$2:$I$16,TRIM($G2659))&gt;0,"COUNTED",IF(COUNTIF(LISTS!$J$2:$J$16,TRIM($G2659))&gt;0,"LEFT OUT","NEW")))</f>
        <v/>
      </c>
    </row>
    <row r="2660" spans="47:47" x14ac:dyDescent="0.25">
      <c r="AU2660" s="8" t="str">
        <f>IF(TRIM($G2660)="","",IF(COUNTIF(LISTS!$I$2:$I$16,TRIM($G2660))&gt;0,"COUNTED",IF(COUNTIF(LISTS!$J$2:$J$16,TRIM($G2660))&gt;0,"LEFT OUT","NEW")))</f>
        <v/>
      </c>
    </row>
    <row r="2661" spans="47:47" x14ac:dyDescent="0.25">
      <c r="AU2661" s="8" t="str">
        <f>IF(TRIM($G2661)="","",IF(COUNTIF(LISTS!$I$2:$I$16,TRIM($G2661))&gt;0,"COUNTED",IF(COUNTIF(LISTS!$J$2:$J$16,TRIM($G2661))&gt;0,"LEFT OUT","NEW")))</f>
        <v/>
      </c>
    </row>
    <row r="2662" spans="47:47" x14ac:dyDescent="0.25">
      <c r="AU2662" s="8" t="str">
        <f>IF(TRIM($G2662)="","",IF(COUNTIF(LISTS!$I$2:$I$16,TRIM($G2662))&gt;0,"COUNTED",IF(COUNTIF(LISTS!$J$2:$J$16,TRIM($G2662))&gt;0,"LEFT OUT","NEW")))</f>
        <v/>
      </c>
    </row>
    <row r="2663" spans="47:47" x14ac:dyDescent="0.25">
      <c r="AU2663" s="8" t="str">
        <f>IF(TRIM($G2663)="","",IF(COUNTIF(LISTS!$I$2:$I$16,TRIM($G2663))&gt;0,"COUNTED",IF(COUNTIF(LISTS!$J$2:$J$16,TRIM($G2663))&gt;0,"LEFT OUT","NEW")))</f>
        <v/>
      </c>
    </row>
    <row r="2664" spans="47:47" x14ac:dyDescent="0.25">
      <c r="AU2664" s="8" t="str">
        <f>IF(TRIM($G2664)="","",IF(COUNTIF(LISTS!$I$2:$I$16,TRIM($G2664))&gt;0,"COUNTED",IF(COUNTIF(LISTS!$J$2:$J$16,TRIM($G2664))&gt;0,"LEFT OUT","NEW")))</f>
        <v/>
      </c>
    </row>
    <row r="2665" spans="47:47" x14ac:dyDescent="0.25">
      <c r="AU2665" s="8" t="str">
        <f>IF(TRIM($G2665)="","",IF(COUNTIF(LISTS!$I$2:$I$16,TRIM($G2665))&gt;0,"COUNTED",IF(COUNTIF(LISTS!$J$2:$J$16,TRIM($G2665))&gt;0,"LEFT OUT","NEW")))</f>
        <v/>
      </c>
    </row>
    <row r="2666" spans="47:47" x14ac:dyDescent="0.25">
      <c r="AU2666" s="8" t="str">
        <f>IF(TRIM($G2666)="","",IF(COUNTIF(LISTS!$I$2:$I$16,TRIM($G2666))&gt;0,"COUNTED",IF(COUNTIF(LISTS!$J$2:$J$16,TRIM($G2666))&gt;0,"LEFT OUT","NEW")))</f>
        <v/>
      </c>
    </row>
    <row r="2667" spans="47:47" x14ac:dyDescent="0.25">
      <c r="AU2667" s="8" t="str">
        <f>IF(TRIM($G2667)="","",IF(COUNTIF(LISTS!$I$2:$I$16,TRIM($G2667))&gt;0,"COUNTED",IF(COUNTIF(LISTS!$J$2:$J$16,TRIM($G2667))&gt;0,"LEFT OUT","NEW")))</f>
        <v/>
      </c>
    </row>
    <row r="2668" spans="47:47" x14ac:dyDescent="0.25">
      <c r="AU2668" s="8" t="str">
        <f>IF(TRIM($G2668)="","",IF(COUNTIF(LISTS!$I$2:$I$16,TRIM($G2668))&gt;0,"COUNTED",IF(COUNTIF(LISTS!$J$2:$J$16,TRIM($G2668))&gt;0,"LEFT OUT","NEW")))</f>
        <v/>
      </c>
    </row>
    <row r="2669" spans="47:47" x14ac:dyDescent="0.25">
      <c r="AU2669" s="8" t="str">
        <f>IF(TRIM($G2669)="","",IF(COUNTIF(LISTS!$I$2:$I$16,TRIM($G2669))&gt;0,"COUNTED",IF(COUNTIF(LISTS!$J$2:$J$16,TRIM($G2669))&gt;0,"LEFT OUT","NEW")))</f>
        <v/>
      </c>
    </row>
    <row r="2670" spans="47:47" x14ac:dyDescent="0.25">
      <c r="AU2670" s="8" t="str">
        <f>IF(TRIM($G2670)="","",IF(COUNTIF(LISTS!$I$2:$I$16,TRIM($G2670))&gt;0,"COUNTED",IF(COUNTIF(LISTS!$J$2:$J$16,TRIM($G2670))&gt;0,"LEFT OUT","NEW")))</f>
        <v/>
      </c>
    </row>
    <row r="2671" spans="47:47" x14ac:dyDescent="0.25">
      <c r="AU2671" s="8" t="str">
        <f>IF(TRIM($G2671)="","",IF(COUNTIF(LISTS!$I$2:$I$16,TRIM($G2671))&gt;0,"COUNTED",IF(COUNTIF(LISTS!$J$2:$J$16,TRIM($G2671))&gt;0,"LEFT OUT","NEW")))</f>
        <v/>
      </c>
    </row>
    <row r="2672" spans="47:47" x14ac:dyDescent="0.25">
      <c r="AU2672" s="8" t="str">
        <f>IF(TRIM($G2672)="","",IF(COUNTIF(LISTS!$I$2:$I$16,TRIM($G2672))&gt;0,"COUNTED",IF(COUNTIF(LISTS!$J$2:$J$16,TRIM($G2672))&gt;0,"LEFT OUT","NEW")))</f>
        <v/>
      </c>
    </row>
    <row r="2673" spans="47:47" x14ac:dyDescent="0.25">
      <c r="AU2673" s="8" t="str">
        <f>IF(TRIM($G2673)="","",IF(COUNTIF(LISTS!$I$2:$I$16,TRIM($G2673))&gt;0,"COUNTED",IF(COUNTIF(LISTS!$J$2:$J$16,TRIM($G2673))&gt;0,"LEFT OUT","NEW")))</f>
        <v/>
      </c>
    </row>
    <row r="2674" spans="47:47" x14ac:dyDescent="0.25">
      <c r="AU2674" s="8" t="str">
        <f>IF(TRIM($G2674)="","",IF(COUNTIF(LISTS!$I$2:$I$16,TRIM($G2674))&gt;0,"COUNTED",IF(COUNTIF(LISTS!$J$2:$J$16,TRIM($G2674))&gt;0,"LEFT OUT","NEW")))</f>
        <v/>
      </c>
    </row>
    <row r="2675" spans="47:47" x14ac:dyDescent="0.25">
      <c r="AU2675" s="8" t="str">
        <f>IF(TRIM($G2675)="","",IF(COUNTIF(LISTS!$I$2:$I$16,TRIM($G2675))&gt;0,"COUNTED",IF(COUNTIF(LISTS!$J$2:$J$16,TRIM($G2675))&gt;0,"LEFT OUT","NEW")))</f>
        <v/>
      </c>
    </row>
    <row r="2676" spans="47:47" x14ac:dyDescent="0.25">
      <c r="AU2676" s="8" t="str">
        <f>IF(TRIM($G2676)="","",IF(COUNTIF(LISTS!$I$2:$I$16,TRIM($G2676))&gt;0,"COUNTED",IF(COUNTIF(LISTS!$J$2:$J$16,TRIM($G2676))&gt;0,"LEFT OUT","NEW")))</f>
        <v/>
      </c>
    </row>
    <row r="2677" spans="47:47" x14ac:dyDescent="0.25">
      <c r="AU2677" s="8" t="str">
        <f>IF(TRIM($G2677)="","",IF(COUNTIF(LISTS!$I$2:$I$16,TRIM($G2677))&gt;0,"COUNTED",IF(COUNTIF(LISTS!$J$2:$J$16,TRIM($G2677))&gt;0,"LEFT OUT","NEW")))</f>
        <v/>
      </c>
    </row>
    <row r="2678" spans="47:47" x14ac:dyDescent="0.25">
      <c r="AU2678" s="8" t="str">
        <f>IF(TRIM($G2678)="","",IF(COUNTIF(LISTS!$I$2:$I$16,TRIM($G2678))&gt;0,"COUNTED",IF(COUNTIF(LISTS!$J$2:$J$16,TRIM($G2678))&gt;0,"LEFT OUT","NEW")))</f>
        <v/>
      </c>
    </row>
    <row r="2679" spans="47:47" x14ac:dyDescent="0.25">
      <c r="AU2679" s="8" t="str">
        <f>IF(TRIM($G2679)="","",IF(COUNTIF(LISTS!$I$2:$I$16,TRIM($G2679))&gt;0,"COUNTED",IF(COUNTIF(LISTS!$J$2:$J$16,TRIM($G2679))&gt;0,"LEFT OUT","NEW")))</f>
        <v/>
      </c>
    </row>
    <row r="2680" spans="47:47" x14ac:dyDescent="0.25">
      <c r="AU2680" s="8" t="str">
        <f>IF(TRIM($G2680)="","",IF(COUNTIF(LISTS!$I$2:$I$16,TRIM($G2680))&gt;0,"COUNTED",IF(COUNTIF(LISTS!$J$2:$J$16,TRIM($G2680))&gt;0,"LEFT OUT","NEW")))</f>
        <v/>
      </c>
    </row>
    <row r="2681" spans="47:47" x14ac:dyDescent="0.25">
      <c r="AU2681" s="8" t="str">
        <f>IF(TRIM($G2681)="","",IF(COUNTIF(LISTS!$I$2:$I$16,TRIM($G2681))&gt;0,"COUNTED",IF(COUNTIF(LISTS!$J$2:$J$16,TRIM($G2681))&gt;0,"LEFT OUT","NEW")))</f>
        <v/>
      </c>
    </row>
    <row r="2682" spans="47:47" x14ac:dyDescent="0.25">
      <c r="AU2682" s="8" t="str">
        <f>IF(TRIM($G2682)="","",IF(COUNTIF(LISTS!$I$2:$I$16,TRIM($G2682))&gt;0,"COUNTED",IF(COUNTIF(LISTS!$J$2:$J$16,TRIM($G2682))&gt;0,"LEFT OUT","NEW")))</f>
        <v/>
      </c>
    </row>
    <row r="2683" spans="47:47" x14ac:dyDescent="0.25">
      <c r="AU2683" s="8" t="str">
        <f>IF(TRIM($G2683)="","",IF(COUNTIF(LISTS!$I$2:$I$16,TRIM($G2683))&gt;0,"COUNTED",IF(COUNTIF(LISTS!$J$2:$J$16,TRIM($G2683))&gt;0,"LEFT OUT","NEW")))</f>
        <v/>
      </c>
    </row>
    <row r="2684" spans="47:47" x14ac:dyDescent="0.25">
      <c r="AU2684" s="8" t="str">
        <f>IF(TRIM($G2684)="","",IF(COUNTIF(LISTS!$I$2:$I$16,TRIM($G2684))&gt;0,"COUNTED",IF(COUNTIF(LISTS!$J$2:$J$16,TRIM($G2684))&gt;0,"LEFT OUT","NEW")))</f>
        <v/>
      </c>
    </row>
    <row r="2685" spans="47:47" x14ac:dyDescent="0.25">
      <c r="AU2685" s="8" t="str">
        <f>IF(TRIM($G2685)="","",IF(COUNTIF(LISTS!$I$2:$I$16,TRIM($G2685))&gt;0,"COUNTED",IF(COUNTIF(LISTS!$J$2:$J$16,TRIM($G2685))&gt;0,"LEFT OUT","NEW")))</f>
        <v/>
      </c>
    </row>
    <row r="2686" spans="47:47" x14ac:dyDescent="0.25">
      <c r="AU2686" s="8" t="str">
        <f>IF(TRIM($G2686)="","",IF(COUNTIF(LISTS!$I$2:$I$16,TRIM($G2686))&gt;0,"COUNTED",IF(COUNTIF(LISTS!$J$2:$J$16,TRIM($G2686))&gt;0,"LEFT OUT","NEW")))</f>
        <v/>
      </c>
    </row>
    <row r="2687" spans="47:47" x14ac:dyDescent="0.25">
      <c r="AU2687" s="8" t="str">
        <f>IF(TRIM($G2687)="","",IF(COUNTIF(LISTS!$I$2:$I$16,TRIM($G2687))&gt;0,"COUNTED",IF(COUNTIF(LISTS!$J$2:$J$16,TRIM($G2687))&gt;0,"LEFT OUT","NEW")))</f>
        <v/>
      </c>
    </row>
    <row r="2688" spans="47:47" x14ac:dyDescent="0.25">
      <c r="AU2688" s="8" t="str">
        <f>IF(TRIM($G2688)="","",IF(COUNTIF(LISTS!$I$2:$I$16,TRIM($G2688))&gt;0,"COUNTED",IF(COUNTIF(LISTS!$J$2:$J$16,TRIM($G2688))&gt;0,"LEFT OUT","NEW")))</f>
        <v/>
      </c>
    </row>
    <row r="2689" spans="47:47" x14ac:dyDescent="0.25">
      <c r="AU2689" s="8" t="str">
        <f>IF(TRIM($G2689)="","",IF(COUNTIF(LISTS!$I$2:$I$16,TRIM($G2689))&gt;0,"COUNTED",IF(COUNTIF(LISTS!$J$2:$J$16,TRIM($G2689))&gt;0,"LEFT OUT","NEW")))</f>
        <v/>
      </c>
    </row>
    <row r="2690" spans="47:47" x14ac:dyDescent="0.25">
      <c r="AU2690" s="8" t="str">
        <f>IF(TRIM($G2690)="","",IF(COUNTIF(LISTS!$I$2:$I$16,TRIM($G2690))&gt;0,"COUNTED",IF(COUNTIF(LISTS!$J$2:$J$16,TRIM($G2690))&gt;0,"LEFT OUT","NEW")))</f>
        <v/>
      </c>
    </row>
    <row r="2691" spans="47:47" x14ac:dyDescent="0.25">
      <c r="AU2691" s="8" t="str">
        <f>IF(TRIM($G2691)="","",IF(COUNTIF(LISTS!$I$2:$I$16,TRIM($G2691))&gt;0,"COUNTED",IF(COUNTIF(LISTS!$J$2:$J$16,TRIM($G2691))&gt;0,"LEFT OUT","NEW")))</f>
        <v/>
      </c>
    </row>
    <row r="2692" spans="47:47" x14ac:dyDescent="0.25">
      <c r="AU2692" s="8" t="str">
        <f>IF(TRIM($G2692)="","",IF(COUNTIF(LISTS!$I$2:$I$16,TRIM($G2692))&gt;0,"COUNTED",IF(COUNTIF(LISTS!$J$2:$J$16,TRIM($G2692))&gt;0,"LEFT OUT","NEW")))</f>
        <v/>
      </c>
    </row>
    <row r="2693" spans="47:47" x14ac:dyDescent="0.25">
      <c r="AU2693" s="8" t="str">
        <f>IF(TRIM($G2693)="","",IF(COUNTIF(LISTS!$I$2:$I$16,TRIM($G2693))&gt;0,"COUNTED",IF(COUNTIF(LISTS!$J$2:$J$16,TRIM($G2693))&gt;0,"LEFT OUT","NEW")))</f>
        <v/>
      </c>
    </row>
    <row r="2694" spans="47:47" x14ac:dyDescent="0.25">
      <c r="AU2694" s="8" t="str">
        <f>IF(TRIM($G2694)="","",IF(COUNTIF(LISTS!$I$2:$I$16,TRIM($G2694))&gt;0,"COUNTED",IF(COUNTIF(LISTS!$J$2:$J$16,TRIM($G2694))&gt;0,"LEFT OUT","NEW")))</f>
        <v/>
      </c>
    </row>
    <row r="2695" spans="47:47" x14ac:dyDescent="0.25">
      <c r="AU2695" s="8" t="str">
        <f>IF(TRIM($G2695)="","",IF(COUNTIF(LISTS!$I$2:$I$16,TRIM($G2695))&gt;0,"COUNTED",IF(COUNTIF(LISTS!$J$2:$J$16,TRIM($G2695))&gt;0,"LEFT OUT","NEW")))</f>
        <v/>
      </c>
    </row>
    <row r="2696" spans="47:47" x14ac:dyDescent="0.25">
      <c r="AU2696" s="8" t="str">
        <f>IF(TRIM($G2696)="","",IF(COUNTIF(LISTS!$I$2:$I$16,TRIM($G2696))&gt;0,"COUNTED",IF(COUNTIF(LISTS!$J$2:$J$16,TRIM($G2696))&gt;0,"LEFT OUT","NEW")))</f>
        <v/>
      </c>
    </row>
    <row r="2697" spans="47:47" x14ac:dyDescent="0.25">
      <c r="AU2697" s="8" t="str">
        <f>IF(TRIM($G2697)="","",IF(COUNTIF(LISTS!$I$2:$I$16,TRIM($G2697))&gt;0,"COUNTED",IF(COUNTIF(LISTS!$J$2:$J$16,TRIM($G2697))&gt;0,"LEFT OUT","NEW")))</f>
        <v/>
      </c>
    </row>
    <row r="2698" spans="47:47" x14ac:dyDescent="0.25">
      <c r="AU2698" s="8" t="str">
        <f>IF(TRIM($G2698)="","",IF(COUNTIF(LISTS!$I$2:$I$16,TRIM($G2698))&gt;0,"COUNTED",IF(COUNTIF(LISTS!$J$2:$J$16,TRIM($G2698))&gt;0,"LEFT OUT","NEW")))</f>
        <v/>
      </c>
    </row>
    <row r="2699" spans="47:47" x14ac:dyDescent="0.25">
      <c r="AU2699" s="8" t="str">
        <f>IF(TRIM($G2699)="","",IF(COUNTIF(LISTS!$I$2:$I$16,TRIM($G2699))&gt;0,"COUNTED",IF(COUNTIF(LISTS!$J$2:$J$16,TRIM($G2699))&gt;0,"LEFT OUT","NEW")))</f>
        <v/>
      </c>
    </row>
    <row r="2700" spans="47:47" x14ac:dyDescent="0.25">
      <c r="AU2700" s="8" t="str">
        <f>IF(TRIM($G2700)="","",IF(COUNTIF(LISTS!$I$2:$I$16,TRIM($G2700))&gt;0,"COUNTED",IF(COUNTIF(LISTS!$J$2:$J$16,TRIM($G2700))&gt;0,"LEFT OUT","NEW")))</f>
        <v/>
      </c>
    </row>
    <row r="2701" spans="47:47" x14ac:dyDescent="0.25">
      <c r="AU2701" s="8" t="str">
        <f>IF(TRIM($G2701)="","",IF(COUNTIF(LISTS!$I$2:$I$16,TRIM($G2701))&gt;0,"COUNTED",IF(COUNTIF(LISTS!$J$2:$J$16,TRIM($G2701))&gt;0,"LEFT OUT","NEW")))</f>
        <v/>
      </c>
    </row>
    <row r="2702" spans="47:47" x14ac:dyDescent="0.25">
      <c r="AU2702" s="8" t="str">
        <f>IF(TRIM($G2702)="","",IF(COUNTIF(LISTS!$I$2:$I$16,TRIM($G2702))&gt;0,"COUNTED",IF(COUNTIF(LISTS!$J$2:$J$16,TRIM($G2702))&gt;0,"LEFT OUT","NEW")))</f>
        <v/>
      </c>
    </row>
    <row r="2703" spans="47:47" x14ac:dyDescent="0.25">
      <c r="AU2703" s="8" t="str">
        <f>IF(TRIM($G2703)="","",IF(COUNTIF(LISTS!$I$2:$I$16,TRIM($G2703))&gt;0,"COUNTED",IF(COUNTIF(LISTS!$J$2:$J$16,TRIM($G2703))&gt;0,"LEFT OUT","NEW")))</f>
        <v/>
      </c>
    </row>
    <row r="2704" spans="47:47" x14ac:dyDescent="0.25">
      <c r="AU2704" s="8" t="str">
        <f>IF(TRIM($G2704)="","",IF(COUNTIF(LISTS!$I$2:$I$16,TRIM($G2704))&gt;0,"COUNTED",IF(COUNTIF(LISTS!$J$2:$J$16,TRIM($G2704))&gt;0,"LEFT OUT","NEW")))</f>
        <v/>
      </c>
    </row>
    <row r="2705" spans="47:47" x14ac:dyDescent="0.25">
      <c r="AU2705" s="8" t="str">
        <f>IF(TRIM($G2705)="","",IF(COUNTIF(LISTS!$I$2:$I$16,TRIM($G2705))&gt;0,"COUNTED",IF(COUNTIF(LISTS!$J$2:$J$16,TRIM($G2705))&gt;0,"LEFT OUT","NEW")))</f>
        <v/>
      </c>
    </row>
    <row r="2706" spans="47:47" x14ac:dyDescent="0.25">
      <c r="AU2706" s="8" t="str">
        <f>IF(TRIM($G2706)="","",IF(COUNTIF(LISTS!$I$2:$I$16,TRIM($G2706))&gt;0,"COUNTED",IF(COUNTIF(LISTS!$J$2:$J$16,TRIM($G2706))&gt;0,"LEFT OUT","NEW")))</f>
        <v/>
      </c>
    </row>
    <row r="2707" spans="47:47" x14ac:dyDescent="0.25">
      <c r="AU2707" s="8" t="str">
        <f>IF(TRIM($G2707)="","",IF(COUNTIF(LISTS!$I$2:$I$16,TRIM($G2707))&gt;0,"COUNTED",IF(COUNTIF(LISTS!$J$2:$J$16,TRIM($G2707))&gt;0,"LEFT OUT","NEW")))</f>
        <v/>
      </c>
    </row>
    <row r="2708" spans="47:47" x14ac:dyDescent="0.25">
      <c r="AU2708" s="8" t="str">
        <f>IF(TRIM($G2708)="","",IF(COUNTIF(LISTS!$I$2:$I$16,TRIM($G2708))&gt;0,"COUNTED",IF(COUNTIF(LISTS!$J$2:$J$16,TRIM($G2708))&gt;0,"LEFT OUT","NEW")))</f>
        <v/>
      </c>
    </row>
    <row r="2709" spans="47:47" x14ac:dyDescent="0.25">
      <c r="AU2709" s="8" t="str">
        <f>IF(TRIM($G2709)="","",IF(COUNTIF(LISTS!$I$2:$I$16,TRIM($G2709))&gt;0,"COUNTED",IF(COUNTIF(LISTS!$J$2:$J$16,TRIM($G2709))&gt;0,"LEFT OUT","NEW")))</f>
        <v/>
      </c>
    </row>
    <row r="2710" spans="47:47" x14ac:dyDescent="0.25">
      <c r="AU2710" s="8" t="str">
        <f>IF(TRIM($G2710)="","",IF(COUNTIF(LISTS!$I$2:$I$16,TRIM($G2710))&gt;0,"COUNTED",IF(COUNTIF(LISTS!$J$2:$J$16,TRIM($G2710))&gt;0,"LEFT OUT","NEW")))</f>
        <v/>
      </c>
    </row>
    <row r="2711" spans="47:47" x14ac:dyDescent="0.25">
      <c r="AU2711" s="8" t="str">
        <f>IF(TRIM($G2711)="","",IF(COUNTIF(LISTS!$I$2:$I$16,TRIM($G2711))&gt;0,"COUNTED",IF(COUNTIF(LISTS!$J$2:$J$16,TRIM($G2711))&gt;0,"LEFT OUT","NEW")))</f>
        <v/>
      </c>
    </row>
    <row r="2712" spans="47:47" x14ac:dyDescent="0.25">
      <c r="AU2712" s="8" t="str">
        <f>IF(TRIM($G2712)="","",IF(COUNTIF(LISTS!$I$2:$I$16,TRIM($G2712))&gt;0,"COUNTED",IF(COUNTIF(LISTS!$J$2:$J$16,TRIM($G2712))&gt;0,"LEFT OUT","NEW")))</f>
        <v/>
      </c>
    </row>
    <row r="2713" spans="47:47" x14ac:dyDescent="0.25">
      <c r="AU2713" s="8" t="str">
        <f>IF(TRIM($G2713)="","",IF(COUNTIF(LISTS!$I$2:$I$16,TRIM($G2713))&gt;0,"COUNTED",IF(COUNTIF(LISTS!$J$2:$J$16,TRIM($G2713))&gt;0,"LEFT OUT","NEW")))</f>
        <v/>
      </c>
    </row>
    <row r="2714" spans="47:47" x14ac:dyDescent="0.25">
      <c r="AU2714" s="8" t="str">
        <f>IF(TRIM($G2714)="","",IF(COUNTIF(LISTS!$I$2:$I$16,TRIM($G2714))&gt;0,"COUNTED",IF(COUNTIF(LISTS!$J$2:$J$16,TRIM($G2714))&gt;0,"LEFT OUT","NEW")))</f>
        <v/>
      </c>
    </row>
    <row r="2715" spans="47:47" x14ac:dyDescent="0.25">
      <c r="AU2715" s="8" t="str">
        <f>IF(TRIM($G2715)="","",IF(COUNTIF(LISTS!$I$2:$I$16,TRIM($G2715))&gt;0,"COUNTED",IF(COUNTIF(LISTS!$J$2:$J$16,TRIM($G2715))&gt;0,"LEFT OUT","NEW")))</f>
        <v/>
      </c>
    </row>
    <row r="2716" spans="47:47" x14ac:dyDescent="0.25">
      <c r="AU2716" s="8" t="str">
        <f>IF(TRIM($G2716)="","",IF(COUNTIF(LISTS!$I$2:$I$16,TRIM($G2716))&gt;0,"COUNTED",IF(COUNTIF(LISTS!$J$2:$J$16,TRIM($G2716))&gt;0,"LEFT OUT","NEW")))</f>
        <v/>
      </c>
    </row>
    <row r="2717" spans="47:47" x14ac:dyDescent="0.25">
      <c r="AU2717" s="8" t="str">
        <f>IF(TRIM($G2717)="","",IF(COUNTIF(LISTS!$I$2:$I$16,TRIM($G2717))&gt;0,"COUNTED",IF(COUNTIF(LISTS!$J$2:$J$16,TRIM($G2717))&gt;0,"LEFT OUT","NEW")))</f>
        <v/>
      </c>
    </row>
    <row r="2718" spans="47:47" x14ac:dyDescent="0.25">
      <c r="AU2718" s="8" t="str">
        <f>IF(TRIM($G2718)="","",IF(COUNTIF(LISTS!$I$2:$I$16,TRIM($G2718))&gt;0,"COUNTED",IF(COUNTIF(LISTS!$J$2:$J$16,TRIM($G2718))&gt;0,"LEFT OUT","NEW")))</f>
        <v/>
      </c>
    </row>
    <row r="2719" spans="47:47" x14ac:dyDescent="0.25">
      <c r="AU2719" s="8" t="str">
        <f>IF(TRIM($G2719)="","",IF(COUNTIF(LISTS!$I$2:$I$16,TRIM($G2719))&gt;0,"COUNTED",IF(COUNTIF(LISTS!$J$2:$J$16,TRIM($G2719))&gt;0,"LEFT OUT","NEW")))</f>
        <v/>
      </c>
    </row>
    <row r="2720" spans="47:47" x14ac:dyDescent="0.25">
      <c r="AU2720" s="8" t="str">
        <f>IF(TRIM($G2720)="","",IF(COUNTIF(LISTS!$I$2:$I$16,TRIM($G2720))&gt;0,"COUNTED",IF(COUNTIF(LISTS!$J$2:$J$16,TRIM($G2720))&gt;0,"LEFT OUT","NEW")))</f>
        <v/>
      </c>
    </row>
    <row r="2721" spans="47:47" x14ac:dyDescent="0.25">
      <c r="AU2721" s="8" t="str">
        <f>IF(TRIM($G2721)="","",IF(COUNTIF(LISTS!$I$2:$I$16,TRIM($G2721))&gt;0,"COUNTED",IF(COUNTIF(LISTS!$J$2:$J$16,TRIM($G2721))&gt;0,"LEFT OUT","NEW")))</f>
        <v/>
      </c>
    </row>
    <row r="2722" spans="47:47" x14ac:dyDescent="0.25">
      <c r="AU2722" s="8" t="str">
        <f>IF(TRIM($G2722)="","",IF(COUNTIF(LISTS!$I$2:$I$16,TRIM($G2722))&gt;0,"COUNTED",IF(COUNTIF(LISTS!$J$2:$J$16,TRIM($G2722))&gt;0,"LEFT OUT","NEW")))</f>
        <v/>
      </c>
    </row>
    <row r="2723" spans="47:47" x14ac:dyDescent="0.25">
      <c r="AU2723" s="8" t="str">
        <f>IF(TRIM($G2723)="","",IF(COUNTIF(LISTS!$I$2:$I$16,TRIM($G2723))&gt;0,"COUNTED",IF(COUNTIF(LISTS!$J$2:$J$16,TRIM($G2723))&gt;0,"LEFT OUT","NEW")))</f>
        <v/>
      </c>
    </row>
    <row r="2724" spans="47:47" x14ac:dyDescent="0.25">
      <c r="AU2724" s="8" t="str">
        <f>IF(TRIM($G2724)="","",IF(COUNTIF(LISTS!$I$2:$I$16,TRIM($G2724))&gt;0,"COUNTED",IF(COUNTIF(LISTS!$J$2:$J$16,TRIM($G2724))&gt;0,"LEFT OUT","NEW")))</f>
        <v/>
      </c>
    </row>
    <row r="2725" spans="47:47" x14ac:dyDescent="0.25">
      <c r="AU2725" s="8" t="str">
        <f>IF(TRIM($G2725)="","",IF(COUNTIF(LISTS!$I$2:$I$16,TRIM($G2725))&gt;0,"COUNTED",IF(COUNTIF(LISTS!$J$2:$J$16,TRIM($G2725))&gt;0,"LEFT OUT","NEW")))</f>
        <v/>
      </c>
    </row>
    <row r="2726" spans="47:47" x14ac:dyDescent="0.25">
      <c r="AU2726" s="8" t="str">
        <f>IF(TRIM($G2726)="","",IF(COUNTIF(LISTS!$I$2:$I$16,TRIM($G2726))&gt;0,"COUNTED",IF(COUNTIF(LISTS!$J$2:$J$16,TRIM($G2726))&gt;0,"LEFT OUT","NEW")))</f>
        <v/>
      </c>
    </row>
    <row r="2727" spans="47:47" x14ac:dyDescent="0.25">
      <c r="AU2727" s="8" t="str">
        <f>IF(TRIM($G2727)="","",IF(COUNTIF(LISTS!$I$2:$I$16,TRIM($G2727))&gt;0,"COUNTED",IF(COUNTIF(LISTS!$J$2:$J$16,TRIM($G2727))&gt;0,"LEFT OUT","NEW")))</f>
        <v/>
      </c>
    </row>
    <row r="2728" spans="47:47" x14ac:dyDescent="0.25">
      <c r="AU2728" s="8" t="str">
        <f>IF(TRIM($G2728)="","",IF(COUNTIF(LISTS!$I$2:$I$16,TRIM($G2728))&gt;0,"COUNTED",IF(COUNTIF(LISTS!$J$2:$J$16,TRIM($G2728))&gt;0,"LEFT OUT","NEW")))</f>
        <v/>
      </c>
    </row>
    <row r="2729" spans="47:47" x14ac:dyDescent="0.25">
      <c r="AU2729" s="8" t="str">
        <f>IF(TRIM($G2729)="","",IF(COUNTIF(LISTS!$I$2:$I$16,TRIM($G2729))&gt;0,"COUNTED",IF(COUNTIF(LISTS!$J$2:$J$16,TRIM($G2729))&gt;0,"LEFT OUT","NEW")))</f>
        <v/>
      </c>
    </row>
    <row r="2730" spans="47:47" x14ac:dyDescent="0.25">
      <c r="AU2730" s="8" t="str">
        <f>IF(TRIM($G2730)="","",IF(COUNTIF(LISTS!$I$2:$I$16,TRIM($G2730))&gt;0,"COUNTED",IF(COUNTIF(LISTS!$J$2:$J$16,TRIM($G2730))&gt;0,"LEFT OUT","NEW")))</f>
        <v/>
      </c>
    </row>
    <row r="2731" spans="47:47" x14ac:dyDescent="0.25">
      <c r="AU2731" s="8" t="str">
        <f>IF(TRIM($G2731)="","",IF(COUNTIF(LISTS!$I$2:$I$16,TRIM($G2731))&gt;0,"COUNTED",IF(COUNTIF(LISTS!$J$2:$J$16,TRIM($G2731))&gt;0,"LEFT OUT","NEW")))</f>
        <v/>
      </c>
    </row>
    <row r="2732" spans="47:47" x14ac:dyDescent="0.25">
      <c r="AU2732" s="8" t="str">
        <f>IF(TRIM($G2732)="","",IF(COUNTIF(LISTS!$I$2:$I$16,TRIM($G2732))&gt;0,"COUNTED",IF(COUNTIF(LISTS!$J$2:$J$16,TRIM($G2732))&gt;0,"LEFT OUT","NEW")))</f>
        <v/>
      </c>
    </row>
    <row r="2733" spans="47:47" x14ac:dyDescent="0.25">
      <c r="AU2733" s="8" t="str">
        <f>IF(TRIM($G2733)="","",IF(COUNTIF(LISTS!$I$2:$I$16,TRIM($G2733))&gt;0,"COUNTED",IF(COUNTIF(LISTS!$J$2:$J$16,TRIM($G2733))&gt;0,"LEFT OUT","NEW")))</f>
        <v/>
      </c>
    </row>
    <row r="2734" spans="47:47" x14ac:dyDescent="0.25">
      <c r="AU2734" s="8" t="str">
        <f>IF(TRIM($G2734)="","",IF(COUNTIF(LISTS!$I$2:$I$16,TRIM($G2734))&gt;0,"COUNTED",IF(COUNTIF(LISTS!$J$2:$J$16,TRIM($G2734))&gt;0,"LEFT OUT","NEW")))</f>
        <v/>
      </c>
    </row>
    <row r="2735" spans="47:47" x14ac:dyDescent="0.25">
      <c r="AU2735" s="8" t="str">
        <f>IF(TRIM($G2735)="","",IF(COUNTIF(LISTS!$I$2:$I$16,TRIM($G2735))&gt;0,"COUNTED",IF(COUNTIF(LISTS!$J$2:$J$16,TRIM($G2735))&gt;0,"LEFT OUT","NEW")))</f>
        <v/>
      </c>
    </row>
    <row r="2736" spans="47:47" x14ac:dyDescent="0.25">
      <c r="AU2736" s="8" t="str">
        <f>IF(TRIM($G2736)="","",IF(COUNTIF(LISTS!$I$2:$I$16,TRIM($G2736))&gt;0,"COUNTED",IF(COUNTIF(LISTS!$J$2:$J$16,TRIM($G2736))&gt;0,"LEFT OUT","NEW")))</f>
        <v/>
      </c>
    </row>
    <row r="2737" spans="47:47" x14ac:dyDescent="0.25">
      <c r="AU2737" s="8" t="str">
        <f>IF(TRIM($G2737)="","",IF(COUNTIF(LISTS!$I$2:$I$16,TRIM($G2737))&gt;0,"COUNTED",IF(COUNTIF(LISTS!$J$2:$J$16,TRIM($G2737))&gt;0,"LEFT OUT","NEW")))</f>
        <v/>
      </c>
    </row>
    <row r="2738" spans="47:47" x14ac:dyDescent="0.25">
      <c r="AU2738" s="8" t="str">
        <f>IF(TRIM($G2738)="","",IF(COUNTIF(LISTS!$I$2:$I$16,TRIM($G2738))&gt;0,"COUNTED",IF(COUNTIF(LISTS!$J$2:$J$16,TRIM($G2738))&gt;0,"LEFT OUT","NEW")))</f>
        <v/>
      </c>
    </row>
    <row r="2739" spans="47:47" x14ac:dyDescent="0.25">
      <c r="AU2739" s="8" t="str">
        <f>IF(TRIM($G2739)="","",IF(COUNTIF(LISTS!$I$2:$I$16,TRIM($G2739))&gt;0,"COUNTED",IF(COUNTIF(LISTS!$J$2:$J$16,TRIM($G2739))&gt;0,"LEFT OUT","NEW")))</f>
        <v/>
      </c>
    </row>
    <row r="2740" spans="47:47" x14ac:dyDescent="0.25">
      <c r="AU2740" s="8" t="str">
        <f>IF(TRIM($G2740)="","",IF(COUNTIF(LISTS!$I$2:$I$16,TRIM($G2740))&gt;0,"COUNTED",IF(COUNTIF(LISTS!$J$2:$J$16,TRIM($G2740))&gt;0,"LEFT OUT","NEW")))</f>
        <v/>
      </c>
    </row>
    <row r="2741" spans="47:47" x14ac:dyDescent="0.25">
      <c r="AU2741" s="8" t="str">
        <f>IF(TRIM($G2741)="","",IF(COUNTIF(LISTS!$I$2:$I$16,TRIM($G2741))&gt;0,"COUNTED",IF(COUNTIF(LISTS!$J$2:$J$16,TRIM($G2741))&gt;0,"LEFT OUT","NEW")))</f>
        <v/>
      </c>
    </row>
    <row r="2742" spans="47:47" x14ac:dyDescent="0.25">
      <c r="AU2742" s="8" t="str">
        <f>IF(TRIM($G2742)="","",IF(COUNTIF(LISTS!$I$2:$I$16,TRIM($G2742))&gt;0,"COUNTED",IF(COUNTIF(LISTS!$J$2:$J$16,TRIM($G2742))&gt;0,"LEFT OUT","NEW")))</f>
        <v/>
      </c>
    </row>
    <row r="2743" spans="47:47" x14ac:dyDescent="0.25">
      <c r="AU2743" s="8" t="str">
        <f>IF(TRIM($G2743)="","",IF(COUNTIF(LISTS!$I$2:$I$16,TRIM($G2743))&gt;0,"COUNTED",IF(COUNTIF(LISTS!$J$2:$J$16,TRIM($G2743))&gt;0,"LEFT OUT","NEW")))</f>
        <v/>
      </c>
    </row>
    <row r="2744" spans="47:47" x14ac:dyDescent="0.25">
      <c r="AU2744" s="8" t="str">
        <f>IF(TRIM($G2744)="","",IF(COUNTIF(LISTS!$I$2:$I$16,TRIM($G2744))&gt;0,"COUNTED",IF(COUNTIF(LISTS!$J$2:$J$16,TRIM($G2744))&gt;0,"LEFT OUT","NEW")))</f>
        <v/>
      </c>
    </row>
    <row r="2745" spans="47:47" x14ac:dyDescent="0.25">
      <c r="AU2745" s="8" t="str">
        <f>IF(TRIM($G2745)="","",IF(COUNTIF(LISTS!$I$2:$I$16,TRIM($G2745))&gt;0,"COUNTED",IF(COUNTIF(LISTS!$J$2:$J$16,TRIM($G2745))&gt;0,"LEFT OUT","NEW")))</f>
        <v/>
      </c>
    </row>
    <row r="2746" spans="47:47" x14ac:dyDescent="0.25">
      <c r="AU2746" s="8" t="str">
        <f>IF(TRIM($G2746)="","",IF(COUNTIF(LISTS!$I$2:$I$16,TRIM($G2746))&gt;0,"COUNTED",IF(COUNTIF(LISTS!$J$2:$J$16,TRIM($G2746))&gt;0,"LEFT OUT","NEW")))</f>
        <v/>
      </c>
    </row>
    <row r="2747" spans="47:47" x14ac:dyDescent="0.25">
      <c r="AU2747" s="8" t="str">
        <f>IF(TRIM($G2747)="","",IF(COUNTIF(LISTS!$I$2:$I$16,TRIM($G2747))&gt;0,"COUNTED",IF(COUNTIF(LISTS!$J$2:$J$16,TRIM($G2747))&gt;0,"LEFT OUT","NEW")))</f>
        <v/>
      </c>
    </row>
    <row r="2748" spans="47:47" x14ac:dyDescent="0.25">
      <c r="AU2748" s="8" t="str">
        <f>IF(TRIM($G2748)="","",IF(COUNTIF(LISTS!$I$2:$I$16,TRIM($G2748))&gt;0,"COUNTED",IF(COUNTIF(LISTS!$J$2:$J$16,TRIM($G2748))&gt;0,"LEFT OUT","NEW")))</f>
        <v/>
      </c>
    </row>
    <row r="2749" spans="47:47" x14ac:dyDescent="0.25">
      <c r="AU2749" s="8" t="str">
        <f>IF(TRIM($G2749)="","",IF(COUNTIF(LISTS!$I$2:$I$16,TRIM($G2749))&gt;0,"COUNTED",IF(COUNTIF(LISTS!$J$2:$J$16,TRIM($G2749))&gt;0,"LEFT OUT","NEW")))</f>
        <v/>
      </c>
    </row>
    <row r="2750" spans="47:47" x14ac:dyDescent="0.25">
      <c r="AU2750" s="8" t="str">
        <f>IF(TRIM($G2750)="","",IF(COUNTIF(LISTS!$I$2:$I$16,TRIM($G2750))&gt;0,"COUNTED",IF(COUNTIF(LISTS!$J$2:$J$16,TRIM($G2750))&gt;0,"LEFT OUT","NEW")))</f>
        <v/>
      </c>
    </row>
    <row r="2751" spans="47:47" x14ac:dyDescent="0.25">
      <c r="AU2751" s="8" t="str">
        <f>IF(TRIM($G2751)="","",IF(COUNTIF(LISTS!$I$2:$I$16,TRIM($G2751))&gt;0,"COUNTED",IF(COUNTIF(LISTS!$J$2:$J$16,TRIM($G2751))&gt;0,"LEFT OUT","NEW")))</f>
        <v/>
      </c>
    </row>
    <row r="2752" spans="47:47" x14ac:dyDescent="0.25">
      <c r="AU2752" s="8" t="str">
        <f>IF(TRIM($G2752)="","",IF(COUNTIF(LISTS!$I$2:$I$16,TRIM($G2752))&gt;0,"COUNTED",IF(COUNTIF(LISTS!$J$2:$J$16,TRIM($G2752))&gt;0,"LEFT OUT","NEW")))</f>
        <v/>
      </c>
    </row>
    <row r="2753" spans="47:47" x14ac:dyDescent="0.25">
      <c r="AU2753" s="8" t="str">
        <f>IF(TRIM($G2753)="","",IF(COUNTIF(LISTS!$I$2:$I$16,TRIM($G2753))&gt;0,"COUNTED",IF(COUNTIF(LISTS!$J$2:$J$16,TRIM($G2753))&gt;0,"LEFT OUT","NEW")))</f>
        <v/>
      </c>
    </row>
    <row r="2754" spans="47:47" x14ac:dyDescent="0.25">
      <c r="AU2754" s="8" t="str">
        <f>IF(TRIM($G2754)="","",IF(COUNTIF(LISTS!$I$2:$I$16,TRIM($G2754))&gt;0,"COUNTED",IF(COUNTIF(LISTS!$J$2:$J$16,TRIM($G2754))&gt;0,"LEFT OUT","NEW")))</f>
        <v/>
      </c>
    </row>
    <row r="2755" spans="47:47" x14ac:dyDescent="0.25">
      <c r="AU2755" s="8" t="str">
        <f>IF(TRIM($G2755)="","",IF(COUNTIF(LISTS!$I$2:$I$16,TRIM($G2755))&gt;0,"COUNTED",IF(COUNTIF(LISTS!$J$2:$J$16,TRIM($G2755))&gt;0,"LEFT OUT","NEW")))</f>
        <v/>
      </c>
    </row>
    <row r="2756" spans="47:47" x14ac:dyDescent="0.25">
      <c r="AU2756" s="8" t="str">
        <f>IF(TRIM($G2756)="","",IF(COUNTIF(LISTS!$I$2:$I$16,TRIM($G2756))&gt;0,"COUNTED",IF(COUNTIF(LISTS!$J$2:$J$16,TRIM($G2756))&gt;0,"LEFT OUT","NEW")))</f>
        <v/>
      </c>
    </row>
    <row r="2757" spans="47:47" x14ac:dyDescent="0.25">
      <c r="AU2757" s="8" t="str">
        <f>IF(TRIM($G2757)="","",IF(COUNTIF(LISTS!$I$2:$I$16,TRIM($G2757))&gt;0,"COUNTED",IF(COUNTIF(LISTS!$J$2:$J$16,TRIM($G2757))&gt;0,"LEFT OUT","NEW")))</f>
        <v/>
      </c>
    </row>
    <row r="2758" spans="47:47" x14ac:dyDescent="0.25">
      <c r="AU2758" s="8" t="str">
        <f>IF(TRIM($G2758)="","",IF(COUNTIF(LISTS!$I$2:$I$16,TRIM($G2758))&gt;0,"COUNTED",IF(COUNTIF(LISTS!$J$2:$J$16,TRIM($G2758))&gt;0,"LEFT OUT","NEW")))</f>
        <v/>
      </c>
    </row>
    <row r="2759" spans="47:47" x14ac:dyDescent="0.25">
      <c r="AU2759" s="8" t="str">
        <f>IF(TRIM($G2759)="","",IF(COUNTIF(LISTS!$I$2:$I$16,TRIM($G2759))&gt;0,"COUNTED",IF(COUNTIF(LISTS!$J$2:$J$16,TRIM($G2759))&gt;0,"LEFT OUT","NEW")))</f>
        <v/>
      </c>
    </row>
    <row r="2760" spans="47:47" x14ac:dyDescent="0.25">
      <c r="AU2760" s="8" t="str">
        <f>IF(TRIM($G2760)="","",IF(COUNTIF(LISTS!$I$2:$I$16,TRIM($G2760))&gt;0,"COUNTED",IF(COUNTIF(LISTS!$J$2:$J$16,TRIM($G2760))&gt;0,"LEFT OUT","NEW")))</f>
        <v/>
      </c>
    </row>
    <row r="2761" spans="47:47" x14ac:dyDescent="0.25">
      <c r="AU2761" s="8" t="str">
        <f>IF(TRIM($G2761)="","",IF(COUNTIF(LISTS!$I$2:$I$16,TRIM($G2761))&gt;0,"COUNTED",IF(COUNTIF(LISTS!$J$2:$J$16,TRIM($G2761))&gt;0,"LEFT OUT","NEW")))</f>
        <v/>
      </c>
    </row>
    <row r="2762" spans="47:47" x14ac:dyDescent="0.25">
      <c r="AU2762" s="8" t="str">
        <f>IF(TRIM($G2762)="","",IF(COUNTIF(LISTS!$I$2:$I$16,TRIM($G2762))&gt;0,"COUNTED",IF(COUNTIF(LISTS!$J$2:$J$16,TRIM($G2762))&gt;0,"LEFT OUT","NEW")))</f>
        <v/>
      </c>
    </row>
    <row r="2763" spans="47:47" x14ac:dyDescent="0.25">
      <c r="AU2763" s="8" t="str">
        <f>IF(TRIM($G2763)="","",IF(COUNTIF(LISTS!$I$2:$I$16,TRIM($G2763))&gt;0,"COUNTED",IF(COUNTIF(LISTS!$J$2:$J$16,TRIM($G2763))&gt;0,"LEFT OUT","NEW")))</f>
        <v/>
      </c>
    </row>
    <row r="2764" spans="47:47" x14ac:dyDescent="0.25">
      <c r="AU2764" s="8" t="str">
        <f>IF(TRIM($G2764)="","",IF(COUNTIF(LISTS!$I$2:$I$16,TRIM($G2764))&gt;0,"COUNTED",IF(COUNTIF(LISTS!$J$2:$J$16,TRIM($G2764))&gt;0,"LEFT OUT","NEW")))</f>
        <v/>
      </c>
    </row>
    <row r="2765" spans="47:47" x14ac:dyDescent="0.25">
      <c r="AU2765" s="8" t="str">
        <f>IF(TRIM($G2765)="","",IF(COUNTIF(LISTS!$I$2:$I$16,TRIM($G2765))&gt;0,"COUNTED",IF(COUNTIF(LISTS!$J$2:$J$16,TRIM($G2765))&gt;0,"LEFT OUT","NEW")))</f>
        <v/>
      </c>
    </row>
    <row r="2766" spans="47:47" x14ac:dyDescent="0.25">
      <c r="AU2766" s="8" t="str">
        <f>IF(TRIM($G2766)="","",IF(COUNTIF(LISTS!$I$2:$I$16,TRIM($G2766))&gt;0,"COUNTED",IF(COUNTIF(LISTS!$J$2:$J$16,TRIM($G2766))&gt;0,"LEFT OUT","NEW")))</f>
        <v/>
      </c>
    </row>
    <row r="2767" spans="47:47" x14ac:dyDescent="0.25">
      <c r="AU2767" s="8" t="str">
        <f>IF(TRIM($G2767)="","",IF(COUNTIF(LISTS!$I$2:$I$16,TRIM($G2767))&gt;0,"COUNTED",IF(COUNTIF(LISTS!$J$2:$J$16,TRIM($G2767))&gt;0,"LEFT OUT","NEW")))</f>
        <v/>
      </c>
    </row>
    <row r="2768" spans="47:47" x14ac:dyDescent="0.25">
      <c r="AU2768" s="8" t="str">
        <f>IF(TRIM($G2768)="","",IF(COUNTIF(LISTS!$I$2:$I$16,TRIM($G2768))&gt;0,"COUNTED",IF(COUNTIF(LISTS!$J$2:$J$16,TRIM($G2768))&gt;0,"LEFT OUT","NEW")))</f>
        <v/>
      </c>
    </row>
    <row r="2769" spans="47:47" x14ac:dyDescent="0.25">
      <c r="AU2769" s="8" t="str">
        <f>IF(TRIM($G2769)="","",IF(COUNTIF(LISTS!$I$2:$I$16,TRIM($G2769))&gt;0,"COUNTED",IF(COUNTIF(LISTS!$J$2:$J$16,TRIM($G2769))&gt;0,"LEFT OUT","NEW")))</f>
        <v/>
      </c>
    </row>
    <row r="2770" spans="47:47" x14ac:dyDescent="0.25">
      <c r="AU2770" s="8" t="str">
        <f>IF(TRIM($G2770)="","",IF(COUNTIF(LISTS!$I$2:$I$16,TRIM($G2770))&gt;0,"COUNTED",IF(COUNTIF(LISTS!$J$2:$J$16,TRIM($G2770))&gt;0,"LEFT OUT","NEW")))</f>
        <v/>
      </c>
    </row>
    <row r="2771" spans="47:47" x14ac:dyDescent="0.25">
      <c r="AU2771" s="8" t="str">
        <f>IF(TRIM($G2771)="","",IF(COUNTIF(LISTS!$I$2:$I$16,TRIM($G2771))&gt;0,"COUNTED",IF(COUNTIF(LISTS!$J$2:$J$16,TRIM($G2771))&gt;0,"LEFT OUT","NEW")))</f>
        <v/>
      </c>
    </row>
    <row r="2772" spans="47:47" x14ac:dyDescent="0.25">
      <c r="AU2772" s="8" t="str">
        <f>IF(TRIM($G2772)="","",IF(COUNTIF(LISTS!$I$2:$I$16,TRIM($G2772))&gt;0,"COUNTED",IF(COUNTIF(LISTS!$J$2:$J$16,TRIM($G2772))&gt;0,"LEFT OUT","NEW")))</f>
        <v/>
      </c>
    </row>
    <row r="2773" spans="47:47" x14ac:dyDescent="0.25">
      <c r="AU2773" s="8" t="str">
        <f>IF(TRIM($G2773)="","",IF(COUNTIF(LISTS!$I$2:$I$16,TRIM($G2773))&gt;0,"COUNTED",IF(COUNTIF(LISTS!$J$2:$J$16,TRIM($G2773))&gt;0,"LEFT OUT","NEW")))</f>
        <v/>
      </c>
    </row>
    <row r="2774" spans="47:47" x14ac:dyDescent="0.25">
      <c r="AU2774" s="8" t="str">
        <f>IF(TRIM($G2774)="","",IF(COUNTIF(LISTS!$I$2:$I$16,TRIM($G2774))&gt;0,"COUNTED",IF(COUNTIF(LISTS!$J$2:$J$16,TRIM($G2774))&gt;0,"LEFT OUT","NEW")))</f>
        <v/>
      </c>
    </row>
    <row r="2775" spans="47:47" x14ac:dyDescent="0.25">
      <c r="AU2775" s="8" t="str">
        <f>IF(TRIM($G2775)="","",IF(COUNTIF(LISTS!$I$2:$I$16,TRIM($G2775))&gt;0,"COUNTED",IF(COUNTIF(LISTS!$J$2:$J$16,TRIM($G2775))&gt;0,"LEFT OUT","NEW")))</f>
        <v/>
      </c>
    </row>
    <row r="2776" spans="47:47" x14ac:dyDescent="0.25">
      <c r="AU2776" s="8" t="str">
        <f>IF(TRIM($G2776)="","",IF(COUNTIF(LISTS!$I$2:$I$16,TRIM($G2776))&gt;0,"COUNTED",IF(COUNTIF(LISTS!$J$2:$J$16,TRIM($G2776))&gt;0,"LEFT OUT","NEW")))</f>
        <v/>
      </c>
    </row>
    <row r="2777" spans="47:47" x14ac:dyDescent="0.25">
      <c r="AU2777" s="8" t="str">
        <f>IF(TRIM($G2777)="","",IF(COUNTIF(LISTS!$I$2:$I$16,TRIM($G2777))&gt;0,"COUNTED",IF(COUNTIF(LISTS!$J$2:$J$16,TRIM($G2777))&gt;0,"LEFT OUT","NEW")))</f>
        <v/>
      </c>
    </row>
    <row r="2778" spans="47:47" x14ac:dyDescent="0.25">
      <c r="AU2778" s="8" t="str">
        <f>IF(TRIM($G2778)="","",IF(COUNTIF(LISTS!$I$2:$I$16,TRIM($G2778))&gt;0,"COUNTED",IF(COUNTIF(LISTS!$J$2:$J$16,TRIM($G2778))&gt;0,"LEFT OUT","NEW")))</f>
        <v/>
      </c>
    </row>
    <row r="2779" spans="47:47" x14ac:dyDescent="0.25">
      <c r="AU2779" s="8" t="str">
        <f>IF(TRIM($G2779)="","",IF(COUNTIF(LISTS!$I$2:$I$16,TRIM($G2779))&gt;0,"COUNTED",IF(COUNTIF(LISTS!$J$2:$J$16,TRIM($G2779))&gt;0,"LEFT OUT","NEW")))</f>
        <v/>
      </c>
    </row>
    <row r="2780" spans="47:47" x14ac:dyDescent="0.25">
      <c r="AU2780" s="8" t="str">
        <f>IF(TRIM($G2780)="","",IF(COUNTIF(LISTS!$I$2:$I$16,TRIM($G2780))&gt;0,"COUNTED",IF(COUNTIF(LISTS!$J$2:$J$16,TRIM($G2780))&gt;0,"LEFT OUT","NEW")))</f>
        <v/>
      </c>
    </row>
    <row r="2781" spans="47:47" x14ac:dyDescent="0.25">
      <c r="AU2781" s="8" t="str">
        <f>IF(TRIM($G2781)="","",IF(COUNTIF(LISTS!$I$2:$I$16,TRIM($G2781))&gt;0,"COUNTED",IF(COUNTIF(LISTS!$J$2:$J$16,TRIM($G2781))&gt;0,"LEFT OUT","NEW")))</f>
        <v/>
      </c>
    </row>
    <row r="2782" spans="47:47" x14ac:dyDescent="0.25">
      <c r="AU2782" s="8" t="str">
        <f>IF(TRIM($G2782)="","",IF(COUNTIF(LISTS!$I$2:$I$16,TRIM($G2782))&gt;0,"COUNTED",IF(COUNTIF(LISTS!$J$2:$J$16,TRIM($G2782))&gt;0,"LEFT OUT","NEW")))</f>
        <v/>
      </c>
    </row>
    <row r="2783" spans="47:47" x14ac:dyDescent="0.25">
      <c r="AU2783" s="8" t="str">
        <f>IF(TRIM($G2783)="","",IF(COUNTIF(LISTS!$I$2:$I$16,TRIM($G2783))&gt;0,"COUNTED",IF(COUNTIF(LISTS!$J$2:$J$16,TRIM($G2783))&gt;0,"LEFT OUT","NEW")))</f>
        <v/>
      </c>
    </row>
    <row r="2784" spans="47:47" x14ac:dyDescent="0.25">
      <c r="AU2784" s="8" t="str">
        <f>IF(TRIM($G2784)="","",IF(COUNTIF(LISTS!$I$2:$I$16,TRIM($G2784))&gt;0,"COUNTED",IF(COUNTIF(LISTS!$J$2:$J$16,TRIM($G2784))&gt;0,"LEFT OUT","NEW")))</f>
        <v/>
      </c>
    </row>
    <row r="2785" spans="47:47" x14ac:dyDescent="0.25">
      <c r="AU2785" s="8" t="str">
        <f>IF(TRIM($G2785)="","",IF(COUNTIF(LISTS!$I$2:$I$16,TRIM($G2785))&gt;0,"COUNTED",IF(COUNTIF(LISTS!$J$2:$J$16,TRIM($G2785))&gt;0,"LEFT OUT","NEW")))</f>
        <v/>
      </c>
    </row>
    <row r="2786" spans="47:47" x14ac:dyDescent="0.25">
      <c r="AU2786" s="8" t="str">
        <f>IF(TRIM($G2786)="","",IF(COUNTIF(LISTS!$I$2:$I$16,TRIM($G2786))&gt;0,"COUNTED",IF(COUNTIF(LISTS!$J$2:$J$16,TRIM($G2786))&gt;0,"LEFT OUT","NEW")))</f>
        <v/>
      </c>
    </row>
    <row r="2787" spans="47:47" x14ac:dyDescent="0.25">
      <c r="AU2787" s="8" t="str">
        <f>IF(TRIM($G2787)="","",IF(COUNTIF(LISTS!$I$2:$I$16,TRIM($G2787))&gt;0,"COUNTED",IF(COUNTIF(LISTS!$J$2:$J$16,TRIM($G2787))&gt;0,"LEFT OUT","NEW")))</f>
        <v/>
      </c>
    </row>
    <row r="2788" spans="47:47" x14ac:dyDescent="0.25">
      <c r="AU2788" s="8" t="str">
        <f>IF(TRIM($G2788)="","",IF(COUNTIF(LISTS!$I$2:$I$16,TRIM($G2788))&gt;0,"COUNTED",IF(COUNTIF(LISTS!$J$2:$J$16,TRIM($G2788))&gt;0,"LEFT OUT","NEW")))</f>
        <v/>
      </c>
    </row>
    <row r="2789" spans="47:47" x14ac:dyDescent="0.25">
      <c r="AU2789" s="8" t="str">
        <f>IF(TRIM($G2789)="","",IF(COUNTIF(LISTS!$I$2:$I$16,TRIM($G2789))&gt;0,"COUNTED",IF(COUNTIF(LISTS!$J$2:$J$16,TRIM($G2789))&gt;0,"LEFT OUT","NEW")))</f>
        <v/>
      </c>
    </row>
    <row r="2790" spans="47:47" x14ac:dyDescent="0.25">
      <c r="AU2790" s="8" t="str">
        <f>IF(TRIM($G2790)="","",IF(COUNTIF(LISTS!$I$2:$I$16,TRIM($G2790))&gt;0,"COUNTED",IF(COUNTIF(LISTS!$J$2:$J$16,TRIM($G2790))&gt;0,"LEFT OUT","NEW")))</f>
        <v/>
      </c>
    </row>
    <row r="2791" spans="47:47" x14ac:dyDescent="0.25">
      <c r="AU2791" s="8" t="str">
        <f>IF(TRIM($G2791)="","",IF(COUNTIF(LISTS!$I$2:$I$16,TRIM($G2791))&gt;0,"COUNTED",IF(COUNTIF(LISTS!$J$2:$J$16,TRIM($G2791))&gt;0,"LEFT OUT","NEW")))</f>
        <v/>
      </c>
    </row>
    <row r="2792" spans="47:47" x14ac:dyDescent="0.25">
      <c r="AU2792" s="8" t="str">
        <f>IF(TRIM($G2792)="","",IF(COUNTIF(LISTS!$I$2:$I$16,TRIM($G2792))&gt;0,"COUNTED",IF(COUNTIF(LISTS!$J$2:$J$16,TRIM($G2792))&gt;0,"LEFT OUT","NEW")))</f>
        <v/>
      </c>
    </row>
    <row r="2793" spans="47:47" x14ac:dyDescent="0.25">
      <c r="AU2793" s="8" t="str">
        <f>IF(TRIM($G2793)="","",IF(COUNTIF(LISTS!$I$2:$I$16,TRIM($G2793))&gt;0,"COUNTED",IF(COUNTIF(LISTS!$J$2:$J$16,TRIM($G2793))&gt;0,"LEFT OUT","NEW")))</f>
        <v/>
      </c>
    </row>
    <row r="2794" spans="47:47" x14ac:dyDescent="0.25">
      <c r="AU2794" s="8" t="str">
        <f>IF(TRIM($G2794)="","",IF(COUNTIF(LISTS!$I$2:$I$16,TRIM($G2794))&gt;0,"COUNTED",IF(COUNTIF(LISTS!$J$2:$J$16,TRIM($G2794))&gt;0,"LEFT OUT","NEW")))</f>
        <v/>
      </c>
    </row>
    <row r="2795" spans="47:47" x14ac:dyDescent="0.25">
      <c r="AU2795" s="8" t="str">
        <f>IF(TRIM($G2795)="","",IF(COUNTIF(LISTS!$I$2:$I$16,TRIM($G2795))&gt;0,"COUNTED",IF(COUNTIF(LISTS!$J$2:$J$16,TRIM($G2795))&gt;0,"LEFT OUT","NEW")))</f>
        <v/>
      </c>
    </row>
    <row r="2796" spans="47:47" x14ac:dyDescent="0.25">
      <c r="AU2796" s="8" t="str">
        <f>IF(TRIM($G2796)="","",IF(COUNTIF(LISTS!$I$2:$I$16,TRIM($G2796))&gt;0,"COUNTED",IF(COUNTIF(LISTS!$J$2:$J$16,TRIM($G2796))&gt;0,"LEFT OUT","NEW")))</f>
        <v/>
      </c>
    </row>
    <row r="2797" spans="47:47" x14ac:dyDescent="0.25">
      <c r="AU2797" s="8" t="str">
        <f>IF(TRIM($G2797)="","",IF(COUNTIF(LISTS!$I$2:$I$16,TRIM($G2797))&gt;0,"COUNTED",IF(COUNTIF(LISTS!$J$2:$J$16,TRIM($G2797))&gt;0,"LEFT OUT","NEW")))</f>
        <v/>
      </c>
    </row>
    <row r="2798" spans="47:47" x14ac:dyDescent="0.25">
      <c r="AU2798" s="8" t="str">
        <f>IF(TRIM($G2798)="","",IF(COUNTIF(LISTS!$I$2:$I$16,TRIM($G2798))&gt;0,"COUNTED",IF(COUNTIF(LISTS!$J$2:$J$16,TRIM($G2798))&gt;0,"LEFT OUT","NEW")))</f>
        <v/>
      </c>
    </row>
    <row r="2799" spans="47:47" x14ac:dyDescent="0.25">
      <c r="AU2799" s="8" t="str">
        <f>IF(TRIM($G2799)="","",IF(COUNTIF(LISTS!$I$2:$I$16,TRIM($G2799))&gt;0,"COUNTED",IF(COUNTIF(LISTS!$J$2:$J$16,TRIM($G2799))&gt;0,"LEFT OUT","NEW")))</f>
        <v/>
      </c>
    </row>
    <row r="2800" spans="47:47" x14ac:dyDescent="0.25">
      <c r="AU2800" s="8" t="str">
        <f>IF(TRIM($G2800)="","",IF(COUNTIF(LISTS!$I$2:$I$16,TRIM($G2800))&gt;0,"COUNTED",IF(COUNTIF(LISTS!$J$2:$J$16,TRIM($G2800))&gt;0,"LEFT OUT","NEW")))</f>
        <v/>
      </c>
    </row>
    <row r="2801" spans="47:47" x14ac:dyDescent="0.25">
      <c r="AU2801" s="8" t="str">
        <f>IF(TRIM($G2801)="","",IF(COUNTIF(LISTS!$I$2:$I$16,TRIM($G2801))&gt;0,"COUNTED",IF(COUNTIF(LISTS!$J$2:$J$16,TRIM($G2801))&gt;0,"LEFT OUT","NEW")))</f>
        <v/>
      </c>
    </row>
    <row r="2802" spans="47:47" x14ac:dyDescent="0.25">
      <c r="AU2802" s="8" t="str">
        <f>IF(TRIM($G2802)="","",IF(COUNTIF(LISTS!$I$2:$I$16,TRIM($G2802))&gt;0,"COUNTED",IF(COUNTIF(LISTS!$J$2:$J$16,TRIM($G2802))&gt;0,"LEFT OUT","NEW")))</f>
        <v/>
      </c>
    </row>
    <row r="2803" spans="47:47" x14ac:dyDescent="0.25">
      <c r="AU2803" s="8" t="str">
        <f>IF(TRIM($G2803)="","",IF(COUNTIF(LISTS!$I$2:$I$16,TRIM($G2803))&gt;0,"COUNTED",IF(COUNTIF(LISTS!$J$2:$J$16,TRIM($G2803))&gt;0,"LEFT OUT","NEW")))</f>
        <v/>
      </c>
    </row>
    <row r="2804" spans="47:47" x14ac:dyDescent="0.25">
      <c r="AU2804" s="8" t="str">
        <f>IF(TRIM($G2804)="","",IF(COUNTIF(LISTS!$I$2:$I$16,TRIM($G2804))&gt;0,"COUNTED",IF(COUNTIF(LISTS!$J$2:$J$16,TRIM($G2804))&gt;0,"LEFT OUT","NEW")))</f>
        <v/>
      </c>
    </row>
    <row r="2805" spans="47:47" x14ac:dyDescent="0.25">
      <c r="AU2805" s="8" t="str">
        <f>IF(TRIM($G2805)="","",IF(COUNTIF(LISTS!$I$2:$I$16,TRIM($G2805))&gt;0,"COUNTED",IF(COUNTIF(LISTS!$J$2:$J$16,TRIM($G2805))&gt;0,"LEFT OUT","NEW")))</f>
        <v/>
      </c>
    </row>
    <row r="2806" spans="47:47" x14ac:dyDescent="0.25">
      <c r="AU2806" s="8" t="str">
        <f>IF(TRIM($G2806)="","",IF(COUNTIF(LISTS!$I$2:$I$16,TRIM($G2806))&gt;0,"COUNTED",IF(COUNTIF(LISTS!$J$2:$J$16,TRIM($G2806))&gt;0,"LEFT OUT","NEW")))</f>
        <v/>
      </c>
    </row>
    <row r="2807" spans="47:47" x14ac:dyDescent="0.25">
      <c r="AU2807" s="8" t="str">
        <f>IF(TRIM($G2807)="","",IF(COUNTIF(LISTS!$I$2:$I$16,TRIM($G2807))&gt;0,"COUNTED",IF(COUNTIF(LISTS!$J$2:$J$16,TRIM($G2807))&gt;0,"LEFT OUT","NEW")))</f>
        <v/>
      </c>
    </row>
    <row r="2808" spans="47:47" x14ac:dyDescent="0.25">
      <c r="AU2808" s="8" t="str">
        <f>IF(TRIM($G2808)="","",IF(COUNTIF(LISTS!$I$2:$I$16,TRIM($G2808))&gt;0,"COUNTED",IF(COUNTIF(LISTS!$J$2:$J$16,TRIM($G2808))&gt;0,"LEFT OUT","NEW")))</f>
        <v/>
      </c>
    </row>
    <row r="2809" spans="47:47" x14ac:dyDescent="0.25">
      <c r="AU2809" s="8" t="str">
        <f>IF(TRIM($G2809)="","",IF(COUNTIF(LISTS!$I$2:$I$16,TRIM($G2809))&gt;0,"COUNTED",IF(COUNTIF(LISTS!$J$2:$J$16,TRIM($G2809))&gt;0,"LEFT OUT","NEW")))</f>
        <v/>
      </c>
    </row>
    <row r="2810" spans="47:47" x14ac:dyDescent="0.25">
      <c r="AU2810" s="8" t="str">
        <f>IF(TRIM($G2810)="","",IF(COUNTIF(LISTS!$I$2:$I$16,TRIM($G2810))&gt;0,"COUNTED",IF(COUNTIF(LISTS!$J$2:$J$16,TRIM($G2810))&gt;0,"LEFT OUT","NEW")))</f>
        <v/>
      </c>
    </row>
    <row r="2811" spans="47:47" x14ac:dyDescent="0.25">
      <c r="AU2811" s="8" t="str">
        <f>IF(TRIM($G2811)="","",IF(COUNTIF(LISTS!$I$2:$I$16,TRIM($G2811))&gt;0,"COUNTED",IF(COUNTIF(LISTS!$J$2:$J$16,TRIM($G2811))&gt;0,"LEFT OUT","NEW")))</f>
        <v/>
      </c>
    </row>
    <row r="2812" spans="47:47" x14ac:dyDescent="0.25">
      <c r="AU2812" s="8" t="str">
        <f>IF(TRIM($G2812)="","",IF(COUNTIF(LISTS!$I$2:$I$16,TRIM($G2812))&gt;0,"COUNTED",IF(COUNTIF(LISTS!$J$2:$J$16,TRIM($G2812))&gt;0,"LEFT OUT","NEW")))</f>
        <v/>
      </c>
    </row>
    <row r="2813" spans="47:47" x14ac:dyDescent="0.25">
      <c r="AU2813" s="8" t="str">
        <f>IF(TRIM($G2813)="","",IF(COUNTIF(LISTS!$I$2:$I$16,TRIM($G2813))&gt;0,"COUNTED",IF(COUNTIF(LISTS!$J$2:$J$16,TRIM($G2813))&gt;0,"LEFT OUT","NEW")))</f>
        <v/>
      </c>
    </row>
    <row r="2814" spans="47:47" x14ac:dyDescent="0.25">
      <c r="AU2814" s="8" t="str">
        <f>IF(TRIM($G2814)="","",IF(COUNTIF(LISTS!$I$2:$I$16,TRIM($G2814))&gt;0,"COUNTED",IF(COUNTIF(LISTS!$J$2:$J$16,TRIM($G2814))&gt;0,"LEFT OUT","NEW")))</f>
        <v/>
      </c>
    </row>
    <row r="2815" spans="47:47" x14ac:dyDescent="0.25">
      <c r="AU2815" s="8" t="str">
        <f>IF(TRIM($G2815)="","",IF(COUNTIF(LISTS!$I$2:$I$16,TRIM($G2815))&gt;0,"COUNTED",IF(COUNTIF(LISTS!$J$2:$J$16,TRIM($G2815))&gt;0,"LEFT OUT","NEW")))</f>
        <v/>
      </c>
    </row>
    <row r="2816" spans="47:47" x14ac:dyDescent="0.25">
      <c r="AU2816" s="8" t="str">
        <f>IF(TRIM($G2816)="","",IF(COUNTIF(LISTS!$I$2:$I$16,TRIM($G2816))&gt;0,"COUNTED",IF(COUNTIF(LISTS!$J$2:$J$16,TRIM($G2816))&gt;0,"LEFT OUT","NEW")))</f>
        <v/>
      </c>
    </row>
    <row r="2817" spans="47:47" x14ac:dyDescent="0.25">
      <c r="AU2817" s="8" t="str">
        <f>IF(TRIM($G2817)="","",IF(COUNTIF(LISTS!$I$2:$I$16,TRIM($G2817))&gt;0,"COUNTED",IF(COUNTIF(LISTS!$J$2:$J$16,TRIM($G2817))&gt;0,"LEFT OUT","NEW")))</f>
        <v/>
      </c>
    </row>
    <row r="2818" spans="47:47" x14ac:dyDescent="0.25">
      <c r="AU2818" s="8" t="str">
        <f>IF(TRIM($G2818)="","",IF(COUNTIF(LISTS!$I$2:$I$16,TRIM($G2818))&gt;0,"COUNTED",IF(COUNTIF(LISTS!$J$2:$J$16,TRIM($G2818))&gt;0,"LEFT OUT","NEW")))</f>
        <v/>
      </c>
    </row>
    <row r="2819" spans="47:47" x14ac:dyDescent="0.25">
      <c r="AU2819" s="8" t="str">
        <f>IF(TRIM($G2819)="","",IF(COUNTIF(LISTS!$I$2:$I$16,TRIM($G2819))&gt;0,"COUNTED",IF(COUNTIF(LISTS!$J$2:$J$16,TRIM($G2819))&gt;0,"LEFT OUT","NEW")))</f>
        <v/>
      </c>
    </row>
    <row r="2820" spans="47:47" x14ac:dyDescent="0.25">
      <c r="AU2820" s="8" t="str">
        <f>IF(TRIM($G2820)="","",IF(COUNTIF(LISTS!$I$2:$I$16,TRIM($G2820))&gt;0,"COUNTED",IF(COUNTIF(LISTS!$J$2:$J$16,TRIM($G2820))&gt;0,"LEFT OUT","NEW")))</f>
        <v/>
      </c>
    </row>
    <row r="2821" spans="47:47" x14ac:dyDescent="0.25">
      <c r="AU2821" s="8" t="str">
        <f>IF(TRIM($G2821)="","",IF(COUNTIF(LISTS!$I$2:$I$16,TRIM($G2821))&gt;0,"COUNTED",IF(COUNTIF(LISTS!$J$2:$J$16,TRIM($G2821))&gt;0,"LEFT OUT","NEW")))</f>
        <v/>
      </c>
    </row>
    <row r="2822" spans="47:47" x14ac:dyDescent="0.25">
      <c r="AU2822" s="8" t="str">
        <f>IF(TRIM($G2822)="","",IF(COUNTIF(LISTS!$I$2:$I$16,TRIM($G2822))&gt;0,"COUNTED",IF(COUNTIF(LISTS!$J$2:$J$16,TRIM($G2822))&gt;0,"LEFT OUT","NEW")))</f>
        <v/>
      </c>
    </row>
    <row r="2823" spans="47:47" x14ac:dyDescent="0.25">
      <c r="AU2823" s="8" t="str">
        <f>IF(TRIM($G2823)="","",IF(COUNTIF(LISTS!$I$2:$I$16,TRIM($G2823))&gt;0,"COUNTED",IF(COUNTIF(LISTS!$J$2:$J$16,TRIM($G2823))&gt;0,"LEFT OUT","NEW")))</f>
        <v/>
      </c>
    </row>
    <row r="2824" spans="47:47" x14ac:dyDescent="0.25">
      <c r="AU2824" s="8" t="str">
        <f>IF(TRIM($G2824)="","",IF(COUNTIF(LISTS!$I$2:$I$16,TRIM($G2824))&gt;0,"COUNTED",IF(COUNTIF(LISTS!$J$2:$J$16,TRIM($G2824))&gt;0,"LEFT OUT","NEW")))</f>
        <v/>
      </c>
    </row>
    <row r="2825" spans="47:47" x14ac:dyDescent="0.25">
      <c r="AU2825" s="8" t="str">
        <f>IF(TRIM($G2825)="","",IF(COUNTIF(LISTS!$I$2:$I$16,TRIM($G2825))&gt;0,"COUNTED",IF(COUNTIF(LISTS!$J$2:$J$16,TRIM($G2825))&gt;0,"LEFT OUT","NEW")))</f>
        <v/>
      </c>
    </row>
    <row r="2826" spans="47:47" x14ac:dyDescent="0.25">
      <c r="AU2826" s="8" t="str">
        <f>IF(TRIM($G2826)="","",IF(COUNTIF(LISTS!$I$2:$I$16,TRIM($G2826))&gt;0,"COUNTED",IF(COUNTIF(LISTS!$J$2:$J$16,TRIM($G2826))&gt;0,"LEFT OUT","NEW")))</f>
        <v/>
      </c>
    </row>
    <row r="2827" spans="47:47" x14ac:dyDescent="0.25">
      <c r="AU2827" s="8" t="str">
        <f>IF(TRIM($G2827)="","",IF(COUNTIF(LISTS!$I$2:$I$16,TRIM($G2827))&gt;0,"COUNTED",IF(COUNTIF(LISTS!$J$2:$J$16,TRIM($G2827))&gt;0,"LEFT OUT","NEW")))</f>
        <v/>
      </c>
    </row>
    <row r="2828" spans="47:47" x14ac:dyDescent="0.25">
      <c r="AU2828" s="8" t="str">
        <f>IF(TRIM($G2828)="","",IF(COUNTIF(LISTS!$I$2:$I$16,TRIM($G2828))&gt;0,"COUNTED",IF(COUNTIF(LISTS!$J$2:$J$16,TRIM($G2828))&gt;0,"LEFT OUT","NEW")))</f>
        <v/>
      </c>
    </row>
    <row r="2829" spans="47:47" x14ac:dyDescent="0.25">
      <c r="AU2829" s="8" t="str">
        <f>IF(TRIM($G2829)="","",IF(COUNTIF(LISTS!$I$2:$I$16,TRIM($G2829))&gt;0,"COUNTED",IF(COUNTIF(LISTS!$J$2:$J$16,TRIM($G2829))&gt;0,"LEFT OUT","NEW")))</f>
        <v/>
      </c>
    </row>
    <row r="2830" spans="47:47" x14ac:dyDescent="0.25">
      <c r="AU2830" s="8" t="str">
        <f>IF(TRIM($G2830)="","",IF(COUNTIF(LISTS!$I$2:$I$16,TRIM($G2830))&gt;0,"COUNTED",IF(COUNTIF(LISTS!$J$2:$J$16,TRIM($G2830))&gt;0,"LEFT OUT","NEW")))</f>
        <v/>
      </c>
    </row>
    <row r="2831" spans="47:47" x14ac:dyDescent="0.25">
      <c r="AU2831" s="8" t="str">
        <f>IF(TRIM($G2831)="","",IF(COUNTIF(LISTS!$I$2:$I$16,TRIM($G2831))&gt;0,"COUNTED",IF(COUNTIF(LISTS!$J$2:$J$16,TRIM($G2831))&gt;0,"LEFT OUT","NEW")))</f>
        <v/>
      </c>
    </row>
    <row r="2832" spans="47:47" x14ac:dyDescent="0.25">
      <c r="AU2832" s="8" t="str">
        <f>IF(TRIM($G2832)="","",IF(COUNTIF(LISTS!$I$2:$I$16,TRIM($G2832))&gt;0,"COUNTED",IF(COUNTIF(LISTS!$J$2:$J$16,TRIM($G2832))&gt;0,"LEFT OUT","NEW")))</f>
        <v/>
      </c>
    </row>
    <row r="2833" spans="47:47" x14ac:dyDescent="0.25">
      <c r="AU2833" s="8" t="str">
        <f>IF(TRIM($G2833)="","",IF(COUNTIF(LISTS!$I$2:$I$16,TRIM($G2833))&gt;0,"COUNTED",IF(COUNTIF(LISTS!$J$2:$J$16,TRIM($G2833))&gt;0,"LEFT OUT","NEW")))</f>
        <v/>
      </c>
    </row>
    <row r="2834" spans="47:47" x14ac:dyDescent="0.25">
      <c r="AU2834" s="8" t="str">
        <f>IF(TRIM($G2834)="","",IF(COUNTIF(LISTS!$I$2:$I$16,TRIM($G2834))&gt;0,"COUNTED",IF(COUNTIF(LISTS!$J$2:$J$16,TRIM($G2834))&gt;0,"LEFT OUT","NEW")))</f>
        <v/>
      </c>
    </row>
    <row r="2835" spans="47:47" x14ac:dyDescent="0.25">
      <c r="AU2835" s="8" t="str">
        <f>IF(TRIM($G2835)="","",IF(COUNTIF(LISTS!$I$2:$I$16,TRIM($G2835))&gt;0,"COUNTED",IF(COUNTIF(LISTS!$J$2:$J$16,TRIM($G2835))&gt;0,"LEFT OUT","NEW")))</f>
        <v/>
      </c>
    </row>
    <row r="2836" spans="47:47" x14ac:dyDescent="0.25">
      <c r="AU2836" s="8" t="str">
        <f>IF(TRIM($G2836)="","",IF(COUNTIF(LISTS!$I$2:$I$16,TRIM($G2836))&gt;0,"COUNTED",IF(COUNTIF(LISTS!$J$2:$J$16,TRIM($G2836))&gt;0,"LEFT OUT","NEW")))</f>
        <v/>
      </c>
    </row>
    <row r="2837" spans="47:47" x14ac:dyDescent="0.25">
      <c r="AU2837" s="8" t="str">
        <f>IF(TRIM($G2837)="","",IF(COUNTIF(LISTS!$I$2:$I$16,TRIM($G2837))&gt;0,"COUNTED",IF(COUNTIF(LISTS!$J$2:$J$16,TRIM($G2837))&gt;0,"LEFT OUT","NEW")))</f>
        <v/>
      </c>
    </row>
    <row r="2838" spans="47:47" x14ac:dyDescent="0.25">
      <c r="AU2838" s="8" t="str">
        <f>IF(TRIM($G2838)="","",IF(COUNTIF(LISTS!$I$2:$I$16,TRIM($G2838))&gt;0,"COUNTED",IF(COUNTIF(LISTS!$J$2:$J$16,TRIM($G2838))&gt;0,"LEFT OUT","NEW")))</f>
        <v/>
      </c>
    </row>
    <row r="2839" spans="47:47" x14ac:dyDescent="0.25">
      <c r="AU2839" s="8" t="str">
        <f>IF(TRIM($G2839)="","",IF(COUNTIF(LISTS!$I$2:$I$16,TRIM($G2839))&gt;0,"COUNTED",IF(COUNTIF(LISTS!$J$2:$J$16,TRIM($G2839))&gt;0,"LEFT OUT","NEW")))</f>
        <v/>
      </c>
    </row>
    <row r="2840" spans="47:47" x14ac:dyDescent="0.25">
      <c r="AU2840" s="8" t="str">
        <f>IF(TRIM($G2840)="","",IF(COUNTIF(LISTS!$I$2:$I$16,TRIM($G2840))&gt;0,"COUNTED",IF(COUNTIF(LISTS!$J$2:$J$16,TRIM($G2840))&gt;0,"LEFT OUT","NEW")))</f>
        <v/>
      </c>
    </row>
    <row r="2841" spans="47:47" x14ac:dyDescent="0.25">
      <c r="AU2841" s="8" t="str">
        <f>IF(TRIM($G2841)="","",IF(COUNTIF(LISTS!$I$2:$I$16,TRIM($G2841))&gt;0,"COUNTED",IF(COUNTIF(LISTS!$J$2:$J$16,TRIM($G2841))&gt;0,"LEFT OUT","NEW")))</f>
        <v/>
      </c>
    </row>
    <row r="2842" spans="47:47" x14ac:dyDescent="0.25">
      <c r="AU2842" s="8" t="str">
        <f>IF(TRIM($G2842)="","",IF(COUNTIF(LISTS!$I$2:$I$16,TRIM($G2842))&gt;0,"COUNTED",IF(COUNTIF(LISTS!$J$2:$J$16,TRIM($G2842))&gt;0,"LEFT OUT","NEW")))</f>
        <v/>
      </c>
    </row>
    <row r="2843" spans="47:47" x14ac:dyDescent="0.25">
      <c r="AU2843" s="8" t="str">
        <f>IF(TRIM($G2843)="","",IF(COUNTIF(LISTS!$I$2:$I$16,TRIM($G2843))&gt;0,"COUNTED",IF(COUNTIF(LISTS!$J$2:$J$16,TRIM($G2843))&gt;0,"LEFT OUT","NEW")))</f>
        <v/>
      </c>
    </row>
    <row r="2844" spans="47:47" x14ac:dyDescent="0.25">
      <c r="AU2844" s="8" t="str">
        <f>IF(TRIM($G2844)="","",IF(COUNTIF(LISTS!$I$2:$I$16,TRIM($G2844))&gt;0,"COUNTED",IF(COUNTIF(LISTS!$J$2:$J$16,TRIM($G2844))&gt;0,"LEFT OUT","NEW")))</f>
        <v/>
      </c>
    </row>
    <row r="2845" spans="47:47" x14ac:dyDescent="0.25">
      <c r="AU2845" s="8" t="str">
        <f>IF(TRIM($G2845)="","",IF(COUNTIF(LISTS!$I$2:$I$16,TRIM($G2845))&gt;0,"COUNTED",IF(COUNTIF(LISTS!$J$2:$J$16,TRIM($G2845))&gt;0,"LEFT OUT","NEW")))</f>
        <v/>
      </c>
    </row>
    <row r="2846" spans="47:47" x14ac:dyDescent="0.25">
      <c r="AU2846" s="8" t="str">
        <f>IF(TRIM($G2846)="","",IF(COUNTIF(LISTS!$I$2:$I$16,TRIM($G2846))&gt;0,"COUNTED",IF(COUNTIF(LISTS!$J$2:$J$16,TRIM($G2846))&gt;0,"LEFT OUT","NEW")))</f>
        <v/>
      </c>
    </row>
    <row r="2847" spans="47:47" x14ac:dyDescent="0.25">
      <c r="AU2847" s="8" t="str">
        <f>IF(TRIM($G2847)="","",IF(COUNTIF(LISTS!$I$2:$I$16,TRIM($G2847))&gt;0,"COUNTED",IF(COUNTIF(LISTS!$J$2:$J$16,TRIM($G2847))&gt;0,"LEFT OUT","NEW")))</f>
        <v/>
      </c>
    </row>
    <row r="2848" spans="47:47" x14ac:dyDescent="0.25">
      <c r="AU2848" s="8" t="str">
        <f>IF(TRIM($G2848)="","",IF(COUNTIF(LISTS!$I$2:$I$16,TRIM($G2848))&gt;0,"COUNTED",IF(COUNTIF(LISTS!$J$2:$J$16,TRIM($G2848))&gt;0,"LEFT OUT","NEW")))</f>
        <v/>
      </c>
    </row>
    <row r="2849" spans="47:47" x14ac:dyDescent="0.25">
      <c r="AU2849" s="8" t="str">
        <f>IF(TRIM($G2849)="","",IF(COUNTIF(LISTS!$I$2:$I$16,TRIM($G2849))&gt;0,"COUNTED",IF(COUNTIF(LISTS!$J$2:$J$16,TRIM($G2849))&gt;0,"LEFT OUT","NEW")))</f>
        <v/>
      </c>
    </row>
    <row r="2850" spans="47:47" x14ac:dyDescent="0.25">
      <c r="AU2850" s="8" t="str">
        <f>IF(TRIM($G2850)="","",IF(COUNTIF(LISTS!$I$2:$I$16,TRIM($G2850))&gt;0,"COUNTED",IF(COUNTIF(LISTS!$J$2:$J$16,TRIM($G2850))&gt;0,"LEFT OUT","NEW")))</f>
        <v/>
      </c>
    </row>
    <row r="2851" spans="47:47" x14ac:dyDescent="0.25">
      <c r="AU2851" s="8" t="str">
        <f>IF(TRIM($G2851)="","",IF(COUNTIF(LISTS!$I$2:$I$16,TRIM($G2851))&gt;0,"COUNTED",IF(COUNTIF(LISTS!$J$2:$J$16,TRIM($G2851))&gt;0,"LEFT OUT","NEW")))</f>
        <v/>
      </c>
    </row>
    <row r="2852" spans="47:47" x14ac:dyDescent="0.25">
      <c r="AU2852" s="8" t="str">
        <f>IF(TRIM($G2852)="","",IF(COUNTIF(LISTS!$I$2:$I$16,TRIM($G2852))&gt;0,"COUNTED",IF(COUNTIF(LISTS!$J$2:$J$16,TRIM($G2852))&gt;0,"LEFT OUT","NEW")))</f>
        <v/>
      </c>
    </row>
    <row r="2853" spans="47:47" x14ac:dyDescent="0.25">
      <c r="AU2853" s="8" t="str">
        <f>IF(TRIM($G2853)="","",IF(COUNTIF(LISTS!$I$2:$I$16,TRIM($G2853))&gt;0,"COUNTED",IF(COUNTIF(LISTS!$J$2:$J$16,TRIM($G2853))&gt;0,"LEFT OUT","NEW")))</f>
        <v/>
      </c>
    </row>
    <row r="2854" spans="47:47" x14ac:dyDescent="0.25">
      <c r="AU2854" s="8" t="str">
        <f>IF(TRIM($G2854)="","",IF(COUNTIF(LISTS!$I$2:$I$16,TRIM($G2854))&gt;0,"COUNTED",IF(COUNTIF(LISTS!$J$2:$J$16,TRIM($G2854))&gt;0,"LEFT OUT","NEW")))</f>
        <v/>
      </c>
    </row>
    <row r="2855" spans="47:47" x14ac:dyDescent="0.25">
      <c r="AU2855" s="8" t="str">
        <f>IF(TRIM($G2855)="","",IF(COUNTIF(LISTS!$I$2:$I$16,TRIM($G2855))&gt;0,"COUNTED",IF(COUNTIF(LISTS!$J$2:$J$16,TRIM($G2855))&gt;0,"LEFT OUT","NEW")))</f>
        <v/>
      </c>
    </row>
    <row r="2856" spans="47:47" x14ac:dyDescent="0.25">
      <c r="AU2856" s="8" t="str">
        <f>IF(TRIM($G2856)="","",IF(COUNTIF(LISTS!$I$2:$I$16,TRIM($G2856))&gt;0,"COUNTED",IF(COUNTIF(LISTS!$J$2:$J$16,TRIM($G2856))&gt;0,"LEFT OUT","NEW")))</f>
        <v/>
      </c>
    </row>
    <row r="2857" spans="47:47" x14ac:dyDescent="0.25">
      <c r="AU2857" s="8" t="str">
        <f>IF(TRIM($G2857)="","",IF(COUNTIF(LISTS!$I$2:$I$16,TRIM($G2857))&gt;0,"COUNTED",IF(COUNTIF(LISTS!$J$2:$J$16,TRIM($G2857))&gt;0,"LEFT OUT","NEW")))</f>
        <v/>
      </c>
    </row>
    <row r="2858" spans="47:47" x14ac:dyDescent="0.25">
      <c r="AU2858" s="8" t="str">
        <f>IF(TRIM($G2858)="","",IF(COUNTIF(LISTS!$I$2:$I$16,TRIM($G2858))&gt;0,"COUNTED",IF(COUNTIF(LISTS!$J$2:$J$16,TRIM($G2858))&gt;0,"LEFT OUT","NEW")))</f>
        <v/>
      </c>
    </row>
    <row r="2859" spans="47:47" x14ac:dyDescent="0.25">
      <c r="AU2859" s="8" t="str">
        <f>IF(TRIM($G2859)="","",IF(COUNTIF(LISTS!$I$2:$I$16,TRIM($G2859))&gt;0,"COUNTED",IF(COUNTIF(LISTS!$J$2:$J$16,TRIM($G2859))&gt;0,"LEFT OUT","NEW")))</f>
        <v/>
      </c>
    </row>
    <row r="2860" spans="47:47" x14ac:dyDescent="0.25">
      <c r="AU2860" s="8" t="str">
        <f>IF(TRIM($G2860)="","",IF(COUNTIF(LISTS!$I$2:$I$16,TRIM($G2860))&gt;0,"COUNTED",IF(COUNTIF(LISTS!$J$2:$J$16,TRIM($G2860))&gt;0,"LEFT OUT","NEW")))</f>
        <v/>
      </c>
    </row>
    <row r="2861" spans="47:47" x14ac:dyDescent="0.25">
      <c r="AU2861" s="8" t="str">
        <f>IF(TRIM($G2861)="","",IF(COUNTIF(LISTS!$I$2:$I$16,TRIM($G2861))&gt;0,"COUNTED",IF(COUNTIF(LISTS!$J$2:$J$16,TRIM($G2861))&gt;0,"LEFT OUT","NEW")))</f>
        <v/>
      </c>
    </row>
    <row r="2862" spans="47:47" x14ac:dyDescent="0.25">
      <c r="AU2862" s="8" t="str">
        <f>IF(TRIM($G2862)="","",IF(COUNTIF(LISTS!$I$2:$I$16,TRIM($G2862))&gt;0,"COUNTED",IF(COUNTIF(LISTS!$J$2:$J$16,TRIM($G2862))&gt;0,"LEFT OUT","NEW")))</f>
        <v/>
      </c>
    </row>
    <row r="2863" spans="47:47" x14ac:dyDescent="0.25">
      <c r="AU2863" s="8" t="str">
        <f>IF(TRIM($G2863)="","",IF(COUNTIF(LISTS!$I$2:$I$16,TRIM($G2863))&gt;0,"COUNTED",IF(COUNTIF(LISTS!$J$2:$J$16,TRIM($G2863))&gt;0,"LEFT OUT","NEW")))</f>
        <v/>
      </c>
    </row>
    <row r="2864" spans="47:47" x14ac:dyDescent="0.25">
      <c r="AU2864" s="8" t="str">
        <f>IF(TRIM($G2864)="","",IF(COUNTIF(LISTS!$I$2:$I$16,TRIM($G2864))&gt;0,"COUNTED",IF(COUNTIF(LISTS!$J$2:$J$16,TRIM($G2864))&gt;0,"LEFT OUT","NEW")))</f>
        <v/>
      </c>
    </row>
    <row r="2865" spans="47:47" x14ac:dyDescent="0.25">
      <c r="AU2865" s="8" t="str">
        <f>IF(TRIM($G2865)="","",IF(COUNTIF(LISTS!$I$2:$I$16,TRIM($G2865))&gt;0,"COUNTED",IF(COUNTIF(LISTS!$J$2:$J$16,TRIM($G2865))&gt;0,"LEFT OUT","NEW")))</f>
        <v/>
      </c>
    </row>
    <row r="2866" spans="47:47" x14ac:dyDescent="0.25">
      <c r="AU2866" s="8" t="str">
        <f>IF(TRIM($G2866)="","",IF(COUNTIF(LISTS!$I$2:$I$16,TRIM($G2866))&gt;0,"COUNTED",IF(COUNTIF(LISTS!$J$2:$J$16,TRIM($G2866))&gt;0,"LEFT OUT","NEW")))</f>
        <v/>
      </c>
    </row>
    <row r="2867" spans="47:47" x14ac:dyDescent="0.25">
      <c r="AU2867" s="8" t="str">
        <f>IF(TRIM($G2867)="","",IF(COUNTIF(LISTS!$I$2:$I$16,TRIM($G2867))&gt;0,"COUNTED",IF(COUNTIF(LISTS!$J$2:$J$16,TRIM($G2867))&gt;0,"LEFT OUT","NEW")))</f>
        <v/>
      </c>
    </row>
    <row r="2868" spans="47:47" x14ac:dyDescent="0.25">
      <c r="AU2868" s="8" t="str">
        <f>IF(TRIM($G2868)="","",IF(COUNTIF(LISTS!$I$2:$I$16,TRIM($G2868))&gt;0,"COUNTED",IF(COUNTIF(LISTS!$J$2:$J$16,TRIM($G2868))&gt;0,"LEFT OUT","NEW")))</f>
        <v/>
      </c>
    </row>
    <row r="2869" spans="47:47" x14ac:dyDescent="0.25">
      <c r="AU2869" s="8" t="str">
        <f>IF(TRIM($G2869)="","",IF(COUNTIF(LISTS!$I$2:$I$16,TRIM($G2869))&gt;0,"COUNTED",IF(COUNTIF(LISTS!$J$2:$J$16,TRIM($G2869))&gt;0,"LEFT OUT","NEW")))</f>
        <v/>
      </c>
    </row>
    <row r="2870" spans="47:47" x14ac:dyDescent="0.25">
      <c r="AU2870" s="8" t="str">
        <f>IF(TRIM($G2870)="","",IF(COUNTIF(LISTS!$I$2:$I$16,TRIM($G2870))&gt;0,"COUNTED",IF(COUNTIF(LISTS!$J$2:$J$16,TRIM($G2870))&gt;0,"LEFT OUT","NEW")))</f>
        <v/>
      </c>
    </row>
    <row r="2871" spans="47:47" x14ac:dyDescent="0.25">
      <c r="AU2871" s="8" t="str">
        <f>IF(TRIM($G2871)="","",IF(COUNTIF(LISTS!$I$2:$I$16,TRIM($G2871))&gt;0,"COUNTED",IF(COUNTIF(LISTS!$J$2:$J$16,TRIM($G2871))&gt;0,"LEFT OUT","NEW")))</f>
        <v/>
      </c>
    </row>
    <row r="2872" spans="47:47" x14ac:dyDescent="0.25">
      <c r="AU2872" s="8" t="str">
        <f>IF(TRIM($G2872)="","",IF(COUNTIF(LISTS!$I$2:$I$16,TRIM($G2872))&gt;0,"COUNTED",IF(COUNTIF(LISTS!$J$2:$J$16,TRIM($G2872))&gt;0,"LEFT OUT","NEW")))</f>
        <v/>
      </c>
    </row>
    <row r="2873" spans="47:47" x14ac:dyDescent="0.25">
      <c r="AU2873" s="8" t="str">
        <f>IF(TRIM($G2873)="","",IF(COUNTIF(LISTS!$I$2:$I$16,TRIM($G2873))&gt;0,"COUNTED",IF(COUNTIF(LISTS!$J$2:$J$16,TRIM($G2873))&gt;0,"LEFT OUT","NEW")))</f>
        <v/>
      </c>
    </row>
    <row r="2874" spans="47:47" x14ac:dyDescent="0.25">
      <c r="AU2874" s="8" t="str">
        <f>IF(TRIM($G2874)="","",IF(COUNTIF(LISTS!$I$2:$I$16,TRIM($G2874))&gt;0,"COUNTED",IF(COUNTIF(LISTS!$J$2:$J$16,TRIM($G2874))&gt;0,"LEFT OUT","NEW")))</f>
        <v/>
      </c>
    </row>
    <row r="2875" spans="47:47" x14ac:dyDescent="0.25">
      <c r="AU2875" s="8" t="str">
        <f>IF(TRIM($G2875)="","",IF(COUNTIF(LISTS!$I$2:$I$16,TRIM($G2875))&gt;0,"COUNTED",IF(COUNTIF(LISTS!$J$2:$J$16,TRIM($G2875))&gt;0,"LEFT OUT","NEW")))</f>
        <v/>
      </c>
    </row>
    <row r="2876" spans="47:47" x14ac:dyDescent="0.25">
      <c r="AU2876" s="8" t="str">
        <f>IF(TRIM($G2876)="","",IF(COUNTIF(LISTS!$I$2:$I$16,TRIM($G2876))&gt;0,"COUNTED",IF(COUNTIF(LISTS!$J$2:$J$16,TRIM($G2876))&gt;0,"LEFT OUT","NEW")))</f>
        <v/>
      </c>
    </row>
    <row r="2877" spans="47:47" x14ac:dyDescent="0.25">
      <c r="AU2877" s="8" t="str">
        <f>IF(TRIM($G2877)="","",IF(COUNTIF(LISTS!$I$2:$I$16,TRIM($G2877))&gt;0,"COUNTED",IF(COUNTIF(LISTS!$J$2:$J$16,TRIM($G2877))&gt;0,"LEFT OUT","NEW")))</f>
        <v/>
      </c>
    </row>
    <row r="2878" spans="47:47" x14ac:dyDescent="0.25">
      <c r="AU2878" s="8" t="str">
        <f>IF(TRIM($G2878)="","",IF(COUNTIF(LISTS!$I$2:$I$16,TRIM($G2878))&gt;0,"COUNTED",IF(COUNTIF(LISTS!$J$2:$J$16,TRIM($G2878))&gt;0,"LEFT OUT","NEW")))</f>
        <v/>
      </c>
    </row>
    <row r="2879" spans="47:47" x14ac:dyDescent="0.25">
      <c r="AU2879" s="8" t="str">
        <f>IF(TRIM($G2879)="","",IF(COUNTIF(LISTS!$I$2:$I$16,TRIM($G2879))&gt;0,"COUNTED",IF(COUNTIF(LISTS!$J$2:$J$16,TRIM($G2879))&gt;0,"LEFT OUT","NEW")))</f>
        <v/>
      </c>
    </row>
    <row r="2880" spans="47:47" x14ac:dyDescent="0.25">
      <c r="AU2880" s="8" t="str">
        <f>IF(TRIM($G2880)="","",IF(COUNTIF(LISTS!$I$2:$I$16,TRIM($G2880))&gt;0,"COUNTED",IF(COUNTIF(LISTS!$J$2:$J$16,TRIM($G2880))&gt;0,"LEFT OUT","NEW")))</f>
        <v/>
      </c>
    </row>
    <row r="2881" spans="47:47" x14ac:dyDescent="0.25">
      <c r="AU2881" s="8" t="str">
        <f>IF(TRIM($G2881)="","",IF(COUNTIF(LISTS!$I$2:$I$16,TRIM($G2881))&gt;0,"COUNTED",IF(COUNTIF(LISTS!$J$2:$J$16,TRIM($G2881))&gt;0,"LEFT OUT","NEW")))</f>
        <v/>
      </c>
    </row>
    <row r="2882" spans="47:47" x14ac:dyDescent="0.25">
      <c r="AU2882" s="8" t="str">
        <f>IF(TRIM($G2882)="","",IF(COUNTIF(LISTS!$I$2:$I$16,TRIM($G2882))&gt;0,"COUNTED",IF(COUNTIF(LISTS!$J$2:$J$16,TRIM($G2882))&gt;0,"LEFT OUT","NEW")))</f>
        <v/>
      </c>
    </row>
    <row r="2883" spans="47:47" x14ac:dyDescent="0.25">
      <c r="AU2883" s="8" t="str">
        <f>IF(TRIM($G2883)="","",IF(COUNTIF(LISTS!$I$2:$I$16,TRIM($G2883))&gt;0,"COUNTED",IF(COUNTIF(LISTS!$J$2:$J$16,TRIM($G2883))&gt;0,"LEFT OUT","NEW")))</f>
        <v/>
      </c>
    </row>
    <row r="2884" spans="47:47" x14ac:dyDescent="0.25">
      <c r="AU2884" s="8" t="str">
        <f>IF(TRIM($G2884)="","",IF(COUNTIF(LISTS!$I$2:$I$16,TRIM($G2884))&gt;0,"COUNTED",IF(COUNTIF(LISTS!$J$2:$J$16,TRIM($G2884))&gt;0,"LEFT OUT","NEW")))</f>
        <v/>
      </c>
    </row>
    <row r="2885" spans="47:47" x14ac:dyDescent="0.25">
      <c r="AU2885" s="8" t="str">
        <f>IF(TRIM($G2885)="","",IF(COUNTIF(LISTS!$I$2:$I$16,TRIM($G2885))&gt;0,"COUNTED",IF(COUNTIF(LISTS!$J$2:$J$16,TRIM($G2885))&gt;0,"LEFT OUT","NEW")))</f>
        <v/>
      </c>
    </row>
    <row r="2886" spans="47:47" x14ac:dyDescent="0.25">
      <c r="AU2886" s="8" t="str">
        <f>IF(TRIM($G2886)="","",IF(COUNTIF(LISTS!$I$2:$I$16,TRIM($G2886))&gt;0,"COUNTED",IF(COUNTIF(LISTS!$J$2:$J$16,TRIM($G2886))&gt;0,"LEFT OUT","NEW")))</f>
        <v/>
      </c>
    </row>
    <row r="2887" spans="47:47" x14ac:dyDescent="0.25">
      <c r="AU2887" s="8" t="str">
        <f>IF(TRIM($G2887)="","",IF(COUNTIF(LISTS!$I$2:$I$16,TRIM($G2887))&gt;0,"COUNTED",IF(COUNTIF(LISTS!$J$2:$J$16,TRIM($G2887))&gt;0,"LEFT OUT","NEW")))</f>
        <v/>
      </c>
    </row>
    <row r="2888" spans="47:47" x14ac:dyDescent="0.25">
      <c r="AU2888" s="8" t="str">
        <f>IF(TRIM($G2888)="","",IF(COUNTIF(LISTS!$I$2:$I$16,TRIM($G2888))&gt;0,"COUNTED",IF(COUNTIF(LISTS!$J$2:$J$16,TRIM($G2888))&gt;0,"LEFT OUT","NEW")))</f>
        <v/>
      </c>
    </row>
    <row r="2889" spans="47:47" x14ac:dyDescent="0.25">
      <c r="AU2889" s="8" t="str">
        <f>IF(TRIM($G2889)="","",IF(COUNTIF(LISTS!$I$2:$I$16,TRIM($G2889))&gt;0,"COUNTED",IF(COUNTIF(LISTS!$J$2:$J$16,TRIM($G2889))&gt;0,"LEFT OUT","NEW")))</f>
        <v/>
      </c>
    </row>
    <row r="2890" spans="47:47" x14ac:dyDescent="0.25">
      <c r="AU2890" s="8" t="str">
        <f>IF(TRIM($G2890)="","",IF(COUNTIF(LISTS!$I$2:$I$16,TRIM($G2890))&gt;0,"COUNTED",IF(COUNTIF(LISTS!$J$2:$J$16,TRIM($G2890))&gt;0,"LEFT OUT","NEW")))</f>
        <v/>
      </c>
    </row>
    <row r="2891" spans="47:47" x14ac:dyDescent="0.25">
      <c r="AU2891" s="8" t="str">
        <f>IF(TRIM($G2891)="","",IF(COUNTIF(LISTS!$I$2:$I$16,TRIM($G2891))&gt;0,"COUNTED",IF(COUNTIF(LISTS!$J$2:$J$16,TRIM($G2891))&gt;0,"LEFT OUT","NEW")))</f>
        <v/>
      </c>
    </row>
    <row r="2892" spans="47:47" x14ac:dyDescent="0.25">
      <c r="AU2892" s="8" t="str">
        <f>IF(TRIM($G2892)="","",IF(COUNTIF(LISTS!$I$2:$I$16,TRIM($G2892))&gt;0,"COUNTED",IF(COUNTIF(LISTS!$J$2:$J$16,TRIM($G2892))&gt;0,"LEFT OUT","NEW")))</f>
        <v/>
      </c>
    </row>
    <row r="2893" spans="47:47" x14ac:dyDescent="0.25">
      <c r="AU2893" s="8" t="str">
        <f>IF(TRIM($G2893)="","",IF(COUNTIF(LISTS!$I$2:$I$16,TRIM($G2893))&gt;0,"COUNTED",IF(COUNTIF(LISTS!$J$2:$J$16,TRIM($G2893))&gt;0,"LEFT OUT","NEW")))</f>
        <v/>
      </c>
    </row>
    <row r="2894" spans="47:47" x14ac:dyDescent="0.25">
      <c r="AU2894" s="8" t="str">
        <f>IF(TRIM($G2894)="","",IF(COUNTIF(LISTS!$I$2:$I$16,TRIM($G2894))&gt;0,"COUNTED",IF(COUNTIF(LISTS!$J$2:$J$16,TRIM($G2894))&gt;0,"LEFT OUT","NEW")))</f>
        <v/>
      </c>
    </row>
    <row r="2895" spans="47:47" x14ac:dyDescent="0.25">
      <c r="AU2895" s="8" t="str">
        <f>IF(TRIM($G2895)="","",IF(COUNTIF(LISTS!$I$2:$I$16,TRIM($G2895))&gt;0,"COUNTED",IF(COUNTIF(LISTS!$J$2:$J$16,TRIM($G2895))&gt;0,"LEFT OUT","NEW")))</f>
        <v/>
      </c>
    </row>
    <row r="2896" spans="47:47" x14ac:dyDescent="0.25">
      <c r="AU2896" s="8" t="str">
        <f>IF(TRIM($G2896)="","",IF(COUNTIF(LISTS!$I$2:$I$16,TRIM($G2896))&gt;0,"COUNTED",IF(COUNTIF(LISTS!$J$2:$J$16,TRIM($G2896))&gt;0,"LEFT OUT","NEW")))</f>
        <v/>
      </c>
    </row>
    <row r="2897" spans="47:47" x14ac:dyDescent="0.25">
      <c r="AU2897" s="8" t="str">
        <f>IF(TRIM($G2897)="","",IF(COUNTIF(LISTS!$I$2:$I$16,TRIM($G2897))&gt;0,"COUNTED",IF(COUNTIF(LISTS!$J$2:$J$16,TRIM($G2897))&gt;0,"LEFT OUT","NEW")))</f>
        <v/>
      </c>
    </row>
    <row r="2898" spans="47:47" x14ac:dyDescent="0.25">
      <c r="AU2898" s="8" t="str">
        <f>IF(TRIM($G2898)="","",IF(COUNTIF(LISTS!$I$2:$I$16,TRIM($G2898))&gt;0,"COUNTED",IF(COUNTIF(LISTS!$J$2:$J$16,TRIM($G2898))&gt;0,"LEFT OUT","NEW")))</f>
        <v/>
      </c>
    </row>
    <row r="2899" spans="47:47" x14ac:dyDescent="0.25">
      <c r="AU2899" s="8" t="str">
        <f>IF(TRIM($G2899)="","",IF(COUNTIF(LISTS!$I$2:$I$16,TRIM($G2899))&gt;0,"COUNTED",IF(COUNTIF(LISTS!$J$2:$J$16,TRIM($G2899))&gt;0,"LEFT OUT","NEW")))</f>
        <v/>
      </c>
    </row>
    <row r="2900" spans="47:47" x14ac:dyDescent="0.25">
      <c r="AU2900" s="8" t="str">
        <f>IF(TRIM($G2900)="","",IF(COUNTIF(LISTS!$I$2:$I$16,TRIM($G2900))&gt;0,"COUNTED",IF(COUNTIF(LISTS!$J$2:$J$16,TRIM($G2900))&gt;0,"LEFT OUT","NEW")))</f>
        <v/>
      </c>
    </row>
    <row r="2901" spans="47:47" x14ac:dyDescent="0.25">
      <c r="AU2901" s="8" t="str">
        <f>IF(TRIM($G2901)="","",IF(COUNTIF(LISTS!$I$2:$I$16,TRIM($G2901))&gt;0,"COUNTED",IF(COUNTIF(LISTS!$J$2:$J$16,TRIM($G2901))&gt;0,"LEFT OUT","NEW")))</f>
        <v/>
      </c>
    </row>
    <row r="2902" spans="47:47" x14ac:dyDescent="0.25">
      <c r="AU2902" s="8" t="str">
        <f>IF(TRIM($G2902)="","",IF(COUNTIF(LISTS!$I$2:$I$16,TRIM($G2902))&gt;0,"COUNTED",IF(COUNTIF(LISTS!$J$2:$J$16,TRIM($G2902))&gt;0,"LEFT OUT","NEW")))</f>
        <v/>
      </c>
    </row>
    <row r="2903" spans="47:47" x14ac:dyDescent="0.25">
      <c r="AU2903" s="8" t="str">
        <f>IF(TRIM($G2903)="","",IF(COUNTIF(LISTS!$I$2:$I$16,TRIM($G2903))&gt;0,"COUNTED",IF(COUNTIF(LISTS!$J$2:$J$16,TRIM($G2903))&gt;0,"LEFT OUT","NEW")))</f>
        <v/>
      </c>
    </row>
    <row r="2904" spans="47:47" x14ac:dyDescent="0.25">
      <c r="AU2904" s="8" t="str">
        <f>IF(TRIM($G2904)="","",IF(COUNTIF(LISTS!$I$2:$I$16,TRIM($G2904))&gt;0,"COUNTED",IF(COUNTIF(LISTS!$J$2:$J$16,TRIM($G2904))&gt;0,"LEFT OUT","NEW")))</f>
        <v/>
      </c>
    </row>
    <row r="2905" spans="47:47" x14ac:dyDescent="0.25">
      <c r="AU2905" s="8" t="str">
        <f>IF(TRIM($G2905)="","",IF(COUNTIF(LISTS!$I$2:$I$16,TRIM($G2905))&gt;0,"COUNTED",IF(COUNTIF(LISTS!$J$2:$J$16,TRIM($G2905))&gt;0,"LEFT OUT","NEW")))</f>
        <v/>
      </c>
    </row>
    <row r="2906" spans="47:47" x14ac:dyDescent="0.25">
      <c r="AU2906" s="8" t="str">
        <f>IF(TRIM($G2906)="","",IF(COUNTIF(LISTS!$I$2:$I$16,TRIM($G2906))&gt;0,"COUNTED",IF(COUNTIF(LISTS!$J$2:$J$16,TRIM($G2906))&gt;0,"LEFT OUT","NEW")))</f>
        <v/>
      </c>
    </row>
    <row r="2907" spans="47:47" x14ac:dyDescent="0.25">
      <c r="AU2907" s="8" t="str">
        <f>IF(TRIM($G2907)="","",IF(COUNTIF(LISTS!$I$2:$I$16,TRIM($G2907))&gt;0,"COUNTED",IF(COUNTIF(LISTS!$J$2:$J$16,TRIM($G2907))&gt;0,"LEFT OUT","NEW")))</f>
        <v/>
      </c>
    </row>
    <row r="2908" spans="47:47" x14ac:dyDescent="0.25">
      <c r="AU2908" s="8" t="str">
        <f>IF(TRIM($G2908)="","",IF(COUNTIF(LISTS!$I$2:$I$16,TRIM($G2908))&gt;0,"COUNTED",IF(COUNTIF(LISTS!$J$2:$J$16,TRIM($G2908))&gt;0,"LEFT OUT","NEW")))</f>
        <v/>
      </c>
    </row>
    <row r="2909" spans="47:47" x14ac:dyDescent="0.25">
      <c r="AU2909" s="8" t="str">
        <f>IF(TRIM($G2909)="","",IF(COUNTIF(LISTS!$I$2:$I$16,TRIM($G2909))&gt;0,"COUNTED",IF(COUNTIF(LISTS!$J$2:$J$16,TRIM($G2909))&gt;0,"LEFT OUT","NEW")))</f>
        <v/>
      </c>
    </row>
    <row r="2910" spans="47:47" x14ac:dyDescent="0.25">
      <c r="AU2910" s="8" t="str">
        <f>IF(TRIM($G2910)="","",IF(COUNTIF(LISTS!$I$2:$I$16,TRIM($G2910))&gt;0,"COUNTED",IF(COUNTIF(LISTS!$J$2:$J$16,TRIM($G2910))&gt;0,"LEFT OUT","NEW")))</f>
        <v/>
      </c>
    </row>
    <row r="2911" spans="47:47" x14ac:dyDescent="0.25">
      <c r="AU2911" s="8" t="str">
        <f>IF(TRIM($G2911)="","",IF(COUNTIF(LISTS!$I$2:$I$16,TRIM($G2911))&gt;0,"COUNTED",IF(COUNTIF(LISTS!$J$2:$J$16,TRIM($G2911))&gt;0,"LEFT OUT","NEW")))</f>
        <v/>
      </c>
    </row>
    <row r="2912" spans="47:47" x14ac:dyDescent="0.25">
      <c r="AU2912" s="8" t="str">
        <f>IF(TRIM($G2912)="","",IF(COUNTIF(LISTS!$I$2:$I$16,TRIM($G2912))&gt;0,"COUNTED",IF(COUNTIF(LISTS!$J$2:$J$16,TRIM($G2912))&gt;0,"LEFT OUT","NEW")))</f>
        <v/>
      </c>
    </row>
    <row r="2913" spans="47:47" x14ac:dyDescent="0.25">
      <c r="AU2913" s="8" t="str">
        <f>IF(TRIM($G2913)="","",IF(COUNTIF(LISTS!$I$2:$I$16,TRIM($G2913))&gt;0,"COUNTED",IF(COUNTIF(LISTS!$J$2:$J$16,TRIM($G2913))&gt;0,"LEFT OUT","NEW")))</f>
        <v/>
      </c>
    </row>
    <row r="2914" spans="47:47" x14ac:dyDescent="0.25">
      <c r="AU2914" s="8" t="str">
        <f>IF(TRIM($G2914)="","",IF(COUNTIF(LISTS!$I$2:$I$16,TRIM($G2914))&gt;0,"COUNTED",IF(COUNTIF(LISTS!$J$2:$J$16,TRIM($G2914))&gt;0,"LEFT OUT","NEW")))</f>
        <v/>
      </c>
    </row>
    <row r="2915" spans="47:47" x14ac:dyDescent="0.25">
      <c r="AU2915" s="8" t="str">
        <f>IF(TRIM($G2915)="","",IF(COUNTIF(LISTS!$I$2:$I$16,TRIM($G2915))&gt;0,"COUNTED",IF(COUNTIF(LISTS!$J$2:$J$16,TRIM($G2915))&gt;0,"LEFT OUT","NEW")))</f>
        <v/>
      </c>
    </row>
    <row r="2916" spans="47:47" x14ac:dyDescent="0.25">
      <c r="AU2916" s="8" t="str">
        <f>IF(TRIM($G2916)="","",IF(COUNTIF(LISTS!$I$2:$I$16,TRIM($G2916))&gt;0,"COUNTED",IF(COUNTIF(LISTS!$J$2:$J$16,TRIM($G2916))&gt;0,"LEFT OUT","NEW")))</f>
        <v/>
      </c>
    </row>
    <row r="2917" spans="47:47" x14ac:dyDescent="0.25">
      <c r="AU2917" s="8" t="str">
        <f>IF(TRIM($G2917)="","",IF(COUNTIF(LISTS!$I$2:$I$16,TRIM($G2917))&gt;0,"COUNTED",IF(COUNTIF(LISTS!$J$2:$J$16,TRIM($G2917))&gt;0,"LEFT OUT","NEW")))</f>
        <v/>
      </c>
    </row>
    <row r="2918" spans="47:47" x14ac:dyDescent="0.25">
      <c r="AU2918" s="8" t="str">
        <f>IF(TRIM($G2918)="","",IF(COUNTIF(LISTS!$I$2:$I$16,TRIM($G2918))&gt;0,"COUNTED",IF(COUNTIF(LISTS!$J$2:$J$16,TRIM($G2918))&gt;0,"LEFT OUT","NEW")))</f>
        <v/>
      </c>
    </row>
    <row r="2919" spans="47:47" x14ac:dyDescent="0.25">
      <c r="AU2919" s="8" t="str">
        <f>IF(TRIM($G2919)="","",IF(COUNTIF(LISTS!$I$2:$I$16,TRIM($G2919))&gt;0,"COUNTED",IF(COUNTIF(LISTS!$J$2:$J$16,TRIM($G2919))&gt;0,"LEFT OUT","NEW")))</f>
        <v/>
      </c>
    </row>
    <row r="2920" spans="47:47" x14ac:dyDescent="0.25">
      <c r="AU2920" s="8" t="str">
        <f>IF(TRIM($G2920)="","",IF(COUNTIF(LISTS!$I$2:$I$16,TRIM($G2920))&gt;0,"COUNTED",IF(COUNTIF(LISTS!$J$2:$J$16,TRIM($G2920))&gt;0,"LEFT OUT","NEW")))</f>
        <v/>
      </c>
    </row>
    <row r="2921" spans="47:47" x14ac:dyDescent="0.25">
      <c r="AU2921" s="8" t="str">
        <f>IF(TRIM($G2921)="","",IF(COUNTIF(LISTS!$I$2:$I$16,TRIM($G2921))&gt;0,"COUNTED",IF(COUNTIF(LISTS!$J$2:$J$16,TRIM($G2921))&gt;0,"LEFT OUT","NEW")))</f>
        <v/>
      </c>
    </row>
    <row r="2922" spans="47:47" x14ac:dyDescent="0.25">
      <c r="AU2922" s="8" t="str">
        <f>IF(TRIM($G2922)="","",IF(COUNTIF(LISTS!$I$2:$I$16,TRIM($G2922))&gt;0,"COUNTED",IF(COUNTIF(LISTS!$J$2:$J$16,TRIM($G2922))&gt;0,"LEFT OUT","NEW")))</f>
        <v/>
      </c>
    </row>
    <row r="2923" spans="47:47" x14ac:dyDescent="0.25">
      <c r="AU2923" s="8" t="str">
        <f>IF(TRIM($G2923)="","",IF(COUNTIF(LISTS!$I$2:$I$16,TRIM($G2923))&gt;0,"COUNTED",IF(COUNTIF(LISTS!$J$2:$J$16,TRIM($G2923))&gt;0,"LEFT OUT","NEW")))</f>
        <v/>
      </c>
    </row>
    <row r="2924" spans="47:47" x14ac:dyDescent="0.25">
      <c r="AU2924" s="8" t="str">
        <f>IF(TRIM($G2924)="","",IF(COUNTIF(LISTS!$I$2:$I$16,TRIM($G2924))&gt;0,"COUNTED",IF(COUNTIF(LISTS!$J$2:$J$16,TRIM($G2924))&gt;0,"LEFT OUT","NEW")))</f>
        <v/>
      </c>
    </row>
    <row r="2925" spans="47:47" x14ac:dyDescent="0.25">
      <c r="AU2925" s="8" t="str">
        <f>IF(TRIM($G2925)="","",IF(COUNTIF(LISTS!$I$2:$I$16,TRIM($G2925))&gt;0,"COUNTED",IF(COUNTIF(LISTS!$J$2:$J$16,TRIM($G2925))&gt;0,"LEFT OUT","NEW")))</f>
        <v/>
      </c>
    </row>
    <row r="2926" spans="47:47" x14ac:dyDescent="0.25">
      <c r="AU2926" s="8" t="str">
        <f>IF(TRIM($G2926)="","",IF(COUNTIF(LISTS!$I$2:$I$16,TRIM($G2926))&gt;0,"COUNTED",IF(COUNTIF(LISTS!$J$2:$J$16,TRIM($G2926))&gt;0,"LEFT OUT","NEW")))</f>
        <v/>
      </c>
    </row>
    <row r="2927" spans="47:47" x14ac:dyDescent="0.25">
      <c r="AU2927" s="8" t="str">
        <f>IF(TRIM($G2927)="","",IF(COUNTIF(LISTS!$I$2:$I$16,TRIM($G2927))&gt;0,"COUNTED",IF(COUNTIF(LISTS!$J$2:$J$16,TRIM($G2927))&gt;0,"LEFT OUT","NEW")))</f>
        <v/>
      </c>
    </row>
    <row r="2928" spans="47:47" x14ac:dyDescent="0.25">
      <c r="AU2928" s="8" t="str">
        <f>IF(TRIM($G2928)="","",IF(COUNTIF(LISTS!$I$2:$I$16,TRIM($G2928))&gt;0,"COUNTED",IF(COUNTIF(LISTS!$J$2:$J$16,TRIM($G2928))&gt;0,"LEFT OUT","NEW")))</f>
        <v/>
      </c>
    </row>
    <row r="2929" spans="47:47" x14ac:dyDescent="0.25">
      <c r="AU2929" s="8" t="str">
        <f>IF(TRIM($G2929)="","",IF(COUNTIF(LISTS!$I$2:$I$16,TRIM($G2929))&gt;0,"COUNTED",IF(COUNTIF(LISTS!$J$2:$J$16,TRIM($G2929))&gt;0,"LEFT OUT","NEW")))</f>
        <v/>
      </c>
    </row>
    <row r="2930" spans="47:47" x14ac:dyDescent="0.25">
      <c r="AU2930" s="8" t="str">
        <f>IF(TRIM($G2930)="","",IF(COUNTIF(LISTS!$I$2:$I$16,TRIM($G2930))&gt;0,"COUNTED",IF(COUNTIF(LISTS!$J$2:$J$16,TRIM($G2930))&gt;0,"LEFT OUT","NEW")))</f>
        <v/>
      </c>
    </row>
    <row r="2931" spans="47:47" x14ac:dyDescent="0.25">
      <c r="AU2931" s="8" t="str">
        <f>IF(TRIM($G2931)="","",IF(COUNTIF(LISTS!$I$2:$I$16,TRIM($G2931))&gt;0,"COUNTED",IF(COUNTIF(LISTS!$J$2:$J$16,TRIM($G2931))&gt;0,"LEFT OUT","NEW")))</f>
        <v/>
      </c>
    </row>
    <row r="2932" spans="47:47" x14ac:dyDescent="0.25">
      <c r="AU2932" s="8" t="str">
        <f>IF(TRIM($G2932)="","",IF(COUNTIF(LISTS!$I$2:$I$16,TRIM($G2932))&gt;0,"COUNTED",IF(COUNTIF(LISTS!$J$2:$J$16,TRIM($G2932))&gt;0,"LEFT OUT","NEW")))</f>
        <v/>
      </c>
    </row>
    <row r="2933" spans="47:47" x14ac:dyDescent="0.25">
      <c r="AU2933" s="8" t="str">
        <f>IF(TRIM($G2933)="","",IF(COUNTIF(LISTS!$I$2:$I$16,TRIM($G2933))&gt;0,"COUNTED",IF(COUNTIF(LISTS!$J$2:$J$16,TRIM($G2933))&gt;0,"LEFT OUT","NEW")))</f>
        <v/>
      </c>
    </row>
    <row r="2934" spans="47:47" x14ac:dyDescent="0.25">
      <c r="AU2934" s="8" t="str">
        <f>IF(TRIM($G2934)="","",IF(COUNTIF(LISTS!$I$2:$I$16,TRIM($G2934))&gt;0,"COUNTED",IF(COUNTIF(LISTS!$J$2:$J$16,TRIM($G2934))&gt;0,"LEFT OUT","NEW")))</f>
        <v/>
      </c>
    </row>
    <row r="2935" spans="47:47" x14ac:dyDescent="0.25">
      <c r="AU2935" s="8" t="str">
        <f>IF(TRIM($G2935)="","",IF(COUNTIF(LISTS!$I$2:$I$16,TRIM($G2935))&gt;0,"COUNTED",IF(COUNTIF(LISTS!$J$2:$J$16,TRIM($G2935))&gt;0,"LEFT OUT","NEW")))</f>
        <v/>
      </c>
    </row>
    <row r="2936" spans="47:47" x14ac:dyDescent="0.25">
      <c r="AU2936" s="8" t="str">
        <f>IF(TRIM($G2936)="","",IF(COUNTIF(LISTS!$I$2:$I$16,TRIM($G2936))&gt;0,"COUNTED",IF(COUNTIF(LISTS!$J$2:$J$16,TRIM($G2936))&gt;0,"LEFT OUT","NEW")))</f>
        <v/>
      </c>
    </row>
    <row r="2937" spans="47:47" x14ac:dyDescent="0.25">
      <c r="AU2937" s="8" t="str">
        <f>IF(TRIM($G2937)="","",IF(COUNTIF(LISTS!$I$2:$I$16,TRIM($G2937))&gt;0,"COUNTED",IF(COUNTIF(LISTS!$J$2:$J$16,TRIM($G2937))&gt;0,"LEFT OUT","NEW")))</f>
        <v/>
      </c>
    </row>
    <row r="2938" spans="47:47" x14ac:dyDescent="0.25">
      <c r="AU2938" s="8" t="str">
        <f>IF(TRIM($G2938)="","",IF(COUNTIF(LISTS!$I$2:$I$16,TRIM($G2938))&gt;0,"COUNTED",IF(COUNTIF(LISTS!$J$2:$J$16,TRIM($G2938))&gt;0,"LEFT OUT","NEW")))</f>
        <v/>
      </c>
    </row>
    <row r="2939" spans="47:47" x14ac:dyDescent="0.25">
      <c r="AU2939" s="8" t="str">
        <f>IF(TRIM($G2939)="","",IF(COUNTIF(LISTS!$I$2:$I$16,TRIM($G2939))&gt;0,"COUNTED",IF(COUNTIF(LISTS!$J$2:$J$16,TRIM($G2939))&gt;0,"LEFT OUT","NEW")))</f>
        <v/>
      </c>
    </row>
    <row r="2940" spans="47:47" x14ac:dyDescent="0.25">
      <c r="AU2940" s="8" t="str">
        <f>IF(TRIM($G2940)="","",IF(COUNTIF(LISTS!$I$2:$I$16,TRIM($G2940))&gt;0,"COUNTED",IF(COUNTIF(LISTS!$J$2:$J$16,TRIM($G2940))&gt;0,"LEFT OUT","NEW")))</f>
        <v/>
      </c>
    </row>
    <row r="2941" spans="47:47" x14ac:dyDescent="0.25">
      <c r="AU2941" s="8" t="str">
        <f>IF(TRIM($G2941)="","",IF(COUNTIF(LISTS!$I$2:$I$16,TRIM($G2941))&gt;0,"COUNTED",IF(COUNTIF(LISTS!$J$2:$J$16,TRIM($G2941))&gt;0,"LEFT OUT","NEW")))</f>
        <v/>
      </c>
    </row>
    <row r="2942" spans="47:47" x14ac:dyDescent="0.25">
      <c r="AU2942" s="8" t="str">
        <f>IF(TRIM($G2942)="","",IF(COUNTIF(LISTS!$I$2:$I$16,TRIM($G2942))&gt;0,"COUNTED",IF(COUNTIF(LISTS!$J$2:$J$16,TRIM($G2942))&gt;0,"LEFT OUT","NEW")))</f>
        <v/>
      </c>
    </row>
    <row r="2943" spans="47:47" x14ac:dyDescent="0.25">
      <c r="AU2943" s="8" t="str">
        <f>IF(TRIM($G2943)="","",IF(COUNTIF(LISTS!$I$2:$I$16,TRIM($G2943))&gt;0,"COUNTED",IF(COUNTIF(LISTS!$J$2:$J$16,TRIM($G2943))&gt;0,"LEFT OUT","NEW")))</f>
        <v/>
      </c>
    </row>
    <row r="2944" spans="47:47" x14ac:dyDescent="0.25">
      <c r="AU2944" s="8" t="str">
        <f>IF(TRIM($G2944)="","",IF(COUNTIF(LISTS!$I$2:$I$16,TRIM($G2944))&gt;0,"COUNTED",IF(COUNTIF(LISTS!$J$2:$J$16,TRIM($G2944))&gt;0,"LEFT OUT","NEW")))</f>
        <v/>
      </c>
    </row>
    <row r="2945" spans="47:47" x14ac:dyDescent="0.25">
      <c r="AU2945" s="8" t="str">
        <f>IF(TRIM($G2945)="","",IF(COUNTIF(LISTS!$I$2:$I$16,TRIM($G2945))&gt;0,"COUNTED",IF(COUNTIF(LISTS!$J$2:$J$16,TRIM($G2945))&gt;0,"LEFT OUT","NEW")))</f>
        <v/>
      </c>
    </row>
    <row r="2946" spans="47:47" x14ac:dyDescent="0.25">
      <c r="AU2946" s="8" t="str">
        <f>IF(TRIM($G2946)="","",IF(COUNTIF(LISTS!$I$2:$I$16,TRIM($G2946))&gt;0,"COUNTED",IF(COUNTIF(LISTS!$J$2:$J$16,TRIM($G2946))&gt;0,"LEFT OUT","NEW")))</f>
        <v/>
      </c>
    </row>
    <row r="2947" spans="47:47" x14ac:dyDescent="0.25">
      <c r="AU2947" s="8" t="str">
        <f>IF(TRIM($G2947)="","",IF(COUNTIF(LISTS!$I$2:$I$16,TRIM($G2947))&gt;0,"COUNTED",IF(COUNTIF(LISTS!$J$2:$J$16,TRIM($G2947))&gt;0,"LEFT OUT","NEW")))</f>
        <v/>
      </c>
    </row>
    <row r="2948" spans="47:47" x14ac:dyDescent="0.25">
      <c r="AU2948" s="8" t="str">
        <f>IF(TRIM($G2948)="","",IF(COUNTIF(LISTS!$I$2:$I$16,TRIM($G2948))&gt;0,"COUNTED",IF(COUNTIF(LISTS!$J$2:$J$16,TRIM($G2948))&gt;0,"LEFT OUT","NEW")))</f>
        <v/>
      </c>
    </row>
    <row r="2949" spans="47:47" x14ac:dyDescent="0.25">
      <c r="AU2949" s="8" t="str">
        <f>IF(TRIM($G2949)="","",IF(COUNTIF(LISTS!$I$2:$I$16,TRIM($G2949))&gt;0,"COUNTED",IF(COUNTIF(LISTS!$J$2:$J$16,TRIM($G2949))&gt;0,"LEFT OUT","NEW")))</f>
        <v/>
      </c>
    </row>
    <row r="2950" spans="47:47" x14ac:dyDescent="0.25">
      <c r="AU2950" s="8" t="str">
        <f>IF(TRIM($G2950)="","",IF(COUNTIF(LISTS!$I$2:$I$16,TRIM($G2950))&gt;0,"COUNTED",IF(COUNTIF(LISTS!$J$2:$J$16,TRIM($G2950))&gt;0,"LEFT OUT","NEW")))</f>
        <v/>
      </c>
    </row>
    <row r="2951" spans="47:47" x14ac:dyDescent="0.25">
      <c r="AU2951" s="8" t="str">
        <f>IF(TRIM($G2951)="","",IF(COUNTIF(LISTS!$I$2:$I$16,TRIM($G2951))&gt;0,"COUNTED",IF(COUNTIF(LISTS!$J$2:$J$16,TRIM($G2951))&gt;0,"LEFT OUT","NEW")))</f>
        <v/>
      </c>
    </row>
    <row r="2952" spans="47:47" x14ac:dyDescent="0.25">
      <c r="AU2952" s="8" t="str">
        <f>IF(TRIM($G2952)="","",IF(COUNTIF(LISTS!$I$2:$I$16,TRIM($G2952))&gt;0,"COUNTED",IF(COUNTIF(LISTS!$J$2:$J$16,TRIM($G2952))&gt;0,"LEFT OUT","NEW")))</f>
        <v/>
      </c>
    </row>
    <row r="2953" spans="47:47" x14ac:dyDescent="0.25">
      <c r="AU2953" s="8" t="str">
        <f>IF(TRIM($G2953)="","",IF(COUNTIF(LISTS!$I$2:$I$16,TRIM($G2953))&gt;0,"COUNTED",IF(COUNTIF(LISTS!$J$2:$J$16,TRIM($G2953))&gt;0,"LEFT OUT","NEW")))</f>
        <v/>
      </c>
    </row>
    <row r="2954" spans="47:47" x14ac:dyDescent="0.25">
      <c r="AU2954" s="8" t="str">
        <f>IF(TRIM($G2954)="","",IF(COUNTIF(LISTS!$I$2:$I$16,TRIM($G2954))&gt;0,"COUNTED",IF(COUNTIF(LISTS!$J$2:$J$16,TRIM($G2954))&gt;0,"LEFT OUT","NEW")))</f>
        <v/>
      </c>
    </row>
    <row r="2955" spans="47:47" x14ac:dyDescent="0.25">
      <c r="AU2955" s="8" t="str">
        <f>IF(TRIM($G2955)="","",IF(COUNTIF(LISTS!$I$2:$I$16,TRIM($G2955))&gt;0,"COUNTED",IF(COUNTIF(LISTS!$J$2:$J$16,TRIM($G2955))&gt;0,"LEFT OUT","NEW")))</f>
        <v/>
      </c>
    </row>
    <row r="2956" spans="47:47" x14ac:dyDescent="0.25">
      <c r="AU2956" s="8" t="str">
        <f>IF(TRIM($G2956)="","",IF(COUNTIF(LISTS!$I$2:$I$16,TRIM($G2956))&gt;0,"COUNTED",IF(COUNTIF(LISTS!$J$2:$J$16,TRIM($G2956))&gt;0,"LEFT OUT","NEW")))</f>
        <v/>
      </c>
    </row>
    <row r="2957" spans="47:47" x14ac:dyDescent="0.25">
      <c r="AU2957" s="8" t="str">
        <f>IF(TRIM($G2957)="","",IF(COUNTIF(LISTS!$I$2:$I$16,TRIM($G2957))&gt;0,"COUNTED",IF(COUNTIF(LISTS!$J$2:$J$16,TRIM($G2957))&gt;0,"LEFT OUT","NEW")))</f>
        <v/>
      </c>
    </row>
    <row r="2958" spans="47:47" x14ac:dyDescent="0.25">
      <c r="AU2958" s="8" t="str">
        <f>IF(TRIM($G2958)="","",IF(COUNTIF(LISTS!$I$2:$I$16,TRIM($G2958))&gt;0,"COUNTED",IF(COUNTIF(LISTS!$J$2:$J$16,TRIM($G2958))&gt;0,"LEFT OUT","NEW")))</f>
        <v/>
      </c>
    </row>
    <row r="2959" spans="47:47" x14ac:dyDescent="0.25">
      <c r="AU2959" s="8" t="str">
        <f>IF(TRIM($G2959)="","",IF(COUNTIF(LISTS!$I$2:$I$16,TRIM($G2959))&gt;0,"COUNTED",IF(COUNTIF(LISTS!$J$2:$J$16,TRIM($G2959))&gt;0,"LEFT OUT","NEW")))</f>
        <v/>
      </c>
    </row>
    <row r="2960" spans="47:47" x14ac:dyDescent="0.25">
      <c r="AU2960" s="8" t="str">
        <f>IF(TRIM($G2960)="","",IF(COUNTIF(LISTS!$I$2:$I$16,TRIM($G2960))&gt;0,"COUNTED",IF(COUNTIF(LISTS!$J$2:$J$16,TRIM($G2960))&gt;0,"LEFT OUT","NEW")))</f>
        <v/>
      </c>
    </row>
    <row r="2961" spans="47:47" x14ac:dyDescent="0.25">
      <c r="AU2961" s="8" t="str">
        <f>IF(TRIM($G2961)="","",IF(COUNTIF(LISTS!$I$2:$I$16,TRIM($G2961))&gt;0,"COUNTED",IF(COUNTIF(LISTS!$J$2:$J$16,TRIM($G2961))&gt;0,"LEFT OUT","NEW")))</f>
        <v/>
      </c>
    </row>
    <row r="2962" spans="47:47" x14ac:dyDescent="0.25">
      <c r="AU2962" s="8" t="str">
        <f>IF(TRIM($G2962)="","",IF(COUNTIF(LISTS!$I$2:$I$16,TRIM($G2962))&gt;0,"COUNTED",IF(COUNTIF(LISTS!$J$2:$J$16,TRIM($G2962))&gt;0,"LEFT OUT","NEW")))</f>
        <v/>
      </c>
    </row>
    <row r="2963" spans="47:47" x14ac:dyDescent="0.25">
      <c r="AU2963" s="8" t="str">
        <f>IF(TRIM($G2963)="","",IF(COUNTIF(LISTS!$I$2:$I$16,TRIM($G2963))&gt;0,"COUNTED",IF(COUNTIF(LISTS!$J$2:$J$16,TRIM($G2963))&gt;0,"LEFT OUT","NEW")))</f>
        <v/>
      </c>
    </row>
    <row r="2964" spans="47:47" x14ac:dyDescent="0.25">
      <c r="AU2964" s="8" t="str">
        <f>IF(TRIM($G2964)="","",IF(COUNTIF(LISTS!$I$2:$I$16,TRIM($G2964))&gt;0,"COUNTED",IF(COUNTIF(LISTS!$J$2:$J$16,TRIM($G2964))&gt;0,"LEFT OUT","NEW")))</f>
        <v/>
      </c>
    </row>
    <row r="2965" spans="47:47" x14ac:dyDescent="0.25">
      <c r="AU2965" s="8" t="str">
        <f>IF(TRIM($G2965)="","",IF(COUNTIF(LISTS!$I$2:$I$16,TRIM($G2965))&gt;0,"COUNTED",IF(COUNTIF(LISTS!$J$2:$J$16,TRIM($G2965))&gt;0,"LEFT OUT","NEW")))</f>
        <v/>
      </c>
    </row>
    <row r="2966" spans="47:47" x14ac:dyDescent="0.25">
      <c r="AU2966" s="8" t="str">
        <f>IF(TRIM($G2966)="","",IF(COUNTIF(LISTS!$I$2:$I$16,TRIM($G2966))&gt;0,"COUNTED",IF(COUNTIF(LISTS!$J$2:$J$16,TRIM($G2966))&gt;0,"LEFT OUT","NEW")))</f>
        <v/>
      </c>
    </row>
    <row r="2967" spans="47:47" x14ac:dyDescent="0.25">
      <c r="AU2967" s="8" t="str">
        <f>IF(TRIM($G2967)="","",IF(COUNTIF(LISTS!$I$2:$I$16,TRIM($G2967))&gt;0,"COUNTED",IF(COUNTIF(LISTS!$J$2:$J$16,TRIM($G2967))&gt;0,"LEFT OUT","NEW")))</f>
        <v/>
      </c>
    </row>
    <row r="2968" spans="47:47" x14ac:dyDescent="0.25">
      <c r="AU2968" s="8" t="str">
        <f>IF(TRIM($G2968)="","",IF(COUNTIF(LISTS!$I$2:$I$16,TRIM($G2968))&gt;0,"COUNTED",IF(COUNTIF(LISTS!$J$2:$J$16,TRIM($G2968))&gt;0,"LEFT OUT","NEW")))</f>
        <v/>
      </c>
    </row>
    <row r="2969" spans="47:47" x14ac:dyDescent="0.25">
      <c r="AU2969" s="8" t="str">
        <f>IF(TRIM($G2969)="","",IF(COUNTIF(LISTS!$I$2:$I$16,TRIM($G2969))&gt;0,"COUNTED",IF(COUNTIF(LISTS!$J$2:$J$16,TRIM($G2969))&gt;0,"LEFT OUT","NEW")))</f>
        <v/>
      </c>
    </row>
    <row r="2970" spans="47:47" x14ac:dyDescent="0.25">
      <c r="AU2970" s="8" t="str">
        <f>IF(TRIM($G2970)="","",IF(COUNTIF(LISTS!$I$2:$I$16,TRIM($G2970))&gt;0,"COUNTED",IF(COUNTIF(LISTS!$J$2:$J$16,TRIM($G2970))&gt;0,"LEFT OUT","NEW")))</f>
        <v/>
      </c>
    </row>
    <row r="2971" spans="47:47" x14ac:dyDescent="0.25">
      <c r="AU2971" s="8" t="str">
        <f>IF(TRIM($G2971)="","",IF(COUNTIF(LISTS!$I$2:$I$16,TRIM($G2971))&gt;0,"COUNTED",IF(COUNTIF(LISTS!$J$2:$J$16,TRIM($G2971))&gt;0,"LEFT OUT","NEW")))</f>
        <v/>
      </c>
    </row>
    <row r="2972" spans="47:47" x14ac:dyDescent="0.25">
      <c r="AU2972" s="8" t="str">
        <f>IF(TRIM($G2972)="","",IF(COUNTIF(LISTS!$I$2:$I$16,TRIM($G2972))&gt;0,"COUNTED",IF(COUNTIF(LISTS!$J$2:$J$16,TRIM($G2972))&gt;0,"LEFT OUT","NEW")))</f>
        <v/>
      </c>
    </row>
    <row r="2973" spans="47:47" x14ac:dyDescent="0.25">
      <c r="AU2973" s="8" t="str">
        <f>IF(TRIM($G2973)="","",IF(COUNTIF(LISTS!$I$2:$I$16,TRIM($G2973))&gt;0,"COUNTED",IF(COUNTIF(LISTS!$J$2:$J$16,TRIM($G2973))&gt;0,"LEFT OUT","NEW")))</f>
        <v/>
      </c>
    </row>
    <row r="2974" spans="47:47" x14ac:dyDescent="0.25">
      <c r="AU2974" s="8" t="str">
        <f>IF(TRIM($G2974)="","",IF(COUNTIF(LISTS!$I$2:$I$16,TRIM($G2974))&gt;0,"COUNTED",IF(COUNTIF(LISTS!$J$2:$J$16,TRIM($G2974))&gt;0,"LEFT OUT","NEW")))</f>
        <v/>
      </c>
    </row>
    <row r="2975" spans="47:47" x14ac:dyDescent="0.25">
      <c r="AU2975" s="8" t="str">
        <f>IF(TRIM($G2975)="","",IF(COUNTIF(LISTS!$I$2:$I$16,TRIM($G2975))&gt;0,"COUNTED",IF(COUNTIF(LISTS!$J$2:$J$16,TRIM($G2975))&gt;0,"LEFT OUT","NEW")))</f>
        <v/>
      </c>
    </row>
    <row r="2976" spans="47:47" x14ac:dyDescent="0.25">
      <c r="AU2976" s="8" t="str">
        <f>IF(TRIM($G2976)="","",IF(COUNTIF(LISTS!$I$2:$I$16,TRIM($G2976))&gt;0,"COUNTED",IF(COUNTIF(LISTS!$J$2:$J$16,TRIM($G2976))&gt;0,"LEFT OUT","NEW")))</f>
        <v/>
      </c>
    </row>
    <row r="2977" spans="47:47" x14ac:dyDescent="0.25">
      <c r="AU2977" s="8" t="str">
        <f>IF(TRIM($G2977)="","",IF(COUNTIF(LISTS!$I$2:$I$16,TRIM($G2977))&gt;0,"COUNTED",IF(COUNTIF(LISTS!$J$2:$J$16,TRIM($G2977))&gt;0,"LEFT OUT","NEW")))</f>
        <v/>
      </c>
    </row>
    <row r="2978" spans="47:47" x14ac:dyDescent="0.25">
      <c r="AU2978" s="8" t="str">
        <f>IF(TRIM($G2978)="","",IF(COUNTIF(LISTS!$I$2:$I$16,TRIM($G2978))&gt;0,"COUNTED",IF(COUNTIF(LISTS!$J$2:$J$16,TRIM($G2978))&gt;0,"LEFT OUT","NEW")))</f>
        <v/>
      </c>
    </row>
    <row r="2979" spans="47:47" x14ac:dyDescent="0.25">
      <c r="AU2979" s="8" t="str">
        <f>IF(TRIM($G2979)="","",IF(COUNTIF(LISTS!$I$2:$I$16,TRIM($G2979))&gt;0,"COUNTED",IF(COUNTIF(LISTS!$J$2:$J$16,TRIM($G2979))&gt;0,"LEFT OUT","NEW")))</f>
        <v/>
      </c>
    </row>
    <row r="2980" spans="47:47" x14ac:dyDescent="0.25">
      <c r="AU2980" s="8" t="str">
        <f>IF(TRIM($G2980)="","",IF(COUNTIF(LISTS!$I$2:$I$16,TRIM($G2980))&gt;0,"COUNTED",IF(COUNTIF(LISTS!$J$2:$J$16,TRIM($G2980))&gt;0,"LEFT OUT","NEW")))</f>
        <v/>
      </c>
    </row>
    <row r="2981" spans="47:47" x14ac:dyDescent="0.25">
      <c r="AU2981" s="8" t="str">
        <f>IF(TRIM($G2981)="","",IF(COUNTIF(LISTS!$I$2:$I$16,TRIM($G2981))&gt;0,"COUNTED",IF(COUNTIF(LISTS!$J$2:$J$16,TRIM($G2981))&gt;0,"LEFT OUT","NEW")))</f>
        <v/>
      </c>
    </row>
    <row r="2982" spans="47:47" x14ac:dyDescent="0.25">
      <c r="AU2982" s="8" t="str">
        <f>IF(TRIM($G2982)="","",IF(COUNTIF(LISTS!$I$2:$I$16,TRIM($G2982))&gt;0,"COUNTED",IF(COUNTIF(LISTS!$J$2:$J$16,TRIM($G2982))&gt;0,"LEFT OUT","NEW")))</f>
        <v/>
      </c>
    </row>
    <row r="2983" spans="47:47" x14ac:dyDescent="0.25">
      <c r="AU2983" s="8" t="str">
        <f>IF(TRIM($G2983)="","",IF(COUNTIF(LISTS!$I$2:$I$16,TRIM($G2983))&gt;0,"COUNTED",IF(COUNTIF(LISTS!$J$2:$J$16,TRIM($G2983))&gt;0,"LEFT OUT","NEW")))</f>
        <v/>
      </c>
    </row>
    <row r="2984" spans="47:47" x14ac:dyDescent="0.25">
      <c r="AU2984" s="8" t="str">
        <f>IF(TRIM($G2984)="","",IF(COUNTIF(LISTS!$I$2:$I$16,TRIM($G2984))&gt;0,"COUNTED",IF(COUNTIF(LISTS!$J$2:$J$16,TRIM($G2984))&gt;0,"LEFT OUT","NEW")))</f>
        <v/>
      </c>
    </row>
    <row r="2985" spans="47:47" x14ac:dyDescent="0.25">
      <c r="AU2985" s="8" t="str">
        <f>IF(TRIM($G2985)="","",IF(COUNTIF(LISTS!$I$2:$I$16,TRIM($G2985))&gt;0,"COUNTED",IF(COUNTIF(LISTS!$J$2:$J$16,TRIM($G2985))&gt;0,"LEFT OUT","NEW")))</f>
        <v/>
      </c>
    </row>
    <row r="2986" spans="47:47" x14ac:dyDescent="0.25">
      <c r="AU2986" s="8" t="str">
        <f>IF(TRIM($G2986)="","",IF(COUNTIF(LISTS!$I$2:$I$16,TRIM($G2986))&gt;0,"COUNTED",IF(COUNTIF(LISTS!$J$2:$J$16,TRIM($G2986))&gt;0,"LEFT OUT","NEW")))</f>
        <v/>
      </c>
    </row>
    <row r="2987" spans="47:47" x14ac:dyDescent="0.25">
      <c r="AU2987" s="8" t="str">
        <f>IF(TRIM($G2987)="","",IF(COUNTIF(LISTS!$I$2:$I$16,TRIM($G2987))&gt;0,"COUNTED",IF(COUNTIF(LISTS!$J$2:$J$16,TRIM($G2987))&gt;0,"LEFT OUT","NEW")))</f>
        <v/>
      </c>
    </row>
    <row r="2988" spans="47:47" x14ac:dyDescent="0.25">
      <c r="AU2988" s="8" t="str">
        <f>IF(TRIM($G2988)="","",IF(COUNTIF(LISTS!$I$2:$I$16,TRIM($G2988))&gt;0,"COUNTED",IF(COUNTIF(LISTS!$J$2:$J$16,TRIM($G2988))&gt;0,"LEFT OUT","NEW")))</f>
        <v/>
      </c>
    </row>
    <row r="2989" spans="47:47" x14ac:dyDescent="0.25">
      <c r="AU2989" s="8" t="str">
        <f>IF(TRIM($G2989)="","",IF(COUNTIF(LISTS!$I$2:$I$16,TRIM($G2989))&gt;0,"COUNTED",IF(COUNTIF(LISTS!$J$2:$J$16,TRIM($G2989))&gt;0,"LEFT OUT","NEW")))</f>
        <v/>
      </c>
    </row>
    <row r="2990" spans="47:47" x14ac:dyDescent="0.25">
      <c r="AU2990" s="8" t="str">
        <f>IF(TRIM($G2990)="","",IF(COUNTIF(LISTS!$I$2:$I$16,TRIM($G2990))&gt;0,"COUNTED",IF(COUNTIF(LISTS!$J$2:$J$16,TRIM($G2990))&gt;0,"LEFT OUT","NEW")))</f>
        <v/>
      </c>
    </row>
    <row r="2991" spans="47:47" x14ac:dyDescent="0.25">
      <c r="AU2991" s="8" t="str">
        <f>IF(TRIM($G2991)="","",IF(COUNTIF(LISTS!$I$2:$I$16,TRIM($G2991))&gt;0,"COUNTED",IF(COUNTIF(LISTS!$J$2:$J$16,TRIM($G2991))&gt;0,"LEFT OUT","NEW")))</f>
        <v/>
      </c>
    </row>
    <row r="2992" spans="47:47" x14ac:dyDescent="0.25">
      <c r="AU2992" s="8" t="str">
        <f>IF(TRIM($G2992)="","",IF(COUNTIF(LISTS!$I$2:$I$16,TRIM($G2992))&gt;0,"COUNTED",IF(COUNTIF(LISTS!$J$2:$J$16,TRIM($G2992))&gt;0,"LEFT OUT","NEW")))</f>
        <v/>
      </c>
    </row>
    <row r="2993" spans="47:47" x14ac:dyDescent="0.25">
      <c r="AU2993" s="8" t="str">
        <f>IF(TRIM($G2993)="","",IF(COUNTIF(LISTS!$I$2:$I$16,TRIM($G2993))&gt;0,"COUNTED",IF(COUNTIF(LISTS!$J$2:$J$16,TRIM($G2993))&gt;0,"LEFT OUT","NEW")))</f>
        <v/>
      </c>
    </row>
    <row r="2994" spans="47:47" x14ac:dyDescent="0.25">
      <c r="AU2994" s="8" t="str">
        <f>IF(TRIM($G2994)="","",IF(COUNTIF(LISTS!$I$2:$I$16,TRIM($G2994))&gt;0,"COUNTED",IF(COUNTIF(LISTS!$J$2:$J$16,TRIM($G2994))&gt;0,"LEFT OUT","NEW")))</f>
        <v/>
      </c>
    </row>
    <row r="2995" spans="47:47" x14ac:dyDescent="0.25">
      <c r="AU2995" s="8" t="str">
        <f>IF(TRIM($G2995)="","",IF(COUNTIF(LISTS!$I$2:$I$16,TRIM($G2995))&gt;0,"COUNTED",IF(COUNTIF(LISTS!$J$2:$J$16,TRIM($G2995))&gt;0,"LEFT OUT","NEW")))</f>
        <v/>
      </c>
    </row>
    <row r="2996" spans="47:47" x14ac:dyDescent="0.25">
      <c r="AU2996" s="8" t="str">
        <f>IF(TRIM($G2996)="","",IF(COUNTIF(LISTS!$I$2:$I$16,TRIM($G2996))&gt;0,"COUNTED",IF(COUNTIF(LISTS!$J$2:$J$16,TRIM($G2996))&gt;0,"LEFT OUT","NEW")))</f>
        <v/>
      </c>
    </row>
    <row r="2997" spans="47:47" x14ac:dyDescent="0.25">
      <c r="AU2997" s="8" t="str">
        <f>IF(TRIM($G2997)="","",IF(COUNTIF(LISTS!$I$2:$I$16,TRIM($G2997))&gt;0,"COUNTED",IF(COUNTIF(LISTS!$J$2:$J$16,TRIM($G2997))&gt;0,"LEFT OUT","NEW")))</f>
        <v/>
      </c>
    </row>
    <row r="2998" spans="47:47" x14ac:dyDescent="0.25">
      <c r="AU2998" s="8" t="str">
        <f>IF(TRIM($G2998)="","",IF(COUNTIF(LISTS!$I$2:$I$16,TRIM($G2998))&gt;0,"COUNTED",IF(COUNTIF(LISTS!$J$2:$J$16,TRIM($G2998))&gt;0,"LEFT OUT","NEW")))</f>
        <v/>
      </c>
    </row>
    <row r="2999" spans="47:47" x14ac:dyDescent="0.25">
      <c r="AU2999" s="8" t="str">
        <f>IF(TRIM($G2999)="","",IF(COUNTIF(LISTS!$I$2:$I$16,TRIM($G2999))&gt;0,"COUNTED",IF(COUNTIF(LISTS!$J$2:$J$16,TRIM($G2999))&gt;0,"LEFT OUT","NEW")))</f>
        <v/>
      </c>
    </row>
    <row r="3000" spans="47:47" x14ac:dyDescent="0.25">
      <c r="AU3000" s="8" t="str">
        <f>IF(TRIM($G3000)="","",IF(COUNTIF(LISTS!$I$2:$I$16,TRIM($G3000))&gt;0,"COUNTED",IF(COUNTIF(LISTS!$J$2:$J$16,TRIM($G3000))&gt;0,"LEFT OUT","NEW")))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AH1500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31" max="34" width="18" hidden="1" customWidth="1" outlineLevel="1"/>
  </cols>
  <sheetData>
    <row r="1" spans="1:34" x14ac:dyDescent="0.25">
      <c r="A1" s="7" t="s">
        <v>126</v>
      </c>
      <c r="B1" s="7" t="s">
        <v>127</v>
      </c>
      <c r="C1" s="7" t="s">
        <v>113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95</v>
      </c>
      <c r="L1" s="7" t="s">
        <v>91</v>
      </c>
      <c r="M1" s="7" t="s">
        <v>87</v>
      </c>
      <c r="N1" s="7" t="s">
        <v>111</v>
      </c>
      <c r="O1" s="7" t="s">
        <v>112</v>
      </c>
      <c r="P1" s="7" t="s">
        <v>82</v>
      </c>
      <c r="Q1" s="7" t="s">
        <v>80</v>
      </c>
      <c r="R1" s="7" t="s">
        <v>135</v>
      </c>
      <c r="S1" s="7" t="s">
        <v>70</v>
      </c>
      <c r="T1" s="7" t="s">
        <v>88</v>
      </c>
      <c r="U1" s="7" t="s">
        <v>89</v>
      </c>
      <c r="V1" s="7" t="s">
        <v>90</v>
      </c>
      <c r="W1" s="7" t="s">
        <v>136</v>
      </c>
      <c r="X1" s="7" t="s">
        <v>137</v>
      </c>
      <c r="Y1" s="7" t="s">
        <v>75</v>
      </c>
      <c r="Z1" s="7" t="s">
        <v>138</v>
      </c>
      <c r="AA1" s="7" t="s">
        <v>139</v>
      </c>
      <c r="AB1" s="7" t="s">
        <v>140</v>
      </c>
      <c r="AC1" s="7" t="s">
        <v>141</v>
      </c>
      <c r="AE1" s="7" t="s">
        <v>142</v>
      </c>
      <c r="AF1" s="7" t="s">
        <v>143</v>
      </c>
      <c r="AG1" s="7" t="s">
        <v>144</v>
      </c>
      <c r="AH1" s="7" t="s">
        <v>145</v>
      </c>
    </row>
    <row r="2" spans="1:34" x14ac:dyDescent="0.25">
      <c r="AE2" s="8" t="str">
        <f t="shared" ref="AE2:AE65" si="0">IF(TRIM($E2)="Tax Paid",TRIM($S2),"")</f>
        <v/>
      </c>
      <c r="AF2" s="8" t="str">
        <f t="shared" ref="AF2:AF65" si="1">IF(TRIM($E2)="Tax Paid",ROUND($Z2/100,5),"")</f>
        <v/>
      </c>
      <c r="AG2" s="8" t="str">
        <f>IF(TRIM($E2)&lt;&gt;"Tax Paid","",IF(COUNTIFS(LISTS!$F$2:$F$26,$AE2,LISTS!$G$2:$G$26,$AF2)=0,"NOT ON LIST",""))</f>
        <v/>
      </c>
      <c r="AH2" s="8" t="str">
        <f t="shared" ref="AH2:AH65" si="2">IF($AG2="","",IF($AE2="","(no county)",$AE2)&amp;" ("&amp;SUBSTITUTE(TEXT($AF2,"0.###%"),".%","%")&amp;")")</f>
        <v/>
      </c>
    </row>
    <row r="3" spans="1:34" x14ac:dyDescent="0.25">
      <c r="AE3" s="8" t="str">
        <f t="shared" si="0"/>
        <v/>
      </c>
      <c r="AF3" s="8" t="str">
        <f t="shared" si="1"/>
        <v/>
      </c>
      <c r="AG3" s="8" t="str">
        <f>IF(TRIM($E3)&lt;&gt;"Tax Paid","",IF(COUNTIFS(LISTS!$F$2:$F$26,$AE3,LISTS!$G$2:$G$26,$AF3)=0,"NOT ON LIST",""))</f>
        <v/>
      </c>
      <c r="AH3" s="8" t="str">
        <f t="shared" si="2"/>
        <v/>
      </c>
    </row>
    <row r="4" spans="1:34" x14ac:dyDescent="0.25">
      <c r="AE4" s="8" t="str">
        <f t="shared" si="0"/>
        <v/>
      </c>
      <c r="AF4" s="8" t="str">
        <f t="shared" si="1"/>
        <v/>
      </c>
      <c r="AG4" s="8" t="str">
        <f>IF(TRIM($E4)&lt;&gt;"Tax Paid","",IF(COUNTIFS(LISTS!$F$2:$F$26,$AE4,LISTS!$G$2:$G$26,$AF4)=0,"NOT ON LIST",""))</f>
        <v/>
      </c>
      <c r="AH4" s="8" t="str">
        <f t="shared" si="2"/>
        <v/>
      </c>
    </row>
    <row r="5" spans="1:34" x14ac:dyDescent="0.25">
      <c r="AE5" s="8" t="str">
        <f t="shared" si="0"/>
        <v/>
      </c>
      <c r="AF5" s="8" t="str">
        <f t="shared" si="1"/>
        <v/>
      </c>
      <c r="AG5" s="8" t="str">
        <f>IF(TRIM($E5)&lt;&gt;"Tax Paid","",IF(COUNTIFS(LISTS!$F$2:$F$26,$AE5,LISTS!$G$2:$G$26,$AF5)=0,"NOT ON LIST",""))</f>
        <v/>
      </c>
      <c r="AH5" s="8" t="str">
        <f t="shared" si="2"/>
        <v/>
      </c>
    </row>
    <row r="6" spans="1:34" x14ac:dyDescent="0.25">
      <c r="AE6" s="8" t="str">
        <f t="shared" si="0"/>
        <v/>
      </c>
      <c r="AF6" s="8" t="str">
        <f t="shared" si="1"/>
        <v/>
      </c>
      <c r="AG6" s="8" t="str">
        <f>IF(TRIM($E6)&lt;&gt;"Tax Paid","",IF(COUNTIFS(LISTS!$F$2:$F$26,$AE6,LISTS!$G$2:$G$26,$AF6)=0,"NOT ON LIST",""))</f>
        <v/>
      </c>
      <c r="AH6" s="8" t="str">
        <f t="shared" si="2"/>
        <v/>
      </c>
    </row>
    <row r="7" spans="1:34" x14ac:dyDescent="0.25">
      <c r="AE7" s="8" t="str">
        <f t="shared" si="0"/>
        <v/>
      </c>
      <c r="AF7" s="8" t="str">
        <f t="shared" si="1"/>
        <v/>
      </c>
      <c r="AG7" s="8" t="str">
        <f>IF(TRIM($E7)&lt;&gt;"Tax Paid","",IF(COUNTIFS(LISTS!$F$2:$F$26,$AE7,LISTS!$G$2:$G$26,$AF7)=0,"NOT ON LIST",""))</f>
        <v/>
      </c>
      <c r="AH7" s="8" t="str">
        <f t="shared" si="2"/>
        <v/>
      </c>
    </row>
    <row r="8" spans="1:34" x14ac:dyDescent="0.25">
      <c r="AE8" s="8" t="str">
        <f t="shared" si="0"/>
        <v/>
      </c>
      <c r="AF8" s="8" t="str">
        <f t="shared" si="1"/>
        <v/>
      </c>
      <c r="AG8" s="8" t="str">
        <f>IF(TRIM($E8)&lt;&gt;"Tax Paid","",IF(COUNTIFS(LISTS!$F$2:$F$26,$AE8,LISTS!$G$2:$G$26,$AF8)=0,"NOT ON LIST",""))</f>
        <v/>
      </c>
      <c r="AH8" s="8" t="str">
        <f t="shared" si="2"/>
        <v/>
      </c>
    </row>
    <row r="9" spans="1:34" x14ac:dyDescent="0.25">
      <c r="AE9" s="8" t="str">
        <f t="shared" si="0"/>
        <v/>
      </c>
      <c r="AF9" s="8" t="str">
        <f t="shared" si="1"/>
        <v/>
      </c>
      <c r="AG9" s="8" t="str">
        <f>IF(TRIM($E9)&lt;&gt;"Tax Paid","",IF(COUNTIFS(LISTS!$F$2:$F$26,$AE9,LISTS!$G$2:$G$26,$AF9)=0,"NOT ON LIST",""))</f>
        <v/>
      </c>
      <c r="AH9" s="8" t="str">
        <f t="shared" si="2"/>
        <v/>
      </c>
    </row>
    <row r="10" spans="1:34" x14ac:dyDescent="0.25">
      <c r="AE10" s="8" t="str">
        <f t="shared" si="0"/>
        <v/>
      </c>
      <c r="AF10" s="8" t="str">
        <f t="shared" si="1"/>
        <v/>
      </c>
      <c r="AG10" s="8" t="str">
        <f>IF(TRIM($E10)&lt;&gt;"Tax Paid","",IF(COUNTIFS(LISTS!$F$2:$F$26,$AE10,LISTS!$G$2:$G$26,$AF10)=0,"NOT ON LIST",""))</f>
        <v/>
      </c>
      <c r="AH10" s="8" t="str">
        <f t="shared" si="2"/>
        <v/>
      </c>
    </row>
    <row r="11" spans="1:34" x14ac:dyDescent="0.25">
      <c r="AE11" s="8" t="str">
        <f t="shared" si="0"/>
        <v/>
      </c>
      <c r="AF11" s="8" t="str">
        <f t="shared" si="1"/>
        <v/>
      </c>
      <c r="AG11" s="8" t="str">
        <f>IF(TRIM($E11)&lt;&gt;"Tax Paid","",IF(COUNTIFS(LISTS!$F$2:$F$26,$AE11,LISTS!$G$2:$G$26,$AF11)=0,"NOT ON LIST",""))</f>
        <v/>
      </c>
      <c r="AH11" s="8" t="str">
        <f t="shared" si="2"/>
        <v/>
      </c>
    </row>
    <row r="12" spans="1:34" x14ac:dyDescent="0.25">
      <c r="AE12" s="8" t="str">
        <f t="shared" si="0"/>
        <v/>
      </c>
      <c r="AF12" s="8" t="str">
        <f t="shared" si="1"/>
        <v/>
      </c>
      <c r="AG12" s="8" t="str">
        <f>IF(TRIM($E12)&lt;&gt;"Tax Paid","",IF(COUNTIFS(LISTS!$F$2:$F$26,$AE12,LISTS!$G$2:$G$26,$AF12)=0,"NOT ON LIST",""))</f>
        <v/>
      </c>
      <c r="AH12" s="8" t="str">
        <f t="shared" si="2"/>
        <v/>
      </c>
    </row>
    <row r="13" spans="1:34" x14ac:dyDescent="0.25">
      <c r="AE13" s="8" t="str">
        <f t="shared" si="0"/>
        <v/>
      </c>
      <c r="AF13" s="8" t="str">
        <f t="shared" si="1"/>
        <v/>
      </c>
      <c r="AG13" s="8" t="str">
        <f>IF(TRIM($E13)&lt;&gt;"Tax Paid","",IF(COUNTIFS(LISTS!$F$2:$F$26,$AE13,LISTS!$G$2:$G$26,$AF13)=0,"NOT ON LIST",""))</f>
        <v/>
      </c>
      <c r="AH13" s="8" t="str">
        <f t="shared" si="2"/>
        <v/>
      </c>
    </row>
    <row r="14" spans="1:34" x14ac:dyDescent="0.25">
      <c r="AE14" s="8" t="str">
        <f t="shared" si="0"/>
        <v/>
      </c>
      <c r="AF14" s="8" t="str">
        <f t="shared" si="1"/>
        <v/>
      </c>
      <c r="AG14" s="8" t="str">
        <f>IF(TRIM($E14)&lt;&gt;"Tax Paid","",IF(COUNTIFS(LISTS!$F$2:$F$26,$AE14,LISTS!$G$2:$G$26,$AF14)=0,"NOT ON LIST",""))</f>
        <v/>
      </c>
      <c r="AH14" s="8" t="str">
        <f t="shared" si="2"/>
        <v/>
      </c>
    </row>
    <row r="15" spans="1:34" x14ac:dyDescent="0.25">
      <c r="AE15" s="8" t="str">
        <f t="shared" si="0"/>
        <v/>
      </c>
      <c r="AF15" s="8" t="str">
        <f t="shared" si="1"/>
        <v/>
      </c>
      <c r="AG15" s="8" t="str">
        <f>IF(TRIM($E15)&lt;&gt;"Tax Paid","",IF(COUNTIFS(LISTS!$F$2:$F$26,$AE15,LISTS!$G$2:$G$26,$AF15)=0,"NOT ON LIST",""))</f>
        <v/>
      </c>
      <c r="AH15" s="8" t="str">
        <f t="shared" si="2"/>
        <v/>
      </c>
    </row>
    <row r="16" spans="1:34" x14ac:dyDescent="0.25">
      <c r="AE16" s="8" t="str">
        <f t="shared" si="0"/>
        <v/>
      </c>
      <c r="AF16" s="8" t="str">
        <f t="shared" si="1"/>
        <v/>
      </c>
      <c r="AG16" s="8" t="str">
        <f>IF(TRIM($E16)&lt;&gt;"Tax Paid","",IF(COUNTIFS(LISTS!$F$2:$F$26,$AE16,LISTS!$G$2:$G$26,$AF16)=0,"NOT ON LIST",""))</f>
        <v/>
      </c>
      <c r="AH16" s="8" t="str">
        <f t="shared" si="2"/>
        <v/>
      </c>
    </row>
    <row r="17" spans="31:34" x14ac:dyDescent="0.25">
      <c r="AE17" s="8" t="str">
        <f t="shared" si="0"/>
        <v/>
      </c>
      <c r="AF17" s="8" t="str">
        <f t="shared" si="1"/>
        <v/>
      </c>
      <c r="AG17" s="8" t="str">
        <f>IF(TRIM($E17)&lt;&gt;"Tax Paid","",IF(COUNTIFS(LISTS!$F$2:$F$26,$AE17,LISTS!$G$2:$G$26,$AF17)=0,"NOT ON LIST",""))</f>
        <v/>
      </c>
      <c r="AH17" s="8" t="str">
        <f t="shared" si="2"/>
        <v/>
      </c>
    </row>
    <row r="18" spans="31:34" x14ac:dyDescent="0.25">
      <c r="AE18" s="8" t="str">
        <f t="shared" si="0"/>
        <v/>
      </c>
      <c r="AF18" s="8" t="str">
        <f t="shared" si="1"/>
        <v/>
      </c>
      <c r="AG18" s="8" t="str">
        <f>IF(TRIM($E18)&lt;&gt;"Tax Paid","",IF(COUNTIFS(LISTS!$F$2:$F$26,$AE18,LISTS!$G$2:$G$26,$AF18)=0,"NOT ON LIST",""))</f>
        <v/>
      </c>
      <c r="AH18" s="8" t="str">
        <f t="shared" si="2"/>
        <v/>
      </c>
    </row>
    <row r="19" spans="31:34" x14ac:dyDescent="0.25">
      <c r="AE19" s="8" t="str">
        <f t="shared" si="0"/>
        <v/>
      </c>
      <c r="AF19" s="8" t="str">
        <f t="shared" si="1"/>
        <v/>
      </c>
      <c r="AG19" s="8" t="str">
        <f>IF(TRIM($E19)&lt;&gt;"Tax Paid","",IF(COUNTIFS(LISTS!$F$2:$F$26,$AE19,LISTS!$G$2:$G$26,$AF19)=0,"NOT ON LIST",""))</f>
        <v/>
      </c>
      <c r="AH19" s="8" t="str">
        <f t="shared" si="2"/>
        <v/>
      </c>
    </row>
    <row r="20" spans="31:34" x14ac:dyDescent="0.25">
      <c r="AE20" s="8" t="str">
        <f t="shared" si="0"/>
        <v/>
      </c>
      <c r="AF20" s="8" t="str">
        <f t="shared" si="1"/>
        <v/>
      </c>
      <c r="AG20" s="8" t="str">
        <f>IF(TRIM($E20)&lt;&gt;"Tax Paid","",IF(COUNTIFS(LISTS!$F$2:$F$26,$AE20,LISTS!$G$2:$G$26,$AF20)=0,"NOT ON LIST",""))</f>
        <v/>
      </c>
      <c r="AH20" s="8" t="str">
        <f t="shared" si="2"/>
        <v/>
      </c>
    </row>
    <row r="21" spans="31:34" x14ac:dyDescent="0.25">
      <c r="AE21" s="8" t="str">
        <f t="shared" si="0"/>
        <v/>
      </c>
      <c r="AF21" s="8" t="str">
        <f t="shared" si="1"/>
        <v/>
      </c>
      <c r="AG21" s="8" t="str">
        <f>IF(TRIM($E21)&lt;&gt;"Tax Paid","",IF(COUNTIFS(LISTS!$F$2:$F$26,$AE21,LISTS!$G$2:$G$26,$AF21)=0,"NOT ON LIST",""))</f>
        <v/>
      </c>
      <c r="AH21" s="8" t="str">
        <f t="shared" si="2"/>
        <v/>
      </c>
    </row>
    <row r="22" spans="31:34" x14ac:dyDescent="0.25">
      <c r="AE22" s="8" t="str">
        <f t="shared" si="0"/>
        <v/>
      </c>
      <c r="AF22" s="8" t="str">
        <f t="shared" si="1"/>
        <v/>
      </c>
      <c r="AG22" s="8" t="str">
        <f>IF(TRIM($E22)&lt;&gt;"Tax Paid","",IF(COUNTIFS(LISTS!$F$2:$F$26,$AE22,LISTS!$G$2:$G$26,$AF22)=0,"NOT ON LIST",""))</f>
        <v/>
      </c>
      <c r="AH22" s="8" t="str">
        <f t="shared" si="2"/>
        <v/>
      </c>
    </row>
    <row r="23" spans="31:34" x14ac:dyDescent="0.25">
      <c r="AE23" s="8" t="str">
        <f t="shared" si="0"/>
        <v/>
      </c>
      <c r="AF23" s="8" t="str">
        <f t="shared" si="1"/>
        <v/>
      </c>
      <c r="AG23" s="8" t="str">
        <f>IF(TRIM($E23)&lt;&gt;"Tax Paid","",IF(COUNTIFS(LISTS!$F$2:$F$26,$AE23,LISTS!$G$2:$G$26,$AF23)=0,"NOT ON LIST",""))</f>
        <v/>
      </c>
      <c r="AH23" s="8" t="str">
        <f t="shared" si="2"/>
        <v/>
      </c>
    </row>
    <row r="24" spans="31:34" x14ac:dyDescent="0.25">
      <c r="AE24" s="8" t="str">
        <f t="shared" si="0"/>
        <v/>
      </c>
      <c r="AF24" s="8" t="str">
        <f t="shared" si="1"/>
        <v/>
      </c>
      <c r="AG24" s="8" t="str">
        <f>IF(TRIM($E24)&lt;&gt;"Tax Paid","",IF(COUNTIFS(LISTS!$F$2:$F$26,$AE24,LISTS!$G$2:$G$26,$AF24)=0,"NOT ON LIST",""))</f>
        <v/>
      </c>
      <c r="AH24" s="8" t="str">
        <f t="shared" si="2"/>
        <v/>
      </c>
    </row>
    <row r="25" spans="31:34" x14ac:dyDescent="0.25">
      <c r="AE25" s="8" t="str">
        <f t="shared" si="0"/>
        <v/>
      </c>
      <c r="AF25" s="8" t="str">
        <f t="shared" si="1"/>
        <v/>
      </c>
      <c r="AG25" s="8" t="str">
        <f>IF(TRIM($E25)&lt;&gt;"Tax Paid","",IF(COUNTIFS(LISTS!$F$2:$F$26,$AE25,LISTS!$G$2:$G$26,$AF25)=0,"NOT ON LIST",""))</f>
        <v/>
      </c>
      <c r="AH25" s="8" t="str">
        <f t="shared" si="2"/>
        <v/>
      </c>
    </row>
    <row r="26" spans="31:34" x14ac:dyDescent="0.25">
      <c r="AE26" s="8" t="str">
        <f t="shared" si="0"/>
        <v/>
      </c>
      <c r="AF26" s="8" t="str">
        <f t="shared" si="1"/>
        <v/>
      </c>
      <c r="AG26" s="8" t="str">
        <f>IF(TRIM($E26)&lt;&gt;"Tax Paid","",IF(COUNTIFS(LISTS!$F$2:$F$26,$AE26,LISTS!$G$2:$G$26,$AF26)=0,"NOT ON LIST",""))</f>
        <v/>
      </c>
      <c r="AH26" s="8" t="str">
        <f t="shared" si="2"/>
        <v/>
      </c>
    </row>
    <row r="27" spans="31:34" x14ac:dyDescent="0.25">
      <c r="AE27" s="8" t="str">
        <f t="shared" si="0"/>
        <v/>
      </c>
      <c r="AF27" s="8" t="str">
        <f t="shared" si="1"/>
        <v/>
      </c>
      <c r="AG27" s="8" t="str">
        <f>IF(TRIM($E27)&lt;&gt;"Tax Paid","",IF(COUNTIFS(LISTS!$F$2:$F$26,$AE27,LISTS!$G$2:$G$26,$AF27)=0,"NOT ON LIST",""))</f>
        <v/>
      </c>
      <c r="AH27" s="8" t="str">
        <f t="shared" si="2"/>
        <v/>
      </c>
    </row>
    <row r="28" spans="31:34" x14ac:dyDescent="0.25">
      <c r="AE28" s="8" t="str">
        <f t="shared" si="0"/>
        <v/>
      </c>
      <c r="AF28" s="8" t="str">
        <f t="shared" si="1"/>
        <v/>
      </c>
      <c r="AG28" s="8" t="str">
        <f>IF(TRIM($E28)&lt;&gt;"Tax Paid","",IF(COUNTIFS(LISTS!$F$2:$F$26,$AE28,LISTS!$G$2:$G$26,$AF28)=0,"NOT ON LIST",""))</f>
        <v/>
      </c>
      <c r="AH28" s="8" t="str">
        <f t="shared" si="2"/>
        <v/>
      </c>
    </row>
    <row r="29" spans="31:34" x14ac:dyDescent="0.25">
      <c r="AE29" s="8" t="str">
        <f t="shared" si="0"/>
        <v/>
      </c>
      <c r="AF29" s="8" t="str">
        <f t="shared" si="1"/>
        <v/>
      </c>
      <c r="AG29" s="8" t="str">
        <f>IF(TRIM($E29)&lt;&gt;"Tax Paid","",IF(COUNTIFS(LISTS!$F$2:$F$26,$AE29,LISTS!$G$2:$G$26,$AF29)=0,"NOT ON LIST",""))</f>
        <v/>
      </c>
      <c r="AH29" s="8" t="str">
        <f t="shared" si="2"/>
        <v/>
      </c>
    </row>
    <row r="30" spans="31:34" x14ac:dyDescent="0.25">
      <c r="AE30" s="8" t="str">
        <f t="shared" si="0"/>
        <v/>
      </c>
      <c r="AF30" s="8" t="str">
        <f t="shared" si="1"/>
        <v/>
      </c>
      <c r="AG30" s="8" t="str">
        <f>IF(TRIM($E30)&lt;&gt;"Tax Paid","",IF(COUNTIFS(LISTS!$F$2:$F$26,$AE30,LISTS!$G$2:$G$26,$AF30)=0,"NOT ON LIST",""))</f>
        <v/>
      </c>
      <c r="AH30" s="8" t="str">
        <f t="shared" si="2"/>
        <v/>
      </c>
    </row>
    <row r="31" spans="31:34" x14ac:dyDescent="0.25">
      <c r="AE31" s="8" t="str">
        <f t="shared" si="0"/>
        <v/>
      </c>
      <c r="AF31" s="8" t="str">
        <f t="shared" si="1"/>
        <v/>
      </c>
      <c r="AG31" s="8" t="str">
        <f>IF(TRIM($E31)&lt;&gt;"Tax Paid","",IF(COUNTIFS(LISTS!$F$2:$F$26,$AE31,LISTS!$G$2:$G$26,$AF31)=0,"NOT ON LIST",""))</f>
        <v/>
      </c>
      <c r="AH31" s="8" t="str">
        <f t="shared" si="2"/>
        <v/>
      </c>
    </row>
    <row r="32" spans="31:34" x14ac:dyDescent="0.25">
      <c r="AE32" s="8" t="str">
        <f t="shared" si="0"/>
        <v/>
      </c>
      <c r="AF32" s="8" t="str">
        <f t="shared" si="1"/>
        <v/>
      </c>
      <c r="AG32" s="8" t="str">
        <f>IF(TRIM($E32)&lt;&gt;"Tax Paid","",IF(COUNTIFS(LISTS!$F$2:$F$26,$AE32,LISTS!$G$2:$G$26,$AF32)=0,"NOT ON LIST",""))</f>
        <v/>
      </c>
      <c r="AH32" s="8" t="str">
        <f t="shared" si="2"/>
        <v/>
      </c>
    </row>
    <row r="33" spans="31:34" x14ac:dyDescent="0.25">
      <c r="AE33" s="8" t="str">
        <f t="shared" si="0"/>
        <v/>
      </c>
      <c r="AF33" s="8" t="str">
        <f t="shared" si="1"/>
        <v/>
      </c>
      <c r="AG33" s="8" t="str">
        <f>IF(TRIM($E33)&lt;&gt;"Tax Paid","",IF(COUNTIFS(LISTS!$F$2:$F$26,$AE33,LISTS!$G$2:$G$26,$AF33)=0,"NOT ON LIST",""))</f>
        <v/>
      </c>
      <c r="AH33" s="8" t="str">
        <f t="shared" si="2"/>
        <v/>
      </c>
    </row>
    <row r="34" spans="31:34" x14ac:dyDescent="0.25">
      <c r="AE34" s="8" t="str">
        <f t="shared" si="0"/>
        <v/>
      </c>
      <c r="AF34" s="8" t="str">
        <f t="shared" si="1"/>
        <v/>
      </c>
      <c r="AG34" s="8" t="str">
        <f>IF(TRIM($E34)&lt;&gt;"Tax Paid","",IF(COUNTIFS(LISTS!$F$2:$F$26,$AE34,LISTS!$G$2:$G$26,$AF34)=0,"NOT ON LIST",""))</f>
        <v/>
      </c>
      <c r="AH34" s="8" t="str">
        <f t="shared" si="2"/>
        <v/>
      </c>
    </row>
    <row r="35" spans="31:34" x14ac:dyDescent="0.25">
      <c r="AE35" s="8" t="str">
        <f t="shared" si="0"/>
        <v/>
      </c>
      <c r="AF35" s="8" t="str">
        <f t="shared" si="1"/>
        <v/>
      </c>
      <c r="AG35" s="8" t="str">
        <f>IF(TRIM($E35)&lt;&gt;"Tax Paid","",IF(COUNTIFS(LISTS!$F$2:$F$26,$AE35,LISTS!$G$2:$G$26,$AF35)=0,"NOT ON LIST",""))</f>
        <v/>
      </c>
      <c r="AH35" s="8" t="str">
        <f t="shared" si="2"/>
        <v/>
      </c>
    </row>
    <row r="36" spans="31:34" x14ac:dyDescent="0.25">
      <c r="AE36" s="8" t="str">
        <f t="shared" si="0"/>
        <v/>
      </c>
      <c r="AF36" s="8" t="str">
        <f t="shared" si="1"/>
        <v/>
      </c>
      <c r="AG36" s="8" t="str">
        <f>IF(TRIM($E36)&lt;&gt;"Tax Paid","",IF(COUNTIFS(LISTS!$F$2:$F$26,$AE36,LISTS!$G$2:$G$26,$AF36)=0,"NOT ON LIST",""))</f>
        <v/>
      </c>
      <c r="AH36" s="8" t="str">
        <f t="shared" si="2"/>
        <v/>
      </c>
    </row>
    <row r="37" spans="31:34" x14ac:dyDescent="0.25">
      <c r="AE37" s="8" t="str">
        <f t="shared" si="0"/>
        <v/>
      </c>
      <c r="AF37" s="8" t="str">
        <f t="shared" si="1"/>
        <v/>
      </c>
      <c r="AG37" s="8" t="str">
        <f>IF(TRIM($E37)&lt;&gt;"Tax Paid","",IF(COUNTIFS(LISTS!$F$2:$F$26,$AE37,LISTS!$G$2:$G$26,$AF37)=0,"NOT ON LIST",""))</f>
        <v/>
      </c>
      <c r="AH37" s="8" t="str">
        <f t="shared" si="2"/>
        <v/>
      </c>
    </row>
    <row r="38" spans="31:34" x14ac:dyDescent="0.25">
      <c r="AE38" s="8" t="str">
        <f t="shared" si="0"/>
        <v/>
      </c>
      <c r="AF38" s="8" t="str">
        <f t="shared" si="1"/>
        <v/>
      </c>
      <c r="AG38" s="8" t="str">
        <f>IF(TRIM($E38)&lt;&gt;"Tax Paid","",IF(COUNTIFS(LISTS!$F$2:$F$26,$AE38,LISTS!$G$2:$G$26,$AF38)=0,"NOT ON LIST",""))</f>
        <v/>
      </c>
      <c r="AH38" s="8" t="str">
        <f t="shared" si="2"/>
        <v/>
      </c>
    </row>
    <row r="39" spans="31:34" x14ac:dyDescent="0.25">
      <c r="AE39" s="8" t="str">
        <f t="shared" si="0"/>
        <v/>
      </c>
      <c r="AF39" s="8" t="str">
        <f t="shared" si="1"/>
        <v/>
      </c>
      <c r="AG39" s="8" t="str">
        <f>IF(TRIM($E39)&lt;&gt;"Tax Paid","",IF(COUNTIFS(LISTS!$F$2:$F$26,$AE39,LISTS!$G$2:$G$26,$AF39)=0,"NOT ON LIST",""))</f>
        <v/>
      </c>
      <c r="AH39" s="8" t="str">
        <f t="shared" si="2"/>
        <v/>
      </c>
    </row>
    <row r="40" spans="31:34" x14ac:dyDescent="0.25">
      <c r="AE40" s="8" t="str">
        <f t="shared" si="0"/>
        <v/>
      </c>
      <c r="AF40" s="8" t="str">
        <f t="shared" si="1"/>
        <v/>
      </c>
      <c r="AG40" s="8" t="str">
        <f>IF(TRIM($E40)&lt;&gt;"Tax Paid","",IF(COUNTIFS(LISTS!$F$2:$F$26,$AE40,LISTS!$G$2:$G$26,$AF40)=0,"NOT ON LIST",""))</f>
        <v/>
      </c>
      <c r="AH40" s="8" t="str">
        <f t="shared" si="2"/>
        <v/>
      </c>
    </row>
    <row r="41" spans="31:34" x14ac:dyDescent="0.25">
      <c r="AE41" s="8" t="str">
        <f t="shared" si="0"/>
        <v/>
      </c>
      <c r="AF41" s="8" t="str">
        <f t="shared" si="1"/>
        <v/>
      </c>
      <c r="AG41" s="8" t="str">
        <f>IF(TRIM($E41)&lt;&gt;"Tax Paid","",IF(COUNTIFS(LISTS!$F$2:$F$26,$AE41,LISTS!$G$2:$G$26,$AF41)=0,"NOT ON LIST",""))</f>
        <v/>
      </c>
      <c r="AH41" s="8" t="str">
        <f t="shared" si="2"/>
        <v/>
      </c>
    </row>
    <row r="42" spans="31:34" x14ac:dyDescent="0.25">
      <c r="AE42" s="8" t="str">
        <f t="shared" si="0"/>
        <v/>
      </c>
      <c r="AF42" s="8" t="str">
        <f t="shared" si="1"/>
        <v/>
      </c>
      <c r="AG42" s="8" t="str">
        <f>IF(TRIM($E42)&lt;&gt;"Tax Paid","",IF(COUNTIFS(LISTS!$F$2:$F$26,$AE42,LISTS!$G$2:$G$26,$AF42)=0,"NOT ON LIST",""))</f>
        <v/>
      </c>
      <c r="AH42" s="8" t="str">
        <f t="shared" si="2"/>
        <v/>
      </c>
    </row>
    <row r="43" spans="31:34" x14ac:dyDescent="0.25">
      <c r="AE43" s="8" t="str">
        <f t="shared" si="0"/>
        <v/>
      </c>
      <c r="AF43" s="8" t="str">
        <f t="shared" si="1"/>
        <v/>
      </c>
      <c r="AG43" s="8" t="str">
        <f>IF(TRIM($E43)&lt;&gt;"Tax Paid","",IF(COUNTIFS(LISTS!$F$2:$F$26,$AE43,LISTS!$G$2:$G$26,$AF43)=0,"NOT ON LIST",""))</f>
        <v/>
      </c>
      <c r="AH43" s="8" t="str">
        <f t="shared" si="2"/>
        <v/>
      </c>
    </row>
    <row r="44" spans="31:34" x14ac:dyDescent="0.25">
      <c r="AE44" s="8" t="str">
        <f t="shared" si="0"/>
        <v/>
      </c>
      <c r="AF44" s="8" t="str">
        <f t="shared" si="1"/>
        <v/>
      </c>
      <c r="AG44" s="8" t="str">
        <f>IF(TRIM($E44)&lt;&gt;"Tax Paid","",IF(COUNTIFS(LISTS!$F$2:$F$26,$AE44,LISTS!$G$2:$G$26,$AF44)=0,"NOT ON LIST",""))</f>
        <v/>
      </c>
      <c r="AH44" s="8" t="str">
        <f t="shared" si="2"/>
        <v/>
      </c>
    </row>
    <row r="45" spans="31:34" x14ac:dyDescent="0.25">
      <c r="AE45" s="8" t="str">
        <f t="shared" si="0"/>
        <v/>
      </c>
      <c r="AF45" s="8" t="str">
        <f t="shared" si="1"/>
        <v/>
      </c>
      <c r="AG45" s="8" t="str">
        <f>IF(TRIM($E45)&lt;&gt;"Tax Paid","",IF(COUNTIFS(LISTS!$F$2:$F$26,$AE45,LISTS!$G$2:$G$26,$AF45)=0,"NOT ON LIST",""))</f>
        <v/>
      </c>
      <c r="AH45" s="8" t="str">
        <f t="shared" si="2"/>
        <v/>
      </c>
    </row>
    <row r="46" spans="31:34" x14ac:dyDescent="0.25">
      <c r="AE46" s="8" t="str">
        <f t="shared" si="0"/>
        <v/>
      </c>
      <c r="AF46" s="8" t="str">
        <f t="shared" si="1"/>
        <v/>
      </c>
      <c r="AG46" s="8" t="str">
        <f>IF(TRIM($E46)&lt;&gt;"Tax Paid","",IF(COUNTIFS(LISTS!$F$2:$F$26,$AE46,LISTS!$G$2:$G$26,$AF46)=0,"NOT ON LIST",""))</f>
        <v/>
      </c>
      <c r="AH46" s="8" t="str">
        <f t="shared" si="2"/>
        <v/>
      </c>
    </row>
    <row r="47" spans="31:34" x14ac:dyDescent="0.25">
      <c r="AE47" s="8" t="str">
        <f t="shared" si="0"/>
        <v/>
      </c>
      <c r="AF47" s="8" t="str">
        <f t="shared" si="1"/>
        <v/>
      </c>
      <c r="AG47" s="8" t="str">
        <f>IF(TRIM($E47)&lt;&gt;"Tax Paid","",IF(COUNTIFS(LISTS!$F$2:$F$26,$AE47,LISTS!$G$2:$G$26,$AF47)=0,"NOT ON LIST",""))</f>
        <v/>
      </c>
      <c r="AH47" s="8" t="str">
        <f t="shared" si="2"/>
        <v/>
      </c>
    </row>
    <row r="48" spans="31:34" x14ac:dyDescent="0.25">
      <c r="AE48" s="8" t="str">
        <f t="shared" si="0"/>
        <v/>
      </c>
      <c r="AF48" s="8" t="str">
        <f t="shared" si="1"/>
        <v/>
      </c>
      <c r="AG48" s="8" t="str">
        <f>IF(TRIM($E48)&lt;&gt;"Tax Paid","",IF(COUNTIFS(LISTS!$F$2:$F$26,$AE48,LISTS!$G$2:$G$26,$AF48)=0,"NOT ON LIST",""))</f>
        <v/>
      </c>
      <c r="AH48" s="8" t="str">
        <f t="shared" si="2"/>
        <v/>
      </c>
    </row>
    <row r="49" spans="31:34" x14ac:dyDescent="0.25">
      <c r="AE49" s="8" t="str">
        <f t="shared" si="0"/>
        <v/>
      </c>
      <c r="AF49" s="8" t="str">
        <f t="shared" si="1"/>
        <v/>
      </c>
      <c r="AG49" s="8" t="str">
        <f>IF(TRIM($E49)&lt;&gt;"Tax Paid","",IF(COUNTIFS(LISTS!$F$2:$F$26,$AE49,LISTS!$G$2:$G$26,$AF49)=0,"NOT ON LIST",""))</f>
        <v/>
      </c>
      <c r="AH49" s="8" t="str">
        <f t="shared" si="2"/>
        <v/>
      </c>
    </row>
    <row r="50" spans="31:34" x14ac:dyDescent="0.25">
      <c r="AE50" s="8" t="str">
        <f t="shared" si="0"/>
        <v/>
      </c>
      <c r="AF50" s="8" t="str">
        <f t="shared" si="1"/>
        <v/>
      </c>
      <c r="AG50" s="8" t="str">
        <f>IF(TRIM($E50)&lt;&gt;"Tax Paid","",IF(COUNTIFS(LISTS!$F$2:$F$26,$AE50,LISTS!$G$2:$G$26,$AF50)=0,"NOT ON LIST",""))</f>
        <v/>
      </c>
      <c r="AH50" s="8" t="str">
        <f t="shared" si="2"/>
        <v/>
      </c>
    </row>
    <row r="51" spans="31:34" x14ac:dyDescent="0.25">
      <c r="AE51" s="8" t="str">
        <f t="shared" si="0"/>
        <v/>
      </c>
      <c r="AF51" s="8" t="str">
        <f t="shared" si="1"/>
        <v/>
      </c>
      <c r="AG51" s="8" t="str">
        <f>IF(TRIM($E51)&lt;&gt;"Tax Paid","",IF(COUNTIFS(LISTS!$F$2:$F$26,$AE51,LISTS!$G$2:$G$26,$AF51)=0,"NOT ON LIST",""))</f>
        <v/>
      </c>
      <c r="AH51" s="8" t="str">
        <f t="shared" si="2"/>
        <v/>
      </c>
    </row>
    <row r="52" spans="31:34" x14ac:dyDescent="0.25">
      <c r="AE52" s="8" t="str">
        <f t="shared" si="0"/>
        <v/>
      </c>
      <c r="AF52" s="8" t="str">
        <f t="shared" si="1"/>
        <v/>
      </c>
      <c r="AG52" s="8" t="str">
        <f>IF(TRIM($E52)&lt;&gt;"Tax Paid","",IF(COUNTIFS(LISTS!$F$2:$F$26,$AE52,LISTS!$G$2:$G$26,$AF52)=0,"NOT ON LIST",""))</f>
        <v/>
      </c>
      <c r="AH52" s="8" t="str">
        <f t="shared" si="2"/>
        <v/>
      </c>
    </row>
    <row r="53" spans="31:34" x14ac:dyDescent="0.25">
      <c r="AE53" s="8" t="str">
        <f t="shared" si="0"/>
        <v/>
      </c>
      <c r="AF53" s="8" t="str">
        <f t="shared" si="1"/>
        <v/>
      </c>
      <c r="AG53" s="8" t="str">
        <f>IF(TRIM($E53)&lt;&gt;"Tax Paid","",IF(COUNTIFS(LISTS!$F$2:$F$26,$AE53,LISTS!$G$2:$G$26,$AF53)=0,"NOT ON LIST",""))</f>
        <v/>
      </c>
      <c r="AH53" s="8" t="str">
        <f t="shared" si="2"/>
        <v/>
      </c>
    </row>
    <row r="54" spans="31:34" x14ac:dyDescent="0.25">
      <c r="AE54" s="8" t="str">
        <f t="shared" si="0"/>
        <v/>
      </c>
      <c r="AF54" s="8" t="str">
        <f t="shared" si="1"/>
        <v/>
      </c>
      <c r="AG54" s="8" t="str">
        <f>IF(TRIM($E54)&lt;&gt;"Tax Paid","",IF(COUNTIFS(LISTS!$F$2:$F$26,$AE54,LISTS!$G$2:$G$26,$AF54)=0,"NOT ON LIST",""))</f>
        <v/>
      </c>
      <c r="AH54" s="8" t="str">
        <f t="shared" si="2"/>
        <v/>
      </c>
    </row>
    <row r="55" spans="31:34" x14ac:dyDescent="0.25">
      <c r="AE55" s="8" t="str">
        <f t="shared" si="0"/>
        <v/>
      </c>
      <c r="AF55" s="8" t="str">
        <f t="shared" si="1"/>
        <v/>
      </c>
      <c r="AG55" s="8" t="str">
        <f>IF(TRIM($E55)&lt;&gt;"Tax Paid","",IF(COUNTIFS(LISTS!$F$2:$F$26,$AE55,LISTS!$G$2:$G$26,$AF55)=0,"NOT ON LIST",""))</f>
        <v/>
      </c>
      <c r="AH55" s="8" t="str">
        <f t="shared" si="2"/>
        <v/>
      </c>
    </row>
    <row r="56" spans="31:34" x14ac:dyDescent="0.25">
      <c r="AE56" s="8" t="str">
        <f t="shared" si="0"/>
        <v/>
      </c>
      <c r="AF56" s="8" t="str">
        <f t="shared" si="1"/>
        <v/>
      </c>
      <c r="AG56" s="8" t="str">
        <f>IF(TRIM($E56)&lt;&gt;"Tax Paid","",IF(COUNTIFS(LISTS!$F$2:$F$26,$AE56,LISTS!$G$2:$G$26,$AF56)=0,"NOT ON LIST",""))</f>
        <v/>
      </c>
      <c r="AH56" s="8" t="str">
        <f t="shared" si="2"/>
        <v/>
      </c>
    </row>
    <row r="57" spans="31:34" x14ac:dyDescent="0.25">
      <c r="AE57" s="8" t="str">
        <f t="shared" si="0"/>
        <v/>
      </c>
      <c r="AF57" s="8" t="str">
        <f t="shared" si="1"/>
        <v/>
      </c>
      <c r="AG57" s="8" t="str">
        <f>IF(TRIM($E57)&lt;&gt;"Tax Paid","",IF(COUNTIFS(LISTS!$F$2:$F$26,$AE57,LISTS!$G$2:$G$26,$AF57)=0,"NOT ON LIST",""))</f>
        <v/>
      </c>
      <c r="AH57" s="8" t="str">
        <f t="shared" si="2"/>
        <v/>
      </c>
    </row>
    <row r="58" spans="31:34" x14ac:dyDescent="0.25">
      <c r="AE58" s="8" t="str">
        <f t="shared" si="0"/>
        <v/>
      </c>
      <c r="AF58" s="8" t="str">
        <f t="shared" si="1"/>
        <v/>
      </c>
      <c r="AG58" s="8" t="str">
        <f>IF(TRIM($E58)&lt;&gt;"Tax Paid","",IF(COUNTIFS(LISTS!$F$2:$F$26,$AE58,LISTS!$G$2:$G$26,$AF58)=0,"NOT ON LIST",""))</f>
        <v/>
      </c>
      <c r="AH58" s="8" t="str">
        <f t="shared" si="2"/>
        <v/>
      </c>
    </row>
    <row r="59" spans="31:34" x14ac:dyDescent="0.25">
      <c r="AE59" s="8" t="str">
        <f t="shared" si="0"/>
        <v/>
      </c>
      <c r="AF59" s="8" t="str">
        <f t="shared" si="1"/>
        <v/>
      </c>
      <c r="AG59" s="8" t="str">
        <f>IF(TRIM($E59)&lt;&gt;"Tax Paid","",IF(COUNTIFS(LISTS!$F$2:$F$26,$AE59,LISTS!$G$2:$G$26,$AF59)=0,"NOT ON LIST",""))</f>
        <v/>
      </c>
      <c r="AH59" s="8" t="str">
        <f t="shared" si="2"/>
        <v/>
      </c>
    </row>
    <row r="60" spans="31:34" x14ac:dyDescent="0.25">
      <c r="AE60" s="8" t="str">
        <f t="shared" si="0"/>
        <v/>
      </c>
      <c r="AF60" s="8" t="str">
        <f t="shared" si="1"/>
        <v/>
      </c>
      <c r="AG60" s="8" t="str">
        <f>IF(TRIM($E60)&lt;&gt;"Tax Paid","",IF(COUNTIFS(LISTS!$F$2:$F$26,$AE60,LISTS!$G$2:$G$26,$AF60)=0,"NOT ON LIST",""))</f>
        <v/>
      </c>
      <c r="AH60" s="8" t="str">
        <f t="shared" si="2"/>
        <v/>
      </c>
    </row>
    <row r="61" spans="31:34" x14ac:dyDescent="0.25">
      <c r="AE61" s="8" t="str">
        <f t="shared" si="0"/>
        <v/>
      </c>
      <c r="AF61" s="8" t="str">
        <f t="shared" si="1"/>
        <v/>
      </c>
      <c r="AG61" s="8" t="str">
        <f>IF(TRIM($E61)&lt;&gt;"Tax Paid","",IF(COUNTIFS(LISTS!$F$2:$F$26,$AE61,LISTS!$G$2:$G$26,$AF61)=0,"NOT ON LIST",""))</f>
        <v/>
      </c>
      <c r="AH61" s="8" t="str">
        <f t="shared" si="2"/>
        <v/>
      </c>
    </row>
    <row r="62" spans="31:34" x14ac:dyDescent="0.25">
      <c r="AE62" s="8" t="str">
        <f t="shared" si="0"/>
        <v/>
      </c>
      <c r="AF62" s="8" t="str">
        <f t="shared" si="1"/>
        <v/>
      </c>
      <c r="AG62" s="8" t="str">
        <f>IF(TRIM($E62)&lt;&gt;"Tax Paid","",IF(COUNTIFS(LISTS!$F$2:$F$26,$AE62,LISTS!$G$2:$G$26,$AF62)=0,"NOT ON LIST",""))</f>
        <v/>
      </c>
      <c r="AH62" s="8" t="str">
        <f t="shared" si="2"/>
        <v/>
      </c>
    </row>
    <row r="63" spans="31:34" x14ac:dyDescent="0.25">
      <c r="AE63" s="8" t="str">
        <f t="shared" si="0"/>
        <v/>
      </c>
      <c r="AF63" s="8" t="str">
        <f t="shared" si="1"/>
        <v/>
      </c>
      <c r="AG63" s="8" t="str">
        <f>IF(TRIM($E63)&lt;&gt;"Tax Paid","",IF(COUNTIFS(LISTS!$F$2:$F$26,$AE63,LISTS!$G$2:$G$26,$AF63)=0,"NOT ON LIST",""))</f>
        <v/>
      </c>
      <c r="AH63" s="8" t="str">
        <f t="shared" si="2"/>
        <v/>
      </c>
    </row>
    <row r="64" spans="31:34" x14ac:dyDescent="0.25">
      <c r="AE64" s="8" t="str">
        <f t="shared" si="0"/>
        <v/>
      </c>
      <c r="AF64" s="8" t="str">
        <f t="shared" si="1"/>
        <v/>
      </c>
      <c r="AG64" s="8" t="str">
        <f>IF(TRIM($E64)&lt;&gt;"Tax Paid","",IF(COUNTIFS(LISTS!$F$2:$F$26,$AE64,LISTS!$G$2:$G$26,$AF64)=0,"NOT ON LIST",""))</f>
        <v/>
      </c>
      <c r="AH64" s="8" t="str">
        <f t="shared" si="2"/>
        <v/>
      </c>
    </row>
    <row r="65" spans="31:34" x14ac:dyDescent="0.25">
      <c r="AE65" s="8" t="str">
        <f t="shared" si="0"/>
        <v/>
      </c>
      <c r="AF65" s="8" t="str">
        <f t="shared" si="1"/>
        <v/>
      </c>
      <c r="AG65" s="8" t="str">
        <f>IF(TRIM($E65)&lt;&gt;"Tax Paid","",IF(COUNTIFS(LISTS!$F$2:$F$26,$AE65,LISTS!$G$2:$G$26,$AF65)=0,"NOT ON LIST",""))</f>
        <v/>
      </c>
      <c r="AH65" s="8" t="str">
        <f t="shared" si="2"/>
        <v/>
      </c>
    </row>
    <row r="66" spans="31:34" x14ac:dyDescent="0.25">
      <c r="AE66" s="8" t="str">
        <f t="shared" ref="AE66:AE129" si="3">IF(TRIM($E66)="Tax Paid",TRIM($S66),"")</f>
        <v/>
      </c>
      <c r="AF66" s="8" t="str">
        <f t="shared" ref="AF66:AF129" si="4">IF(TRIM($E66)="Tax Paid",ROUND($Z66/100,5),"")</f>
        <v/>
      </c>
      <c r="AG66" s="8" t="str">
        <f>IF(TRIM($E66)&lt;&gt;"Tax Paid","",IF(COUNTIFS(LISTS!$F$2:$F$26,$AE66,LISTS!$G$2:$G$26,$AF66)=0,"NOT ON LIST",""))</f>
        <v/>
      </c>
      <c r="AH66" s="8" t="str">
        <f t="shared" ref="AH66:AH129" si="5">IF($AG66="","",IF($AE66="","(no county)",$AE66)&amp;" ("&amp;SUBSTITUTE(TEXT($AF66,"0.###%"),".%","%")&amp;")")</f>
        <v/>
      </c>
    </row>
    <row r="67" spans="31:34" x14ac:dyDescent="0.25">
      <c r="AE67" s="8" t="str">
        <f t="shared" si="3"/>
        <v/>
      </c>
      <c r="AF67" s="8" t="str">
        <f t="shared" si="4"/>
        <v/>
      </c>
      <c r="AG67" s="8" t="str">
        <f>IF(TRIM($E67)&lt;&gt;"Tax Paid","",IF(COUNTIFS(LISTS!$F$2:$F$26,$AE67,LISTS!$G$2:$G$26,$AF67)=0,"NOT ON LIST",""))</f>
        <v/>
      </c>
      <c r="AH67" s="8" t="str">
        <f t="shared" si="5"/>
        <v/>
      </c>
    </row>
    <row r="68" spans="31:34" x14ac:dyDescent="0.25">
      <c r="AE68" s="8" t="str">
        <f t="shared" si="3"/>
        <v/>
      </c>
      <c r="AF68" s="8" t="str">
        <f t="shared" si="4"/>
        <v/>
      </c>
      <c r="AG68" s="8" t="str">
        <f>IF(TRIM($E68)&lt;&gt;"Tax Paid","",IF(COUNTIFS(LISTS!$F$2:$F$26,$AE68,LISTS!$G$2:$G$26,$AF68)=0,"NOT ON LIST",""))</f>
        <v/>
      </c>
      <c r="AH68" s="8" t="str">
        <f t="shared" si="5"/>
        <v/>
      </c>
    </row>
    <row r="69" spans="31:34" x14ac:dyDescent="0.25">
      <c r="AE69" s="8" t="str">
        <f t="shared" si="3"/>
        <v/>
      </c>
      <c r="AF69" s="8" t="str">
        <f t="shared" si="4"/>
        <v/>
      </c>
      <c r="AG69" s="8" t="str">
        <f>IF(TRIM($E69)&lt;&gt;"Tax Paid","",IF(COUNTIFS(LISTS!$F$2:$F$26,$AE69,LISTS!$G$2:$G$26,$AF69)=0,"NOT ON LIST",""))</f>
        <v/>
      </c>
      <c r="AH69" s="8" t="str">
        <f t="shared" si="5"/>
        <v/>
      </c>
    </row>
    <row r="70" spans="31:34" x14ac:dyDescent="0.25">
      <c r="AE70" s="8" t="str">
        <f t="shared" si="3"/>
        <v/>
      </c>
      <c r="AF70" s="8" t="str">
        <f t="shared" si="4"/>
        <v/>
      </c>
      <c r="AG70" s="8" t="str">
        <f>IF(TRIM($E70)&lt;&gt;"Tax Paid","",IF(COUNTIFS(LISTS!$F$2:$F$26,$AE70,LISTS!$G$2:$G$26,$AF70)=0,"NOT ON LIST",""))</f>
        <v/>
      </c>
      <c r="AH70" s="8" t="str">
        <f t="shared" si="5"/>
        <v/>
      </c>
    </row>
    <row r="71" spans="31:34" x14ac:dyDescent="0.25">
      <c r="AE71" s="8" t="str">
        <f t="shared" si="3"/>
        <v/>
      </c>
      <c r="AF71" s="8" t="str">
        <f t="shared" si="4"/>
        <v/>
      </c>
      <c r="AG71" s="8" t="str">
        <f>IF(TRIM($E71)&lt;&gt;"Tax Paid","",IF(COUNTIFS(LISTS!$F$2:$F$26,$AE71,LISTS!$G$2:$G$26,$AF71)=0,"NOT ON LIST",""))</f>
        <v/>
      </c>
      <c r="AH71" s="8" t="str">
        <f t="shared" si="5"/>
        <v/>
      </c>
    </row>
    <row r="72" spans="31:34" x14ac:dyDescent="0.25">
      <c r="AE72" s="8" t="str">
        <f t="shared" si="3"/>
        <v/>
      </c>
      <c r="AF72" s="8" t="str">
        <f t="shared" si="4"/>
        <v/>
      </c>
      <c r="AG72" s="8" t="str">
        <f>IF(TRIM($E72)&lt;&gt;"Tax Paid","",IF(COUNTIFS(LISTS!$F$2:$F$26,$AE72,LISTS!$G$2:$G$26,$AF72)=0,"NOT ON LIST",""))</f>
        <v/>
      </c>
      <c r="AH72" s="8" t="str">
        <f t="shared" si="5"/>
        <v/>
      </c>
    </row>
    <row r="73" spans="31:34" x14ac:dyDescent="0.25">
      <c r="AE73" s="8" t="str">
        <f t="shared" si="3"/>
        <v/>
      </c>
      <c r="AF73" s="8" t="str">
        <f t="shared" si="4"/>
        <v/>
      </c>
      <c r="AG73" s="8" t="str">
        <f>IF(TRIM($E73)&lt;&gt;"Tax Paid","",IF(COUNTIFS(LISTS!$F$2:$F$26,$AE73,LISTS!$G$2:$G$26,$AF73)=0,"NOT ON LIST",""))</f>
        <v/>
      </c>
      <c r="AH73" s="8" t="str">
        <f t="shared" si="5"/>
        <v/>
      </c>
    </row>
    <row r="74" spans="31:34" x14ac:dyDescent="0.25">
      <c r="AE74" s="8" t="str">
        <f t="shared" si="3"/>
        <v/>
      </c>
      <c r="AF74" s="8" t="str">
        <f t="shared" si="4"/>
        <v/>
      </c>
      <c r="AG74" s="8" t="str">
        <f>IF(TRIM($E74)&lt;&gt;"Tax Paid","",IF(COUNTIFS(LISTS!$F$2:$F$26,$AE74,LISTS!$G$2:$G$26,$AF74)=0,"NOT ON LIST",""))</f>
        <v/>
      </c>
      <c r="AH74" s="8" t="str">
        <f t="shared" si="5"/>
        <v/>
      </c>
    </row>
    <row r="75" spans="31:34" x14ac:dyDescent="0.25">
      <c r="AE75" s="8" t="str">
        <f t="shared" si="3"/>
        <v/>
      </c>
      <c r="AF75" s="8" t="str">
        <f t="shared" si="4"/>
        <v/>
      </c>
      <c r="AG75" s="8" t="str">
        <f>IF(TRIM($E75)&lt;&gt;"Tax Paid","",IF(COUNTIFS(LISTS!$F$2:$F$26,$AE75,LISTS!$G$2:$G$26,$AF75)=0,"NOT ON LIST",""))</f>
        <v/>
      </c>
      <c r="AH75" s="8" t="str">
        <f t="shared" si="5"/>
        <v/>
      </c>
    </row>
    <row r="76" spans="31:34" x14ac:dyDescent="0.25">
      <c r="AE76" s="8" t="str">
        <f t="shared" si="3"/>
        <v/>
      </c>
      <c r="AF76" s="8" t="str">
        <f t="shared" si="4"/>
        <v/>
      </c>
      <c r="AG76" s="8" t="str">
        <f>IF(TRIM($E76)&lt;&gt;"Tax Paid","",IF(COUNTIFS(LISTS!$F$2:$F$26,$AE76,LISTS!$G$2:$G$26,$AF76)=0,"NOT ON LIST",""))</f>
        <v/>
      </c>
      <c r="AH76" s="8" t="str">
        <f t="shared" si="5"/>
        <v/>
      </c>
    </row>
    <row r="77" spans="31:34" x14ac:dyDescent="0.25">
      <c r="AE77" s="8" t="str">
        <f t="shared" si="3"/>
        <v/>
      </c>
      <c r="AF77" s="8" t="str">
        <f t="shared" si="4"/>
        <v/>
      </c>
      <c r="AG77" s="8" t="str">
        <f>IF(TRIM($E77)&lt;&gt;"Tax Paid","",IF(COUNTIFS(LISTS!$F$2:$F$26,$AE77,LISTS!$G$2:$G$26,$AF77)=0,"NOT ON LIST",""))</f>
        <v/>
      </c>
      <c r="AH77" s="8" t="str">
        <f t="shared" si="5"/>
        <v/>
      </c>
    </row>
    <row r="78" spans="31:34" x14ac:dyDescent="0.25">
      <c r="AE78" s="8" t="str">
        <f t="shared" si="3"/>
        <v/>
      </c>
      <c r="AF78" s="8" t="str">
        <f t="shared" si="4"/>
        <v/>
      </c>
      <c r="AG78" s="8" t="str">
        <f>IF(TRIM($E78)&lt;&gt;"Tax Paid","",IF(COUNTIFS(LISTS!$F$2:$F$26,$AE78,LISTS!$G$2:$G$26,$AF78)=0,"NOT ON LIST",""))</f>
        <v/>
      </c>
      <c r="AH78" s="8" t="str">
        <f t="shared" si="5"/>
        <v/>
      </c>
    </row>
    <row r="79" spans="31:34" x14ac:dyDescent="0.25">
      <c r="AE79" s="8" t="str">
        <f t="shared" si="3"/>
        <v/>
      </c>
      <c r="AF79" s="8" t="str">
        <f t="shared" si="4"/>
        <v/>
      </c>
      <c r="AG79" s="8" t="str">
        <f>IF(TRIM($E79)&lt;&gt;"Tax Paid","",IF(COUNTIFS(LISTS!$F$2:$F$26,$AE79,LISTS!$G$2:$G$26,$AF79)=0,"NOT ON LIST",""))</f>
        <v/>
      </c>
      <c r="AH79" s="8" t="str">
        <f t="shared" si="5"/>
        <v/>
      </c>
    </row>
    <row r="80" spans="31:34" x14ac:dyDescent="0.25">
      <c r="AE80" s="8" t="str">
        <f t="shared" si="3"/>
        <v/>
      </c>
      <c r="AF80" s="8" t="str">
        <f t="shared" si="4"/>
        <v/>
      </c>
      <c r="AG80" s="8" t="str">
        <f>IF(TRIM($E80)&lt;&gt;"Tax Paid","",IF(COUNTIFS(LISTS!$F$2:$F$26,$AE80,LISTS!$G$2:$G$26,$AF80)=0,"NOT ON LIST",""))</f>
        <v/>
      </c>
      <c r="AH80" s="8" t="str">
        <f t="shared" si="5"/>
        <v/>
      </c>
    </row>
    <row r="81" spans="31:34" x14ac:dyDescent="0.25">
      <c r="AE81" s="8" t="str">
        <f t="shared" si="3"/>
        <v/>
      </c>
      <c r="AF81" s="8" t="str">
        <f t="shared" si="4"/>
        <v/>
      </c>
      <c r="AG81" s="8" t="str">
        <f>IF(TRIM($E81)&lt;&gt;"Tax Paid","",IF(COUNTIFS(LISTS!$F$2:$F$26,$AE81,LISTS!$G$2:$G$26,$AF81)=0,"NOT ON LIST",""))</f>
        <v/>
      </c>
      <c r="AH81" s="8" t="str">
        <f t="shared" si="5"/>
        <v/>
      </c>
    </row>
    <row r="82" spans="31:34" x14ac:dyDescent="0.25">
      <c r="AE82" s="8" t="str">
        <f t="shared" si="3"/>
        <v/>
      </c>
      <c r="AF82" s="8" t="str">
        <f t="shared" si="4"/>
        <v/>
      </c>
      <c r="AG82" s="8" t="str">
        <f>IF(TRIM($E82)&lt;&gt;"Tax Paid","",IF(COUNTIFS(LISTS!$F$2:$F$26,$AE82,LISTS!$G$2:$G$26,$AF82)=0,"NOT ON LIST",""))</f>
        <v/>
      </c>
      <c r="AH82" s="8" t="str">
        <f t="shared" si="5"/>
        <v/>
      </c>
    </row>
    <row r="83" spans="31:34" x14ac:dyDescent="0.25">
      <c r="AE83" s="8" t="str">
        <f t="shared" si="3"/>
        <v/>
      </c>
      <c r="AF83" s="8" t="str">
        <f t="shared" si="4"/>
        <v/>
      </c>
      <c r="AG83" s="8" t="str">
        <f>IF(TRIM($E83)&lt;&gt;"Tax Paid","",IF(COUNTIFS(LISTS!$F$2:$F$26,$AE83,LISTS!$G$2:$G$26,$AF83)=0,"NOT ON LIST",""))</f>
        <v/>
      </c>
      <c r="AH83" s="8" t="str">
        <f t="shared" si="5"/>
        <v/>
      </c>
    </row>
    <row r="84" spans="31:34" x14ac:dyDescent="0.25">
      <c r="AE84" s="8" t="str">
        <f t="shared" si="3"/>
        <v/>
      </c>
      <c r="AF84" s="8" t="str">
        <f t="shared" si="4"/>
        <v/>
      </c>
      <c r="AG84" s="8" t="str">
        <f>IF(TRIM($E84)&lt;&gt;"Tax Paid","",IF(COUNTIFS(LISTS!$F$2:$F$26,$AE84,LISTS!$G$2:$G$26,$AF84)=0,"NOT ON LIST",""))</f>
        <v/>
      </c>
      <c r="AH84" s="8" t="str">
        <f t="shared" si="5"/>
        <v/>
      </c>
    </row>
    <row r="85" spans="31:34" x14ac:dyDescent="0.25">
      <c r="AE85" s="8" t="str">
        <f t="shared" si="3"/>
        <v/>
      </c>
      <c r="AF85" s="8" t="str">
        <f t="shared" si="4"/>
        <v/>
      </c>
      <c r="AG85" s="8" t="str">
        <f>IF(TRIM($E85)&lt;&gt;"Tax Paid","",IF(COUNTIFS(LISTS!$F$2:$F$26,$AE85,LISTS!$G$2:$G$26,$AF85)=0,"NOT ON LIST",""))</f>
        <v/>
      </c>
      <c r="AH85" s="8" t="str">
        <f t="shared" si="5"/>
        <v/>
      </c>
    </row>
    <row r="86" spans="31:34" x14ac:dyDescent="0.25">
      <c r="AE86" s="8" t="str">
        <f t="shared" si="3"/>
        <v/>
      </c>
      <c r="AF86" s="8" t="str">
        <f t="shared" si="4"/>
        <v/>
      </c>
      <c r="AG86" s="8" t="str">
        <f>IF(TRIM($E86)&lt;&gt;"Tax Paid","",IF(COUNTIFS(LISTS!$F$2:$F$26,$AE86,LISTS!$G$2:$G$26,$AF86)=0,"NOT ON LIST",""))</f>
        <v/>
      </c>
      <c r="AH86" s="8" t="str">
        <f t="shared" si="5"/>
        <v/>
      </c>
    </row>
    <row r="87" spans="31:34" x14ac:dyDescent="0.25">
      <c r="AE87" s="8" t="str">
        <f t="shared" si="3"/>
        <v/>
      </c>
      <c r="AF87" s="8" t="str">
        <f t="shared" si="4"/>
        <v/>
      </c>
      <c r="AG87" s="8" t="str">
        <f>IF(TRIM($E87)&lt;&gt;"Tax Paid","",IF(COUNTIFS(LISTS!$F$2:$F$26,$AE87,LISTS!$G$2:$G$26,$AF87)=0,"NOT ON LIST",""))</f>
        <v/>
      </c>
      <c r="AH87" s="8" t="str">
        <f t="shared" si="5"/>
        <v/>
      </c>
    </row>
    <row r="88" spans="31:34" x14ac:dyDescent="0.25">
      <c r="AE88" s="8" t="str">
        <f t="shared" si="3"/>
        <v/>
      </c>
      <c r="AF88" s="8" t="str">
        <f t="shared" si="4"/>
        <v/>
      </c>
      <c r="AG88" s="8" t="str">
        <f>IF(TRIM($E88)&lt;&gt;"Tax Paid","",IF(COUNTIFS(LISTS!$F$2:$F$26,$AE88,LISTS!$G$2:$G$26,$AF88)=0,"NOT ON LIST",""))</f>
        <v/>
      </c>
      <c r="AH88" s="8" t="str">
        <f t="shared" si="5"/>
        <v/>
      </c>
    </row>
    <row r="89" spans="31:34" x14ac:dyDescent="0.25">
      <c r="AE89" s="8" t="str">
        <f t="shared" si="3"/>
        <v/>
      </c>
      <c r="AF89" s="8" t="str">
        <f t="shared" si="4"/>
        <v/>
      </c>
      <c r="AG89" s="8" t="str">
        <f>IF(TRIM($E89)&lt;&gt;"Tax Paid","",IF(COUNTIFS(LISTS!$F$2:$F$26,$AE89,LISTS!$G$2:$G$26,$AF89)=0,"NOT ON LIST",""))</f>
        <v/>
      </c>
      <c r="AH89" s="8" t="str">
        <f t="shared" si="5"/>
        <v/>
      </c>
    </row>
    <row r="90" spans="31:34" x14ac:dyDescent="0.25">
      <c r="AE90" s="8" t="str">
        <f t="shared" si="3"/>
        <v/>
      </c>
      <c r="AF90" s="8" t="str">
        <f t="shared" si="4"/>
        <v/>
      </c>
      <c r="AG90" s="8" t="str">
        <f>IF(TRIM($E90)&lt;&gt;"Tax Paid","",IF(COUNTIFS(LISTS!$F$2:$F$26,$AE90,LISTS!$G$2:$G$26,$AF90)=0,"NOT ON LIST",""))</f>
        <v/>
      </c>
      <c r="AH90" s="8" t="str">
        <f t="shared" si="5"/>
        <v/>
      </c>
    </row>
    <row r="91" spans="31:34" x14ac:dyDescent="0.25">
      <c r="AE91" s="8" t="str">
        <f t="shared" si="3"/>
        <v/>
      </c>
      <c r="AF91" s="8" t="str">
        <f t="shared" si="4"/>
        <v/>
      </c>
      <c r="AG91" s="8" t="str">
        <f>IF(TRIM($E91)&lt;&gt;"Tax Paid","",IF(COUNTIFS(LISTS!$F$2:$F$26,$AE91,LISTS!$G$2:$G$26,$AF91)=0,"NOT ON LIST",""))</f>
        <v/>
      </c>
      <c r="AH91" s="8" t="str">
        <f t="shared" si="5"/>
        <v/>
      </c>
    </row>
    <row r="92" spans="31:34" x14ac:dyDescent="0.25">
      <c r="AE92" s="8" t="str">
        <f t="shared" si="3"/>
        <v/>
      </c>
      <c r="AF92" s="8" t="str">
        <f t="shared" si="4"/>
        <v/>
      </c>
      <c r="AG92" s="8" t="str">
        <f>IF(TRIM($E92)&lt;&gt;"Tax Paid","",IF(COUNTIFS(LISTS!$F$2:$F$26,$AE92,LISTS!$G$2:$G$26,$AF92)=0,"NOT ON LIST",""))</f>
        <v/>
      </c>
      <c r="AH92" s="8" t="str">
        <f t="shared" si="5"/>
        <v/>
      </c>
    </row>
    <row r="93" spans="31:34" x14ac:dyDescent="0.25">
      <c r="AE93" s="8" t="str">
        <f t="shared" si="3"/>
        <v/>
      </c>
      <c r="AF93" s="8" t="str">
        <f t="shared" si="4"/>
        <v/>
      </c>
      <c r="AG93" s="8" t="str">
        <f>IF(TRIM($E93)&lt;&gt;"Tax Paid","",IF(COUNTIFS(LISTS!$F$2:$F$26,$AE93,LISTS!$G$2:$G$26,$AF93)=0,"NOT ON LIST",""))</f>
        <v/>
      </c>
      <c r="AH93" s="8" t="str">
        <f t="shared" si="5"/>
        <v/>
      </c>
    </row>
    <row r="94" spans="31:34" x14ac:dyDescent="0.25">
      <c r="AE94" s="8" t="str">
        <f t="shared" si="3"/>
        <v/>
      </c>
      <c r="AF94" s="8" t="str">
        <f t="shared" si="4"/>
        <v/>
      </c>
      <c r="AG94" s="8" t="str">
        <f>IF(TRIM($E94)&lt;&gt;"Tax Paid","",IF(COUNTIFS(LISTS!$F$2:$F$26,$AE94,LISTS!$G$2:$G$26,$AF94)=0,"NOT ON LIST",""))</f>
        <v/>
      </c>
      <c r="AH94" s="8" t="str">
        <f t="shared" si="5"/>
        <v/>
      </c>
    </row>
    <row r="95" spans="31:34" x14ac:dyDescent="0.25">
      <c r="AE95" s="8" t="str">
        <f t="shared" si="3"/>
        <v/>
      </c>
      <c r="AF95" s="8" t="str">
        <f t="shared" si="4"/>
        <v/>
      </c>
      <c r="AG95" s="8" t="str">
        <f>IF(TRIM($E95)&lt;&gt;"Tax Paid","",IF(COUNTIFS(LISTS!$F$2:$F$26,$AE95,LISTS!$G$2:$G$26,$AF95)=0,"NOT ON LIST",""))</f>
        <v/>
      </c>
      <c r="AH95" s="8" t="str">
        <f t="shared" si="5"/>
        <v/>
      </c>
    </row>
    <row r="96" spans="31:34" x14ac:dyDescent="0.25">
      <c r="AE96" s="8" t="str">
        <f t="shared" si="3"/>
        <v/>
      </c>
      <c r="AF96" s="8" t="str">
        <f t="shared" si="4"/>
        <v/>
      </c>
      <c r="AG96" s="8" t="str">
        <f>IF(TRIM($E96)&lt;&gt;"Tax Paid","",IF(COUNTIFS(LISTS!$F$2:$F$26,$AE96,LISTS!$G$2:$G$26,$AF96)=0,"NOT ON LIST",""))</f>
        <v/>
      </c>
      <c r="AH96" s="8" t="str">
        <f t="shared" si="5"/>
        <v/>
      </c>
    </row>
    <row r="97" spans="31:34" x14ac:dyDescent="0.25">
      <c r="AE97" s="8" t="str">
        <f t="shared" si="3"/>
        <v/>
      </c>
      <c r="AF97" s="8" t="str">
        <f t="shared" si="4"/>
        <v/>
      </c>
      <c r="AG97" s="8" t="str">
        <f>IF(TRIM($E97)&lt;&gt;"Tax Paid","",IF(COUNTIFS(LISTS!$F$2:$F$26,$AE97,LISTS!$G$2:$G$26,$AF97)=0,"NOT ON LIST",""))</f>
        <v/>
      </c>
      <c r="AH97" s="8" t="str">
        <f t="shared" si="5"/>
        <v/>
      </c>
    </row>
    <row r="98" spans="31:34" x14ac:dyDescent="0.25">
      <c r="AE98" s="8" t="str">
        <f t="shared" si="3"/>
        <v/>
      </c>
      <c r="AF98" s="8" t="str">
        <f t="shared" si="4"/>
        <v/>
      </c>
      <c r="AG98" s="8" t="str">
        <f>IF(TRIM($E98)&lt;&gt;"Tax Paid","",IF(COUNTIFS(LISTS!$F$2:$F$26,$AE98,LISTS!$G$2:$G$26,$AF98)=0,"NOT ON LIST",""))</f>
        <v/>
      </c>
      <c r="AH98" s="8" t="str">
        <f t="shared" si="5"/>
        <v/>
      </c>
    </row>
    <row r="99" spans="31:34" x14ac:dyDescent="0.25">
      <c r="AE99" s="8" t="str">
        <f t="shared" si="3"/>
        <v/>
      </c>
      <c r="AF99" s="8" t="str">
        <f t="shared" si="4"/>
        <v/>
      </c>
      <c r="AG99" s="8" t="str">
        <f>IF(TRIM($E99)&lt;&gt;"Tax Paid","",IF(COUNTIFS(LISTS!$F$2:$F$26,$AE99,LISTS!$G$2:$G$26,$AF99)=0,"NOT ON LIST",""))</f>
        <v/>
      </c>
      <c r="AH99" s="8" t="str">
        <f t="shared" si="5"/>
        <v/>
      </c>
    </row>
    <row r="100" spans="31:34" x14ac:dyDescent="0.25">
      <c r="AE100" s="8" t="str">
        <f t="shared" si="3"/>
        <v/>
      </c>
      <c r="AF100" s="8" t="str">
        <f t="shared" si="4"/>
        <v/>
      </c>
      <c r="AG100" s="8" t="str">
        <f>IF(TRIM($E100)&lt;&gt;"Tax Paid","",IF(COUNTIFS(LISTS!$F$2:$F$26,$AE100,LISTS!$G$2:$G$26,$AF100)=0,"NOT ON LIST",""))</f>
        <v/>
      </c>
      <c r="AH100" s="8" t="str">
        <f t="shared" si="5"/>
        <v/>
      </c>
    </row>
    <row r="101" spans="31:34" x14ac:dyDescent="0.25">
      <c r="AE101" s="8" t="str">
        <f t="shared" si="3"/>
        <v/>
      </c>
      <c r="AF101" s="8" t="str">
        <f t="shared" si="4"/>
        <v/>
      </c>
      <c r="AG101" s="8" t="str">
        <f>IF(TRIM($E101)&lt;&gt;"Tax Paid","",IF(COUNTIFS(LISTS!$F$2:$F$26,$AE101,LISTS!$G$2:$G$26,$AF101)=0,"NOT ON LIST",""))</f>
        <v/>
      </c>
      <c r="AH101" s="8" t="str">
        <f t="shared" si="5"/>
        <v/>
      </c>
    </row>
    <row r="102" spans="31:34" x14ac:dyDescent="0.25">
      <c r="AE102" s="8" t="str">
        <f t="shared" si="3"/>
        <v/>
      </c>
      <c r="AF102" s="8" t="str">
        <f t="shared" si="4"/>
        <v/>
      </c>
      <c r="AG102" s="8" t="str">
        <f>IF(TRIM($E102)&lt;&gt;"Tax Paid","",IF(COUNTIFS(LISTS!$F$2:$F$26,$AE102,LISTS!$G$2:$G$26,$AF102)=0,"NOT ON LIST",""))</f>
        <v/>
      </c>
      <c r="AH102" s="8" t="str">
        <f t="shared" si="5"/>
        <v/>
      </c>
    </row>
    <row r="103" spans="31:34" x14ac:dyDescent="0.25">
      <c r="AE103" s="8" t="str">
        <f t="shared" si="3"/>
        <v/>
      </c>
      <c r="AF103" s="8" t="str">
        <f t="shared" si="4"/>
        <v/>
      </c>
      <c r="AG103" s="8" t="str">
        <f>IF(TRIM($E103)&lt;&gt;"Tax Paid","",IF(COUNTIFS(LISTS!$F$2:$F$26,$AE103,LISTS!$G$2:$G$26,$AF103)=0,"NOT ON LIST",""))</f>
        <v/>
      </c>
      <c r="AH103" s="8" t="str">
        <f t="shared" si="5"/>
        <v/>
      </c>
    </row>
    <row r="104" spans="31:34" x14ac:dyDescent="0.25">
      <c r="AE104" s="8" t="str">
        <f t="shared" si="3"/>
        <v/>
      </c>
      <c r="AF104" s="8" t="str">
        <f t="shared" si="4"/>
        <v/>
      </c>
      <c r="AG104" s="8" t="str">
        <f>IF(TRIM($E104)&lt;&gt;"Tax Paid","",IF(COUNTIFS(LISTS!$F$2:$F$26,$AE104,LISTS!$G$2:$G$26,$AF104)=0,"NOT ON LIST",""))</f>
        <v/>
      </c>
      <c r="AH104" s="8" t="str">
        <f t="shared" si="5"/>
        <v/>
      </c>
    </row>
    <row r="105" spans="31:34" x14ac:dyDescent="0.25">
      <c r="AE105" s="8" t="str">
        <f t="shared" si="3"/>
        <v/>
      </c>
      <c r="AF105" s="8" t="str">
        <f t="shared" si="4"/>
        <v/>
      </c>
      <c r="AG105" s="8" t="str">
        <f>IF(TRIM($E105)&lt;&gt;"Tax Paid","",IF(COUNTIFS(LISTS!$F$2:$F$26,$AE105,LISTS!$G$2:$G$26,$AF105)=0,"NOT ON LIST",""))</f>
        <v/>
      </c>
      <c r="AH105" s="8" t="str">
        <f t="shared" si="5"/>
        <v/>
      </c>
    </row>
    <row r="106" spans="31:34" x14ac:dyDescent="0.25">
      <c r="AE106" s="8" t="str">
        <f t="shared" si="3"/>
        <v/>
      </c>
      <c r="AF106" s="8" t="str">
        <f t="shared" si="4"/>
        <v/>
      </c>
      <c r="AG106" s="8" t="str">
        <f>IF(TRIM($E106)&lt;&gt;"Tax Paid","",IF(COUNTIFS(LISTS!$F$2:$F$26,$AE106,LISTS!$G$2:$G$26,$AF106)=0,"NOT ON LIST",""))</f>
        <v/>
      </c>
      <c r="AH106" s="8" t="str">
        <f t="shared" si="5"/>
        <v/>
      </c>
    </row>
    <row r="107" spans="31:34" x14ac:dyDescent="0.25">
      <c r="AE107" s="8" t="str">
        <f t="shared" si="3"/>
        <v/>
      </c>
      <c r="AF107" s="8" t="str">
        <f t="shared" si="4"/>
        <v/>
      </c>
      <c r="AG107" s="8" t="str">
        <f>IF(TRIM($E107)&lt;&gt;"Tax Paid","",IF(COUNTIFS(LISTS!$F$2:$F$26,$AE107,LISTS!$G$2:$G$26,$AF107)=0,"NOT ON LIST",""))</f>
        <v/>
      </c>
      <c r="AH107" s="8" t="str">
        <f t="shared" si="5"/>
        <v/>
      </c>
    </row>
    <row r="108" spans="31:34" x14ac:dyDescent="0.25">
      <c r="AE108" s="8" t="str">
        <f t="shared" si="3"/>
        <v/>
      </c>
      <c r="AF108" s="8" t="str">
        <f t="shared" si="4"/>
        <v/>
      </c>
      <c r="AG108" s="8" t="str">
        <f>IF(TRIM($E108)&lt;&gt;"Tax Paid","",IF(COUNTIFS(LISTS!$F$2:$F$26,$AE108,LISTS!$G$2:$G$26,$AF108)=0,"NOT ON LIST",""))</f>
        <v/>
      </c>
      <c r="AH108" s="8" t="str">
        <f t="shared" si="5"/>
        <v/>
      </c>
    </row>
    <row r="109" spans="31:34" x14ac:dyDescent="0.25">
      <c r="AE109" s="8" t="str">
        <f t="shared" si="3"/>
        <v/>
      </c>
      <c r="AF109" s="8" t="str">
        <f t="shared" si="4"/>
        <v/>
      </c>
      <c r="AG109" s="8" t="str">
        <f>IF(TRIM($E109)&lt;&gt;"Tax Paid","",IF(COUNTIFS(LISTS!$F$2:$F$26,$AE109,LISTS!$G$2:$G$26,$AF109)=0,"NOT ON LIST",""))</f>
        <v/>
      </c>
      <c r="AH109" s="8" t="str">
        <f t="shared" si="5"/>
        <v/>
      </c>
    </row>
    <row r="110" spans="31:34" x14ac:dyDescent="0.25">
      <c r="AE110" s="8" t="str">
        <f t="shared" si="3"/>
        <v/>
      </c>
      <c r="AF110" s="8" t="str">
        <f t="shared" si="4"/>
        <v/>
      </c>
      <c r="AG110" s="8" t="str">
        <f>IF(TRIM($E110)&lt;&gt;"Tax Paid","",IF(COUNTIFS(LISTS!$F$2:$F$26,$AE110,LISTS!$G$2:$G$26,$AF110)=0,"NOT ON LIST",""))</f>
        <v/>
      </c>
      <c r="AH110" s="8" t="str">
        <f t="shared" si="5"/>
        <v/>
      </c>
    </row>
    <row r="111" spans="31:34" x14ac:dyDescent="0.25">
      <c r="AE111" s="8" t="str">
        <f t="shared" si="3"/>
        <v/>
      </c>
      <c r="AF111" s="8" t="str">
        <f t="shared" si="4"/>
        <v/>
      </c>
      <c r="AG111" s="8" t="str">
        <f>IF(TRIM($E111)&lt;&gt;"Tax Paid","",IF(COUNTIFS(LISTS!$F$2:$F$26,$AE111,LISTS!$G$2:$G$26,$AF111)=0,"NOT ON LIST",""))</f>
        <v/>
      </c>
      <c r="AH111" s="8" t="str">
        <f t="shared" si="5"/>
        <v/>
      </c>
    </row>
    <row r="112" spans="31:34" x14ac:dyDescent="0.25">
      <c r="AE112" s="8" t="str">
        <f t="shared" si="3"/>
        <v/>
      </c>
      <c r="AF112" s="8" t="str">
        <f t="shared" si="4"/>
        <v/>
      </c>
      <c r="AG112" s="8" t="str">
        <f>IF(TRIM($E112)&lt;&gt;"Tax Paid","",IF(COUNTIFS(LISTS!$F$2:$F$26,$AE112,LISTS!$G$2:$G$26,$AF112)=0,"NOT ON LIST",""))</f>
        <v/>
      </c>
      <c r="AH112" s="8" t="str">
        <f t="shared" si="5"/>
        <v/>
      </c>
    </row>
    <row r="113" spans="31:34" x14ac:dyDescent="0.25">
      <c r="AE113" s="8" t="str">
        <f t="shared" si="3"/>
        <v/>
      </c>
      <c r="AF113" s="8" t="str">
        <f t="shared" si="4"/>
        <v/>
      </c>
      <c r="AG113" s="8" t="str">
        <f>IF(TRIM($E113)&lt;&gt;"Tax Paid","",IF(COUNTIFS(LISTS!$F$2:$F$26,$AE113,LISTS!$G$2:$G$26,$AF113)=0,"NOT ON LIST",""))</f>
        <v/>
      </c>
      <c r="AH113" s="8" t="str">
        <f t="shared" si="5"/>
        <v/>
      </c>
    </row>
    <row r="114" spans="31:34" x14ac:dyDescent="0.25">
      <c r="AE114" s="8" t="str">
        <f t="shared" si="3"/>
        <v/>
      </c>
      <c r="AF114" s="8" t="str">
        <f t="shared" si="4"/>
        <v/>
      </c>
      <c r="AG114" s="8" t="str">
        <f>IF(TRIM($E114)&lt;&gt;"Tax Paid","",IF(COUNTIFS(LISTS!$F$2:$F$26,$AE114,LISTS!$G$2:$G$26,$AF114)=0,"NOT ON LIST",""))</f>
        <v/>
      </c>
      <c r="AH114" s="8" t="str">
        <f t="shared" si="5"/>
        <v/>
      </c>
    </row>
    <row r="115" spans="31:34" x14ac:dyDescent="0.25">
      <c r="AE115" s="8" t="str">
        <f t="shared" si="3"/>
        <v/>
      </c>
      <c r="AF115" s="8" t="str">
        <f t="shared" si="4"/>
        <v/>
      </c>
      <c r="AG115" s="8" t="str">
        <f>IF(TRIM($E115)&lt;&gt;"Tax Paid","",IF(COUNTIFS(LISTS!$F$2:$F$26,$AE115,LISTS!$G$2:$G$26,$AF115)=0,"NOT ON LIST",""))</f>
        <v/>
      </c>
      <c r="AH115" s="8" t="str">
        <f t="shared" si="5"/>
        <v/>
      </c>
    </row>
    <row r="116" spans="31:34" x14ac:dyDescent="0.25">
      <c r="AE116" s="8" t="str">
        <f t="shared" si="3"/>
        <v/>
      </c>
      <c r="AF116" s="8" t="str">
        <f t="shared" si="4"/>
        <v/>
      </c>
      <c r="AG116" s="8" t="str">
        <f>IF(TRIM($E116)&lt;&gt;"Tax Paid","",IF(COUNTIFS(LISTS!$F$2:$F$26,$AE116,LISTS!$G$2:$G$26,$AF116)=0,"NOT ON LIST",""))</f>
        <v/>
      </c>
      <c r="AH116" s="8" t="str">
        <f t="shared" si="5"/>
        <v/>
      </c>
    </row>
    <row r="117" spans="31:34" x14ac:dyDescent="0.25">
      <c r="AE117" s="8" t="str">
        <f t="shared" si="3"/>
        <v/>
      </c>
      <c r="AF117" s="8" t="str">
        <f t="shared" si="4"/>
        <v/>
      </c>
      <c r="AG117" s="8" t="str">
        <f>IF(TRIM($E117)&lt;&gt;"Tax Paid","",IF(COUNTIFS(LISTS!$F$2:$F$26,$AE117,LISTS!$G$2:$G$26,$AF117)=0,"NOT ON LIST",""))</f>
        <v/>
      </c>
      <c r="AH117" s="8" t="str">
        <f t="shared" si="5"/>
        <v/>
      </c>
    </row>
    <row r="118" spans="31:34" x14ac:dyDescent="0.25">
      <c r="AE118" s="8" t="str">
        <f t="shared" si="3"/>
        <v/>
      </c>
      <c r="AF118" s="8" t="str">
        <f t="shared" si="4"/>
        <v/>
      </c>
      <c r="AG118" s="8" t="str">
        <f>IF(TRIM($E118)&lt;&gt;"Tax Paid","",IF(COUNTIFS(LISTS!$F$2:$F$26,$AE118,LISTS!$G$2:$G$26,$AF118)=0,"NOT ON LIST",""))</f>
        <v/>
      </c>
      <c r="AH118" s="8" t="str">
        <f t="shared" si="5"/>
        <v/>
      </c>
    </row>
    <row r="119" spans="31:34" x14ac:dyDescent="0.25">
      <c r="AE119" s="8" t="str">
        <f t="shared" si="3"/>
        <v/>
      </c>
      <c r="AF119" s="8" t="str">
        <f t="shared" si="4"/>
        <v/>
      </c>
      <c r="AG119" s="8" t="str">
        <f>IF(TRIM($E119)&lt;&gt;"Tax Paid","",IF(COUNTIFS(LISTS!$F$2:$F$26,$AE119,LISTS!$G$2:$G$26,$AF119)=0,"NOT ON LIST",""))</f>
        <v/>
      </c>
      <c r="AH119" s="8" t="str">
        <f t="shared" si="5"/>
        <v/>
      </c>
    </row>
    <row r="120" spans="31:34" x14ac:dyDescent="0.25">
      <c r="AE120" s="8" t="str">
        <f t="shared" si="3"/>
        <v/>
      </c>
      <c r="AF120" s="8" t="str">
        <f t="shared" si="4"/>
        <v/>
      </c>
      <c r="AG120" s="8" t="str">
        <f>IF(TRIM($E120)&lt;&gt;"Tax Paid","",IF(COUNTIFS(LISTS!$F$2:$F$26,$AE120,LISTS!$G$2:$G$26,$AF120)=0,"NOT ON LIST",""))</f>
        <v/>
      </c>
      <c r="AH120" s="8" t="str">
        <f t="shared" si="5"/>
        <v/>
      </c>
    </row>
    <row r="121" spans="31:34" x14ac:dyDescent="0.25">
      <c r="AE121" s="8" t="str">
        <f t="shared" si="3"/>
        <v/>
      </c>
      <c r="AF121" s="8" t="str">
        <f t="shared" si="4"/>
        <v/>
      </c>
      <c r="AG121" s="8" t="str">
        <f>IF(TRIM($E121)&lt;&gt;"Tax Paid","",IF(COUNTIFS(LISTS!$F$2:$F$26,$AE121,LISTS!$G$2:$G$26,$AF121)=0,"NOT ON LIST",""))</f>
        <v/>
      </c>
      <c r="AH121" s="8" t="str">
        <f t="shared" si="5"/>
        <v/>
      </c>
    </row>
    <row r="122" spans="31:34" x14ac:dyDescent="0.25">
      <c r="AE122" s="8" t="str">
        <f t="shared" si="3"/>
        <v/>
      </c>
      <c r="AF122" s="8" t="str">
        <f t="shared" si="4"/>
        <v/>
      </c>
      <c r="AG122" s="8" t="str">
        <f>IF(TRIM($E122)&lt;&gt;"Tax Paid","",IF(COUNTIFS(LISTS!$F$2:$F$26,$AE122,LISTS!$G$2:$G$26,$AF122)=0,"NOT ON LIST",""))</f>
        <v/>
      </c>
      <c r="AH122" s="8" t="str">
        <f t="shared" si="5"/>
        <v/>
      </c>
    </row>
    <row r="123" spans="31:34" x14ac:dyDescent="0.25">
      <c r="AE123" s="8" t="str">
        <f t="shared" si="3"/>
        <v/>
      </c>
      <c r="AF123" s="8" t="str">
        <f t="shared" si="4"/>
        <v/>
      </c>
      <c r="AG123" s="8" t="str">
        <f>IF(TRIM($E123)&lt;&gt;"Tax Paid","",IF(COUNTIFS(LISTS!$F$2:$F$26,$AE123,LISTS!$G$2:$G$26,$AF123)=0,"NOT ON LIST",""))</f>
        <v/>
      </c>
      <c r="AH123" s="8" t="str">
        <f t="shared" si="5"/>
        <v/>
      </c>
    </row>
    <row r="124" spans="31:34" x14ac:dyDescent="0.25">
      <c r="AE124" s="8" t="str">
        <f t="shared" si="3"/>
        <v/>
      </c>
      <c r="AF124" s="8" t="str">
        <f t="shared" si="4"/>
        <v/>
      </c>
      <c r="AG124" s="8" t="str">
        <f>IF(TRIM($E124)&lt;&gt;"Tax Paid","",IF(COUNTIFS(LISTS!$F$2:$F$26,$AE124,LISTS!$G$2:$G$26,$AF124)=0,"NOT ON LIST",""))</f>
        <v/>
      </c>
      <c r="AH124" s="8" t="str">
        <f t="shared" si="5"/>
        <v/>
      </c>
    </row>
    <row r="125" spans="31:34" x14ac:dyDescent="0.25">
      <c r="AE125" s="8" t="str">
        <f t="shared" si="3"/>
        <v/>
      </c>
      <c r="AF125" s="8" t="str">
        <f t="shared" si="4"/>
        <v/>
      </c>
      <c r="AG125" s="8" t="str">
        <f>IF(TRIM($E125)&lt;&gt;"Tax Paid","",IF(COUNTIFS(LISTS!$F$2:$F$26,$AE125,LISTS!$G$2:$G$26,$AF125)=0,"NOT ON LIST",""))</f>
        <v/>
      </c>
      <c r="AH125" s="8" t="str">
        <f t="shared" si="5"/>
        <v/>
      </c>
    </row>
    <row r="126" spans="31:34" x14ac:dyDescent="0.25">
      <c r="AE126" s="8" t="str">
        <f t="shared" si="3"/>
        <v/>
      </c>
      <c r="AF126" s="8" t="str">
        <f t="shared" si="4"/>
        <v/>
      </c>
      <c r="AG126" s="8" t="str">
        <f>IF(TRIM($E126)&lt;&gt;"Tax Paid","",IF(COUNTIFS(LISTS!$F$2:$F$26,$AE126,LISTS!$G$2:$G$26,$AF126)=0,"NOT ON LIST",""))</f>
        <v/>
      </c>
      <c r="AH126" s="8" t="str">
        <f t="shared" si="5"/>
        <v/>
      </c>
    </row>
    <row r="127" spans="31:34" x14ac:dyDescent="0.25">
      <c r="AE127" s="8" t="str">
        <f t="shared" si="3"/>
        <v/>
      </c>
      <c r="AF127" s="8" t="str">
        <f t="shared" si="4"/>
        <v/>
      </c>
      <c r="AG127" s="8" t="str">
        <f>IF(TRIM($E127)&lt;&gt;"Tax Paid","",IF(COUNTIFS(LISTS!$F$2:$F$26,$AE127,LISTS!$G$2:$G$26,$AF127)=0,"NOT ON LIST",""))</f>
        <v/>
      </c>
      <c r="AH127" s="8" t="str">
        <f t="shared" si="5"/>
        <v/>
      </c>
    </row>
    <row r="128" spans="31:34" x14ac:dyDescent="0.25">
      <c r="AE128" s="8" t="str">
        <f t="shared" si="3"/>
        <v/>
      </c>
      <c r="AF128" s="8" t="str">
        <f t="shared" si="4"/>
        <v/>
      </c>
      <c r="AG128" s="8" t="str">
        <f>IF(TRIM($E128)&lt;&gt;"Tax Paid","",IF(COUNTIFS(LISTS!$F$2:$F$26,$AE128,LISTS!$G$2:$G$26,$AF128)=0,"NOT ON LIST",""))</f>
        <v/>
      </c>
      <c r="AH128" s="8" t="str">
        <f t="shared" si="5"/>
        <v/>
      </c>
    </row>
    <row r="129" spans="31:34" x14ac:dyDescent="0.25">
      <c r="AE129" s="8" t="str">
        <f t="shared" si="3"/>
        <v/>
      </c>
      <c r="AF129" s="8" t="str">
        <f t="shared" si="4"/>
        <v/>
      </c>
      <c r="AG129" s="8" t="str">
        <f>IF(TRIM($E129)&lt;&gt;"Tax Paid","",IF(COUNTIFS(LISTS!$F$2:$F$26,$AE129,LISTS!$G$2:$G$26,$AF129)=0,"NOT ON LIST",""))</f>
        <v/>
      </c>
      <c r="AH129" s="8" t="str">
        <f t="shared" si="5"/>
        <v/>
      </c>
    </row>
    <row r="130" spans="31:34" x14ac:dyDescent="0.25">
      <c r="AE130" s="8" t="str">
        <f t="shared" ref="AE130:AE193" si="6">IF(TRIM($E130)="Tax Paid",TRIM($S130),"")</f>
        <v/>
      </c>
      <c r="AF130" s="8" t="str">
        <f t="shared" ref="AF130:AF193" si="7">IF(TRIM($E130)="Tax Paid",ROUND($Z130/100,5),"")</f>
        <v/>
      </c>
      <c r="AG130" s="8" t="str">
        <f>IF(TRIM($E130)&lt;&gt;"Tax Paid","",IF(COUNTIFS(LISTS!$F$2:$F$26,$AE130,LISTS!$G$2:$G$26,$AF130)=0,"NOT ON LIST",""))</f>
        <v/>
      </c>
      <c r="AH130" s="8" t="str">
        <f t="shared" ref="AH130:AH193" si="8">IF($AG130="","",IF($AE130="","(no county)",$AE130)&amp;" ("&amp;SUBSTITUTE(TEXT($AF130,"0.###%"),".%","%")&amp;")")</f>
        <v/>
      </c>
    </row>
    <row r="131" spans="31:34" x14ac:dyDescent="0.25">
      <c r="AE131" s="8" t="str">
        <f t="shared" si="6"/>
        <v/>
      </c>
      <c r="AF131" s="8" t="str">
        <f t="shared" si="7"/>
        <v/>
      </c>
      <c r="AG131" s="8" t="str">
        <f>IF(TRIM($E131)&lt;&gt;"Tax Paid","",IF(COUNTIFS(LISTS!$F$2:$F$26,$AE131,LISTS!$G$2:$G$26,$AF131)=0,"NOT ON LIST",""))</f>
        <v/>
      </c>
      <c r="AH131" s="8" t="str">
        <f t="shared" si="8"/>
        <v/>
      </c>
    </row>
    <row r="132" spans="31:34" x14ac:dyDescent="0.25">
      <c r="AE132" s="8" t="str">
        <f t="shared" si="6"/>
        <v/>
      </c>
      <c r="AF132" s="8" t="str">
        <f t="shared" si="7"/>
        <v/>
      </c>
      <c r="AG132" s="8" t="str">
        <f>IF(TRIM($E132)&lt;&gt;"Tax Paid","",IF(COUNTIFS(LISTS!$F$2:$F$26,$AE132,LISTS!$G$2:$G$26,$AF132)=0,"NOT ON LIST",""))</f>
        <v/>
      </c>
      <c r="AH132" s="8" t="str">
        <f t="shared" si="8"/>
        <v/>
      </c>
    </row>
    <row r="133" spans="31:34" x14ac:dyDescent="0.25">
      <c r="AE133" s="8" t="str">
        <f t="shared" si="6"/>
        <v/>
      </c>
      <c r="AF133" s="8" t="str">
        <f t="shared" si="7"/>
        <v/>
      </c>
      <c r="AG133" s="8" t="str">
        <f>IF(TRIM($E133)&lt;&gt;"Tax Paid","",IF(COUNTIFS(LISTS!$F$2:$F$26,$AE133,LISTS!$G$2:$G$26,$AF133)=0,"NOT ON LIST",""))</f>
        <v/>
      </c>
      <c r="AH133" s="8" t="str">
        <f t="shared" si="8"/>
        <v/>
      </c>
    </row>
    <row r="134" spans="31:34" x14ac:dyDescent="0.25">
      <c r="AE134" s="8" t="str">
        <f t="shared" si="6"/>
        <v/>
      </c>
      <c r="AF134" s="8" t="str">
        <f t="shared" si="7"/>
        <v/>
      </c>
      <c r="AG134" s="8" t="str">
        <f>IF(TRIM($E134)&lt;&gt;"Tax Paid","",IF(COUNTIFS(LISTS!$F$2:$F$26,$AE134,LISTS!$G$2:$G$26,$AF134)=0,"NOT ON LIST",""))</f>
        <v/>
      </c>
      <c r="AH134" s="8" t="str">
        <f t="shared" si="8"/>
        <v/>
      </c>
    </row>
    <row r="135" spans="31:34" x14ac:dyDescent="0.25">
      <c r="AE135" s="8" t="str">
        <f t="shared" si="6"/>
        <v/>
      </c>
      <c r="AF135" s="8" t="str">
        <f t="shared" si="7"/>
        <v/>
      </c>
      <c r="AG135" s="8" t="str">
        <f>IF(TRIM($E135)&lt;&gt;"Tax Paid","",IF(COUNTIFS(LISTS!$F$2:$F$26,$AE135,LISTS!$G$2:$G$26,$AF135)=0,"NOT ON LIST",""))</f>
        <v/>
      </c>
      <c r="AH135" s="8" t="str">
        <f t="shared" si="8"/>
        <v/>
      </c>
    </row>
    <row r="136" spans="31:34" x14ac:dyDescent="0.25">
      <c r="AE136" s="8" t="str">
        <f t="shared" si="6"/>
        <v/>
      </c>
      <c r="AF136" s="8" t="str">
        <f t="shared" si="7"/>
        <v/>
      </c>
      <c r="AG136" s="8" t="str">
        <f>IF(TRIM($E136)&lt;&gt;"Tax Paid","",IF(COUNTIFS(LISTS!$F$2:$F$26,$AE136,LISTS!$G$2:$G$26,$AF136)=0,"NOT ON LIST",""))</f>
        <v/>
      </c>
      <c r="AH136" s="8" t="str">
        <f t="shared" si="8"/>
        <v/>
      </c>
    </row>
    <row r="137" spans="31:34" x14ac:dyDescent="0.25">
      <c r="AE137" s="8" t="str">
        <f t="shared" si="6"/>
        <v/>
      </c>
      <c r="AF137" s="8" t="str">
        <f t="shared" si="7"/>
        <v/>
      </c>
      <c r="AG137" s="8" t="str">
        <f>IF(TRIM($E137)&lt;&gt;"Tax Paid","",IF(COUNTIFS(LISTS!$F$2:$F$26,$AE137,LISTS!$G$2:$G$26,$AF137)=0,"NOT ON LIST",""))</f>
        <v/>
      </c>
      <c r="AH137" s="8" t="str">
        <f t="shared" si="8"/>
        <v/>
      </c>
    </row>
    <row r="138" spans="31:34" x14ac:dyDescent="0.25">
      <c r="AE138" s="8" t="str">
        <f t="shared" si="6"/>
        <v/>
      </c>
      <c r="AF138" s="8" t="str">
        <f t="shared" si="7"/>
        <v/>
      </c>
      <c r="AG138" s="8" t="str">
        <f>IF(TRIM($E138)&lt;&gt;"Tax Paid","",IF(COUNTIFS(LISTS!$F$2:$F$26,$AE138,LISTS!$G$2:$G$26,$AF138)=0,"NOT ON LIST",""))</f>
        <v/>
      </c>
      <c r="AH138" s="8" t="str">
        <f t="shared" si="8"/>
        <v/>
      </c>
    </row>
    <row r="139" spans="31:34" x14ac:dyDescent="0.25">
      <c r="AE139" s="8" t="str">
        <f t="shared" si="6"/>
        <v/>
      </c>
      <c r="AF139" s="8" t="str">
        <f t="shared" si="7"/>
        <v/>
      </c>
      <c r="AG139" s="8" t="str">
        <f>IF(TRIM($E139)&lt;&gt;"Tax Paid","",IF(COUNTIFS(LISTS!$F$2:$F$26,$AE139,LISTS!$G$2:$G$26,$AF139)=0,"NOT ON LIST",""))</f>
        <v/>
      </c>
      <c r="AH139" s="8" t="str">
        <f t="shared" si="8"/>
        <v/>
      </c>
    </row>
    <row r="140" spans="31:34" x14ac:dyDescent="0.25">
      <c r="AE140" s="8" t="str">
        <f t="shared" si="6"/>
        <v/>
      </c>
      <c r="AF140" s="8" t="str">
        <f t="shared" si="7"/>
        <v/>
      </c>
      <c r="AG140" s="8" t="str">
        <f>IF(TRIM($E140)&lt;&gt;"Tax Paid","",IF(COUNTIFS(LISTS!$F$2:$F$26,$AE140,LISTS!$G$2:$G$26,$AF140)=0,"NOT ON LIST",""))</f>
        <v/>
      </c>
      <c r="AH140" s="8" t="str">
        <f t="shared" si="8"/>
        <v/>
      </c>
    </row>
    <row r="141" spans="31:34" x14ac:dyDescent="0.25">
      <c r="AE141" s="8" t="str">
        <f t="shared" si="6"/>
        <v/>
      </c>
      <c r="AF141" s="8" t="str">
        <f t="shared" si="7"/>
        <v/>
      </c>
      <c r="AG141" s="8" t="str">
        <f>IF(TRIM($E141)&lt;&gt;"Tax Paid","",IF(COUNTIFS(LISTS!$F$2:$F$26,$AE141,LISTS!$G$2:$G$26,$AF141)=0,"NOT ON LIST",""))</f>
        <v/>
      </c>
      <c r="AH141" s="8" t="str">
        <f t="shared" si="8"/>
        <v/>
      </c>
    </row>
    <row r="142" spans="31:34" x14ac:dyDescent="0.25">
      <c r="AE142" s="8" t="str">
        <f t="shared" si="6"/>
        <v/>
      </c>
      <c r="AF142" s="8" t="str">
        <f t="shared" si="7"/>
        <v/>
      </c>
      <c r="AG142" s="8" t="str">
        <f>IF(TRIM($E142)&lt;&gt;"Tax Paid","",IF(COUNTIFS(LISTS!$F$2:$F$26,$AE142,LISTS!$G$2:$G$26,$AF142)=0,"NOT ON LIST",""))</f>
        <v/>
      </c>
      <c r="AH142" s="8" t="str">
        <f t="shared" si="8"/>
        <v/>
      </c>
    </row>
    <row r="143" spans="31:34" x14ac:dyDescent="0.25">
      <c r="AE143" s="8" t="str">
        <f t="shared" si="6"/>
        <v/>
      </c>
      <c r="AF143" s="8" t="str">
        <f t="shared" si="7"/>
        <v/>
      </c>
      <c r="AG143" s="8" t="str">
        <f>IF(TRIM($E143)&lt;&gt;"Tax Paid","",IF(COUNTIFS(LISTS!$F$2:$F$26,$AE143,LISTS!$G$2:$G$26,$AF143)=0,"NOT ON LIST",""))</f>
        <v/>
      </c>
      <c r="AH143" s="8" t="str">
        <f t="shared" si="8"/>
        <v/>
      </c>
    </row>
    <row r="144" spans="31:34" x14ac:dyDescent="0.25">
      <c r="AE144" s="8" t="str">
        <f t="shared" si="6"/>
        <v/>
      </c>
      <c r="AF144" s="8" t="str">
        <f t="shared" si="7"/>
        <v/>
      </c>
      <c r="AG144" s="8" t="str">
        <f>IF(TRIM($E144)&lt;&gt;"Tax Paid","",IF(COUNTIFS(LISTS!$F$2:$F$26,$AE144,LISTS!$G$2:$G$26,$AF144)=0,"NOT ON LIST",""))</f>
        <v/>
      </c>
      <c r="AH144" s="8" t="str">
        <f t="shared" si="8"/>
        <v/>
      </c>
    </row>
    <row r="145" spans="31:34" x14ac:dyDescent="0.25">
      <c r="AE145" s="8" t="str">
        <f t="shared" si="6"/>
        <v/>
      </c>
      <c r="AF145" s="8" t="str">
        <f t="shared" si="7"/>
        <v/>
      </c>
      <c r="AG145" s="8" t="str">
        <f>IF(TRIM($E145)&lt;&gt;"Tax Paid","",IF(COUNTIFS(LISTS!$F$2:$F$26,$AE145,LISTS!$G$2:$G$26,$AF145)=0,"NOT ON LIST",""))</f>
        <v/>
      </c>
      <c r="AH145" s="8" t="str">
        <f t="shared" si="8"/>
        <v/>
      </c>
    </row>
    <row r="146" spans="31:34" x14ac:dyDescent="0.25">
      <c r="AE146" s="8" t="str">
        <f t="shared" si="6"/>
        <v/>
      </c>
      <c r="AF146" s="8" t="str">
        <f t="shared" si="7"/>
        <v/>
      </c>
      <c r="AG146" s="8" t="str">
        <f>IF(TRIM($E146)&lt;&gt;"Tax Paid","",IF(COUNTIFS(LISTS!$F$2:$F$26,$AE146,LISTS!$G$2:$G$26,$AF146)=0,"NOT ON LIST",""))</f>
        <v/>
      </c>
      <c r="AH146" s="8" t="str">
        <f t="shared" si="8"/>
        <v/>
      </c>
    </row>
    <row r="147" spans="31:34" x14ac:dyDescent="0.25">
      <c r="AE147" s="8" t="str">
        <f t="shared" si="6"/>
        <v/>
      </c>
      <c r="AF147" s="8" t="str">
        <f t="shared" si="7"/>
        <v/>
      </c>
      <c r="AG147" s="8" t="str">
        <f>IF(TRIM($E147)&lt;&gt;"Tax Paid","",IF(COUNTIFS(LISTS!$F$2:$F$26,$AE147,LISTS!$G$2:$G$26,$AF147)=0,"NOT ON LIST",""))</f>
        <v/>
      </c>
      <c r="AH147" s="8" t="str">
        <f t="shared" si="8"/>
        <v/>
      </c>
    </row>
    <row r="148" spans="31:34" x14ac:dyDescent="0.25">
      <c r="AE148" s="8" t="str">
        <f t="shared" si="6"/>
        <v/>
      </c>
      <c r="AF148" s="8" t="str">
        <f t="shared" si="7"/>
        <v/>
      </c>
      <c r="AG148" s="8" t="str">
        <f>IF(TRIM($E148)&lt;&gt;"Tax Paid","",IF(COUNTIFS(LISTS!$F$2:$F$26,$AE148,LISTS!$G$2:$G$26,$AF148)=0,"NOT ON LIST",""))</f>
        <v/>
      </c>
      <c r="AH148" s="8" t="str">
        <f t="shared" si="8"/>
        <v/>
      </c>
    </row>
    <row r="149" spans="31:34" x14ac:dyDescent="0.25">
      <c r="AE149" s="8" t="str">
        <f t="shared" si="6"/>
        <v/>
      </c>
      <c r="AF149" s="8" t="str">
        <f t="shared" si="7"/>
        <v/>
      </c>
      <c r="AG149" s="8" t="str">
        <f>IF(TRIM($E149)&lt;&gt;"Tax Paid","",IF(COUNTIFS(LISTS!$F$2:$F$26,$AE149,LISTS!$G$2:$G$26,$AF149)=0,"NOT ON LIST",""))</f>
        <v/>
      </c>
      <c r="AH149" s="8" t="str">
        <f t="shared" si="8"/>
        <v/>
      </c>
    </row>
    <row r="150" spans="31:34" x14ac:dyDescent="0.25">
      <c r="AE150" s="8" t="str">
        <f t="shared" si="6"/>
        <v/>
      </c>
      <c r="AF150" s="8" t="str">
        <f t="shared" si="7"/>
        <v/>
      </c>
      <c r="AG150" s="8" t="str">
        <f>IF(TRIM($E150)&lt;&gt;"Tax Paid","",IF(COUNTIFS(LISTS!$F$2:$F$26,$AE150,LISTS!$G$2:$G$26,$AF150)=0,"NOT ON LIST",""))</f>
        <v/>
      </c>
      <c r="AH150" s="8" t="str">
        <f t="shared" si="8"/>
        <v/>
      </c>
    </row>
    <row r="151" spans="31:34" x14ac:dyDescent="0.25">
      <c r="AE151" s="8" t="str">
        <f t="shared" si="6"/>
        <v/>
      </c>
      <c r="AF151" s="8" t="str">
        <f t="shared" si="7"/>
        <v/>
      </c>
      <c r="AG151" s="8" t="str">
        <f>IF(TRIM($E151)&lt;&gt;"Tax Paid","",IF(COUNTIFS(LISTS!$F$2:$F$26,$AE151,LISTS!$G$2:$G$26,$AF151)=0,"NOT ON LIST",""))</f>
        <v/>
      </c>
      <c r="AH151" s="8" t="str">
        <f t="shared" si="8"/>
        <v/>
      </c>
    </row>
    <row r="152" spans="31:34" x14ac:dyDescent="0.25">
      <c r="AE152" s="8" t="str">
        <f t="shared" si="6"/>
        <v/>
      </c>
      <c r="AF152" s="8" t="str">
        <f t="shared" si="7"/>
        <v/>
      </c>
      <c r="AG152" s="8" t="str">
        <f>IF(TRIM($E152)&lt;&gt;"Tax Paid","",IF(COUNTIFS(LISTS!$F$2:$F$26,$AE152,LISTS!$G$2:$G$26,$AF152)=0,"NOT ON LIST",""))</f>
        <v/>
      </c>
      <c r="AH152" s="8" t="str">
        <f t="shared" si="8"/>
        <v/>
      </c>
    </row>
    <row r="153" spans="31:34" x14ac:dyDescent="0.25">
      <c r="AE153" s="8" t="str">
        <f t="shared" si="6"/>
        <v/>
      </c>
      <c r="AF153" s="8" t="str">
        <f t="shared" si="7"/>
        <v/>
      </c>
      <c r="AG153" s="8" t="str">
        <f>IF(TRIM($E153)&lt;&gt;"Tax Paid","",IF(COUNTIFS(LISTS!$F$2:$F$26,$AE153,LISTS!$G$2:$G$26,$AF153)=0,"NOT ON LIST",""))</f>
        <v/>
      </c>
      <c r="AH153" s="8" t="str">
        <f t="shared" si="8"/>
        <v/>
      </c>
    </row>
    <row r="154" spans="31:34" x14ac:dyDescent="0.25">
      <c r="AE154" s="8" t="str">
        <f t="shared" si="6"/>
        <v/>
      </c>
      <c r="AF154" s="8" t="str">
        <f t="shared" si="7"/>
        <v/>
      </c>
      <c r="AG154" s="8" t="str">
        <f>IF(TRIM($E154)&lt;&gt;"Tax Paid","",IF(COUNTIFS(LISTS!$F$2:$F$26,$AE154,LISTS!$G$2:$G$26,$AF154)=0,"NOT ON LIST",""))</f>
        <v/>
      </c>
      <c r="AH154" s="8" t="str">
        <f t="shared" si="8"/>
        <v/>
      </c>
    </row>
    <row r="155" spans="31:34" x14ac:dyDescent="0.25">
      <c r="AE155" s="8" t="str">
        <f t="shared" si="6"/>
        <v/>
      </c>
      <c r="AF155" s="8" t="str">
        <f t="shared" si="7"/>
        <v/>
      </c>
      <c r="AG155" s="8" t="str">
        <f>IF(TRIM($E155)&lt;&gt;"Tax Paid","",IF(COUNTIFS(LISTS!$F$2:$F$26,$AE155,LISTS!$G$2:$G$26,$AF155)=0,"NOT ON LIST",""))</f>
        <v/>
      </c>
      <c r="AH155" s="8" t="str">
        <f t="shared" si="8"/>
        <v/>
      </c>
    </row>
    <row r="156" spans="31:34" x14ac:dyDescent="0.25">
      <c r="AE156" s="8" t="str">
        <f t="shared" si="6"/>
        <v/>
      </c>
      <c r="AF156" s="8" t="str">
        <f t="shared" si="7"/>
        <v/>
      </c>
      <c r="AG156" s="8" t="str">
        <f>IF(TRIM($E156)&lt;&gt;"Tax Paid","",IF(COUNTIFS(LISTS!$F$2:$F$26,$AE156,LISTS!$G$2:$G$26,$AF156)=0,"NOT ON LIST",""))</f>
        <v/>
      </c>
      <c r="AH156" s="8" t="str">
        <f t="shared" si="8"/>
        <v/>
      </c>
    </row>
    <row r="157" spans="31:34" x14ac:dyDescent="0.25">
      <c r="AE157" s="8" t="str">
        <f t="shared" si="6"/>
        <v/>
      </c>
      <c r="AF157" s="8" t="str">
        <f t="shared" si="7"/>
        <v/>
      </c>
      <c r="AG157" s="8" t="str">
        <f>IF(TRIM($E157)&lt;&gt;"Tax Paid","",IF(COUNTIFS(LISTS!$F$2:$F$26,$AE157,LISTS!$G$2:$G$26,$AF157)=0,"NOT ON LIST",""))</f>
        <v/>
      </c>
      <c r="AH157" s="8" t="str">
        <f t="shared" si="8"/>
        <v/>
      </c>
    </row>
    <row r="158" spans="31:34" x14ac:dyDescent="0.25">
      <c r="AE158" s="8" t="str">
        <f t="shared" si="6"/>
        <v/>
      </c>
      <c r="AF158" s="8" t="str">
        <f t="shared" si="7"/>
        <v/>
      </c>
      <c r="AG158" s="8" t="str">
        <f>IF(TRIM($E158)&lt;&gt;"Tax Paid","",IF(COUNTIFS(LISTS!$F$2:$F$26,$AE158,LISTS!$G$2:$G$26,$AF158)=0,"NOT ON LIST",""))</f>
        <v/>
      </c>
      <c r="AH158" s="8" t="str">
        <f t="shared" si="8"/>
        <v/>
      </c>
    </row>
    <row r="159" spans="31:34" x14ac:dyDescent="0.25">
      <c r="AE159" s="8" t="str">
        <f t="shared" si="6"/>
        <v/>
      </c>
      <c r="AF159" s="8" t="str">
        <f t="shared" si="7"/>
        <v/>
      </c>
      <c r="AG159" s="8" t="str">
        <f>IF(TRIM($E159)&lt;&gt;"Tax Paid","",IF(COUNTIFS(LISTS!$F$2:$F$26,$AE159,LISTS!$G$2:$G$26,$AF159)=0,"NOT ON LIST",""))</f>
        <v/>
      </c>
      <c r="AH159" s="8" t="str">
        <f t="shared" si="8"/>
        <v/>
      </c>
    </row>
    <row r="160" spans="31:34" x14ac:dyDescent="0.25">
      <c r="AE160" s="8" t="str">
        <f t="shared" si="6"/>
        <v/>
      </c>
      <c r="AF160" s="8" t="str">
        <f t="shared" si="7"/>
        <v/>
      </c>
      <c r="AG160" s="8" t="str">
        <f>IF(TRIM($E160)&lt;&gt;"Tax Paid","",IF(COUNTIFS(LISTS!$F$2:$F$26,$AE160,LISTS!$G$2:$G$26,$AF160)=0,"NOT ON LIST",""))</f>
        <v/>
      </c>
      <c r="AH160" s="8" t="str">
        <f t="shared" si="8"/>
        <v/>
      </c>
    </row>
    <row r="161" spans="31:34" x14ac:dyDescent="0.25">
      <c r="AE161" s="8" t="str">
        <f t="shared" si="6"/>
        <v/>
      </c>
      <c r="AF161" s="8" t="str">
        <f t="shared" si="7"/>
        <v/>
      </c>
      <c r="AG161" s="8" t="str">
        <f>IF(TRIM($E161)&lt;&gt;"Tax Paid","",IF(COUNTIFS(LISTS!$F$2:$F$26,$AE161,LISTS!$G$2:$G$26,$AF161)=0,"NOT ON LIST",""))</f>
        <v/>
      </c>
      <c r="AH161" s="8" t="str">
        <f t="shared" si="8"/>
        <v/>
      </c>
    </row>
    <row r="162" spans="31:34" x14ac:dyDescent="0.25">
      <c r="AE162" s="8" t="str">
        <f t="shared" si="6"/>
        <v/>
      </c>
      <c r="AF162" s="8" t="str">
        <f t="shared" si="7"/>
        <v/>
      </c>
      <c r="AG162" s="8" t="str">
        <f>IF(TRIM($E162)&lt;&gt;"Tax Paid","",IF(COUNTIFS(LISTS!$F$2:$F$26,$AE162,LISTS!$G$2:$G$26,$AF162)=0,"NOT ON LIST",""))</f>
        <v/>
      </c>
      <c r="AH162" s="8" t="str">
        <f t="shared" si="8"/>
        <v/>
      </c>
    </row>
    <row r="163" spans="31:34" x14ac:dyDescent="0.25">
      <c r="AE163" s="8" t="str">
        <f t="shared" si="6"/>
        <v/>
      </c>
      <c r="AF163" s="8" t="str">
        <f t="shared" si="7"/>
        <v/>
      </c>
      <c r="AG163" s="8" t="str">
        <f>IF(TRIM($E163)&lt;&gt;"Tax Paid","",IF(COUNTIFS(LISTS!$F$2:$F$26,$AE163,LISTS!$G$2:$G$26,$AF163)=0,"NOT ON LIST",""))</f>
        <v/>
      </c>
      <c r="AH163" s="8" t="str">
        <f t="shared" si="8"/>
        <v/>
      </c>
    </row>
    <row r="164" spans="31:34" x14ac:dyDescent="0.25">
      <c r="AE164" s="8" t="str">
        <f t="shared" si="6"/>
        <v/>
      </c>
      <c r="AF164" s="8" t="str">
        <f t="shared" si="7"/>
        <v/>
      </c>
      <c r="AG164" s="8" t="str">
        <f>IF(TRIM($E164)&lt;&gt;"Tax Paid","",IF(COUNTIFS(LISTS!$F$2:$F$26,$AE164,LISTS!$G$2:$G$26,$AF164)=0,"NOT ON LIST",""))</f>
        <v/>
      </c>
      <c r="AH164" s="8" t="str">
        <f t="shared" si="8"/>
        <v/>
      </c>
    </row>
    <row r="165" spans="31:34" x14ac:dyDescent="0.25">
      <c r="AE165" s="8" t="str">
        <f t="shared" si="6"/>
        <v/>
      </c>
      <c r="AF165" s="8" t="str">
        <f t="shared" si="7"/>
        <v/>
      </c>
      <c r="AG165" s="8" t="str">
        <f>IF(TRIM($E165)&lt;&gt;"Tax Paid","",IF(COUNTIFS(LISTS!$F$2:$F$26,$AE165,LISTS!$G$2:$G$26,$AF165)=0,"NOT ON LIST",""))</f>
        <v/>
      </c>
      <c r="AH165" s="8" t="str">
        <f t="shared" si="8"/>
        <v/>
      </c>
    </row>
    <row r="166" spans="31:34" x14ac:dyDescent="0.25">
      <c r="AE166" s="8" t="str">
        <f t="shared" si="6"/>
        <v/>
      </c>
      <c r="AF166" s="8" t="str">
        <f t="shared" si="7"/>
        <v/>
      </c>
      <c r="AG166" s="8" t="str">
        <f>IF(TRIM($E166)&lt;&gt;"Tax Paid","",IF(COUNTIFS(LISTS!$F$2:$F$26,$AE166,LISTS!$G$2:$G$26,$AF166)=0,"NOT ON LIST",""))</f>
        <v/>
      </c>
      <c r="AH166" s="8" t="str">
        <f t="shared" si="8"/>
        <v/>
      </c>
    </row>
    <row r="167" spans="31:34" x14ac:dyDescent="0.25">
      <c r="AE167" s="8" t="str">
        <f t="shared" si="6"/>
        <v/>
      </c>
      <c r="AF167" s="8" t="str">
        <f t="shared" si="7"/>
        <v/>
      </c>
      <c r="AG167" s="8" t="str">
        <f>IF(TRIM($E167)&lt;&gt;"Tax Paid","",IF(COUNTIFS(LISTS!$F$2:$F$26,$AE167,LISTS!$G$2:$G$26,$AF167)=0,"NOT ON LIST",""))</f>
        <v/>
      </c>
      <c r="AH167" s="8" t="str">
        <f t="shared" si="8"/>
        <v/>
      </c>
    </row>
    <row r="168" spans="31:34" x14ac:dyDescent="0.25">
      <c r="AE168" s="8" t="str">
        <f t="shared" si="6"/>
        <v/>
      </c>
      <c r="AF168" s="8" t="str">
        <f t="shared" si="7"/>
        <v/>
      </c>
      <c r="AG168" s="8" t="str">
        <f>IF(TRIM($E168)&lt;&gt;"Tax Paid","",IF(COUNTIFS(LISTS!$F$2:$F$26,$AE168,LISTS!$G$2:$G$26,$AF168)=0,"NOT ON LIST",""))</f>
        <v/>
      </c>
      <c r="AH168" s="8" t="str">
        <f t="shared" si="8"/>
        <v/>
      </c>
    </row>
    <row r="169" spans="31:34" x14ac:dyDescent="0.25">
      <c r="AE169" s="8" t="str">
        <f t="shared" si="6"/>
        <v/>
      </c>
      <c r="AF169" s="8" t="str">
        <f t="shared" si="7"/>
        <v/>
      </c>
      <c r="AG169" s="8" t="str">
        <f>IF(TRIM($E169)&lt;&gt;"Tax Paid","",IF(COUNTIFS(LISTS!$F$2:$F$26,$AE169,LISTS!$G$2:$G$26,$AF169)=0,"NOT ON LIST",""))</f>
        <v/>
      </c>
      <c r="AH169" s="8" t="str">
        <f t="shared" si="8"/>
        <v/>
      </c>
    </row>
    <row r="170" spans="31:34" x14ac:dyDescent="0.25">
      <c r="AE170" s="8" t="str">
        <f t="shared" si="6"/>
        <v/>
      </c>
      <c r="AF170" s="8" t="str">
        <f t="shared" si="7"/>
        <v/>
      </c>
      <c r="AG170" s="8" t="str">
        <f>IF(TRIM($E170)&lt;&gt;"Tax Paid","",IF(COUNTIFS(LISTS!$F$2:$F$26,$AE170,LISTS!$G$2:$G$26,$AF170)=0,"NOT ON LIST",""))</f>
        <v/>
      </c>
      <c r="AH170" s="8" t="str">
        <f t="shared" si="8"/>
        <v/>
      </c>
    </row>
    <row r="171" spans="31:34" x14ac:dyDescent="0.25">
      <c r="AE171" s="8" t="str">
        <f t="shared" si="6"/>
        <v/>
      </c>
      <c r="AF171" s="8" t="str">
        <f t="shared" si="7"/>
        <v/>
      </c>
      <c r="AG171" s="8" t="str">
        <f>IF(TRIM($E171)&lt;&gt;"Tax Paid","",IF(COUNTIFS(LISTS!$F$2:$F$26,$AE171,LISTS!$G$2:$G$26,$AF171)=0,"NOT ON LIST",""))</f>
        <v/>
      </c>
      <c r="AH171" s="8" t="str">
        <f t="shared" si="8"/>
        <v/>
      </c>
    </row>
    <row r="172" spans="31:34" x14ac:dyDescent="0.25">
      <c r="AE172" s="8" t="str">
        <f t="shared" si="6"/>
        <v/>
      </c>
      <c r="AF172" s="8" t="str">
        <f t="shared" si="7"/>
        <v/>
      </c>
      <c r="AG172" s="8" t="str">
        <f>IF(TRIM($E172)&lt;&gt;"Tax Paid","",IF(COUNTIFS(LISTS!$F$2:$F$26,$AE172,LISTS!$G$2:$G$26,$AF172)=0,"NOT ON LIST",""))</f>
        <v/>
      </c>
      <c r="AH172" s="8" t="str">
        <f t="shared" si="8"/>
        <v/>
      </c>
    </row>
    <row r="173" spans="31:34" x14ac:dyDescent="0.25">
      <c r="AE173" s="8" t="str">
        <f t="shared" si="6"/>
        <v/>
      </c>
      <c r="AF173" s="8" t="str">
        <f t="shared" si="7"/>
        <v/>
      </c>
      <c r="AG173" s="8" t="str">
        <f>IF(TRIM($E173)&lt;&gt;"Tax Paid","",IF(COUNTIFS(LISTS!$F$2:$F$26,$AE173,LISTS!$G$2:$G$26,$AF173)=0,"NOT ON LIST",""))</f>
        <v/>
      </c>
      <c r="AH173" s="8" t="str">
        <f t="shared" si="8"/>
        <v/>
      </c>
    </row>
    <row r="174" spans="31:34" x14ac:dyDescent="0.25">
      <c r="AE174" s="8" t="str">
        <f t="shared" si="6"/>
        <v/>
      </c>
      <c r="AF174" s="8" t="str">
        <f t="shared" si="7"/>
        <v/>
      </c>
      <c r="AG174" s="8" t="str">
        <f>IF(TRIM($E174)&lt;&gt;"Tax Paid","",IF(COUNTIFS(LISTS!$F$2:$F$26,$AE174,LISTS!$G$2:$G$26,$AF174)=0,"NOT ON LIST",""))</f>
        <v/>
      </c>
      <c r="AH174" s="8" t="str">
        <f t="shared" si="8"/>
        <v/>
      </c>
    </row>
    <row r="175" spans="31:34" x14ac:dyDescent="0.25">
      <c r="AE175" s="8" t="str">
        <f t="shared" si="6"/>
        <v/>
      </c>
      <c r="AF175" s="8" t="str">
        <f t="shared" si="7"/>
        <v/>
      </c>
      <c r="AG175" s="8" t="str">
        <f>IF(TRIM($E175)&lt;&gt;"Tax Paid","",IF(COUNTIFS(LISTS!$F$2:$F$26,$AE175,LISTS!$G$2:$G$26,$AF175)=0,"NOT ON LIST",""))</f>
        <v/>
      </c>
      <c r="AH175" s="8" t="str">
        <f t="shared" si="8"/>
        <v/>
      </c>
    </row>
    <row r="176" spans="31:34" x14ac:dyDescent="0.25">
      <c r="AE176" s="8" t="str">
        <f t="shared" si="6"/>
        <v/>
      </c>
      <c r="AF176" s="8" t="str">
        <f t="shared" si="7"/>
        <v/>
      </c>
      <c r="AG176" s="8" t="str">
        <f>IF(TRIM($E176)&lt;&gt;"Tax Paid","",IF(COUNTIFS(LISTS!$F$2:$F$26,$AE176,LISTS!$G$2:$G$26,$AF176)=0,"NOT ON LIST",""))</f>
        <v/>
      </c>
      <c r="AH176" s="8" t="str">
        <f t="shared" si="8"/>
        <v/>
      </c>
    </row>
    <row r="177" spans="31:34" x14ac:dyDescent="0.25">
      <c r="AE177" s="8" t="str">
        <f t="shared" si="6"/>
        <v/>
      </c>
      <c r="AF177" s="8" t="str">
        <f t="shared" si="7"/>
        <v/>
      </c>
      <c r="AG177" s="8" t="str">
        <f>IF(TRIM($E177)&lt;&gt;"Tax Paid","",IF(COUNTIFS(LISTS!$F$2:$F$26,$AE177,LISTS!$G$2:$G$26,$AF177)=0,"NOT ON LIST",""))</f>
        <v/>
      </c>
      <c r="AH177" s="8" t="str">
        <f t="shared" si="8"/>
        <v/>
      </c>
    </row>
    <row r="178" spans="31:34" x14ac:dyDescent="0.25">
      <c r="AE178" s="8" t="str">
        <f t="shared" si="6"/>
        <v/>
      </c>
      <c r="AF178" s="8" t="str">
        <f t="shared" si="7"/>
        <v/>
      </c>
      <c r="AG178" s="8" t="str">
        <f>IF(TRIM($E178)&lt;&gt;"Tax Paid","",IF(COUNTIFS(LISTS!$F$2:$F$26,$AE178,LISTS!$G$2:$G$26,$AF178)=0,"NOT ON LIST",""))</f>
        <v/>
      </c>
      <c r="AH178" s="8" t="str">
        <f t="shared" si="8"/>
        <v/>
      </c>
    </row>
    <row r="179" spans="31:34" x14ac:dyDescent="0.25">
      <c r="AE179" s="8" t="str">
        <f t="shared" si="6"/>
        <v/>
      </c>
      <c r="AF179" s="8" t="str">
        <f t="shared" si="7"/>
        <v/>
      </c>
      <c r="AG179" s="8" t="str">
        <f>IF(TRIM($E179)&lt;&gt;"Tax Paid","",IF(COUNTIFS(LISTS!$F$2:$F$26,$AE179,LISTS!$G$2:$G$26,$AF179)=0,"NOT ON LIST",""))</f>
        <v/>
      </c>
      <c r="AH179" s="8" t="str">
        <f t="shared" si="8"/>
        <v/>
      </c>
    </row>
    <row r="180" spans="31:34" x14ac:dyDescent="0.25">
      <c r="AE180" s="8" t="str">
        <f t="shared" si="6"/>
        <v/>
      </c>
      <c r="AF180" s="8" t="str">
        <f t="shared" si="7"/>
        <v/>
      </c>
      <c r="AG180" s="8" t="str">
        <f>IF(TRIM($E180)&lt;&gt;"Tax Paid","",IF(COUNTIFS(LISTS!$F$2:$F$26,$AE180,LISTS!$G$2:$G$26,$AF180)=0,"NOT ON LIST",""))</f>
        <v/>
      </c>
      <c r="AH180" s="8" t="str">
        <f t="shared" si="8"/>
        <v/>
      </c>
    </row>
    <row r="181" spans="31:34" x14ac:dyDescent="0.25">
      <c r="AE181" s="8" t="str">
        <f t="shared" si="6"/>
        <v/>
      </c>
      <c r="AF181" s="8" t="str">
        <f t="shared" si="7"/>
        <v/>
      </c>
      <c r="AG181" s="8" t="str">
        <f>IF(TRIM($E181)&lt;&gt;"Tax Paid","",IF(COUNTIFS(LISTS!$F$2:$F$26,$AE181,LISTS!$G$2:$G$26,$AF181)=0,"NOT ON LIST",""))</f>
        <v/>
      </c>
      <c r="AH181" s="8" t="str">
        <f t="shared" si="8"/>
        <v/>
      </c>
    </row>
    <row r="182" spans="31:34" x14ac:dyDescent="0.25">
      <c r="AE182" s="8" t="str">
        <f t="shared" si="6"/>
        <v/>
      </c>
      <c r="AF182" s="8" t="str">
        <f t="shared" si="7"/>
        <v/>
      </c>
      <c r="AG182" s="8" t="str">
        <f>IF(TRIM($E182)&lt;&gt;"Tax Paid","",IF(COUNTIFS(LISTS!$F$2:$F$26,$AE182,LISTS!$G$2:$G$26,$AF182)=0,"NOT ON LIST",""))</f>
        <v/>
      </c>
      <c r="AH182" s="8" t="str">
        <f t="shared" si="8"/>
        <v/>
      </c>
    </row>
    <row r="183" spans="31:34" x14ac:dyDescent="0.25">
      <c r="AE183" s="8" t="str">
        <f t="shared" si="6"/>
        <v/>
      </c>
      <c r="AF183" s="8" t="str">
        <f t="shared" si="7"/>
        <v/>
      </c>
      <c r="AG183" s="8" t="str">
        <f>IF(TRIM($E183)&lt;&gt;"Tax Paid","",IF(COUNTIFS(LISTS!$F$2:$F$26,$AE183,LISTS!$G$2:$G$26,$AF183)=0,"NOT ON LIST",""))</f>
        <v/>
      </c>
      <c r="AH183" s="8" t="str">
        <f t="shared" si="8"/>
        <v/>
      </c>
    </row>
    <row r="184" spans="31:34" x14ac:dyDescent="0.25">
      <c r="AE184" s="8" t="str">
        <f t="shared" si="6"/>
        <v/>
      </c>
      <c r="AF184" s="8" t="str">
        <f t="shared" si="7"/>
        <v/>
      </c>
      <c r="AG184" s="8" t="str">
        <f>IF(TRIM($E184)&lt;&gt;"Tax Paid","",IF(COUNTIFS(LISTS!$F$2:$F$26,$AE184,LISTS!$G$2:$G$26,$AF184)=0,"NOT ON LIST",""))</f>
        <v/>
      </c>
      <c r="AH184" s="8" t="str">
        <f t="shared" si="8"/>
        <v/>
      </c>
    </row>
    <row r="185" spans="31:34" x14ac:dyDescent="0.25">
      <c r="AE185" s="8" t="str">
        <f t="shared" si="6"/>
        <v/>
      </c>
      <c r="AF185" s="8" t="str">
        <f t="shared" si="7"/>
        <v/>
      </c>
      <c r="AG185" s="8" t="str">
        <f>IF(TRIM($E185)&lt;&gt;"Tax Paid","",IF(COUNTIFS(LISTS!$F$2:$F$26,$AE185,LISTS!$G$2:$G$26,$AF185)=0,"NOT ON LIST",""))</f>
        <v/>
      </c>
      <c r="AH185" s="8" t="str">
        <f t="shared" si="8"/>
        <v/>
      </c>
    </row>
    <row r="186" spans="31:34" x14ac:dyDescent="0.25">
      <c r="AE186" s="8" t="str">
        <f t="shared" si="6"/>
        <v/>
      </c>
      <c r="AF186" s="8" t="str">
        <f t="shared" si="7"/>
        <v/>
      </c>
      <c r="AG186" s="8" t="str">
        <f>IF(TRIM($E186)&lt;&gt;"Tax Paid","",IF(COUNTIFS(LISTS!$F$2:$F$26,$AE186,LISTS!$G$2:$G$26,$AF186)=0,"NOT ON LIST",""))</f>
        <v/>
      </c>
      <c r="AH186" s="8" t="str">
        <f t="shared" si="8"/>
        <v/>
      </c>
    </row>
    <row r="187" spans="31:34" x14ac:dyDescent="0.25">
      <c r="AE187" s="8" t="str">
        <f t="shared" si="6"/>
        <v/>
      </c>
      <c r="AF187" s="8" t="str">
        <f t="shared" si="7"/>
        <v/>
      </c>
      <c r="AG187" s="8" t="str">
        <f>IF(TRIM($E187)&lt;&gt;"Tax Paid","",IF(COUNTIFS(LISTS!$F$2:$F$26,$AE187,LISTS!$G$2:$G$26,$AF187)=0,"NOT ON LIST",""))</f>
        <v/>
      </c>
      <c r="AH187" s="8" t="str">
        <f t="shared" si="8"/>
        <v/>
      </c>
    </row>
    <row r="188" spans="31:34" x14ac:dyDescent="0.25">
      <c r="AE188" s="8" t="str">
        <f t="shared" si="6"/>
        <v/>
      </c>
      <c r="AF188" s="8" t="str">
        <f t="shared" si="7"/>
        <v/>
      </c>
      <c r="AG188" s="8" t="str">
        <f>IF(TRIM($E188)&lt;&gt;"Tax Paid","",IF(COUNTIFS(LISTS!$F$2:$F$26,$AE188,LISTS!$G$2:$G$26,$AF188)=0,"NOT ON LIST",""))</f>
        <v/>
      </c>
      <c r="AH188" s="8" t="str">
        <f t="shared" si="8"/>
        <v/>
      </c>
    </row>
    <row r="189" spans="31:34" x14ac:dyDescent="0.25">
      <c r="AE189" s="8" t="str">
        <f t="shared" si="6"/>
        <v/>
      </c>
      <c r="AF189" s="8" t="str">
        <f t="shared" si="7"/>
        <v/>
      </c>
      <c r="AG189" s="8" t="str">
        <f>IF(TRIM($E189)&lt;&gt;"Tax Paid","",IF(COUNTIFS(LISTS!$F$2:$F$26,$AE189,LISTS!$G$2:$G$26,$AF189)=0,"NOT ON LIST",""))</f>
        <v/>
      </c>
      <c r="AH189" s="8" t="str">
        <f t="shared" si="8"/>
        <v/>
      </c>
    </row>
    <row r="190" spans="31:34" x14ac:dyDescent="0.25">
      <c r="AE190" s="8" t="str">
        <f t="shared" si="6"/>
        <v/>
      </c>
      <c r="AF190" s="8" t="str">
        <f t="shared" si="7"/>
        <v/>
      </c>
      <c r="AG190" s="8" t="str">
        <f>IF(TRIM($E190)&lt;&gt;"Tax Paid","",IF(COUNTIFS(LISTS!$F$2:$F$26,$AE190,LISTS!$G$2:$G$26,$AF190)=0,"NOT ON LIST",""))</f>
        <v/>
      </c>
      <c r="AH190" s="8" t="str">
        <f t="shared" si="8"/>
        <v/>
      </c>
    </row>
    <row r="191" spans="31:34" x14ac:dyDescent="0.25">
      <c r="AE191" s="8" t="str">
        <f t="shared" si="6"/>
        <v/>
      </c>
      <c r="AF191" s="8" t="str">
        <f t="shared" si="7"/>
        <v/>
      </c>
      <c r="AG191" s="8" t="str">
        <f>IF(TRIM($E191)&lt;&gt;"Tax Paid","",IF(COUNTIFS(LISTS!$F$2:$F$26,$AE191,LISTS!$G$2:$G$26,$AF191)=0,"NOT ON LIST",""))</f>
        <v/>
      </c>
      <c r="AH191" s="8" t="str">
        <f t="shared" si="8"/>
        <v/>
      </c>
    </row>
    <row r="192" spans="31:34" x14ac:dyDescent="0.25">
      <c r="AE192" s="8" t="str">
        <f t="shared" si="6"/>
        <v/>
      </c>
      <c r="AF192" s="8" t="str">
        <f t="shared" si="7"/>
        <v/>
      </c>
      <c r="AG192" s="8" t="str">
        <f>IF(TRIM($E192)&lt;&gt;"Tax Paid","",IF(COUNTIFS(LISTS!$F$2:$F$26,$AE192,LISTS!$G$2:$G$26,$AF192)=0,"NOT ON LIST",""))</f>
        <v/>
      </c>
      <c r="AH192" s="8" t="str">
        <f t="shared" si="8"/>
        <v/>
      </c>
    </row>
    <row r="193" spans="31:34" x14ac:dyDescent="0.25">
      <c r="AE193" s="8" t="str">
        <f t="shared" si="6"/>
        <v/>
      </c>
      <c r="AF193" s="8" t="str">
        <f t="shared" si="7"/>
        <v/>
      </c>
      <c r="AG193" s="8" t="str">
        <f>IF(TRIM($E193)&lt;&gt;"Tax Paid","",IF(COUNTIFS(LISTS!$F$2:$F$26,$AE193,LISTS!$G$2:$G$26,$AF193)=0,"NOT ON LIST",""))</f>
        <v/>
      </c>
      <c r="AH193" s="8" t="str">
        <f t="shared" si="8"/>
        <v/>
      </c>
    </row>
    <row r="194" spans="31:34" x14ac:dyDescent="0.25">
      <c r="AE194" s="8" t="str">
        <f t="shared" ref="AE194:AE257" si="9">IF(TRIM($E194)="Tax Paid",TRIM($S194),"")</f>
        <v/>
      </c>
      <c r="AF194" s="8" t="str">
        <f t="shared" ref="AF194:AF257" si="10">IF(TRIM($E194)="Tax Paid",ROUND($Z194/100,5),"")</f>
        <v/>
      </c>
      <c r="AG194" s="8" t="str">
        <f>IF(TRIM($E194)&lt;&gt;"Tax Paid","",IF(COUNTIFS(LISTS!$F$2:$F$26,$AE194,LISTS!$G$2:$G$26,$AF194)=0,"NOT ON LIST",""))</f>
        <v/>
      </c>
      <c r="AH194" s="8" t="str">
        <f t="shared" ref="AH194:AH257" si="11">IF($AG194="","",IF($AE194="","(no county)",$AE194)&amp;" ("&amp;SUBSTITUTE(TEXT($AF194,"0.###%"),".%","%")&amp;")")</f>
        <v/>
      </c>
    </row>
    <row r="195" spans="31:34" x14ac:dyDescent="0.25">
      <c r="AE195" s="8" t="str">
        <f t="shared" si="9"/>
        <v/>
      </c>
      <c r="AF195" s="8" t="str">
        <f t="shared" si="10"/>
        <v/>
      </c>
      <c r="AG195" s="8" t="str">
        <f>IF(TRIM($E195)&lt;&gt;"Tax Paid","",IF(COUNTIFS(LISTS!$F$2:$F$26,$AE195,LISTS!$G$2:$G$26,$AF195)=0,"NOT ON LIST",""))</f>
        <v/>
      </c>
      <c r="AH195" s="8" t="str">
        <f t="shared" si="11"/>
        <v/>
      </c>
    </row>
    <row r="196" spans="31:34" x14ac:dyDescent="0.25">
      <c r="AE196" s="8" t="str">
        <f t="shared" si="9"/>
        <v/>
      </c>
      <c r="AF196" s="8" t="str">
        <f t="shared" si="10"/>
        <v/>
      </c>
      <c r="AG196" s="8" t="str">
        <f>IF(TRIM($E196)&lt;&gt;"Tax Paid","",IF(COUNTIFS(LISTS!$F$2:$F$26,$AE196,LISTS!$G$2:$G$26,$AF196)=0,"NOT ON LIST",""))</f>
        <v/>
      </c>
      <c r="AH196" s="8" t="str">
        <f t="shared" si="11"/>
        <v/>
      </c>
    </row>
    <row r="197" spans="31:34" x14ac:dyDescent="0.25">
      <c r="AE197" s="8" t="str">
        <f t="shared" si="9"/>
        <v/>
      </c>
      <c r="AF197" s="8" t="str">
        <f t="shared" si="10"/>
        <v/>
      </c>
      <c r="AG197" s="8" t="str">
        <f>IF(TRIM($E197)&lt;&gt;"Tax Paid","",IF(COUNTIFS(LISTS!$F$2:$F$26,$AE197,LISTS!$G$2:$G$26,$AF197)=0,"NOT ON LIST",""))</f>
        <v/>
      </c>
      <c r="AH197" s="8" t="str">
        <f t="shared" si="11"/>
        <v/>
      </c>
    </row>
    <row r="198" spans="31:34" x14ac:dyDescent="0.25">
      <c r="AE198" s="8" t="str">
        <f t="shared" si="9"/>
        <v/>
      </c>
      <c r="AF198" s="8" t="str">
        <f t="shared" si="10"/>
        <v/>
      </c>
      <c r="AG198" s="8" t="str">
        <f>IF(TRIM($E198)&lt;&gt;"Tax Paid","",IF(COUNTIFS(LISTS!$F$2:$F$26,$AE198,LISTS!$G$2:$G$26,$AF198)=0,"NOT ON LIST",""))</f>
        <v/>
      </c>
      <c r="AH198" s="8" t="str">
        <f t="shared" si="11"/>
        <v/>
      </c>
    </row>
    <row r="199" spans="31:34" x14ac:dyDescent="0.25">
      <c r="AE199" s="8" t="str">
        <f t="shared" si="9"/>
        <v/>
      </c>
      <c r="AF199" s="8" t="str">
        <f t="shared" si="10"/>
        <v/>
      </c>
      <c r="AG199" s="8" t="str">
        <f>IF(TRIM($E199)&lt;&gt;"Tax Paid","",IF(COUNTIFS(LISTS!$F$2:$F$26,$AE199,LISTS!$G$2:$G$26,$AF199)=0,"NOT ON LIST",""))</f>
        <v/>
      </c>
      <c r="AH199" s="8" t="str">
        <f t="shared" si="11"/>
        <v/>
      </c>
    </row>
    <row r="200" spans="31:34" x14ac:dyDescent="0.25">
      <c r="AE200" s="8" t="str">
        <f t="shared" si="9"/>
        <v/>
      </c>
      <c r="AF200" s="8" t="str">
        <f t="shared" si="10"/>
        <v/>
      </c>
      <c r="AG200" s="8" t="str">
        <f>IF(TRIM($E200)&lt;&gt;"Tax Paid","",IF(COUNTIFS(LISTS!$F$2:$F$26,$AE200,LISTS!$G$2:$G$26,$AF200)=0,"NOT ON LIST",""))</f>
        <v/>
      </c>
      <c r="AH200" s="8" t="str">
        <f t="shared" si="11"/>
        <v/>
      </c>
    </row>
    <row r="201" spans="31:34" x14ac:dyDescent="0.25">
      <c r="AE201" s="8" t="str">
        <f t="shared" si="9"/>
        <v/>
      </c>
      <c r="AF201" s="8" t="str">
        <f t="shared" si="10"/>
        <v/>
      </c>
      <c r="AG201" s="8" t="str">
        <f>IF(TRIM($E201)&lt;&gt;"Tax Paid","",IF(COUNTIFS(LISTS!$F$2:$F$26,$AE201,LISTS!$G$2:$G$26,$AF201)=0,"NOT ON LIST",""))</f>
        <v/>
      </c>
      <c r="AH201" s="8" t="str">
        <f t="shared" si="11"/>
        <v/>
      </c>
    </row>
    <row r="202" spans="31:34" x14ac:dyDescent="0.25">
      <c r="AE202" s="8" t="str">
        <f t="shared" si="9"/>
        <v/>
      </c>
      <c r="AF202" s="8" t="str">
        <f t="shared" si="10"/>
        <v/>
      </c>
      <c r="AG202" s="8" t="str">
        <f>IF(TRIM($E202)&lt;&gt;"Tax Paid","",IF(COUNTIFS(LISTS!$F$2:$F$26,$AE202,LISTS!$G$2:$G$26,$AF202)=0,"NOT ON LIST",""))</f>
        <v/>
      </c>
      <c r="AH202" s="8" t="str">
        <f t="shared" si="11"/>
        <v/>
      </c>
    </row>
    <row r="203" spans="31:34" x14ac:dyDescent="0.25">
      <c r="AE203" s="8" t="str">
        <f t="shared" si="9"/>
        <v/>
      </c>
      <c r="AF203" s="8" t="str">
        <f t="shared" si="10"/>
        <v/>
      </c>
      <c r="AG203" s="8" t="str">
        <f>IF(TRIM($E203)&lt;&gt;"Tax Paid","",IF(COUNTIFS(LISTS!$F$2:$F$26,$AE203,LISTS!$G$2:$G$26,$AF203)=0,"NOT ON LIST",""))</f>
        <v/>
      </c>
      <c r="AH203" s="8" t="str">
        <f t="shared" si="11"/>
        <v/>
      </c>
    </row>
    <row r="204" spans="31:34" x14ac:dyDescent="0.25">
      <c r="AE204" s="8" t="str">
        <f t="shared" si="9"/>
        <v/>
      </c>
      <c r="AF204" s="8" t="str">
        <f t="shared" si="10"/>
        <v/>
      </c>
      <c r="AG204" s="8" t="str">
        <f>IF(TRIM($E204)&lt;&gt;"Tax Paid","",IF(COUNTIFS(LISTS!$F$2:$F$26,$AE204,LISTS!$G$2:$G$26,$AF204)=0,"NOT ON LIST",""))</f>
        <v/>
      </c>
      <c r="AH204" s="8" t="str">
        <f t="shared" si="11"/>
        <v/>
      </c>
    </row>
    <row r="205" spans="31:34" x14ac:dyDescent="0.25">
      <c r="AE205" s="8" t="str">
        <f t="shared" si="9"/>
        <v/>
      </c>
      <c r="AF205" s="8" t="str">
        <f t="shared" si="10"/>
        <v/>
      </c>
      <c r="AG205" s="8" t="str">
        <f>IF(TRIM($E205)&lt;&gt;"Tax Paid","",IF(COUNTIFS(LISTS!$F$2:$F$26,$AE205,LISTS!$G$2:$G$26,$AF205)=0,"NOT ON LIST",""))</f>
        <v/>
      </c>
      <c r="AH205" s="8" t="str">
        <f t="shared" si="11"/>
        <v/>
      </c>
    </row>
    <row r="206" spans="31:34" x14ac:dyDescent="0.25">
      <c r="AE206" s="8" t="str">
        <f t="shared" si="9"/>
        <v/>
      </c>
      <c r="AF206" s="8" t="str">
        <f t="shared" si="10"/>
        <v/>
      </c>
      <c r="AG206" s="8" t="str">
        <f>IF(TRIM($E206)&lt;&gt;"Tax Paid","",IF(COUNTIFS(LISTS!$F$2:$F$26,$AE206,LISTS!$G$2:$G$26,$AF206)=0,"NOT ON LIST",""))</f>
        <v/>
      </c>
      <c r="AH206" s="8" t="str">
        <f t="shared" si="11"/>
        <v/>
      </c>
    </row>
    <row r="207" spans="31:34" x14ac:dyDescent="0.25">
      <c r="AE207" s="8" t="str">
        <f t="shared" si="9"/>
        <v/>
      </c>
      <c r="AF207" s="8" t="str">
        <f t="shared" si="10"/>
        <v/>
      </c>
      <c r="AG207" s="8" t="str">
        <f>IF(TRIM($E207)&lt;&gt;"Tax Paid","",IF(COUNTIFS(LISTS!$F$2:$F$26,$AE207,LISTS!$G$2:$G$26,$AF207)=0,"NOT ON LIST",""))</f>
        <v/>
      </c>
      <c r="AH207" s="8" t="str">
        <f t="shared" si="11"/>
        <v/>
      </c>
    </row>
    <row r="208" spans="31:34" x14ac:dyDescent="0.25">
      <c r="AE208" s="8" t="str">
        <f t="shared" si="9"/>
        <v/>
      </c>
      <c r="AF208" s="8" t="str">
        <f t="shared" si="10"/>
        <v/>
      </c>
      <c r="AG208" s="8" t="str">
        <f>IF(TRIM($E208)&lt;&gt;"Tax Paid","",IF(COUNTIFS(LISTS!$F$2:$F$26,$AE208,LISTS!$G$2:$G$26,$AF208)=0,"NOT ON LIST",""))</f>
        <v/>
      </c>
      <c r="AH208" s="8" t="str">
        <f t="shared" si="11"/>
        <v/>
      </c>
    </row>
    <row r="209" spans="31:34" x14ac:dyDescent="0.25">
      <c r="AE209" s="8" t="str">
        <f t="shared" si="9"/>
        <v/>
      </c>
      <c r="AF209" s="8" t="str">
        <f t="shared" si="10"/>
        <v/>
      </c>
      <c r="AG209" s="8" t="str">
        <f>IF(TRIM($E209)&lt;&gt;"Tax Paid","",IF(COUNTIFS(LISTS!$F$2:$F$26,$AE209,LISTS!$G$2:$G$26,$AF209)=0,"NOT ON LIST",""))</f>
        <v/>
      </c>
      <c r="AH209" s="8" t="str">
        <f t="shared" si="11"/>
        <v/>
      </c>
    </row>
    <row r="210" spans="31:34" x14ac:dyDescent="0.25">
      <c r="AE210" s="8" t="str">
        <f t="shared" si="9"/>
        <v/>
      </c>
      <c r="AF210" s="8" t="str">
        <f t="shared" si="10"/>
        <v/>
      </c>
      <c r="AG210" s="8" t="str">
        <f>IF(TRIM($E210)&lt;&gt;"Tax Paid","",IF(COUNTIFS(LISTS!$F$2:$F$26,$AE210,LISTS!$G$2:$G$26,$AF210)=0,"NOT ON LIST",""))</f>
        <v/>
      </c>
      <c r="AH210" s="8" t="str">
        <f t="shared" si="11"/>
        <v/>
      </c>
    </row>
    <row r="211" spans="31:34" x14ac:dyDescent="0.25">
      <c r="AE211" s="8" t="str">
        <f t="shared" si="9"/>
        <v/>
      </c>
      <c r="AF211" s="8" t="str">
        <f t="shared" si="10"/>
        <v/>
      </c>
      <c r="AG211" s="8" t="str">
        <f>IF(TRIM($E211)&lt;&gt;"Tax Paid","",IF(COUNTIFS(LISTS!$F$2:$F$26,$AE211,LISTS!$G$2:$G$26,$AF211)=0,"NOT ON LIST",""))</f>
        <v/>
      </c>
      <c r="AH211" s="8" t="str">
        <f t="shared" si="11"/>
        <v/>
      </c>
    </row>
    <row r="212" spans="31:34" x14ac:dyDescent="0.25">
      <c r="AE212" s="8" t="str">
        <f t="shared" si="9"/>
        <v/>
      </c>
      <c r="AF212" s="8" t="str">
        <f t="shared" si="10"/>
        <v/>
      </c>
      <c r="AG212" s="8" t="str">
        <f>IF(TRIM($E212)&lt;&gt;"Tax Paid","",IF(COUNTIFS(LISTS!$F$2:$F$26,$AE212,LISTS!$G$2:$G$26,$AF212)=0,"NOT ON LIST",""))</f>
        <v/>
      </c>
      <c r="AH212" s="8" t="str">
        <f t="shared" si="11"/>
        <v/>
      </c>
    </row>
    <row r="213" spans="31:34" x14ac:dyDescent="0.25">
      <c r="AE213" s="8" t="str">
        <f t="shared" si="9"/>
        <v/>
      </c>
      <c r="AF213" s="8" t="str">
        <f t="shared" si="10"/>
        <v/>
      </c>
      <c r="AG213" s="8" t="str">
        <f>IF(TRIM($E213)&lt;&gt;"Tax Paid","",IF(COUNTIFS(LISTS!$F$2:$F$26,$AE213,LISTS!$G$2:$G$26,$AF213)=0,"NOT ON LIST",""))</f>
        <v/>
      </c>
      <c r="AH213" s="8" t="str">
        <f t="shared" si="11"/>
        <v/>
      </c>
    </row>
    <row r="214" spans="31:34" x14ac:dyDescent="0.25">
      <c r="AE214" s="8" t="str">
        <f t="shared" si="9"/>
        <v/>
      </c>
      <c r="AF214" s="8" t="str">
        <f t="shared" si="10"/>
        <v/>
      </c>
      <c r="AG214" s="8" t="str">
        <f>IF(TRIM($E214)&lt;&gt;"Tax Paid","",IF(COUNTIFS(LISTS!$F$2:$F$26,$AE214,LISTS!$G$2:$G$26,$AF214)=0,"NOT ON LIST",""))</f>
        <v/>
      </c>
      <c r="AH214" s="8" t="str">
        <f t="shared" si="11"/>
        <v/>
      </c>
    </row>
    <row r="215" spans="31:34" x14ac:dyDescent="0.25">
      <c r="AE215" s="8" t="str">
        <f t="shared" si="9"/>
        <v/>
      </c>
      <c r="AF215" s="8" t="str">
        <f t="shared" si="10"/>
        <v/>
      </c>
      <c r="AG215" s="8" t="str">
        <f>IF(TRIM($E215)&lt;&gt;"Tax Paid","",IF(COUNTIFS(LISTS!$F$2:$F$26,$AE215,LISTS!$G$2:$G$26,$AF215)=0,"NOT ON LIST",""))</f>
        <v/>
      </c>
      <c r="AH215" s="8" t="str">
        <f t="shared" si="11"/>
        <v/>
      </c>
    </row>
    <row r="216" spans="31:34" x14ac:dyDescent="0.25">
      <c r="AE216" s="8" t="str">
        <f t="shared" si="9"/>
        <v/>
      </c>
      <c r="AF216" s="8" t="str">
        <f t="shared" si="10"/>
        <v/>
      </c>
      <c r="AG216" s="8" t="str">
        <f>IF(TRIM($E216)&lt;&gt;"Tax Paid","",IF(COUNTIFS(LISTS!$F$2:$F$26,$AE216,LISTS!$G$2:$G$26,$AF216)=0,"NOT ON LIST",""))</f>
        <v/>
      </c>
      <c r="AH216" s="8" t="str">
        <f t="shared" si="11"/>
        <v/>
      </c>
    </row>
    <row r="217" spans="31:34" x14ac:dyDescent="0.25">
      <c r="AE217" s="8" t="str">
        <f t="shared" si="9"/>
        <v/>
      </c>
      <c r="AF217" s="8" t="str">
        <f t="shared" si="10"/>
        <v/>
      </c>
      <c r="AG217" s="8" t="str">
        <f>IF(TRIM($E217)&lt;&gt;"Tax Paid","",IF(COUNTIFS(LISTS!$F$2:$F$26,$AE217,LISTS!$G$2:$G$26,$AF217)=0,"NOT ON LIST",""))</f>
        <v/>
      </c>
      <c r="AH217" s="8" t="str">
        <f t="shared" si="11"/>
        <v/>
      </c>
    </row>
    <row r="218" spans="31:34" x14ac:dyDescent="0.25">
      <c r="AE218" s="8" t="str">
        <f t="shared" si="9"/>
        <v/>
      </c>
      <c r="AF218" s="8" t="str">
        <f t="shared" si="10"/>
        <v/>
      </c>
      <c r="AG218" s="8" t="str">
        <f>IF(TRIM($E218)&lt;&gt;"Tax Paid","",IF(COUNTIFS(LISTS!$F$2:$F$26,$AE218,LISTS!$G$2:$G$26,$AF218)=0,"NOT ON LIST",""))</f>
        <v/>
      </c>
      <c r="AH218" s="8" t="str">
        <f t="shared" si="11"/>
        <v/>
      </c>
    </row>
    <row r="219" spans="31:34" x14ac:dyDescent="0.25">
      <c r="AE219" s="8" t="str">
        <f t="shared" si="9"/>
        <v/>
      </c>
      <c r="AF219" s="8" t="str">
        <f t="shared" si="10"/>
        <v/>
      </c>
      <c r="AG219" s="8" t="str">
        <f>IF(TRIM($E219)&lt;&gt;"Tax Paid","",IF(COUNTIFS(LISTS!$F$2:$F$26,$AE219,LISTS!$G$2:$G$26,$AF219)=0,"NOT ON LIST",""))</f>
        <v/>
      </c>
      <c r="AH219" s="8" t="str">
        <f t="shared" si="11"/>
        <v/>
      </c>
    </row>
    <row r="220" spans="31:34" x14ac:dyDescent="0.25">
      <c r="AE220" s="8" t="str">
        <f t="shared" si="9"/>
        <v/>
      </c>
      <c r="AF220" s="8" t="str">
        <f t="shared" si="10"/>
        <v/>
      </c>
      <c r="AG220" s="8" t="str">
        <f>IF(TRIM($E220)&lt;&gt;"Tax Paid","",IF(COUNTIFS(LISTS!$F$2:$F$26,$AE220,LISTS!$G$2:$G$26,$AF220)=0,"NOT ON LIST",""))</f>
        <v/>
      </c>
      <c r="AH220" s="8" t="str">
        <f t="shared" si="11"/>
        <v/>
      </c>
    </row>
    <row r="221" spans="31:34" x14ac:dyDescent="0.25">
      <c r="AE221" s="8" t="str">
        <f t="shared" si="9"/>
        <v/>
      </c>
      <c r="AF221" s="8" t="str">
        <f t="shared" si="10"/>
        <v/>
      </c>
      <c r="AG221" s="8" t="str">
        <f>IF(TRIM($E221)&lt;&gt;"Tax Paid","",IF(COUNTIFS(LISTS!$F$2:$F$26,$AE221,LISTS!$G$2:$G$26,$AF221)=0,"NOT ON LIST",""))</f>
        <v/>
      </c>
      <c r="AH221" s="8" t="str">
        <f t="shared" si="11"/>
        <v/>
      </c>
    </row>
    <row r="222" spans="31:34" x14ac:dyDescent="0.25">
      <c r="AE222" s="8" t="str">
        <f t="shared" si="9"/>
        <v/>
      </c>
      <c r="AF222" s="8" t="str">
        <f t="shared" si="10"/>
        <v/>
      </c>
      <c r="AG222" s="8" t="str">
        <f>IF(TRIM($E222)&lt;&gt;"Tax Paid","",IF(COUNTIFS(LISTS!$F$2:$F$26,$AE222,LISTS!$G$2:$G$26,$AF222)=0,"NOT ON LIST",""))</f>
        <v/>
      </c>
      <c r="AH222" s="8" t="str">
        <f t="shared" si="11"/>
        <v/>
      </c>
    </row>
    <row r="223" spans="31:34" x14ac:dyDescent="0.25">
      <c r="AE223" s="8" t="str">
        <f t="shared" si="9"/>
        <v/>
      </c>
      <c r="AF223" s="8" t="str">
        <f t="shared" si="10"/>
        <v/>
      </c>
      <c r="AG223" s="8" t="str">
        <f>IF(TRIM($E223)&lt;&gt;"Tax Paid","",IF(COUNTIFS(LISTS!$F$2:$F$26,$AE223,LISTS!$G$2:$G$26,$AF223)=0,"NOT ON LIST",""))</f>
        <v/>
      </c>
      <c r="AH223" s="8" t="str">
        <f t="shared" si="11"/>
        <v/>
      </c>
    </row>
    <row r="224" spans="31:34" x14ac:dyDescent="0.25">
      <c r="AE224" s="8" t="str">
        <f t="shared" si="9"/>
        <v/>
      </c>
      <c r="AF224" s="8" t="str">
        <f t="shared" si="10"/>
        <v/>
      </c>
      <c r="AG224" s="8" t="str">
        <f>IF(TRIM($E224)&lt;&gt;"Tax Paid","",IF(COUNTIFS(LISTS!$F$2:$F$26,$AE224,LISTS!$G$2:$G$26,$AF224)=0,"NOT ON LIST",""))</f>
        <v/>
      </c>
      <c r="AH224" s="8" t="str">
        <f t="shared" si="11"/>
        <v/>
      </c>
    </row>
    <row r="225" spans="31:34" x14ac:dyDescent="0.25">
      <c r="AE225" s="8" t="str">
        <f t="shared" si="9"/>
        <v/>
      </c>
      <c r="AF225" s="8" t="str">
        <f t="shared" si="10"/>
        <v/>
      </c>
      <c r="AG225" s="8" t="str">
        <f>IF(TRIM($E225)&lt;&gt;"Tax Paid","",IF(COUNTIFS(LISTS!$F$2:$F$26,$AE225,LISTS!$G$2:$G$26,$AF225)=0,"NOT ON LIST",""))</f>
        <v/>
      </c>
      <c r="AH225" s="8" t="str">
        <f t="shared" si="11"/>
        <v/>
      </c>
    </row>
    <row r="226" spans="31:34" x14ac:dyDescent="0.25">
      <c r="AE226" s="8" t="str">
        <f t="shared" si="9"/>
        <v/>
      </c>
      <c r="AF226" s="8" t="str">
        <f t="shared" si="10"/>
        <v/>
      </c>
      <c r="AG226" s="8" t="str">
        <f>IF(TRIM($E226)&lt;&gt;"Tax Paid","",IF(COUNTIFS(LISTS!$F$2:$F$26,$AE226,LISTS!$G$2:$G$26,$AF226)=0,"NOT ON LIST",""))</f>
        <v/>
      </c>
      <c r="AH226" s="8" t="str">
        <f t="shared" si="11"/>
        <v/>
      </c>
    </row>
    <row r="227" spans="31:34" x14ac:dyDescent="0.25">
      <c r="AE227" s="8" t="str">
        <f t="shared" si="9"/>
        <v/>
      </c>
      <c r="AF227" s="8" t="str">
        <f t="shared" si="10"/>
        <v/>
      </c>
      <c r="AG227" s="8" t="str">
        <f>IF(TRIM($E227)&lt;&gt;"Tax Paid","",IF(COUNTIFS(LISTS!$F$2:$F$26,$AE227,LISTS!$G$2:$G$26,$AF227)=0,"NOT ON LIST",""))</f>
        <v/>
      </c>
      <c r="AH227" s="8" t="str">
        <f t="shared" si="11"/>
        <v/>
      </c>
    </row>
    <row r="228" spans="31:34" x14ac:dyDescent="0.25">
      <c r="AE228" s="8" t="str">
        <f t="shared" si="9"/>
        <v/>
      </c>
      <c r="AF228" s="8" t="str">
        <f t="shared" si="10"/>
        <v/>
      </c>
      <c r="AG228" s="8" t="str">
        <f>IF(TRIM($E228)&lt;&gt;"Tax Paid","",IF(COUNTIFS(LISTS!$F$2:$F$26,$AE228,LISTS!$G$2:$G$26,$AF228)=0,"NOT ON LIST",""))</f>
        <v/>
      </c>
      <c r="AH228" s="8" t="str">
        <f t="shared" si="11"/>
        <v/>
      </c>
    </row>
    <row r="229" spans="31:34" x14ac:dyDescent="0.25">
      <c r="AE229" s="8" t="str">
        <f t="shared" si="9"/>
        <v/>
      </c>
      <c r="AF229" s="8" t="str">
        <f t="shared" si="10"/>
        <v/>
      </c>
      <c r="AG229" s="8" t="str">
        <f>IF(TRIM($E229)&lt;&gt;"Tax Paid","",IF(COUNTIFS(LISTS!$F$2:$F$26,$AE229,LISTS!$G$2:$G$26,$AF229)=0,"NOT ON LIST",""))</f>
        <v/>
      </c>
      <c r="AH229" s="8" t="str">
        <f t="shared" si="11"/>
        <v/>
      </c>
    </row>
    <row r="230" spans="31:34" x14ac:dyDescent="0.25">
      <c r="AE230" s="8" t="str">
        <f t="shared" si="9"/>
        <v/>
      </c>
      <c r="AF230" s="8" t="str">
        <f t="shared" si="10"/>
        <v/>
      </c>
      <c r="AG230" s="8" t="str">
        <f>IF(TRIM($E230)&lt;&gt;"Tax Paid","",IF(COUNTIFS(LISTS!$F$2:$F$26,$AE230,LISTS!$G$2:$G$26,$AF230)=0,"NOT ON LIST",""))</f>
        <v/>
      </c>
      <c r="AH230" s="8" t="str">
        <f t="shared" si="11"/>
        <v/>
      </c>
    </row>
    <row r="231" spans="31:34" x14ac:dyDescent="0.25">
      <c r="AE231" s="8" t="str">
        <f t="shared" si="9"/>
        <v/>
      </c>
      <c r="AF231" s="8" t="str">
        <f t="shared" si="10"/>
        <v/>
      </c>
      <c r="AG231" s="8" t="str">
        <f>IF(TRIM($E231)&lt;&gt;"Tax Paid","",IF(COUNTIFS(LISTS!$F$2:$F$26,$AE231,LISTS!$G$2:$G$26,$AF231)=0,"NOT ON LIST",""))</f>
        <v/>
      </c>
      <c r="AH231" s="8" t="str">
        <f t="shared" si="11"/>
        <v/>
      </c>
    </row>
    <row r="232" spans="31:34" x14ac:dyDescent="0.25">
      <c r="AE232" s="8" t="str">
        <f t="shared" si="9"/>
        <v/>
      </c>
      <c r="AF232" s="8" t="str">
        <f t="shared" si="10"/>
        <v/>
      </c>
      <c r="AG232" s="8" t="str">
        <f>IF(TRIM($E232)&lt;&gt;"Tax Paid","",IF(COUNTIFS(LISTS!$F$2:$F$26,$AE232,LISTS!$G$2:$G$26,$AF232)=0,"NOT ON LIST",""))</f>
        <v/>
      </c>
      <c r="AH232" s="8" t="str">
        <f t="shared" si="11"/>
        <v/>
      </c>
    </row>
    <row r="233" spans="31:34" x14ac:dyDescent="0.25">
      <c r="AE233" s="8" t="str">
        <f t="shared" si="9"/>
        <v/>
      </c>
      <c r="AF233" s="8" t="str">
        <f t="shared" si="10"/>
        <v/>
      </c>
      <c r="AG233" s="8" t="str">
        <f>IF(TRIM($E233)&lt;&gt;"Tax Paid","",IF(COUNTIFS(LISTS!$F$2:$F$26,$AE233,LISTS!$G$2:$G$26,$AF233)=0,"NOT ON LIST",""))</f>
        <v/>
      </c>
      <c r="AH233" s="8" t="str">
        <f t="shared" si="11"/>
        <v/>
      </c>
    </row>
    <row r="234" spans="31:34" x14ac:dyDescent="0.25">
      <c r="AE234" s="8" t="str">
        <f t="shared" si="9"/>
        <v/>
      </c>
      <c r="AF234" s="8" t="str">
        <f t="shared" si="10"/>
        <v/>
      </c>
      <c r="AG234" s="8" t="str">
        <f>IF(TRIM($E234)&lt;&gt;"Tax Paid","",IF(COUNTIFS(LISTS!$F$2:$F$26,$AE234,LISTS!$G$2:$G$26,$AF234)=0,"NOT ON LIST",""))</f>
        <v/>
      </c>
      <c r="AH234" s="8" t="str">
        <f t="shared" si="11"/>
        <v/>
      </c>
    </row>
    <row r="235" spans="31:34" x14ac:dyDescent="0.25">
      <c r="AE235" s="8" t="str">
        <f t="shared" si="9"/>
        <v/>
      </c>
      <c r="AF235" s="8" t="str">
        <f t="shared" si="10"/>
        <v/>
      </c>
      <c r="AG235" s="8" t="str">
        <f>IF(TRIM($E235)&lt;&gt;"Tax Paid","",IF(COUNTIFS(LISTS!$F$2:$F$26,$AE235,LISTS!$G$2:$G$26,$AF235)=0,"NOT ON LIST",""))</f>
        <v/>
      </c>
      <c r="AH235" s="8" t="str">
        <f t="shared" si="11"/>
        <v/>
      </c>
    </row>
    <row r="236" spans="31:34" x14ac:dyDescent="0.25">
      <c r="AE236" s="8" t="str">
        <f t="shared" si="9"/>
        <v/>
      </c>
      <c r="AF236" s="8" t="str">
        <f t="shared" si="10"/>
        <v/>
      </c>
      <c r="AG236" s="8" t="str">
        <f>IF(TRIM($E236)&lt;&gt;"Tax Paid","",IF(COUNTIFS(LISTS!$F$2:$F$26,$AE236,LISTS!$G$2:$G$26,$AF236)=0,"NOT ON LIST",""))</f>
        <v/>
      </c>
      <c r="AH236" s="8" t="str">
        <f t="shared" si="11"/>
        <v/>
      </c>
    </row>
    <row r="237" spans="31:34" x14ac:dyDescent="0.25">
      <c r="AE237" s="8" t="str">
        <f t="shared" si="9"/>
        <v/>
      </c>
      <c r="AF237" s="8" t="str">
        <f t="shared" si="10"/>
        <v/>
      </c>
      <c r="AG237" s="8" t="str">
        <f>IF(TRIM($E237)&lt;&gt;"Tax Paid","",IF(COUNTIFS(LISTS!$F$2:$F$26,$AE237,LISTS!$G$2:$G$26,$AF237)=0,"NOT ON LIST",""))</f>
        <v/>
      </c>
      <c r="AH237" s="8" t="str">
        <f t="shared" si="11"/>
        <v/>
      </c>
    </row>
    <row r="238" spans="31:34" x14ac:dyDescent="0.25">
      <c r="AE238" s="8" t="str">
        <f t="shared" si="9"/>
        <v/>
      </c>
      <c r="AF238" s="8" t="str">
        <f t="shared" si="10"/>
        <v/>
      </c>
      <c r="AG238" s="8" t="str">
        <f>IF(TRIM($E238)&lt;&gt;"Tax Paid","",IF(COUNTIFS(LISTS!$F$2:$F$26,$AE238,LISTS!$G$2:$G$26,$AF238)=0,"NOT ON LIST",""))</f>
        <v/>
      </c>
      <c r="AH238" s="8" t="str">
        <f t="shared" si="11"/>
        <v/>
      </c>
    </row>
    <row r="239" spans="31:34" x14ac:dyDescent="0.25">
      <c r="AE239" s="8" t="str">
        <f t="shared" si="9"/>
        <v/>
      </c>
      <c r="AF239" s="8" t="str">
        <f t="shared" si="10"/>
        <v/>
      </c>
      <c r="AG239" s="8" t="str">
        <f>IF(TRIM($E239)&lt;&gt;"Tax Paid","",IF(COUNTIFS(LISTS!$F$2:$F$26,$AE239,LISTS!$G$2:$G$26,$AF239)=0,"NOT ON LIST",""))</f>
        <v/>
      </c>
      <c r="AH239" s="8" t="str">
        <f t="shared" si="11"/>
        <v/>
      </c>
    </row>
    <row r="240" spans="31:34" x14ac:dyDescent="0.25">
      <c r="AE240" s="8" t="str">
        <f t="shared" si="9"/>
        <v/>
      </c>
      <c r="AF240" s="8" t="str">
        <f t="shared" si="10"/>
        <v/>
      </c>
      <c r="AG240" s="8" t="str">
        <f>IF(TRIM($E240)&lt;&gt;"Tax Paid","",IF(COUNTIFS(LISTS!$F$2:$F$26,$AE240,LISTS!$G$2:$G$26,$AF240)=0,"NOT ON LIST",""))</f>
        <v/>
      </c>
      <c r="AH240" s="8" t="str">
        <f t="shared" si="11"/>
        <v/>
      </c>
    </row>
    <row r="241" spans="31:34" x14ac:dyDescent="0.25">
      <c r="AE241" s="8" t="str">
        <f t="shared" si="9"/>
        <v/>
      </c>
      <c r="AF241" s="8" t="str">
        <f t="shared" si="10"/>
        <v/>
      </c>
      <c r="AG241" s="8" t="str">
        <f>IF(TRIM($E241)&lt;&gt;"Tax Paid","",IF(COUNTIFS(LISTS!$F$2:$F$26,$AE241,LISTS!$G$2:$G$26,$AF241)=0,"NOT ON LIST",""))</f>
        <v/>
      </c>
      <c r="AH241" s="8" t="str">
        <f t="shared" si="11"/>
        <v/>
      </c>
    </row>
    <row r="242" spans="31:34" x14ac:dyDescent="0.25">
      <c r="AE242" s="8" t="str">
        <f t="shared" si="9"/>
        <v/>
      </c>
      <c r="AF242" s="8" t="str">
        <f t="shared" si="10"/>
        <v/>
      </c>
      <c r="AG242" s="8" t="str">
        <f>IF(TRIM($E242)&lt;&gt;"Tax Paid","",IF(COUNTIFS(LISTS!$F$2:$F$26,$AE242,LISTS!$G$2:$G$26,$AF242)=0,"NOT ON LIST",""))</f>
        <v/>
      </c>
      <c r="AH242" s="8" t="str">
        <f t="shared" si="11"/>
        <v/>
      </c>
    </row>
    <row r="243" spans="31:34" x14ac:dyDescent="0.25">
      <c r="AE243" s="8" t="str">
        <f t="shared" si="9"/>
        <v/>
      </c>
      <c r="AF243" s="8" t="str">
        <f t="shared" si="10"/>
        <v/>
      </c>
      <c r="AG243" s="8" t="str">
        <f>IF(TRIM($E243)&lt;&gt;"Tax Paid","",IF(COUNTIFS(LISTS!$F$2:$F$26,$AE243,LISTS!$G$2:$G$26,$AF243)=0,"NOT ON LIST",""))</f>
        <v/>
      </c>
      <c r="AH243" s="8" t="str">
        <f t="shared" si="11"/>
        <v/>
      </c>
    </row>
    <row r="244" spans="31:34" x14ac:dyDescent="0.25">
      <c r="AE244" s="8" t="str">
        <f t="shared" si="9"/>
        <v/>
      </c>
      <c r="AF244" s="8" t="str">
        <f t="shared" si="10"/>
        <v/>
      </c>
      <c r="AG244" s="8" t="str">
        <f>IF(TRIM($E244)&lt;&gt;"Tax Paid","",IF(COUNTIFS(LISTS!$F$2:$F$26,$AE244,LISTS!$G$2:$G$26,$AF244)=0,"NOT ON LIST",""))</f>
        <v/>
      </c>
      <c r="AH244" s="8" t="str">
        <f t="shared" si="11"/>
        <v/>
      </c>
    </row>
    <row r="245" spans="31:34" x14ac:dyDescent="0.25">
      <c r="AE245" s="8" t="str">
        <f t="shared" si="9"/>
        <v/>
      </c>
      <c r="AF245" s="8" t="str">
        <f t="shared" si="10"/>
        <v/>
      </c>
      <c r="AG245" s="8" t="str">
        <f>IF(TRIM($E245)&lt;&gt;"Tax Paid","",IF(COUNTIFS(LISTS!$F$2:$F$26,$AE245,LISTS!$G$2:$G$26,$AF245)=0,"NOT ON LIST",""))</f>
        <v/>
      </c>
      <c r="AH245" s="8" t="str">
        <f t="shared" si="11"/>
        <v/>
      </c>
    </row>
    <row r="246" spans="31:34" x14ac:dyDescent="0.25">
      <c r="AE246" s="8" t="str">
        <f t="shared" si="9"/>
        <v/>
      </c>
      <c r="AF246" s="8" t="str">
        <f t="shared" si="10"/>
        <v/>
      </c>
      <c r="AG246" s="8" t="str">
        <f>IF(TRIM($E246)&lt;&gt;"Tax Paid","",IF(COUNTIFS(LISTS!$F$2:$F$26,$AE246,LISTS!$G$2:$G$26,$AF246)=0,"NOT ON LIST",""))</f>
        <v/>
      </c>
      <c r="AH246" s="8" t="str">
        <f t="shared" si="11"/>
        <v/>
      </c>
    </row>
    <row r="247" spans="31:34" x14ac:dyDescent="0.25">
      <c r="AE247" s="8" t="str">
        <f t="shared" si="9"/>
        <v/>
      </c>
      <c r="AF247" s="8" t="str">
        <f t="shared" si="10"/>
        <v/>
      </c>
      <c r="AG247" s="8" t="str">
        <f>IF(TRIM($E247)&lt;&gt;"Tax Paid","",IF(COUNTIFS(LISTS!$F$2:$F$26,$AE247,LISTS!$G$2:$G$26,$AF247)=0,"NOT ON LIST",""))</f>
        <v/>
      </c>
      <c r="AH247" s="8" t="str">
        <f t="shared" si="11"/>
        <v/>
      </c>
    </row>
    <row r="248" spans="31:34" x14ac:dyDescent="0.25">
      <c r="AE248" s="8" t="str">
        <f t="shared" si="9"/>
        <v/>
      </c>
      <c r="AF248" s="8" t="str">
        <f t="shared" si="10"/>
        <v/>
      </c>
      <c r="AG248" s="8" t="str">
        <f>IF(TRIM($E248)&lt;&gt;"Tax Paid","",IF(COUNTIFS(LISTS!$F$2:$F$26,$AE248,LISTS!$G$2:$G$26,$AF248)=0,"NOT ON LIST",""))</f>
        <v/>
      </c>
      <c r="AH248" s="8" t="str">
        <f t="shared" si="11"/>
        <v/>
      </c>
    </row>
    <row r="249" spans="31:34" x14ac:dyDescent="0.25">
      <c r="AE249" s="8" t="str">
        <f t="shared" si="9"/>
        <v/>
      </c>
      <c r="AF249" s="8" t="str">
        <f t="shared" si="10"/>
        <v/>
      </c>
      <c r="AG249" s="8" t="str">
        <f>IF(TRIM($E249)&lt;&gt;"Tax Paid","",IF(COUNTIFS(LISTS!$F$2:$F$26,$AE249,LISTS!$G$2:$G$26,$AF249)=0,"NOT ON LIST",""))</f>
        <v/>
      </c>
      <c r="AH249" s="8" t="str">
        <f t="shared" si="11"/>
        <v/>
      </c>
    </row>
    <row r="250" spans="31:34" x14ac:dyDescent="0.25">
      <c r="AE250" s="8" t="str">
        <f t="shared" si="9"/>
        <v/>
      </c>
      <c r="AF250" s="8" t="str">
        <f t="shared" si="10"/>
        <v/>
      </c>
      <c r="AG250" s="8" t="str">
        <f>IF(TRIM($E250)&lt;&gt;"Tax Paid","",IF(COUNTIFS(LISTS!$F$2:$F$26,$AE250,LISTS!$G$2:$G$26,$AF250)=0,"NOT ON LIST",""))</f>
        <v/>
      </c>
      <c r="AH250" s="8" t="str">
        <f t="shared" si="11"/>
        <v/>
      </c>
    </row>
    <row r="251" spans="31:34" x14ac:dyDescent="0.25">
      <c r="AE251" s="8" t="str">
        <f t="shared" si="9"/>
        <v/>
      </c>
      <c r="AF251" s="8" t="str">
        <f t="shared" si="10"/>
        <v/>
      </c>
      <c r="AG251" s="8" t="str">
        <f>IF(TRIM($E251)&lt;&gt;"Tax Paid","",IF(COUNTIFS(LISTS!$F$2:$F$26,$AE251,LISTS!$G$2:$G$26,$AF251)=0,"NOT ON LIST",""))</f>
        <v/>
      </c>
      <c r="AH251" s="8" t="str">
        <f t="shared" si="11"/>
        <v/>
      </c>
    </row>
    <row r="252" spans="31:34" x14ac:dyDescent="0.25">
      <c r="AE252" s="8" t="str">
        <f t="shared" si="9"/>
        <v/>
      </c>
      <c r="AF252" s="8" t="str">
        <f t="shared" si="10"/>
        <v/>
      </c>
      <c r="AG252" s="8" t="str">
        <f>IF(TRIM($E252)&lt;&gt;"Tax Paid","",IF(COUNTIFS(LISTS!$F$2:$F$26,$AE252,LISTS!$G$2:$G$26,$AF252)=0,"NOT ON LIST",""))</f>
        <v/>
      </c>
      <c r="AH252" s="8" t="str">
        <f t="shared" si="11"/>
        <v/>
      </c>
    </row>
    <row r="253" spans="31:34" x14ac:dyDescent="0.25">
      <c r="AE253" s="8" t="str">
        <f t="shared" si="9"/>
        <v/>
      </c>
      <c r="AF253" s="8" t="str">
        <f t="shared" si="10"/>
        <v/>
      </c>
      <c r="AG253" s="8" t="str">
        <f>IF(TRIM($E253)&lt;&gt;"Tax Paid","",IF(COUNTIFS(LISTS!$F$2:$F$26,$AE253,LISTS!$G$2:$G$26,$AF253)=0,"NOT ON LIST",""))</f>
        <v/>
      </c>
      <c r="AH253" s="8" t="str">
        <f t="shared" si="11"/>
        <v/>
      </c>
    </row>
    <row r="254" spans="31:34" x14ac:dyDescent="0.25">
      <c r="AE254" s="8" t="str">
        <f t="shared" si="9"/>
        <v/>
      </c>
      <c r="AF254" s="8" t="str">
        <f t="shared" si="10"/>
        <v/>
      </c>
      <c r="AG254" s="8" t="str">
        <f>IF(TRIM($E254)&lt;&gt;"Tax Paid","",IF(COUNTIFS(LISTS!$F$2:$F$26,$AE254,LISTS!$G$2:$G$26,$AF254)=0,"NOT ON LIST",""))</f>
        <v/>
      </c>
      <c r="AH254" s="8" t="str">
        <f t="shared" si="11"/>
        <v/>
      </c>
    </row>
    <row r="255" spans="31:34" x14ac:dyDescent="0.25">
      <c r="AE255" s="8" t="str">
        <f t="shared" si="9"/>
        <v/>
      </c>
      <c r="AF255" s="8" t="str">
        <f t="shared" si="10"/>
        <v/>
      </c>
      <c r="AG255" s="8" t="str">
        <f>IF(TRIM($E255)&lt;&gt;"Tax Paid","",IF(COUNTIFS(LISTS!$F$2:$F$26,$AE255,LISTS!$G$2:$G$26,$AF255)=0,"NOT ON LIST",""))</f>
        <v/>
      </c>
      <c r="AH255" s="8" t="str">
        <f t="shared" si="11"/>
        <v/>
      </c>
    </row>
    <row r="256" spans="31:34" x14ac:dyDescent="0.25">
      <c r="AE256" s="8" t="str">
        <f t="shared" si="9"/>
        <v/>
      </c>
      <c r="AF256" s="8" t="str">
        <f t="shared" si="10"/>
        <v/>
      </c>
      <c r="AG256" s="8" t="str">
        <f>IF(TRIM($E256)&lt;&gt;"Tax Paid","",IF(COUNTIFS(LISTS!$F$2:$F$26,$AE256,LISTS!$G$2:$G$26,$AF256)=0,"NOT ON LIST",""))</f>
        <v/>
      </c>
      <c r="AH256" s="8" t="str">
        <f t="shared" si="11"/>
        <v/>
      </c>
    </row>
    <row r="257" spans="31:34" x14ac:dyDescent="0.25">
      <c r="AE257" s="8" t="str">
        <f t="shared" si="9"/>
        <v/>
      </c>
      <c r="AF257" s="8" t="str">
        <f t="shared" si="10"/>
        <v/>
      </c>
      <c r="AG257" s="8" t="str">
        <f>IF(TRIM($E257)&lt;&gt;"Tax Paid","",IF(COUNTIFS(LISTS!$F$2:$F$26,$AE257,LISTS!$G$2:$G$26,$AF257)=0,"NOT ON LIST",""))</f>
        <v/>
      </c>
      <c r="AH257" s="8" t="str">
        <f t="shared" si="11"/>
        <v/>
      </c>
    </row>
    <row r="258" spans="31:34" x14ac:dyDescent="0.25">
      <c r="AE258" s="8" t="str">
        <f t="shared" ref="AE258:AE321" si="12">IF(TRIM($E258)="Tax Paid",TRIM($S258),"")</f>
        <v/>
      </c>
      <c r="AF258" s="8" t="str">
        <f t="shared" ref="AF258:AF321" si="13">IF(TRIM($E258)="Tax Paid",ROUND($Z258/100,5),"")</f>
        <v/>
      </c>
      <c r="AG258" s="8" t="str">
        <f>IF(TRIM($E258)&lt;&gt;"Tax Paid","",IF(COUNTIFS(LISTS!$F$2:$F$26,$AE258,LISTS!$G$2:$G$26,$AF258)=0,"NOT ON LIST",""))</f>
        <v/>
      </c>
      <c r="AH258" s="8" t="str">
        <f t="shared" ref="AH258:AH321" si="14">IF($AG258="","",IF($AE258="","(no county)",$AE258)&amp;" ("&amp;SUBSTITUTE(TEXT($AF258,"0.###%"),".%","%")&amp;")")</f>
        <v/>
      </c>
    </row>
    <row r="259" spans="31:34" x14ac:dyDescent="0.25">
      <c r="AE259" s="8" t="str">
        <f t="shared" si="12"/>
        <v/>
      </c>
      <c r="AF259" s="8" t="str">
        <f t="shared" si="13"/>
        <v/>
      </c>
      <c r="AG259" s="8" t="str">
        <f>IF(TRIM($E259)&lt;&gt;"Tax Paid","",IF(COUNTIFS(LISTS!$F$2:$F$26,$AE259,LISTS!$G$2:$G$26,$AF259)=0,"NOT ON LIST",""))</f>
        <v/>
      </c>
      <c r="AH259" s="8" t="str">
        <f t="shared" si="14"/>
        <v/>
      </c>
    </row>
    <row r="260" spans="31:34" x14ac:dyDescent="0.25">
      <c r="AE260" s="8" t="str">
        <f t="shared" si="12"/>
        <v/>
      </c>
      <c r="AF260" s="8" t="str">
        <f t="shared" si="13"/>
        <v/>
      </c>
      <c r="AG260" s="8" t="str">
        <f>IF(TRIM($E260)&lt;&gt;"Tax Paid","",IF(COUNTIFS(LISTS!$F$2:$F$26,$AE260,LISTS!$G$2:$G$26,$AF260)=0,"NOT ON LIST",""))</f>
        <v/>
      </c>
      <c r="AH260" s="8" t="str">
        <f t="shared" si="14"/>
        <v/>
      </c>
    </row>
    <row r="261" spans="31:34" x14ac:dyDescent="0.25">
      <c r="AE261" s="8" t="str">
        <f t="shared" si="12"/>
        <v/>
      </c>
      <c r="AF261" s="8" t="str">
        <f t="shared" si="13"/>
        <v/>
      </c>
      <c r="AG261" s="8" t="str">
        <f>IF(TRIM($E261)&lt;&gt;"Tax Paid","",IF(COUNTIFS(LISTS!$F$2:$F$26,$AE261,LISTS!$G$2:$G$26,$AF261)=0,"NOT ON LIST",""))</f>
        <v/>
      </c>
      <c r="AH261" s="8" t="str">
        <f t="shared" si="14"/>
        <v/>
      </c>
    </row>
    <row r="262" spans="31:34" x14ac:dyDescent="0.25">
      <c r="AE262" s="8" t="str">
        <f t="shared" si="12"/>
        <v/>
      </c>
      <c r="AF262" s="8" t="str">
        <f t="shared" si="13"/>
        <v/>
      </c>
      <c r="AG262" s="8" t="str">
        <f>IF(TRIM($E262)&lt;&gt;"Tax Paid","",IF(COUNTIFS(LISTS!$F$2:$F$26,$AE262,LISTS!$G$2:$G$26,$AF262)=0,"NOT ON LIST",""))</f>
        <v/>
      </c>
      <c r="AH262" s="8" t="str">
        <f t="shared" si="14"/>
        <v/>
      </c>
    </row>
    <row r="263" spans="31:34" x14ac:dyDescent="0.25">
      <c r="AE263" s="8" t="str">
        <f t="shared" si="12"/>
        <v/>
      </c>
      <c r="AF263" s="8" t="str">
        <f t="shared" si="13"/>
        <v/>
      </c>
      <c r="AG263" s="8" t="str">
        <f>IF(TRIM($E263)&lt;&gt;"Tax Paid","",IF(COUNTIFS(LISTS!$F$2:$F$26,$AE263,LISTS!$G$2:$G$26,$AF263)=0,"NOT ON LIST",""))</f>
        <v/>
      </c>
      <c r="AH263" s="8" t="str">
        <f t="shared" si="14"/>
        <v/>
      </c>
    </row>
    <row r="264" spans="31:34" x14ac:dyDescent="0.25">
      <c r="AE264" s="8" t="str">
        <f t="shared" si="12"/>
        <v/>
      </c>
      <c r="AF264" s="8" t="str">
        <f t="shared" si="13"/>
        <v/>
      </c>
      <c r="AG264" s="8" t="str">
        <f>IF(TRIM($E264)&lt;&gt;"Tax Paid","",IF(COUNTIFS(LISTS!$F$2:$F$26,$AE264,LISTS!$G$2:$G$26,$AF264)=0,"NOT ON LIST",""))</f>
        <v/>
      </c>
      <c r="AH264" s="8" t="str">
        <f t="shared" si="14"/>
        <v/>
      </c>
    </row>
    <row r="265" spans="31:34" x14ac:dyDescent="0.25">
      <c r="AE265" s="8" t="str">
        <f t="shared" si="12"/>
        <v/>
      </c>
      <c r="AF265" s="8" t="str">
        <f t="shared" si="13"/>
        <v/>
      </c>
      <c r="AG265" s="8" t="str">
        <f>IF(TRIM($E265)&lt;&gt;"Tax Paid","",IF(COUNTIFS(LISTS!$F$2:$F$26,$AE265,LISTS!$G$2:$G$26,$AF265)=0,"NOT ON LIST",""))</f>
        <v/>
      </c>
      <c r="AH265" s="8" t="str">
        <f t="shared" si="14"/>
        <v/>
      </c>
    </row>
    <row r="266" spans="31:34" x14ac:dyDescent="0.25">
      <c r="AE266" s="8" t="str">
        <f t="shared" si="12"/>
        <v/>
      </c>
      <c r="AF266" s="8" t="str">
        <f t="shared" si="13"/>
        <v/>
      </c>
      <c r="AG266" s="8" t="str">
        <f>IF(TRIM($E266)&lt;&gt;"Tax Paid","",IF(COUNTIFS(LISTS!$F$2:$F$26,$AE266,LISTS!$G$2:$G$26,$AF266)=0,"NOT ON LIST",""))</f>
        <v/>
      </c>
      <c r="AH266" s="8" t="str">
        <f t="shared" si="14"/>
        <v/>
      </c>
    </row>
    <row r="267" spans="31:34" x14ac:dyDescent="0.25">
      <c r="AE267" s="8" t="str">
        <f t="shared" si="12"/>
        <v/>
      </c>
      <c r="AF267" s="8" t="str">
        <f t="shared" si="13"/>
        <v/>
      </c>
      <c r="AG267" s="8" t="str">
        <f>IF(TRIM($E267)&lt;&gt;"Tax Paid","",IF(COUNTIFS(LISTS!$F$2:$F$26,$AE267,LISTS!$G$2:$G$26,$AF267)=0,"NOT ON LIST",""))</f>
        <v/>
      </c>
      <c r="AH267" s="8" t="str">
        <f t="shared" si="14"/>
        <v/>
      </c>
    </row>
    <row r="268" spans="31:34" x14ac:dyDescent="0.25">
      <c r="AE268" s="8" t="str">
        <f t="shared" si="12"/>
        <v/>
      </c>
      <c r="AF268" s="8" t="str">
        <f t="shared" si="13"/>
        <v/>
      </c>
      <c r="AG268" s="8" t="str">
        <f>IF(TRIM($E268)&lt;&gt;"Tax Paid","",IF(COUNTIFS(LISTS!$F$2:$F$26,$AE268,LISTS!$G$2:$G$26,$AF268)=0,"NOT ON LIST",""))</f>
        <v/>
      </c>
      <c r="AH268" s="8" t="str">
        <f t="shared" si="14"/>
        <v/>
      </c>
    </row>
    <row r="269" spans="31:34" x14ac:dyDescent="0.25">
      <c r="AE269" s="8" t="str">
        <f t="shared" si="12"/>
        <v/>
      </c>
      <c r="AF269" s="8" t="str">
        <f t="shared" si="13"/>
        <v/>
      </c>
      <c r="AG269" s="8" t="str">
        <f>IF(TRIM($E269)&lt;&gt;"Tax Paid","",IF(COUNTIFS(LISTS!$F$2:$F$26,$AE269,LISTS!$G$2:$G$26,$AF269)=0,"NOT ON LIST",""))</f>
        <v/>
      </c>
      <c r="AH269" s="8" t="str">
        <f t="shared" si="14"/>
        <v/>
      </c>
    </row>
    <row r="270" spans="31:34" x14ac:dyDescent="0.25">
      <c r="AE270" s="8" t="str">
        <f t="shared" si="12"/>
        <v/>
      </c>
      <c r="AF270" s="8" t="str">
        <f t="shared" si="13"/>
        <v/>
      </c>
      <c r="AG270" s="8" t="str">
        <f>IF(TRIM($E270)&lt;&gt;"Tax Paid","",IF(COUNTIFS(LISTS!$F$2:$F$26,$AE270,LISTS!$G$2:$G$26,$AF270)=0,"NOT ON LIST",""))</f>
        <v/>
      </c>
      <c r="AH270" s="8" t="str">
        <f t="shared" si="14"/>
        <v/>
      </c>
    </row>
    <row r="271" spans="31:34" x14ac:dyDescent="0.25">
      <c r="AE271" s="8" t="str">
        <f t="shared" si="12"/>
        <v/>
      </c>
      <c r="AF271" s="8" t="str">
        <f t="shared" si="13"/>
        <v/>
      </c>
      <c r="AG271" s="8" t="str">
        <f>IF(TRIM($E271)&lt;&gt;"Tax Paid","",IF(COUNTIFS(LISTS!$F$2:$F$26,$AE271,LISTS!$G$2:$G$26,$AF271)=0,"NOT ON LIST",""))</f>
        <v/>
      </c>
      <c r="AH271" s="8" t="str">
        <f t="shared" si="14"/>
        <v/>
      </c>
    </row>
    <row r="272" spans="31:34" x14ac:dyDescent="0.25">
      <c r="AE272" s="8" t="str">
        <f t="shared" si="12"/>
        <v/>
      </c>
      <c r="AF272" s="8" t="str">
        <f t="shared" si="13"/>
        <v/>
      </c>
      <c r="AG272" s="8" t="str">
        <f>IF(TRIM($E272)&lt;&gt;"Tax Paid","",IF(COUNTIFS(LISTS!$F$2:$F$26,$AE272,LISTS!$G$2:$G$26,$AF272)=0,"NOT ON LIST",""))</f>
        <v/>
      </c>
      <c r="AH272" s="8" t="str">
        <f t="shared" si="14"/>
        <v/>
      </c>
    </row>
    <row r="273" spans="31:34" x14ac:dyDescent="0.25">
      <c r="AE273" s="8" t="str">
        <f t="shared" si="12"/>
        <v/>
      </c>
      <c r="AF273" s="8" t="str">
        <f t="shared" si="13"/>
        <v/>
      </c>
      <c r="AG273" s="8" t="str">
        <f>IF(TRIM($E273)&lt;&gt;"Tax Paid","",IF(COUNTIFS(LISTS!$F$2:$F$26,$AE273,LISTS!$G$2:$G$26,$AF273)=0,"NOT ON LIST",""))</f>
        <v/>
      </c>
      <c r="AH273" s="8" t="str">
        <f t="shared" si="14"/>
        <v/>
      </c>
    </row>
    <row r="274" spans="31:34" x14ac:dyDescent="0.25">
      <c r="AE274" s="8" t="str">
        <f t="shared" si="12"/>
        <v/>
      </c>
      <c r="AF274" s="8" t="str">
        <f t="shared" si="13"/>
        <v/>
      </c>
      <c r="AG274" s="8" t="str">
        <f>IF(TRIM($E274)&lt;&gt;"Tax Paid","",IF(COUNTIFS(LISTS!$F$2:$F$26,$AE274,LISTS!$G$2:$G$26,$AF274)=0,"NOT ON LIST",""))</f>
        <v/>
      </c>
      <c r="AH274" s="8" t="str">
        <f t="shared" si="14"/>
        <v/>
      </c>
    </row>
    <row r="275" spans="31:34" x14ac:dyDescent="0.25">
      <c r="AE275" s="8" t="str">
        <f t="shared" si="12"/>
        <v/>
      </c>
      <c r="AF275" s="8" t="str">
        <f t="shared" si="13"/>
        <v/>
      </c>
      <c r="AG275" s="8" t="str">
        <f>IF(TRIM($E275)&lt;&gt;"Tax Paid","",IF(COUNTIFS(LISTS!$F$2:$F$26,$AE275,LISTS!$G$2:$G$26,$AF275)=0,"NOT ON LIST",""))</f>
        <v/>
      </c>
      <c r="AH275" s="8" t="str">
        <f t="shared" si="14"/>
        <v/>
      </c>
    </row>
    <row r="276" spans="31:34" x14ac:dyDescent="0.25">
      <c r="AE276" s="8" t="str">
        <f t="shared" si="12"/>
        <v/>
      </c>
      <c r="AF276" s="8" t="str">
        <f t="shared" si="13"/>
        <v/>
      </c>
      <c r="AG276" s="8" t="str">
        <f>IF(TRIM($E276)&lt;&gt;"Tax Paid","",IF(COUNTIFS(LISTS!$F$2:$F$26,$AE276,LISTS!$G$2:$G$26,$AF276)=0,"NOT ON LIST",""))</f>
        <v/>
      </c>
      <c r="AH276" s="8" t="str">
        <f t="shared" si="14"/>
        <v/>
      </c>
    </row>
    <row r="277" spans="31:34" x14ac:dyDescent="0.25">
      <c r="AE277" s="8" t="str">
        <f t="shared" si="12"/>
        <v/>
      </c>
      <c r="AF277" s="8" t="str">
        <f t="shared" si="13"/>
        <v/>
      </c>
      <c r="AG277" s="8" t="str">
        <f>IF(TRIM($E277)&lt;&gt;"Tax Paid","",IF(COUNTIFS(LISTS!$F$2:$F$26,$AE277,LISTS!$G$2:$G$26,$AF277)=0,"NOT ON LIST",""))</f>
        <v/>
      </c>
      <c r="AH277" s="8" t="str">
        <f t="shared" si="14"/>
        <v/>
      </c>
    </row>
    <row r="278" spans="31:34" x14ac:dyDescent="0.25">
      <c r="AE278" s="8" t="str">
        <f t="shared" si="12"/>
        <v/>
      </c>
      <c r="AF278" s="8" t="str">
        <f t="shared" si="13"/>
        <v/>
      </c>
      <c r="AG278" s="8" t="str">
        <f>IF(TRIM($E278)&lt;&gt;"Tax Paid","",IF(COUNTIFS(LISTS!$F$2:$F$26,$AE278,LISTS!$G$2:$G$26,$AF278)=0,"NOT ON LIST",""))</f>
        <v/>
      </c>
      <c r="AH278" s="8" t="str">
        <f t="shared" si="14"/>
        <v/>
      </c>
    </row>
    <row r="279" spans="31:34" x14ac:dyDescent="0.25">
      <c r="AE279" s="8" t="str">
        <f t="shared" si="12"/>
        <v/>
      </c>
      <c r="AF279" s="8" t="str">
        <f t="shared" si="13"/>
        <v/>
      </c>
      <c r="AG279" s="8" t="str">
        <f>IF(TRIM($E279)&lt;&gt;"Tax Paid","",IF(COUNTIFS(LISTS!$F$2:$F$26,$AE279,LISTS!$G$2:$G$26,$AF279)=0,"NOT ON LIST",""))</f>
        <v/>
      </c>
      <c r="AH279" s="8" t="str">
        <f t="shared" si="14"/>
        <v/>
      </c>
    </row>
    <row r="280" spans="31:34" x14ac:dyDescent="0.25">
      <c r="AE280" s="8" t="str">
        <f t="shared" si="12"/>
        <v/>
      </c>
      <c r="AF280" s="8" t="str">
        <f t="shared" si="13"/>
        <v/>
      </c>
      <c r="AG280" s="8" t="str">
        <f>IF(TRIM($E280)&lt;&gt;"Tax Paid","",IF(COUNTIFS(LISTS!$F$2:$F$26,$AE280,LISTS!$G$2:$G$26,$AF280)=0,"NOT ON LIST",""))</f>
        <v/>
      </c>
      <c r="AH280" s="8" t="str">
        <f t="shared" si="14"/>
        <v/>
      </c>
    </row>
    <row r="281" spans="31:34" x14ac:dyDescent="0.25">
      <c r="AE281" s="8" t="str">
        <f t="shared" si="12"/>
        <v/>
      </c>
      <c r="AF281" s="8" t="str">
        <f t="shared" si="13"/>
        <v/>
      </c>
      <c r="AG281" s="8" t="str">
        <f>IF(TRIM($E281)&lt;&gt;"Tax Paid","",IF(COUNTIFS(LISTS!$F$2:$F$26,$AE281,LISTS!$G$2:$G$26,$AF281)=0,"NOT ON LIST",""))</f>
        <v/>
      </c>
      <c r="AH281" s="8" t="str">
        <f t="shared" si="14"/>
        <v/>
      </c>
    </row>
    <row r="282" spans="31:34" x14ac:dyDescent="0.25">
      <c r="AE282" s="8" t="str">
        <f t="shared" si="12"/>
        <v/>
      </c>
      <c r="AF282" s="8" t="str">
        <f t="shared" si="13"/>
        <v/>
      </c>
      <c r="AG282" s="8" t="str">
        <f>IF(TRIM($E282)&lt;&gt;"Tax Paid","",IF(COUNTIFS(LISTS!$F$2:$F$26,$AE282,LISTS!$G$2:$G$26,$AF282)=0,"NOT ON LIST",""))</f>
        <v/>
      </c>
      <c r="AH282" s="8" t="str">
        <f t="shared" si="14"/>
        <v/>
      </c>
    </row>
    <row r="283" spans="31:34" x14ac:dyDescent="0.25">
      <c r="AE283" s="8" t="str">
        <f t="shared" si="12"/>
        <v/>
      </c>
      <c r="AF283" s="8" t="str">
        <f t="shared" si="13"/>
        <v/>
      </c>
      <c r="AG283" s="8" t="str">
        <f>IF(TRIM($E283)&lt;&gt;"Tax Paid","",IF(COUNTIFS(LISTS!$F$2:$F$26,$AE283,LISTS!$G$2:$G$26,$AF283)=0,"NOT ON LIST",""))</f>
        <v/>
      </c>
      <c r="AH283" s="8" t="str">
        <f t="shared" si="14"/>
        <v/>
      </c>
    </row>
    <row r="284" spans="31:34" x14ac:dyDescent="0.25">
      <c r="AE284" s="8" t="str">
        <f t="shared" si="12"/>
        <v/>
      </c>
      <c r="AF284" s="8" t="str">
        <f t="shared" si="13"/>
        <v/>
      </c>
      <c r="AG284" s="8" t="str">
        <f>IF(TRIM($E284)&lt;&gt;"Tax Paid","",IF(COUNTIFS(LISTS!$F$2:$F$26,$AE284,LISTS!$G$2:$G$26,$AF284)=0,"NOT ON LIST",""))</f>
        <v/>
      </c>
      <c r="AH284" s="8" t="str">
        <f t="shared" si="14"/>
        <v/>
      </c>
    </row>
    <row r="285" spans="31:34" x14ac:dyDescent="0.25">
      <c r="AE285" s="8" t="str">
        <f t="shared" si="12"/>
        <v/>
      </c>
      <c r="AF285" s="8" t="str">
        <f t="shared" si="13"/>
        <v/>
      </c>
      <c r="AG285" s="8" t="str">
        <f>IF(TRIM($E285)&lt;&gt;"Tax Paid","",IF(COUNTIFS(LISTS!$F$2:$F$26,$AE285,LISTS!$G$2:$G$26,$AF285)=0,"NOT ON LIST",""))</f>
        <v/>
      </c>
      <c r="AH285" s="8" t="str">
        <f t="shared" si="14"/>
        <v/>
      </c>
    </row>
    <row r="286" spans="31:34" x14ac:dyDescent="0.25">
      <c r="AE286" s="8" t="str">
        <f t="shared" si="12"/>
        <v/>
      </c>
      <c r="AF286" s="8" t="str">
        <f t="shared" si="13"/>
        <v/>
      </c>
      <c r="AG286" s="8" t="str">
        <f>IF(TRIM($E286)&lt;&gt;"Tax Paid","",IF(COUNTIFS(LISTS!$F$2:$F$26,$AE286,LISTS!$G$2:$G$26,$AF286)=0,"NOT ON LIST",""))</f>
        <v/>
      </c>
      <c r="AH286" s="8" t="str">
        <f t="shared" si="14"/>
        <v/>
      </c>
    </row>
    <row r="287" spans="31:34" x14ac:dyDescent="0.25">
      <c r="AE287" s="8" t="str">
        <f t="shared" si="12"/>
        <v/>
      </c>
      <c r="AF287" s="8" t="str">
        <f t="shared" si="13"/>
        <v/>
      </c>
      <c r="AG287" s="8" t="str">
        <f>IF(TRIM($E287)&lt;&gt;"Tax Paid","",IF(COUNTIFS(LISTS!$F$2:$F$26,$AE287,LISTS!$G$2:$G$26,$AF287)=0,"NOT ON LIST",""))</f>
        <v/>
      </c>
      <c r="AH287" s="8" t="str">
        <f t="shared" si="14"/>
        <v/>
      </c>
    </row>
    <row r="288" spans="31:34" x14ac:dyDescent="0.25">
      <c r="AE288" s="8" t="str">
        <f t="shared" si="12"/>
        <v/>
      </c>
      <c r="AF288" s="8" t="str">
        <f t="shared" si="13"/>
        <v/>
      </c>
      <c r="AG288" s="8" t="str">
        <f>IF(TRIM($E288)&lt;&gt;"Tax Paid","",IF(COUNTIFS(LISTS!$F$2:$F$26,$AE288,LISTS!$G$2:$G$26,$AF288)=0,"NOT ON LIST",""))</f>
        <v/>
      </c>
      <c r="AH288" s="8" t="str">
        <f t="shared" si="14"/>
        <v/>
      </c>
    </row>
    <row r="289" spans="31:34" x14ac:dyDescent="0.25">
      <c r="AE289" s="8" t="str">
        <f t="shared" si="12"/>
        <v/>
      </c>
      <c r="AF289" s="8" t="str">
        <f t="shared" si="13"/>
        <v/>
      </c>
      <c r="AG289" s="8" t="str">
        <f>IF(TRIM($E289)&lt;&gt;"Tax Paid","",IF(COUNTIFS(LISTS!$F$2:$F$26,$AE289,LISTS!$G$2:$G$26,$AF289)=0,"NOT ON LIST",""))</f>
        <v/>
      </c>
      <c r="AH289" s="8" t="str">
        <f t="shared" si="14"/>
        <v/>
      </c>
    </row>
    <row r="290" spans="31:34" x14ac:dyDescent="0.25">
      <c r="AE290" s="8" t="str">
        <f t="shared" si="12"/>
        <v/>
      </c>
      <c r="AF290" s="8" t="str">
        <f t="shared" si="13"/>
        <v/>
      </c>
      <c r="AG290" s="8" t="str">
        <f>IF(TRIM($E290)&lt;&gt;"Tax Paid","",IF(COUNTIFS(LISTS!$F$2:$F$26,$AE290,LISTS!$G$2:$G$26,$AF290)=0,"NOT ON LIST",""))</f>
        <v/>
      </c>
      <c r="AH290" s="8" t="str">
        <f t="shared" si="14"/>
        <v/>
      </c>
    </row>
    <row r="291" spans="31:34" x14ac:dyDescent="0.25">
      <c r="AE291" s="8" t="str">
        <f t="shared" si="12"/>
        <v/>
      </c>
      <c r="AF291" s="8" t="str">
        <f t="shared" si="13"/>
        <v/>
      </c>
      <c r="AG291" s="8" t="str">
        <f>IF(TRIM($E291)&lt;&gt;"Tax Paid","",IF(COUNTIFS(LISTS!$F$2:$F$26,$AE291,LISTS!$G$2:$G$26,$AF291)=0,"NOT ON LIST",""))</f>
        <v/>
      </c>
      <c r="AH291" s="8" t="str">
        <f t="shared" si="14"/>
        <v/>
      </c>
    </row>
    <row r="292" spans="31:34" x14ac:dyDescent="0.25">
      <c r="AE292" s="8" t="str">
        <f t="shared" si="12"/>
        <v/>
      </c>
      <c r="AF292" s="8" t="str">
        <f t="shared" si="13"/>
        <v/>
      </c>
      <c r="AG292" s="8" t="str">
        <f>IF(TRIM($E292)&lt;&gt;"Tax Paid","",IF(COUNTIFS(LISTS!$F$2:$F$26,$AE292,LISTS!$G$2:$G$26,$AF292)=0,"NOT ON LIST",""))</f>
        <v/>
      </c>
      <c r="AH292" s="8" t="str">
        <f t="shared" si="14"/>
        <v/>
      </c>
    </row>
    <row r="293" spans="31:34" x14ac:dyDescent="0.25">
      <c r="AE293" s="8" t="str">
        <f t="shared" si="12"/>
        <v/>
      </c>
      <c r="AF293" s="8" t="str">
        <f t="shared" si="13"/>
        <v/>
      </c>
      <c r="AG293" s="8" t="str">
        <f>IF(TRIM($E293)&lt;&gt;"Tax Paid","",IF(COUNTIFS(LISTS!$F$2:$F$26,$AE293,LISTS!$G$2:$G$26,$AF293)=0,"NOT ON LIST",""))</f>
        <v/>
      </c>
      <c r="AH293" s="8" t="str">
        <f t="shared" si="14"/>
        <v/>
      </c>
    </row>
    <row r="294" spans="31:34" x14ac:dyDescent="0.25">
      <c r="AE294" s="8" t="str">
        <f t="shared" si="12"/>
        <v/>
      </c>
      <c r="AF294" s="8" t="str">
        <f t="shared" si="13"/>
        <v/>
      </c>
      <c r="AG294" s="8" t="str">
        <f>IF(TRIM($E294)&lt;&gt;"Tax Paid","",IF(COUNTIFS(LISTS!$F$2:$F$26,$AE294,LISTS!$G$2:$G$26,$AF294)=0,"NOT ON LIST",""))</f>
        <v/>
      </c>
      <c r="AH294" s="8" t="str">
        <f t="shared" si="14"/>
        <v/>
      </c>
    </row>
    <row r="295" spans="31:34" x14ac:dyDescent="0.25">
      <c r="AE295" s="8" t="str">
        <f t="shared" si="12"/>
        <v/>
      </c>
      <c r="AF295" s="8" t="str">
        <f t="shared" si="13"/>
        <v/>
      </c>
      <c r="AG295" s="8" t="str">
        <f>IF(TRIM($E295)&lt;&gt;"Tax Paid","",IF(COUNTIFS(LISTS!$F$2:$F$26,$AE295,LISTS!$G$2:$G$26,$AF295)=0,"NOT ON LIST",""))</f>
        <v/>
      </c>
      <c r="AH295" s="8" t="str">
        <f t="shared" si="14"/>
        <v/>
      </c>
    </row>
    <row r="296" spans="31:34" x14ac:dyDescent="0.25">
      <c r="AE296" s="8" t="str">
        <f t="shared" si="12"/>
        <v/>
      </c>
      <c r="AF296" s="8" t="str">
        <f t="shared" si="13"/>
        <v/>
      </c>
      <c r="AG296" s="8" t="str">
        <f>IF(TRIM($E296)&lt;&gt;"Tax Paid","",IF(COUNTIFS(LISTS!$F$2:$F$26,$AE296,LISTS!$G$2:$G$26,$AF296)=0,"NOT ON LIST",""))</f>
        <v/>
      </c>
      <c r="AH296" s="8" t="str">
        <f t="shared" si="14"/>
        <v/>
      </c>
    </row>
    <row r="297" spans="31:34" x14ac:dyDescent="0.25">
      <c r="AE297" s="8" t="str">
        <f t="shared" si="12"/>
        <v/>
      </c>
      <c r="AF297" s="8" t="str">
        <f t="shared" si="13"/>
        <v/>
      </c>
      <c r="AG297" s="8" t="str">
        <f>IF(TRIM($E297)&lt;&gt;"Tax Paid","",IF(COUNTIFS(LISTS!$F$2:$F$26,$AE297,LISTS!$G$2:$G$26,$AF297)=0,"NOT ON LIST",""))</f>
        <v/>
      </c>
      <c r="AH297" s="8" t="str">
        <f t="shared" si="14"/>
        <v/>
      </c>
    </row>
    <row r="298" spans="31:34" x14ac:dyDescent="0.25">
      <c r="AE298" s="8" t="str">
        <f t="shared" si="12"/>
        <v/>
      </c>
      <c r="AF298" s="8" t="str">
        <f t="shared" si="13"/>
        <v/>
      </c>
      <c r="AG298" s="8" t="str">
        <f>IF(TRIM($E298)&lt;&gt;"Tax Paid","",IF(COUNTIFS(LISTS!$F$2:$F$26,$AE298,LISTS!$G$2:$G$26,$AF298)=0,"NOT ON LIST",""))</f>
        <v/>
      </c>
      <c r="AH298" s="8" t="str">
        <f t="shared" si="14"/>
        <v/>
      </c>
    </row>
    <row r="299" spans="31:34" x14ac:dyDescent="0.25">
      <c r="AE299" s="8" t="str">
        <f t="shared" si="12"/>
        <v/>
      </c>
      <c r="AF299" s="8" t="str">
        <f t="shared" si="13"/>
        <v/>
      </c>
      <c r="AG299" s="8" t="str">
        <f>IF(TRIM($E299)&lt;&gt;"Tax Paid","",IF(COUNTIFS(LISTS!$F$2:$F$26,$AE299,LISTS!$G$2:$G$26,$AF299)=0,"NOT ON LIST",""))</f>
        <v/>
      </c>
      <c r="AH299" s="8" t="str">
        <f t="shared" si="14"/>
        <v/>
      </c>
    </row>
    <row r="300" spans="31:34" x14ac:dyDescent="0.25">
      <c r="AE300" s="8" t="str">
        <f t="shared" si="12"/>
        <v/>
      </c>
      <c r="AF300" s="8" t="str">
        <f t="shared" si="13"/>
        <v/>
      </c>
      <c r="AG300" s="8" t="str">
        <f>IF(TRIM($E300)&lt;&gt;"Tax Paid","",IF(COUNTIFS(LISTS!$F$2:$F$26,$AE300,LISTS!$G$2:$G$26,$AF300)=0,"NOT ON LIST",""))</f>
        <v/>
      </c>
      <c r="AH300" s="8" t="str">
        <f t="shared" si="14"/>
        <v/>
      </c>
    </row>
    <row r="301" spans="31:34" x14ac:dyDescent="0.25">
      <c r="AE301" s="8" t="str">
        <f t="shared" si="12"/>
        <v/>
      </c>
      <c r="AF301" s="8" t="str">
        <f t="shared" si="13"/>
        <v/>
      </c>
      <c r="AG301" s="8" t="str">
        <f>IF(TRIM($E301)&lt;&gt;"Tax Paid","",IF(COUNTIFS(LISTS!$F$2:$F$26,$AE301,LISTS!$G$2:$G$26,$AF301)=0,"NOT ON LIST",""))</f>
        <v/>
      </c>
      <c r="AH301" s="8" t="str">
        <f t="shared" si="14"/>
        <v/>
      </c>
    </row>
    <row r="302" spans="31:34" x14ac:dyDescent="0.25">
      <c r="AE302" s="8" t="str">
        <f t="shared" si="12"/>
        <v/>
      </c>
      <c r="AF302" s="8" t="str">
        <f t="shared" si="13"/>
        <v/>
      </c>
      <c r="AG302" s="8" t="str">
        <f>IF(TRIM($E302)&lt;&gt;"Tax Paid","",IF(COUNTIFS(LISTS!$F$2:$F$26,$AE302,LISTS!$G$2:$G$26,$AF302)=0,"NOT ON LIST",""))</f>
        <v/>
      </c>
      <c r="AH302" s="8" t="str">
        <f t="shared" si="14"/>
        <v/>
      </c>
    </row>
    <row r="303" spans="31:34" x14ac:dyDescent="0.25">
      <c r="AE303" s="8" t="str">
        <f t="shared" si="12"/>
        <v/>
      </c>
      <c r="AF303" s="8" t="str">
        <f t="shared" si="13"/>
        <v/>
      </c>
      <c r="AG303" s="8" t="str">
        <f>IF(TRIM($E303)&lt;&gt;"Tax Paid","",IF(COUNTIFS(LISTS!$F$2:$F$26,$AE303,LISTS!$G$2:$G$26,$AF303)=0,"NOT ON LIST",""))</f>
        <v/>
      </c>
      <c r="AH303" s="8" t="str">
        <f t="shared" si="14"/>
        <v/>
      </c>
    </row>
    <row r="304" spans="31:34" x14ac:dyDescent="0.25">
      <c r="AE304" s="8" t="str">
        <f t="shared" si="12"/>
        <v/>
      </c>
      <c r="AF304" s="8" t="str">
        <f t="shared" si="13"/>
        <v/>
      </c>
      <c r="AG304" s="8" t="str">
        <f>IF(TRIM($E304)&lt;&gt;"Tax Paid","",IF(COUNTIFS(LISTS!$F$2:$F$26,$AE304,LISTS!$G$2:$G$26,$AF304)=0,"NOT ON LIST",""))</f>
        <v/>
      </c>
      <c r="AH304" s="8" t="str">
        <f t="shared" si="14"/>
        <v/>
      </c>
    </row>
    <row r="305" spans="31:34" x14ac:dyDescent="0.25">
      <c r="AE305" s="8" t="str">
        <f t="shared" si="12"/>
        <v/>
      </c>
      <c r="AF305" s="8" t="str">
        <f t="shared" si="13"/>
        <v/>
      </c>
      <c r="AG305" s="8" t="str">
        <f>IF(TRIM($E305)&lt;&gt;"Tax Paid","",IF(COUNTIFS(LISTS!$F$2:$F$26,$AE305,LISTS!$G$2:$G$26,$AF305)=0,"NOT ON LIST",""))</f>
        <v/>
      </c>
      <c r="AH305" s="8" t="str">
        <f t="shared" si="14"/>
        <v/>
      </c>
    </row>
    <row r="306" spans="31:34" x14ac:dyDescent="0.25">
      <c r="AE306" s="8" t="str">
        <f t="shared" si="12"/>
        <v/>
      </c>
      <c r="AF306" s="8" t="str">
        <f t="shared" si="13"/>
        <v/>
      </c>
      <c r="AG306" s="8" t="str">
        <f>IF(TRIM($E306)&lt;&gt;"Tax Paid","",IF(COUNTIFS(LISTS!$F$2:$F$26,$AE306,LISTS!$G$2:$G$26,$AF306)=0,"NOT ON LIST",""))</f>
        <v/>
      </c>
      <c r="AH306" s="8" t="str">
        <f t="shared" si="14"/>
        <v/>
      </c>
    </row>
    <row r="307" spans="31:34" x14ac:dyDescent="0.25">
      <c r="AE307" s="8" t="str">
        <f t="shared" si="12"/>
        <v/>
      </c>
      <c r="AF307" s="8" t="str">
        <f t="shared" si="13"/>
        <v/>
      </c>
      <c r="AG307" s="8" t="str">
        <f>IF(TRIM($E307)&lt;&gt;"Tax Paid","",IF(COUNTIFS(LISTS!$F$2:$F$26,$AE307,LISTS!$G$2:$G$26,$AF307)=0,"NOT ON LIST",""))</f>
        <v/>
      </c>
      <c r="AH307" s="8" t="str">
        <f t="shared" si="14"/>
        <v/>
      </c>
    </row>
    <row r="308" spans="31:34" x14ac:dyDescent="0.25">
      <c r="AE308" s="8" t="str">
        <f t="shared" si="12"/>
        <v/>
      </c>
      <c r="AF308" s="8" t="str">
        <f t="shared" si="13"/>
        <v/>
      </c>
      <c r="AG308" s="8" t="str">
        <f>IF(TRIM($E308)&lt;&gt;"Tax Paid","",IF(COUNTIFS(LISTS!$F$2:$F$26,$AE308,LISTS!$G$2:$G$26,$AF308)=0,"NOT ON LIST",""))</f>
        <v/>
      </c>
      <c r="AH308" s="8" t="str">
        <f t="shared" si="14"/>
        <v/>
      </c>
    </row>
    <row r="309" spans="31:34" x14ac:dyDescent="0.25">
      <c r="AE309" s="8" t="str">
        <f t="shared" si="12"/>
        <v/>
      </c>
      <c r="AF309" s="8" t="str">
        <f t="shared" si="13"/>
        <v/>
      </c>
      <c r="AG309" s="8" t="str">
        <f>IF(TRIM($E309)&lt;&gt;"Tax Paid","",IF(COUNTIFS(LISTS!$F$2:$F$26,$AE309,LISTS!$G$2:$G$26,$AF309)=0,"NOT ON LIST",""))</f>
        <v/>
      </c>
      <c r="AH309" s="8" t="str">
        <f t="shared" si="14"/>
        <v/>
      </c>
    </row>
    <row r="310" spans="31:34" x14ac:dyDescent="0.25">
      <c r="AE310" s="8" t="str">
        <f t="shared" si="12"/>
        <v/>
      </c>
      <c r="AF310" s="8" t="str">
        <f t="shared" si="13"/>
        <v/>
      </c>
      <c r="AG310" s="8" t="str">
        <f>IF(TRIM($E310)&lt;&gt;"Tax Paid","",IF(COUNTIFS(LISTS!$F$2:$F$26,$AE310,LISTS!$G$2:$G$26,$AF310)=0,"NOT ON LIST",""))</f>
        <v/>
      </c>
      <c r="AH310" s="8" t="str">
        <f t="shared" si="14"/>
        <v/>
      </c>
    </row>
    <row r="311" spans="31:34" x14ac:dyDescent="0.25">
      <c r="AE311" s="8" t="str">
        <f t="shared" si="12"/>
        <v/>
      </c>
      <c r="AF311" s="8" t="str">
        <f t="shared" si="13"/>
        <v/>
      </c>
      <c r="AG311" s="8" t="str">
        <f>IF(TRIM($E311)&lt;&gt;"Tax Paid","",IF(COUNTIFS(LISTS!$F$2:$F$26,$AE311,LISTS!$G$2:$G$26,$AF311)=0,"NOT ON LIST",""))</f>
        <v/>
      </c>
      <c r="AH311" s="8" t="str">
        <f t="shared" si="14"/>
        <v/>
      </c>
    </row>
    <row r="312" spans="31:34" x14ac:dyDescent="0.25">
      <c r="AE312" s="8" t="str">
        <f t="shared" si="12"/>
        <v/>
      </c>
      <c r="AF312" s="8" t="str">
        <f t="shared" si="13"/>
        <v/>
      </c>
      <c r="AG312" s="8" t="str">
        <f>IF(TRIM($E312)&lt;&gt;"Tax Paid","",IF(COUNTIFS(LISTS!$F$2:$F$26,$AE312,LISTS!$G$2:$G$26,$AF312)=0,"NOT ON LIST",""))</f>
        <v/>
      </c>
      <c r="AH312" s="8" t="str">
        <f t="shared" si="14"/>
        <v/>
      </c>
    </row>
    <row r="313" spans="31:34" x14ac:dyDescent="0.25">
      <c r="AE313" s="8" t="str">
        <f t="shared" si="12"/>
        <v/>
      </c>
      <c r="AF313" s="8" t="str">
        <f t="shared" si="13"/>
        <v/>
      </c>
      <c r="AG313" s="8" t="str">
        <f>IF(TRIM($E313)&lt;&gt;"Tax Paid","",IF(COUNTIFS(LISTS!$F$2:$F$26,$AE313,LISTS!$G$2:$G$26,$AF313)=0,"NOT ON LIST",""))</f>
        <v/>
      </c>
      <c r="AH313" s="8" t="str">
        <f t="shared" si="14"/>
        <v/>
      </c>
    </row>
    <row r="314" spans="31:34" x14ac:dyDescent="0.25">
      <c r="AE314" s="8" t="str">
        <f t="shared" si="12"/>
        <v/>
      </c>
      <c r="AF314" s="8" t="str">
        <f t="shared" si="13"/>
        <v/>
      </c>
      <c r="AG314" s="8" t="str">
        <f>IF(TRIM($E314)&lt;&gt;"Tax Paid","",IF(COUNTIFS(LISTS!$F$2:$F$26,$AE314,LISTS!$G$2:$G$26,$AF314)=0,"NOT ON LIST",""))</f>
        <v/>
      </c>
      <c r="AH314" s="8" t="str">
        <f t="shared" si="14"/>
        <v/>
      </c>
    </row>
    <row r="315" spans="31:34" x14ac:dyDescent="0.25">
      <c r="AE315" s="8" t="str">
        <f t="shared" si="12"/>
        <v/>
      </c>
      <c r="AF315" s="8" t="str">
        <f t="shared" si="13"/>
        <v/>
      </c>
      <c r="AG315" s="8" t="str">
        <f>IF(TRIM($E315)&lt;&gt;"Tax Paid","",IF(COUNTIFS(LISTS!$F$2:$F$26,$AE315,LISTS!$G$2:$G$26,$AF315)=0,"NOT ON LIST",""))</f>
        <v/>
      </c>
      <c r="AH315" s="8" t="str">
        <f t="shared" si="14"/>
        <v/>
      </c>
    </row>
    <row r="316" spans="31:34" x14ac:dyDescent="0.25">
      <c r="AE316" s="8" t="str">
        <f t="shared" si="12"/>
        <v/>
      </c>
      <c r="AF316" s="8" t="str">
        <f t="shared" si="13"/>
        <v/>
      </c>
      <c r="AG316" s="8" t="str">
        <f>IF(TRIM($E316)&lt;&gt;"Tax Paid","",IF(COUNTIFS(LISTS!$F$2:$F$26,$AE316,LISTS!$G$2:$G$26,$AF316)=0,"NOT ON LIST",""))</f>
        <v/>
      </c>
      <c r="AH316" s="8" t="str">
        <f t="shared" si="14"/>
        <v/>
      </c>
    </row>
    <row r="317" spans="31:34" x14ac:dyDescent="0.25">
      <c r="AE317" s="8" t="str">
        <f t="shared" si="12"/>
        <v/>
      </c>
      <c r="AF317" s="8" t="str">
        <f t="shared" si="13"/>
        <v/>
      </c>
      <c r="AG317" s="8" t="str">
        <f>IF(TRIM($E317)&lt;&gt;"Tax Paid","",IF(COUNTIFS(LISTS!$F$2:$F$26,$AE317,LISTS!$G$2:$G$26,$AF317)=0,"NOT ON LIST",""))</f>
        <v/>
      </c>
      <c r="AH317" s="8" t="str">
        <f t="shared" si="14"/>
        <v/>
      </c>
    </row>
    <row r="318" spans="31:34" x14ac:dyDescent="0.25">
      <c r="AE318" s="8" t="str">
        <f t="shared" si="12"/>
        <v/>
      </c>
      <c r="AF318" s="8" t="str">
        <f t="shared" si="13"/>
        <v/>
      </c>
      <c r="AG318" s="8" t="str">
        <f>IF(TRIM($E318)&lt;&gt;"Tax Paid","",IF(COUNTIFS(LISTS!$F$2:$F$26,$AE318,LISTS!$G$2:$G$26,$AF318)=0,"NOT ON LIST",""))</f>
        <v/>
      </c>
      <c r="AH318" s="8" t="str">
        <f t="shared" si="14"/>
        <v/>
      </c>
    </row>
    <row r="319" spans="31:34" x14ac:dyDescent="0.25">
      <c r="AE319" s="8" t="str">
        <f t="shared" si="12"/>
        <v/>
      </c>
      <c r="AF319" s="8" t="str">
        <f t="shared" si="13"/>
        <v/>
      </c>
      <c r="AG319" s="8" t="str">
        <f>IF(TRIM($E319)&lt;&gt;"Tax Paid","",IF(COUNTIFS(LISTS!$F$2:$F$26,$AE319,LISTS!$G$2:$G$26,$AF319)=0,"NOT ON LIST",""))</f>
        <v/>
      </c>
      <c r="AH319" s="8" t="str">
        <f t="shared" si="14"/>
        <v/>
      </c>
    </row>
    <row r="320" spans="31:34" x14ac:dyDescent="0.25">
      <c r="AE320" s="8" t="str">
        <f t="shared" si="12"/>
        <v/>
      </c>
      <c r="AF320" s="8" t="str">
        <f t="shared" si="13"/>
        <v/>
      </c>
      <c r="AG320" s="8" t="str">
        <f>IF(TRIM($E320)&lt;&gt;"Tax Paid","",IF(COUNTIFS(LISTS!$F$2:$F$26,$AE320,LISTS!$G$2:$G$26,$AF320)=0,"NOT ON LIST",""))</f>
        <v/>
      </c>
      <c r="AH320" s="8" t="str">
        <f t="shared" si="14"/>
        <v/>
      </c>
    </row>
    <row r="321" spans="31:34" x14ac:dyDescent="0.25">
      <c r="AE321" s="8" t="str">
        <f t="shared" si="12"/>
        <v/>
      </c>
      <c r="AF321" s="8" t="str">
        <f t="shared" si="13"/>
        <v/>
      </c>
      <c r="AG321" s="8" t="str">
        <f>IF(TRIM($E321)&lt;&gt;"Tax Paid","",IF(COUNTIFS(LISTS!$F$2:$F$26,$AE321,LISTS!$G$2:$G$26,$AF321)=0,"NOT ON LIST",""))</f>
        <v/>
      </c>
      <c r="AH321" s="8" t="str">
        <f t="shared" si="14"/>
        <v/>
      </c>
    </row>
    <row r="322" spans="31:34" x14ac:dyDescent="0.25">
      <c r="AE322" s="8" t="str">
        <f t="shared" ref="AE322:AE385" si="15">IF(TRIM($E322)="Tax Paid",TRIM($S322),"")</f>
        <v/>
      </c>
      <c r="AF322" s="8" t="str">
        <f t="shared" ref="AF322:AF385" si="16">IF(TRIM($E322)="Tax Paid",ROUND($Z322/100,5),"")</f>
        <v/>
      </c>
      <c r="AG322" s="8" t="str">
        <f>IF(TRIM($E322)&lt;&gt;"Tax Paid","",IF(COUNTIFS(LISTS!$F$2:$F$26,$AE322,LISTS!$G$2:$G$26,$AF322)=0,"NOT ON LIST",""))</f>
        <v/>
      </c>
      <c r="AH322" s="8" t="str">
        <f t="shared" ref="AH322:AH385" si="17">IF($AG322="","",IF($AE322="","(no county)",$AE322)&amp;" ("&amp;SUBSTITUTE(TEXT($AF322,"0.###%"),".%","%")&amp;")")</f>
        <v/>
      </c>
    </row>
    <row r="323" spans="31:34" x14ac:dyDescent="0.25">
      <c r="AE323" s="8" t="str">
        <f t="shared" si="15"/>
        <v/>
      </c>
      <c r="AF323" s="8" t="str">
        <f t="shared" si="16"/>
        <v/>
      </c>
      <c r="AG323" s="8" t="str">
        <f>IF(TRIM($E323)&lt;&gt;"Tax Paid","",IF(COUNTIFS(LISTS!$F$2:$F$26,$AE323,LISTS!$G$2:$G$26,$AF323)=0,"NOT ON LIST",""))</f>
        <v/>
      </c>
      <c r="AH323" s="8" t="str">
        <f t="shared" si="17"/>
        <v/>
      </c>
    </row>
    <row r="324" spans="31:34" x14ac:dyDescent="0.25">
      <c r="AE324" s="8" t="str">
        <f t="shared" si="15"/>
        <v/>
      </c>
      <c r="AF324" s="8" t="str">
        <f t="shared" si="16"/>
        <v/>
      </c>
      <c r="AG324" s="8" t="str">
        <f>IF(TRIM($E324)&lt;&gt;"Tax Paid","",IF(COUNTIFS(LISTS!$F$2:$F$26,$AE324,LISTS!$G$2:$G$26,$AF324)=0,"NOT ON LIST",""))</f>
        <v/>
      </c>
      <c r="AH324" s="8" t="str">
        <f t="shared" si="17"/>
        <v/>
      </c>
    </row>
    <row r="325" spans="31:34" x14ac:dyDescent="0.25">
      <c r="AE325" s="8" t="str">
        <f t="shared" si="15"/>
        <v/>
      </c>
      <c r="AF325" s="8" t="str">
        <f t="shared" si="16"/>
        <v/>
      </c>
      <c r="AG325" s="8" t="str">
        <f>IF(TRIM($E325)&lt;&gt;"Tax Paid","",IF(COUNTIFS(LISTS!$F$2:$F$26,$AE325,LISTS!$G$2:$G$26,$AF325)=0,"NOT ON LIST",""))</f>
        <v/>
      </c>
      <c r="AH325" s="8" t="str">
        <f t="shared" si="17"/>
        <v/>
      </c>
    </row>
    <row r="326" spans="31:34" x14ac:dyDescent="0.25">
      <c r="AE326" s="8" t="str">
        <f t="shared" si="15"/>
        <v/>
      </c>
      <c r="AF326" s="8" t="str">
        <f t="shared" si="16"/>
        <v/>
      </c>
      <c r="AG326" s="8" t="str">
        <f>IF(TRIM($E326)&lt;&gt;"Tax Paid","",IF(COUNTIFS(LISTS!$F$2:$F$26,$AE326,LISTS!$G$2:$G$26,$AF326)=0,"NOT ON LIST",""))</f>
        <v/>
      </c>
      <c r="AH326" s="8" t="str">
        <f t="shared" si="17"/>
        <v/>
      </c>
    </row>
    <row r="327" spans="31:34" x14ac:dyDescent="0.25">
      <c r="AE327" s="8" t="str">
        <f t="shared" si="15"/>
        <v/>
      </c>
      <c r="AF327" s="8" t="str">
        <f t="shared" si="16"/>
        <v/>
      </c>
      <c r="AG327" s="8" t="str">
        <f>IF(TRIM($E327)&lt;&gt;"Tax Paid","",IF(COUNTIFS(LISTS!$F$2:$F$26,$AE327,LISTS!$G$2:$G$26,$AF327)=0,"NOT ON LIST",""))</f>
        <v/>
      </c>
      <c r="AH327" s="8" t="str">
        <f t="shared" si="17"/>
        <v/>
      </c>
    </row>
    <row r="328" spans="31:34" x14ac:dyDescent="0.25">
      <c r="AE328" s="8" t="str">
        <f t="shared" si="15"/>
        <v/>
      </c>
      <c r="AF328" s="8" t="str">
        <f t="shared" si="16"/>
        <v/>
      </c>
      <c r="AG328" s="8" t="str">
        <f>IF(TRIM($E328)&lt;&gt;"Tax Paid","",IF(COUNTIFS(LISTS!$F$2:$F$26,$AE328,LISTS!$G$2:$G$26,$AF328)=0,"NOT ON LIST",""))</f>
        <v/>
      </c>
      <c r="AH328" s="8" t="str">
        <f t="shared" si="17"/>
        <v/>
      </c>
    </row>
    <row r="329" spans="31:34" x14ac:dyDescent="0.25">
      <c r="AE329" s="8" t="str">
        <f t="shared" si="15"/>
        <v/>
      </c>
      <c r="AF329" s="8" t="str">
        <f t="shared" si="16"/>
        <v/>
      </c>
      <c r="AG329" s="8" t="str">
        <f>IF(TRIM($E329)&lt;&gt;"Tax Paid","",IF(COUNTIFS(LISTS!$F$2:$F$26,$AE329,LISTS!$G$2:$G$26,$AF329)=0,"NOT ON LIST",""))</f>
        <v/>
      </c>
      <c r="AH329" s="8" t="str">
        <f t="shared" si="17"/>
        <v/>
      </c>
    </row>
    <row r="330" spans="31:34" x14ac:dyDescent="0.25">
      <c r="AE330" s="8" t="str">
        <f t="shared" si="15"/>
        <v/>
      </c>
      <c r="AF330" s="8" t="str">
        <f t="shared" si="16"/>
        <v/>
      </c>
      <c r="AG330" s="8" t="str">
        <f>IF(TRIM($E330)&lt;&gt;"Tax Paid","",IF(COUNTIFS(LISTS!$F$2:$F$26,$AE330,LISTS!$G$2:$G$26,$AF330)=0,"NOT ON LIST",""))</f>
        <v/>
      </c>
      <c r="AH330" s="8" t="str">
        <f t="shared" si="17"/>
        <v/>
      </c>
    </row>
    <row r="331" spans="31:34" x14ac:dyDescent="0.25">
      <c r="AE331" s="8" t="str">
        <f t="shared" si="15"/>
        <v/>
      </c>
      <c r="AF331" s="8" t="str">
        <f t="shared" si="16"/>
        <v/>
      </c>
      <c r="AG331" s="8" t="str">
        <f>IF(TRIM($E331)&lt;&gt;"Tax Paid","",IF(COUNTIFS(LISTS!$F$2:$F$26,$AE331,LISTS!$G$2:$G$26,$AF331)=0,"NOT ON LIST",""))</f>
        <v/>
      </c>
      <c r="AH331" s="8" t="str">
        <f t="shared" si="17"/>
        <v/>
      </c>
    </row>
    <row r="332" spans="31:34" x14ac:dyDescent="0.25">
      <c r="AE332" s="8" t="str">
        <f t="shared" si="15"/>
        <v/>
      </c>
      <c r="AF332" s="8" t="str">
        <f t="shared" si="16"/>
        <v/>
      </c>
      <c r="AG332" s="8" t="str">
        <f>IF(TRIM($E332)&lt;&gt;"Tax Paid","",IF(COUNTIFS(LISTS!$F$2:$F$26,$AE332,LISTS!$G$2:$G$26,$AF332)=0,"NOT ON LIST",""))</f>
        <v/>
      </c>
      <c r="AH332" s="8" t="str">
        <f t="shared" si="17"/>
        <v/>
      </c>
    </row>
    <row r="333" spans="31:34" x14ac:dyDescent="0.25">
      <c r="AE333" s="8" t="str">
        <f t="shared" si="15"/>
        <v/>
      </c>
      <c r="AF333" s="8" t="str">
        <f t="shared" si="16"/>
        <v/>
      </c>
      <c r="AG333" s="8" t="str">
        <f>IF(TRIM($E333)&lt;&gt;"Tax Paid","",IF(COUNTIFS(LISTS!$F$2:$F$26,$AE333,LISTS!$G$2:$G$26,$AF333)=0,"NOT ON LIST",""))</f>
        <v/>
      </c>
      <c r="AH333" s="8" t="str">
        <f t="shared" si="17"/>
        <v/>
      </c>
    </row>
    <row r="334" spans="31:34" x14ac:dyDescent="0.25">
      <c r="AE334" s="8" t="str">
        <f t="shared" si="15"/>
        <v/>
      </c>
      <c r="AF334" s="8" t="str">
        <f t="shared" si="16"/>
        <v/>
      </c>
      <c r="AG334" s="8" t="str">
        <f>IF(TRIM($E334)&lt;&gt;"Tax Paid","",IF(COUNTIFS(LISTS!$F$2:$F$26,$AE334,LISTS!$G$2:$G$26,$AF334)=0,"NOT ON LIST",""))</f>
        <v/>
      </c>
      <c r="AH334" s="8" t="str">
        <f t="shared" si="17"/>
        <v/>
      </c>
    </row>
    <row r="335" spans="31:34" x14ac:dyDescent="0.25">
      <c r="AE335" s="8" t="str">
        <f t="shared" si="15"/>
        <v/>
      </c>
      <c r="AF335" s="8" t="str">
        <f t="shared" si="16"/>
        <v/>
      </c>
      <c r="AG335" s="8" t="str">
        <f>IF(TRIM($E335)&lt;&gt;"Tax Paid","",IF(COUNTIFS(LISTS!$F$2:$F$26,$AE335,LISTS!$G$2:$G$26,$AF335)=0,"NOT ON LIST",""))</f>
        <v/>
      </c>
      <c r="AH335" s="8" t="str">
        <f t="shared" si="17"/>
        <v/>
      </c>
    </row>
    <row r="336" spans="31:34" x14ac:dyDescent="0.25">
      <c r="AE336" s="8" t="str">
        <f t="shared" si="15"/>
        <v/>
      </c>
      <c r="AF336" s="8" t="str">
        <f t="shared" si="16"/>
        <v/>
      </c>
      <c r="AG336" s="8" t="str">
        <f>IF(TRIM($E336)&lt;&gt;"Tax Paid","",IF(COUNTIFS(LISTS!$F$2:$F$26,$AE336,LISTS!$G$2:$G$26,$AF336)=0,"NOT ON LIST",""))</f>
        <v/>
      </c>
      <c r="AH336" s="8" t="str">
        <f t="shared" si="17"/>
        <v/>
      </c>
    </row>
    <row r="337" spans="31:34" x14ac:dyDescent="0.25">
      <c r="AE337" s="8" t="str">
        <f t="shared" si="15"/>
        <v/>
      </c>
      <c r="AF337" s="8" t="str">
        <f t="shared" si="16"/>
        <v/>
      </c>
      <c r="AG337" s="8" t="str">
        <f>IF(TRIM($E337)&lt;&gt;"Tax Paid","",IF(COUNTIFS(LISTS!$F$2:$F$26,$AE337,LISTS!$G$2:$G$26,$AF337)=0,"NOT ON LIST",""))</f>
        <v/>
      </c>
      <c r="AH337" s="8" t="str">
        <f t="shared" si="17"/>
        <v/>
      </c>
    </row>
    <row r="338" spans="31:34" x14ac:dyDescent="0.25">
      <c r="AE338" s="8" t="str">
        <f t="shared" si="15"/>
        <v/>
      </c>
      <c r="AF338" s="8" t="str">
        <f t="shared" si="16"/>
        <v/>
      </c>
      <c r="AG338" s="8" t="str">
        <f>IF(TRIM($E338)&lt;&gt;"Tax Paid","",IF(COUNTIFS(LISTS!$F$2:$F$26,$AE338,LISTS!$G$2:$G$26,$AF338)=0,"NOT ON LIST",""))</f>
        <v/>
      </c>
      <c r="AH338" s="8" t="str">
        <f t="shared" si="17"/>
        <v/>
      </c>
    </row>
    <row r="339" spans="31:34" x14ac:dyDescent="0.25">
      <c r="AE339" s="8" t="str">
        <f t="shared" si="15"/>
        <v/>
      </c>
      <c r="AF339" s="8" t="str">
        <f t="shared" si="16"/>
        <v/>
      </c>
      <c r="AG339" s="8" t="str">
        <f>IF(TRIM($E339)&lt;&gt;"Tax Paid","",IF(COUNTIFS(LISTS!$F$2:$F$26,$AE339,LISTS!$G$2:$G$26,$AF339)=0,"NOT ON LIST",""))</f>
        <v/>
      </c>
      <c r="AH339" s="8" t="str">
        <f t="shared" si="17"/>
        <v/>
      </c>
    </row>
    <row r="340" spans="31:34" x14ac:dyDescent="0.25">
      <c r="AE340" s="8" t="str">
        <f t="shared" si="15"/>
        <v/>
      </c>
      <c r="AF340" s="8" t="str">
        <f t="shared" si="16"/>
        <v/>
      </c>
      <c r="AG340" s="8" t="str">
        <f>IF(TRIM($E340)&lt;&gt;"Tax Paid","",IF(COUNTIFS(LISTS!$F$2:$F$26,$AE340,LISTS!$G$2:$G$26,$AF340)=0,"NOT ON LIST",""))</f>
        <v/>
      </c>
      <c r="AH340" s="8" t="str">
        <f t="shared" si="17"/>
        <v/>
      </c>
    </row>
    <row r="341" spans="31:34" x14ac:dyDescent="0.25">
      <c r="AE341" s="8" t="str">
        <f t="shared" si="15"/>
        <v/>
      </c>
      <c r="AF341" s="8" t="str">
        <f t="shared" si="16"/>
        <v/>
      </c>
      <c r="AG341" s="8" t="str">
        <f>IF(TRIM($E341)&lt;&gt;"Tax Paid","",IF(COUNTIFS(LISTS!$F$2:$F$26,$AE341,LISTS!$G$2:$G$26,$AF341)=0,"NOT ON LIST",""))</f>
        <v/>
      </c>
      <c r="AH341" s="8" t="str">
        <f t="shared" si="17"/>
        <v/>
      </c>
    </row>
    <row r="342" spans="31:34" x14ac:dyDescent="0.25">
      <c r="AE342" s="8" t="str">
        <f t="shared" si="15"/>
        <v/>
      </c>
      <c r="AF342" s="8" t="str">
        <f t="shared" si="16"/>
        <v/>
      </c>
      <c r="AG342" s="8" t="str">
        <f>IF(TRIM($E342)&lt;&gt;"Tax Paid","",IF(COUNTIFS(LISTS!$F$2:$F$26,$AE342,LISTS!$G$2:$G$26,$AF342)=0,"NOT ON LIST",""))</f>
        <v/>
      </c>
      <c r="AH342" s="8" t="str">
        <f t="shared" si="17"/>
        <v/>
      </c>
    </row>
    <row r="343" spans="31:34" x14ac:dyDescent="0.25">
      <c r="AE343" s="8" t="str">
        <f t="shared" si="15"/>
        <v/>
      </c>
      <c r="AF343" s="8" t="str">
        <f t="shared" si="16"/>
        <v/>
      </c>
      <c r="AG343" s="8" t="str">
        <f>IF(TRIM($E343)&lt;&gt;"Tax Paid","",IF(COUNTIFS(LISTS!$F$2:$F$26,$AE343,LISTS!$G$2:$G$26,$AF343)=0,"NOT ON LIST",""))</f>
        <v/>
      </c>
      <c r="AH343" s="8" t="str">
        <f t="shared" si="17"/>
        <v/>
      </c>
    </row>
    <row r="344" spans="31:34" x14ac:dyDescent="0.25">
      <c r="AE344" s="8" t="str">
        <f t="shared" si="15"/>
        <v/>
      </c>
      <c r="AF344" s="8" t="str">
        <f t="shared" si="16"/>
        <v/>
      </c>
      <c r="AG344" s="8" t="str">
        <f>IF(TRIM($E344)&lt;&gt;"Tax Paid","",IF(COUNTIFS(LISTS!$F$2:$F$26,$AE344,LISTS!$G$2:$G$26,$AF344)=0,"NOT ON LIST",""))</f>
        <v/>
      </c>
      <c r="AH344" s="8" t="str">
        <f t="shared" si="17"/>
        <v/>
      </c>
    </row>
    <row r="345" spans="31:34" x14ac:dyDescent="0.25">
      <c r="AE345" s="8" t="str">
        <f t="shared" si="15"/>
        <v/>
      </c>
      <c r="AF345" s="8" t="str">
        <f t="shared" si="16"/>
        <v/>
      </c>
      <c r="AG345" s="8" t="str">
        <f>IF(TRIM($E345)&lt;&gt;"Tax Paid","",IF(COUNTIFS(LISTS!$F$2:$F$26,$AE345,LISTS!$G$2:$G$26,$AF345)=0,"NOT ON LIST",""))</f>
        <v/>
      </c>
      <c r="AH345" s="8" t="str">
        <f t="shared" si="17"/>
        <v/>
      </c>
    </row>
    <row r="346" spans="31:34" x14ac:dyDescent="0.25">
      <c r="AE346" s="8" t="str">
        <f t="shared" si="15"/>
        <v/>
      </c>
      <c r="AF346" s="8" t="str">
        <f t="shared" si="16"/>
        <v/>
      </c>
      <c r="AG346" s="8" t="str">
        <f>IF(TRIM($E346)&lt;&gt;"Tax Paid","",IF(COUNTIFS(LISTS!$F$2:$F$26,$AE346,LISTS!$G$2:$G$26,$AF346)=0,"NOT ON LIST",""))</f>
        <v/>
      </c>
      <c r="AH346" s="8" t="str">
        <f t="shared" si="17"/>
        <v/>
      </c>
    </row>
    <row r="347" spans="31:34" x14ac:dyDescent="0.25">
      <c r="AE347" s="8" t="str">
        <f t="shared" si="15"/>
        <v/>
      </c>
      <c r="AF347" s="8" t="str">
        <f t="shared" si="16"/>
        <v/>
      </c>
      <c r="AG347" s="8" t="str">
        <f>IF(TRIM($E347)&lt;&gt;"Tax Paid","",IF(COUNTIFS(LISTS!$F$2:$F$26,$AE347,LISTS!$G$2:$G$26,$AF347)=0,"NOT ON LIST",""))</f>
        <v/>
      </c>
      <c r="AH347" s="8" t="str">
        <f t="shared" si="17"/>
        <v/>
      </c>
    </row>
    <row r="348" spans="31:34" x14ac:dyDescent="0.25">
      <c r="AE348" s="8" t="str">
        <f t="shared" si="15"/>
        <v/>
      </c>
      <c r="AF348" s="8" t="str">
        <f t="shared" si="16"/>
        <v/>
      </c>
      <c r="AG348" s="8" t="str">
        <f>IF(TRIM($E348)&lt;&gt;"Tax Paid","",IF(COUNTIFS(LISTS!$F$2:$F$26,$AE348,LISTS!$G$2:$G$26,$AF348)=0,"NOT ON LIST",""))</f>
        <v/>
      </c>
      <c r="AH348" s="8" t="str">
        <f t="shared" si="17"/>
        <v/>
      </c>
    </row>
    <row r="349" spans="31:34" x14ac:dyDescent="0.25">
      <c r="AE349" s="8" t="str">
        <f t="shared" si="15"/>
        <v/>
      </c>
      <c r="AF349" s="8" t="str">
        <f t="shared" si="16"/>
        <v/>
      </c>
      <c r="AG349" s="8" t="str">
        <f>IF(TRIM($E349)&lt;&gt;"Tax Paid","",IF(COUNTIFS(LISTS!$F$2:$F$26,$AE349,LISTS!$G$2:$G$26,$AF349)=0,"NOT ON LIST",""))</f>
        <v/>
      </c>
      <c r="AH349" s="8" t="str">
        <f t="shared" si="17"/>
        <v/>
      </c>
    </row>
    <row r="350" spans="31:34" x14ac:dyDescent="0.25">
      <c r="AE350" s="8" t="str">
        <f t="shared" si="15"/>
        <v/>
      </c>
      <c r="AF350" s="8" t="str">
        <f t="shared" si="16"/>
        <v/>
      </c>
      <c r="AG350" s="8" t="str">
        <f>IF(TRIM($E350)&lt;&gt;"Tax Paid","",IF(COUNTIFS(LISTS!$F$2:$F$26,$AE350,LISTS!$G$2:$G$26,$AF350)=0,"NOT ON LIST",""))</f>
        <v/>
      </c>
      <c r="AH350" s="8" t="str">
        <f t="shared" si="17"/>
        <v/>
      </c>
    </row>
    <row r="351" spans="31:34" x14ac:dyDescent="0.25">
      <c r="AE351" s="8" t="str">
        <f t="shared" si="15"/>
        <v/>
      </c>
      <c r="AF351" s="8" t="str">
        <f t="shared" si="16"/>
        <v/>
      </c>
      <c r="AG351" s="8" t="str">
        <f>IF(TRIM($E351)&lt;&gt;"Tax Paid","",IF(COUNTIFS(LISTS!$F$2:$F$26,$AE351,LISTS!$G$2:$G$26,$AF351)=0,"NOT ON LIST",""))</f>
        <v/>
      </c>
      <c r="AH351" s="8" t="str">
        <f t="shared" si="17"/>
        <v/>
      </c>
    </row>
    <row r="352" spans="31:34" x14ac:dyDescent="0.25">
      <c r="AE352" s="8" t="str">
        <f t="shared" si="15"/>
        <v/>
      </c>
      <c r="AF352" s="8" t="str">
        <f t="shared" si="16"/>
        <v/>
      </c>
      <c r="AG352" s="8" t="str">
        <f>IF(TRIM($E352)&lt;&gt;"Tax Paid","",IF(COUNTIFS(LISTS!$F$2:$F$26,$AE352,LISTS!$G$2:$G$26,$AF352)=0,"NOT ON LIST",""))</f>
        <v/>
      </c>
      <c r="AH352" s="8" t="str">
        <f t="shared" si="17"/>
        <v/>
      </c>
    </row>
    <row r="353" spans="31:34" x14ac:dyDescent="0.25">
      <c r="AE353" s="8" t="str">
        <f t="shared" si="15"/>
        <v/>
      </c>
      <c r="AF353" s="8" t="str">
        <f t="shared" si="16"/>
        <v/>
      </c>
      <c r="AG353" s="8" t="str">
        <f>IF(TRIM($E353)&lt;&gt;"Tax Paid","",IF(COUNTIFS(LISTS!$F$2:$F$26,$AE353,LISTS!$G$2:$G$26,$AF353)=0,"NOT ON LIST",""))</f>
        <v/>
      </c>
      <c r="AH353" s="8" t="str">
        <f t="shared" si="17"/>
        <v/>
      </c>
    </row>
    <row r="354" spans="31:34" x14ac:dyDescent="0.25">
      <c r="AE354" s="8" t="str">
        <f t="shared" si="15"/>
        <v/>
      </c>
      <c r="AF354" s="8" t="str">
        <f t="shared" si="16"/>
        <v/>
      </c>
      <c r="AG354" s="8" t="str">
        <f>IF(TRIM($E354)&lt;&gt;"Tax Paid","",IF(COUNTIFS(LISTS!$F$2:$F$26,$AE354,LISTS!$G$2:$G$26,$AF354)=0,"NOT ON LIST",""))</f>
        <v/>
      </c>
      <c r="AH354" s="8" t="str">
        <f t="shared" si="17"/>
        <v/>
      </c>
    </row>
    <row r="355" spans="31:34" x14ac:dyDescent="0.25">
      <c r="AE355" s="8" t="str">
        <f t="shared" si="15"/>
        <v/>
      </c>
      <c r="AF355" s="8" t="str">
        <f t="shared" si="16"/>
        <v/>
      </c>
      <c r="AG355" s="8" t="str">
        <f>IF(TRIM($E355)&lt;&gt;"Tax Paid","",IF(COUNTIFS(LISTS!$F$2:$F$26,$AE355,LISTS!$G$2:$G$26,$AF355)=0,"NOT ON LIST",""))</f>
        <v/>
      </c>
      <c r="AH355" s="8" t="str">
        <f t="shared" si="17"/>
        <v/>
      </c>
    </row>
    <row r="356" spans="31:34" x14ac:dyDescent="0.25">
      <c r="AE356" s="8" t="str">
        <f t="shared" si="15"/>
        <v/>
      </c>
      <c r="AF356" s="8" t="str">
        <f t="shared" si="16"/>
        <v/>
      </c>
      <c r="AG356" s="8" t="str">
        <f>IF(TRIM($E356)&lt;&gt;"Tax Paid","",IF(COUNTIFS(LISTS!$F$2:$F$26,$AE356,LISTS!$G$2:$G$26,$AF356)=0,"NOT ON LIST",""))</f>
        <v/>
      </c>
      <c r="AH356" s="8" t="str">
        <f t="shared" si="17"/>
        <v/>
      </c>
    </row>
    <row r="357" spans="31:34" x14ac:dyDescent="0.25">
      <c r="AE357" s="8" t="str">
        <f t="shared" si="15"/>
        <v/>
      </c>
      <c r="AF357" s="8" t="str">
        <f t="shared" si="16"/>
        <v/>
      </c>
      <c r="AG357" s="8" t="str">
        <f>IF(TRIM($E357)&lt;&gt;"Tax Paid","",IF(COUNTIFS(LISTS!$F$2:$F$26,$AE357,LISTS!$G$2:$G$26,$AF357)=0,"NOT ON LIST",""))</f>
        <v/>
      </c>
      <c r="AH357" s="8" t="str">
        <f t="shared" si="17"/>
        <v/>
      </c>
    </row>
    <row r="358" spans="31:34" x14ac:dyDescent="0.25">
      <c r="AE358" s="8" t="str">
        <f t="shared" si="15"/>
        <v/>
      </c>
      <c r="AF358" s="8" t="str">
        <f t="shared" si="16"/>
        <v/>
      </c>
      <c r="AG358" s="8" t="str">
        <f>IF(TRIM($E358)&lt;&gt;"Tax Paid","",IF(COUNTIFS(LISTS!$F$2:$F$26,$AE358,LISTS!$G$2:$G$26,$AF358)=0,"NOT ON LIST",""))</f>
        <v/>
      </c>
      <c r="AH358" s="8" t="str">
        <f t="shared" si="17"/>
        <v/>
      </c>
    </row>
    <row r="359" spans="31:34" x14ac:dyDescent="0.25">
      <c r="AE359" s="8" t="str">
        <f t="shared" si="15"/>
        <v/>
      </c>
      <c r="AF359" s="8" t="str">
        <f t="shared" si="16"/>
        <v/>
      </c>
      <c r="AG359" s="8" t="str">
        <f>IF(TRIM($E359)&lt;&gt;"Tax Paid","",IF(COUNTIFS(LISTS!$F$2:$F$26,$AE359,LISTS!$G$2:$G$26,$AF359)=0,"NOT ON LIST",""))</f>
        <v/>
      </c>
      <c r="AH359" s="8" t="str">
        <f t="shared" si="17"/>
        <v/>
      </c>
    </row>
    <row r="360" spans="31:34" x14ac:dyDescent="0.25">
      <c r="AE360" s="8" t="str">
        <f t="shared" si="15"/>
        <v/>
      </c>
      <c r="AF360" s="8" t="str">
        <f t="shared" si="16"/>
        <v/>
      </c>
      <c r="AG360" s="8" t="str">
        <f>IF(TRIM($E360)&lt;&gt;"Tax Paid","",IF(COUNTIFS(LISTS!$F$2:$F$26,$AE360,LISTS!$G$2:$G$26,$AF360)=0,"NOT ON LIST",""))</f>
        <v/>
      </c>
      <c r="AH360" s="8" t="str">
        <f t="shared" si="17"/>
        <v/>
      </c>
    </row>
    <row r="361" spans="31:34" x14ac:dyDescent="0.25">
      <c r="AE361" s="8" t="str">
        <f t="shared" si="15"/>
        <v/>
      </c>
      <c r="AF361" s="8" t="str">
        <f t="shared" si="16"/>
        <v/>
      </c>
      <c r="AG361" s="8" t="str">
        <f>IF(TRIM($E361)&lt;&gt;"Tax Paid","",IF(COUNTIFS(LISTS!$F$2:$F$26,$AE361,LISTS!$G$2:$G$26,$AF361)=0,"NOT ON LIST",""))</f>
        <v/>
      </c>
      <c r="AH361" s="8" t="str">
        <f t="shared" si="17"/>
        <v/>
      </c>
    </row>
    <row r="362" spans="31:34" x14ac:dyDescent="0.25">
      <c r="AE362" s="8" t="str">
        <f t="shared" si="15"/>
        <v/>
      </c>
      <c r="AF362" s="8" t="str">
        <f t="shared" si="16"/>
        <v/>
      </c>
      <c r="AG362" s="8" t="str">
        <f>IF(TRIM($E362)&lt;&gt;"Tax Paid","",IF(COUNTIFS(LISTS!$F$2:$F$26,$AE362,LISTS!$G$2:$G$26,$AF362)=0,"NOT ON LIST",""))</f>
        <v/>
      </c>
      <c r="AH362" s="8" t="str">
        <f t="shared" si="17"/>
        <v/>
      </c>
    </row>
    <row r="363" spans="31:34" x14ac:dyDescent="0.25">
      <c r="AE363" s="8" t="str">
        <f t="shared" si="15"/>
        <v/>
      </c>
      <c r="AF363" s="8" t="str">
        <f t="shared" si="16"/>
        <v/>
      </c>
      <c r="AG363" s="8" t="str">
        <f>IF(TRIM($E363)&lt;&gt;"Tax Paid","",IF(COUNTIFS(LISTS!$F$2:$F$26,$AE363,LISTS!$G$2:$G$26,$AF363)=0,"NOT ON LIST",""))</f>
        <v/>
      </c>
      <c r="AH363" s="8" t="str">
        <f t="shared" si="17"/>
        <v/>
      </c>
    </row>
    <row r="364" spans="31:34" x14ac:dyDescent="0.25">
      <c r="AE364" s="8" t="str">
        <f t="shared" si="15"/>
        <v/>
      </c>
      <c r="AF364" s="8" t="str">
        <f t="shared" si="16"/>
        <v/>
      </c>
      <c r="AG364" s="8" t="str">
        <f>IF(TRIM($E364)&lt;&gt;"Tax Paid","",IF(COUNTIFS(LISTS!$F$2:$F$26,$AE364,LISTS!$G$2:$G$26,$AF364)=0,"NOT ON LIST",""))</f>
        <v/>
      </c>
      <c r="AH364" s="8" t="str">
        <f t="shared" si="17"/>
        <v/>
      </c>
    </row>
    <row r="365" spans="31:34" x14ac:dyDescent="0.25">
      <c r="AE365" s="8" t="str">
        <f t="shared" si="15"/>
        <v/>
      </c>
      <c r="AF365" s="8" t="str">
        <f t="shared" si="16"/>
        <v/>
      </c>
      <c r="AG365" s="8" t="str">
        <f>IF(TRIM($E365)&lt;&gt;"Tax Paid","",IF(COUNTIFS(LISTS!$F$2:$F$26,$AE365,LISTS!$G$2:$G$26,$AF365)=0,"NOT ON LIST",""))</f>
        <v/>
      </c>
      <c r="AH365" s="8" t="str">
        <f t="shared" si="17"/>
        <v/>
      </c>
    </row>
    <row r="366" spans="31:34" x14ac:dyDescent="0.25">
      <c r="AE366" s="8" t="str">
        <f t="shared" si="15"/>
        <v/>
      </c>
      <c r="AF366" s="8" t="str">
        <f t="shared" si="16"/>
        <v/>
      </c>
      <c r="AG366" s="8" t="str">
        <f>IF(TRIM($E366)&lt;&gt;"Tax Paid","",IF(COUNTIFS(LISTS!$F$2:$F$26,$AE366,LISTS!$G$2:$G$26,$AF366)=0,"NOT ON LIST",""))</f>
        <v/>
      </c>
      <c r="AH366" s="8" t="str">
        <f t="shared" si="17"/>
        <v/>
      </c>
    </row>
    <row r="367" spans="31:34" x14ac:dyDescent="0.25">
      <c r="AE367" s="8" t="str">
        <f t="shared" si="15"/>
        <v/>
      </c>
      <c r="AF367" s="8" t="str">
        <f t="shared" si="16"/>
        <v/>
      </c>
      <c r="AG367" s="8" t="str">
        <f>IF(TRIM($E367)&lt;&gt;"Tax Paid","",IF(COUNTIFS(LISTS!$F$2:$F$26,$AE367,LISTS!$G$2:$G$26,$AF367)=0,"NOT ON LIST",""))</f>
        <v/>
      </c>
      <c r="AH367" s="8" t="str">
        <f t="shared" si="17"/>
        <v/>
      </c>
    </row>
    <row r="368" spans="31:34" x14ac:dyDescent="0.25">
      <c r="AE368" s="8" t="str">
        <f t="shared" si="15"/>
        <v/>
      </c>
      <c r="AF368" s="8" t="str">
        <f t="shared" si="16"/>
        <v/>
      </c>
      <c r="AG368" s="8" t="str">
        <f>IF(TRIM($E368)&lt;&gt;"Tax Paid","",IF(COUNTIFS(LISTS!$F$2:$F$26,$AE368,LISTS!$G$2:$G$26,$AF368)=0,"NOT ON LIST",""))</f>
        <v/>
      </c>
      <c r="AH368" s="8" t="str">
        <f t="shared" si="17"/>
        <v/>
      </c>
    </row>
    <row r="369" spans="31:34" x14ac:dyDescent="0.25">
      <c r="AE369" s="8" t="str">
        <f t="shared" si="15"/>
        <v/>
      </c>
      <c r="AF369" s="8" t="str">
        <f t="shared" si="16"/>
        <v/>
      </c>
      <c r="AG369" s="8" t="str">
        <f>IF(TRIM($E369)&lt;&gt;"Tax Paid","",IF(COUNTIFS(LISTS!$F$2:$F$26,$AE369,LISTS!$G$2:$G$26,$AF369)=0,"NOT ON LIST",""))</f>
        <v/>
      </c>
      <c r="AH369" s="8" t="str">
        <f t="shared" si="17"/>
        <v/>
      </c>
    </row>
    <row r="370" spans="31:34" x14ac:dyDescent="0.25">
      <c r="AE370" s="8" t="str">
        <f t="shared" si="15"/>
        <v/>
      </c>
      <c r="AF370" s="8" t="str">
        <f t="shared" si="16"/>
        <v/>
      </c>
      <c r="AG370" s="8" t="str">
        <f>IF(TRIM($E370)&lt;&gt;"Tax Paid","",IF(COUNTIFS(LISTS!$F$2:$F$26,$AE370,LISTS!$G$2:$G$26,$AF370)=0,"NOT ON LIST",""))</f>
        <v/>
      </c>
      <c r="AH370" s="8" t="str">
        <f t="shared" si="17"/>
        <v/>
      </c>
    </row>
    <row r="371" spans="31:34" x14ac:dyDescent="0.25">
      <c r="AE371" s="8" t="str">
        <f t="shared" si="15"/>
        <v/>
      </c>
      <c r="AF371" s="8" t="str">
        <f t="shared" si="16"/>
        <v/>
      </c>
      <c r="AG371" s="8" t="str">
        <f>IF(TRIM($E371)&lt;&gt;"Tax Paid","",IF(COUNTIFS(LISTS!$F$2:$F$26,$AE371,LISTS!$G$2:$G$26,$AF371)=0,"NOT ON LIST",""))</f>
        <v/>
      </c>
      <c r="AH371" s="8" t="str">
        <f t="shared" si="17"/>
        <v/>
      </c>
    </row>
    <row r="372" spans="31:34" x14ac:dyDescent="0.25">
      <c r="AE372" s="8" t="str">
        <f t="shared" si="15"/>
        <v/>
      </c>
      <c r="AF372" s="8" t="str">
        <f t="shared" si="16"/>
        <v/>
      </c>
      <c r="AG372" s="8" t="str">
        <f>IF(TRIM($E372)&lt;&gt;"Tax Paid","",IF(COUNTIFS(LISTS!$F$2:$F$26,$AE372,LISTS!$G$2:$G$26,$AF372)=0,"NOT ON LIST",""))</f>
        <v/>
      </c>
      <c r="AH372" s="8" t="str">
        <f t="shared" si="17"/>
        <v/>
      </c>
    </row>
    <row r="373" spans="31:34" x14ac:dyDescent="0.25">
      <c r="AE373" s="8" t="str">
        <f t="shared" si="15"/>
        <v/>
      </c>
      <c r="AF373" s="8" t="str">
        <f t="shared" si="16"/>
        <v/>
      </c>
      <c r="AG373" s="8" t="str">
        <f>IF(TRIM($E373)&lt;&gt;"Tax Paid","",IF(COUNTIFS(LISTS!$F$2:$F$26,$AE373,LISTS!$G$2:$G$26,$AF373)=0,"NOT ON LIST",""))</f>
        <v/>
      </c>
      <c r="AH373" s="8" t="str">
        <f t="shared" si="17"/>
        <v/>
      </c>
    </row>
    <row r="374" spans="31:34" x14ac:dyDescent="0.25">
      <c r="AE374" s="8" t="str">
        <f t="shared" si="15"/>
        <v/>
      </c>
      <c r="AF374" s="8" t="str">
        <f t="shared" si="16"/>
        <v/>
      </c>
      <c r="AG374" s="8" t="str">
        <f>IF(TRIM($E374)&lt;&gt;"Tax Paid","",IF(COUNTIFS(LISTS!$F$2:$F$26,$AE374,LISTS!$G$2:$G$26,$AF374)=0,"NOT ON LIST",""))</f>
        <v/>
      </c>
      <c r="AH374" s="8" t="str">
        <f t="shared" si="17"/>
        <v/>
      </c>
    </row>
    <row r="375" spans="31:34" x14ac:dyDescent="0.25">
      <c r="AE375" s="8" t="str">
        <f t="shared" si="15"/>
        <v/>
      </c>
      <c r="AF375" s="8" t="str">
        <f t="shared" si="16"/>
        <v/>
      </c>
      <c r="AG375" s="8" t="str">
        <f>IF(TRIM($E375)&lt;&gt;"Tax Paid","",IF(COUNTIFS(LISTS!$F$2:$F$26,$AE375,LISTS!$G$2:$G$26,$AF375)=0,"NOT ON LIST",""))</f>
        <v/>
      </c>
      <c r="AH375" s="8" t="str">
        <f t="shared" si="17"/>
        <v/>
      </c>
    </row>
    <row r="376" spans="31:34" x14ac:dyDescent="0.25">
      <c r="AE376" s="8" t="str">
        <f t="shared" si="15"/>
        <v/>
      </c>
      <c r="AF376" s="8" t="str">
        <f t="shared" si="16"/>
        <v/>
      </c>
      <c r="AG376" s="8" t="str">
        <f>IF(TRIM($E376)&lt;&gt;"Tax Paid","",IF(COUNTIFS(LISTS!$F$2:$F$26,$AE376,LISTS!$G$2:$G$26,$AF376)=0,"NOT ON LIST",""))</f>
        <v/>
      </c>
      <c r="AH376" s="8" t="str">
        <f t="shared" si="17"/>
        <v/>
      </c>
    </row>
    <row r="377" spans="31:34" x14ac:dyDescent="0.25">
      <c r="AE377" s="8" t="str">
        <f t="shared" si="15"/>
        <v/>
      </c>
      <c r="AF377" s="8" t="str">
        <f t="shared" si="16"/>
        <v/>
      </c>
      <c r="AG377" s="8" t="str">
        <f>IF(TRIM($E377)&lt;&gt;"Tax Paid","",IF(COUNTIFS(LISTS!$F$2:$F$26,$AE377,LISTS!$G$2:$G$26,$AF377)=0,"NOT ON LIST",""))</f>
        <v/>
      </c>
      <c r="AH377" s="8" t="str">
        <f t="shared" si="17"/>
        <v/>
      </c>
    </row>
    <row r="378" spans="31:34" x14ac:dyDescent="0.25">
      <c r="AE378" s="8" t="str">
        <f t="shared" si="15"/>
        <v/>
      </c>
      <c r="AF378" s="8" t="str">
        <f t="shared" si="16"/>
        <v/>
      </c>
      <c r="AG378" s="8" t="str">
        <f>IF(TRIM($E378)&lt;&gt;"Tax Paid","",IF(COUNTIFS(LISTS!$F$2:$F$26,$AE378,LISTS!$G$2:$G$26,$AF378)=0,"NOT ON LIST",""))</f>
        <v/>
      </c>
      <c r="AH378" s="8" t="str">
        <f t="shared" si="17"/>
        <v/>
      </c>
    </row>
    <row r="379" spans="31:34" x14ac:dyDescent="0.25">
      <c r="AE379" s="8" t="str">
        <f t="shared" si="15"/>
        <v/>
      </c>
      <c r="AF379" s="8" t="str">
        <f t="shared" si="16"/>
        <v/>
      </c>
      <c r="AG379" s="8" t="str">
        <f>IF(TRIM($E379)&lt;&gt;"Tax Paid","",IF(COUNTIFS(LISTS!$F$2:$F$26,$AE379,LISTS!$G$2:$G$26,$AF379)=0,"NOT ON LIST",""))</f>
        <v/>
      </c>
      <c r="AH379" s="8" t="str">
        <f t="shared" si="17"/>
        <v/>
      </c>
    </row>
    <row r="380" spans="31:34" x14ac:dyDescent="0.25">
      <c r="AE380" s="8" t="str">
        <f t="shared" si="15"/>
        <v/>
      </c>
      <c r="AF380" s="8" t="str">
        <f t="shared" si="16"/>
        <v/>
      </c>
      <c r="AG380" s="8" t="str">
        <f>IF(TRIM($E380)&lt;&gt;"Tax Paid","",IF(COUNTIFS(LISTS!$F$2:$F$26,$AE380,LISTS!$G$2:$G$26,$AF380)=0,"NOT ON LIST",""))</f>
        <v/>
      </c>
      <c r="AH380" s="8" t="str">
        <f t="shared" si="17"/>
        <v/>
      </c>
    </row>
    <row r="381" spans="31:34" x14ac:dyDescent="0.25">
      <c r="AE381" s="8" t="str">
        <f t="shared" si="15"/>
        <v/>
      </c>
      <c r="AF381" s="8" t="str">
        <f t="shared" si="16"/>
        <v/>
      </c>
      <c r="AG381" s="8" t="str">
        <f>IF(TRIM($E381)&lt;&gt;"Tax Paid","",IF(COUNTIFS(LISTS!$F$2:$F$26,$AE381,LISTS!$G$2:$G$26,$AF381)=0,"NOT ON LIST",""))</f>
        <v/>
      </c>
      <c r="AH381" s="8" t="str">
        <f t="shared" si="17"/>
        <v/>
      </c>
    </row>
    <row r="382" spans="31:34" x14ac:dyDescent="0.25">
      <c r="AE382" s="8" t="str">
        <f t="shared" si="15"/>
        <v/>
      </c>
      <c r="AF382" s="8" t="str">
        <f t="shared" si="16"/>
        <v/>
      </c>
      <c r="AG382" s="8" t="str">
        <f>IF(TRIM($E382)&lt;&gt;"Tax Paid","",IF(COUNTIFS(LISTS!$F$2:$F$26,$AE382,LISTS!$G$2:$G$26,$AF382)=0,"NOT ON LIST",""))</f>
        <v/>
      </c>
      <c r="AH382" s="8" t="str">
        <f t="shared" si="17"/>
        <v/>
      </c>
    </row>
    <row r="383" spans="31:34" x14ac:dyDescent="0.25">
      <c r="AE383" s="8" t="str">
        <f t="shared" si="15"/>
        <v/>
      </c>
      <c r="AF383" s="8" t="str">
        <f t="shared" si="16"/>
        <v/>
      </c>
      <c r="AG383" s="8" t="str">
        <f>IF(TRIM($E383)&lt;&gt;"Tax Paid","",IF(COUNTIFS(LISTS!$F$2:$F$26,$AE383,LISTS!$G$2:$G$26,$AF383)=0,"NOT ON LIST",""))</f>
        <v/>
      </c>
      <c r="AH383" s="8" t="str">
        <f t="shared" si="17"/>
        <v/>
      </c>
    </row>
    <row r="384" spans="31:34" x14ac:dyDescent="0.25">
      <c r="AE384" s="8" t="str">
        <f t="shared" si="15"/>
        <v/>
      </c>
      <c r="AF384" s="8" t="str">
        <f t="shared" si="16"/>
        <v/>
      </c>
      <c r="AG384" s="8" t="str">
        <f>IF(TRIM($E384)&lt;&gt;"Tax Paid","",IF(COUNTIFS(LISTS!$F$2:$F$26,$AE384,LISTS!$G$2:$G$26,$AF384)=0,"NOT ON LIST",""))</f>
        <v/>
      </c>
      <c r="AH384" s="8" t="str">
        <f t="shared" si="17"/>
        <v/>
      </c>
    </row>
    <row r="385" spans="31:34" x14ac:dyDescent="0.25">
      <c r="AE385" s="8" t="str">
        <f t="shared" si="15"/>
        <v/>
      </c>
      <c r="AF385" s="8" t="str">
        <f t="shared" si="16"/>
        <v/>
      </c>
      <c r="AG385" s="8" t="str">
        <f>IF(TRIM($E385)&lt;&gt;"Tax Paid","",IF(COUNTIFS(LISTS!$F$2:$F$26,$AE385,LISTS!$G$2:$G$26,$AF385)=0,"NOT ON LIST",""))</f>
        <v/>
      </c>
      <c r="AH385" s="8" t="str">
        <f t="shared" si="17"/>
        <v/>
      </c>
    </row>
    <row r="386" spans="31:34" x14ac:dyDescent="0.25">
      <c r="AE386" s="8" t="str">
        <f t="shared" ref="AE386:AE449" si="18">IF(TRIM($E386)="Tax Paid",TRIM($S386),"")</f>
        <v/>
      </c>
      <c r="AF386" s="8" t="str">
        <f t="shared" ref="AF386:AF449" si="19">IF(TRIM($E386)="Tax Paid",ROUND($Z386/100,5),"")</f>
        <v/>
      </c>
      <c r="AG386" s="8" t="str">
        <f>IF(TRIM($E386)&lt;&gt;"Tax Paid","",IF(COUNTIFS(LISTS!$F$2:$F$26,$AE386,LISTS!$G$2:$G$26,$AF386)=0,"NOT ON LIST",""))</f>
        <v/>
      </c>
      <c r="AH386" s="8" t="str">
        <f t="shared" ref="AH386:AH449" si="20">IF($AG386="","",IF($AE386="","(no county)",$AE386)&amp;" ("&amp;SUBSTITUTE(TEXT($AF386,"0.###%"),".%","%")&amp;")")</f>
        <v/>
      </c>
    </row>
    <row r="387" spans="31:34" x14ac:dyDescent="0.25">
      <c r="AE387" s="8" t="str">
        <f t="shared" si="18"/>
        <v/>
      </c>
      <c r="AF387" s="8" t="str">
        <f t="shared" si="19"/>
        <v/>
      </c>
      <c r="AG387" s="8" t="str">
        <f>IF(TRIM($E387)&lt;&gt;"Tax Paid","",IF(COUNTIFS(LISTS!$F$2:$F$26,$AE387,LISTS!$G$2:$G$26,$AF387)=0,"NOT ON LIST",""))</f>
        <v/>
      </c>
      <c r="AH387" s="8" t="str">
        <f t="shared" si="20"/>
        <v/>
      </c>
    </row>
    <row r="388" spans="31:34" x14ac:dyDescent="0.25">
      <c r="AE388" s="8" t="str">
        <f t="shared" si="18"/>
        <v/>
      </c>
      <c r="AF388" s="8" t="str">
        <f t="shared" si="19"/>
        <v/>
      </c>
      <c r="AG388" s="8" t="str">
        <f>IF(TRIM($E388)&lt;&gt;"Tax Paid","",IF(COUNTIFS(LISTS!$F$2:$F$26,$AE388,LISTS!$G$2:$G$26,$AF388)=0,"NOT ON LIST",""))</f>
        <v/>
      </c>
      <c r="AH388" s="8" t="str">
        <f t="shared" si="20"/>
        <v/>
      </c>
    </row>
    <row r="389" spans="31:34" x14ac:dyDescent="0.25">
      <c r="AE389" s="8" t="str">
        <f t="shared" si="18"/>
        <v/>
      </c>
      <c r="AF389" s="8" t="str">
        <f t="shared" si="19"/>
        <v/>
      </c>
      <c r="AG389" s="8" t="str">
        <f>IF(TRIM($E389)&lt;&gt;"Tax Paid","",IF(COUNTIFS(LISTS!$F$2:$F$26,$AE389,LISTS!$G$2:$G$26,$AF389)=0,"NOT ON LIST",""))</f>
        <v/>
      </c>
      <c r="AH389" s="8" t="str">
        <f t="shared" si="20"/>
        <v/>
      </c>
    </row>
    <row r="390" spans="31:34" x14ac:dyDescent="0.25">
      <c r="AE390" s="8" t="str">
        <f t="shared" si="18"/>
        <v/>
      </c>
      <c r="AF390" s="8" t="str">
        <f t="shared" si="19"/>
        <v/>
      </c>
      <c r="AG390" s="8" t="str">
        <f>IF(TRIM($E390)&lt;&gt;"Tax Paid","",IF(COUNTIFS(LISTS!$F$2:$F$26,$AE390,LISTS!$G$2:$G$26,$AF390)=0,"NOT ON LIST",""))</f>
        <v/>
      </c>
      <c r="AH390" s="8" t="str">
        <f t="shared" si="20"/>
        <v/>
      </c>
    </row>
    <row r="391" spans="31:34" x14ac:dyDescent="0.25">
      <c r="AE391" s="8" t="str">
        <f t="shared" si="18"/>
        <v/>
      </c>
      <c r="AF391" s="8" t="str">
        <f t="shared" si="19"/>
        <v/>
      </c>
      <c r="AG391" s="8" t="str">
        <f>IF(TRIM($E391)&lt;&gt;"Tax Paid","",IF(COUNTIFS(LISTS!$F$2:$F$26,$AE391,LISTS!$G$2:$G$26,$AF391)=0,"NOT ON LIST",""))</f>
        <v/>
      </c>
      <c r="AH391" s="8" t="str">
        <f t="shared" si="20"/>
        <v/>
      </c>
    </row>
    <row r="392" spans="31:34" x14ac:dyDescent="0.25">
      <c r="AE392" s="8" t="str">
        <f t="shared" si="18"/>
        <v/>
      </c>
      <c r="AF392" s="8" t="str">
        <f t="shared" si="19"/>
        <v/>
      </c>
      <c r="AG392" s="8" t="str">
        <f>IF(TRIM($E392)&lt;&gt;"Tax Paid","",IF(COUNTIFS(LISTS!$F$2:$F$26,$AE392,LISTS!$G$2:$G$26,$AF392)=0,"NOT ON LIST",""))</f>
        <v/>
      </c>
      <c r="AH392" s="8" t="str">
        <f t="shared" si="20"/>
        <v/>
      </c>
    </row>
    <row r="393" spans="31:34" x14ac:dyDescent="0.25">
      <c r="AE393" s="8" t="str">
        <f t="shared" si="18"/>
        <v/>
      </c>
      <c r="AF393" s="8" t="str">
        <f t="shared" si="19"/>
        <v/>
      </c>
      <c r="AG393" s="8" t="str">
        <f>IF(TRIM($E393)&lt;&gt;"Tax Paid","",IF(COUNTIFS(LISTS!$F$2:$F$26,$AE393,LISTS!$G$2:$G$26,$AF393)=0,"NOT ON LIST",""))</f>
        <v/>
      </c>
      <c r="AH393" s="8" t="str">
        <f t="shared" si="20"/>
        <v/>
      </c>
    </row>
    <row r="394" spans="31:34" x14ac:dyDescent="0.25">
      <c r="AE394" s="8" t="str">
        <f t="shared" si="18"/>
        <v/>
      </c>
      <c r="AF394" s="8" t="str">
        <f t="shared" si="19"/>
        <v/>
      </c>
      <c r="AG394" s="8" t="str">
        <f>IF(TRIM($E394)&lt;&gt;"Tax Paid","",IF(COUNTIFS(LISTS!$F$2:$F$26,$AE394,LISTS!$G$2:$G$26,$AF394)=0,"NOT ON LIST",""))</f>
        <v/>
      </c>
      <c r="AH394" s="8" t="str">
        <f t="shared" si="20"/>
        <v/>
      </c>
    </row>
    <row r="395" spans="31:34" x14ac:dyDescent="0.25">
      <c r="AE395" s="8" t="str">
        <f t="shared" si="18"/>
        <v/>
      </c>
      <c r="AF395" s="8" t="str">
        <f t="shared" si="19"/>
        <v/>
      </c>
      <c r="AG395" s="8" t="str">
        <f>IF(TRIM($E395)&lt;&gt;"Tax Paid","",IF(COUNTIFS(LISTS!$F$2:$F$26,$AE395,LISTS!$G$2:$G$26,$AF395)=0,"NOT ON LIST",""))</f>
        <v/>
      </c>
      <c r="AH395" s="8" t="str">
        <f t="shared" si="20"/>
        <v/>
      </c>
    </row>
    <row r="396" spans="31:34" x14ac:dyDescent="0.25">
      <c r="AE396" s="8" t="str">
        <f t="shared" si="18"/>
        <v/>
      </c>
      <c r="AF396" s="8" t="str">
        <f t="shared" si="19"/>
        <v/>
      </c>
      <c r="AG396" s="8" t="str">
        <f>IF(TRIM($E396)&lt;&gt;"Tax Paid","",IF(COUNTIFS(LISTS!$F$2:$F$26,$AE396,LISTS!$G$2:$G$26,$AF396)=0,"NOT ON LIST",""))</f>
        <v/>
      </c>
      <c r="AH396" s="8" t="str">
        <f t="shared" si="20"/>
        <v/>
      </c>
    </row>
    <row r="397" spans="31:34" x14ac:dyDescent="0.25">
      <c r="AE397" s="8" t="str">
        <f t="shared" si="18"/>
        <v/>
      </c>
      <c r="AF397" s="8" t="str">
        <f t="shared" si="19"/>
        <v/>
      </c>
      <c r="AG397" s="8" t="str">
        <f>IF(TRIM($E397)&lt;&gt;"Tax Paid","",IF(COUNTIFS(LISTS!$F$2:$F$26,$AE397,LISTS!$G$2:$G$26,$AF397)=0,"NOT ON LIST",""))</f>
        <v/>
      </c>
      <c r="AH397" s="8" t="str">
        <f t="shared" si="20"/>
        <v/>
      </c>
    </row>
    <row r="398" spans="31:34" x14ac:dyDescent="0.25">
      <c r="AE398" s="8" t="str">
        <f t="shared" si="18"/>
        <v/>
      </c>
      <c r="AF398" s="8" t="str">
        <f t="shared" si="19"/>
        <v/>
      </c>
      <c r="AG398" s="8" t="str">
        <f>IF(TRIM($E398)&lt;&gt;"Tax Paid","",IF(COUNTIFS(LISTS!$F$2:$F$26,$AE398,LISTS!$G$2:$G$26,$AF398)=0,"NOT ON LIST",""))</f>
        <v/>
      </c>
      <c r="AH398" s="8" t="str">
        <f t="shared" si="20"/>
        <v/>
      </c>
    </row>
    <row r="399" spans="31:34" x14ac:dyDescent="0.25">
      <c r="AE399" s="8" t="str">
        <f t="shared" si="18"/>
        <v/>
      </c>
      <c r="AF399" s="8" t="str">
        <f t="shared" si="19"/>
        <v/>
      </c>
      <c r="AG399" s="8" t="str">
        <f>IF(TRIM($E399)&lt;&gt;"Tax Paid","",IF(COUNTIFS(LISTS!$F$2:$F$26,$AE399,LISTS!$G$2:$G$26,$AF399)=0,"NOT ON LIST",""))</f>
        <v/>
      </c>
      <c r="AH399" s="8" t="str">
        <f t="shared" si="20"/>
        <v/>
      </c>
    </row>
    <row r="400" spans="31:34" x14ac:dyDescent="0.25">
      <c r="AE400" s="8" t="str">
        <f t="shared" si="18"/>
        <v/>
      </c>
      <c r="AF400" s="8" t="str">
        <f t="shared" si="19"/>
        <v/>
      </c>
      <c r="AG400" s="8" t="str">
        <f>IF(TRIM($E400)&lt;&gt;"Tax Paid","",IF(COUNTIFS(LISTS!$F$2:$F$26,$AE400,LISTS!$G$2:$G$26,$AF400)=0,"NOT ON LIST",""))</f>
        <v/>
      </c>
      <c r="AH400" s="8" t="str">
        <f t="shared" si="20"/>
        <v/>
      </c>
    </row>
    <row r="401" spans="31:34" x14ac:dyDescent="0.25">
      <c r="AE401" s="8" t="str">
        <f t="shared" si="18"/>
        <v/>
      </c>
      <c r="AF401" s="8" t="str">
        <f t="shared" si="19"/>
        <v/>
      </c>
      <c r="AG401" s="8" t="str">
        <f>IF(TRIM($E401)&lt;&gt;"Tax Paid","",IF(COUNTIFS(LISTS!$F$2:$F$26,$AE401,LISTS!$G$2:$G$26,$AF401)=0,"NOT ON LIST",""))</f>
        <v/>
      </c>
      <c r="AH401" s="8" t="str">
        <f t="shared" si="20"/>
        <v/>
      </c>
    </row>
    <row r="402" spans="31:34" x14ac:dyDescent="0.25">
      <c r="AE402" s="8" t="str">
        <f t="shared" si="18"/>
        <v/>
      </c>
      <c r="AF402" s="8" t="str">
        <f t="shared" si="19"/>
        <v/>
      </c>
      <c r="AG402" s="8" t="str">
        <f>IF(TRIM($E402)&lt;&gt;"Tax Paid","",IF(COUNTIFS(LISTS!$F$2:$F$26,$AE402,LISTS!$G$2:$G$26,$AF402)=0,"NOT ON LIST",""))</f>
        <v/>
      </c>
      <c r="AH402" s="8" t="str">
        <f t="shared" si="20"/>
        <v/>
      </c>
    </row>
    <row r="403" spans="31:34" x14ac:dyDescent="0.25">
      <c r="AE403" s="8" t="str">
        <f t="shared" si="18"/>
        <v/>
      </c>
      <c r="AF403" s="8" t="str">
        <f t="shared" si="19"/>
        <v/>
      </c>
      <c r="AG403" s="8" t="str">
        <f>IF(TRIM($E403)&lt;&gt;"Tax Paid","",IF(COUNTIFS(LISTS!$F$2:$F$26,$AE403,LISTS!$G$2:$G$26,$AF403)=0,"NOT ON LIST",""))</f>
        <v/>
      </c>
      <c r="AH403" s="8" t="str">
        <f t="shared" si="20"/>
        <v/>
      </c>
    </row>
    <row r="404" spans="31:34" x14ac:dyDescent="0.25">
      <c r="AE404" s="8" t="str">
        <f t="shared" si="18"/>
        <v/>
      </c>
      <c r="AF404" s="8" t="str">
        <f t="shared" si="19"/>
        <v/>
      </c>
      <c r="AG404" s="8" t="str">
        <f>IF(TRIM($E404)&lt;&gt;"Tax Paid","",IF(COUNTIFS(LISTS!$F$2:$F$26,$AE404,LISTS!$G$2:$G$26,$AF404)=0,"NOT ON LIST",""))</f>
        <v/>
      </c>
      <c r="AH404" s="8" t="str">
        <f t="shared" si="20"/>
        <v/>
      </c>
    </row>
    <row r="405" spans="31:34" x14ac:dyDescent="0.25">
      <c r="AE405" s="8" t="str">
        <f t="shared" si="18"/>
        <v/>
      </c>
      <c r="AF405" s="8" t="str">
        <f t="shared" si="19"/>
        <v/>
      </c>
      <c r="AG405" s="8" t="str">
        <f>IF(TRIM($E405)&lt;&gt;"Tax Paid","",IF(COUNTIFS(LISTS!$F$2:$F$26,$AE405,LISTS!$G$2:$G$26,$AF405)=0,"NOT ON LIST",""))</f>
        <v/>
      </c>
      <c r="AH405" s="8" t="str">
        <f t="shared" si="20"/>
        <v/>
      </c>
    </row>
    <row r="406" spans="31:34" x14ac:dyDescent="0.25">
      <c r="AE406" s="8" t="str">
        <f t="shared" si="18"/>
        <v/>
      </c>
      <c r="AF406" s="8" t="str">
        <f t="shared" si="19"/>
        <v/>
      </c>
      <c r="AG406" s="8" t="str">
        <f>IF(TRIM($E406)&lt;&gt;"Tax Paid","",IF(COUNTIFS(LISTS!$F$2:$F$26,$AE406,LISTS!$G$2:$G$26,$AF406)=0,"NOT ON LIST",""))</f>
        <v/>
      </c>
      <c r="AH406" s="8" t="str">
        <f t="shared" si="20"/>
        <v/>
      </c>
    </row>
    <row r="407" spans="31:34" x14ac:dyDescent="0.25">
      <c r="AE407" s="8" t="str">
        <f t="shared" si="18"/>
        <v/>
      </c>
      <c r="AF407" s="8" t="str">
        <f t="shared" si="19"/>
        <v/>
      </c>
      <c r="AG407" s="8" t="str">
        <f>IF(TRIM($E407)&lt;&gt;"Tax Paid","",IF(COUNTIFS(LISTS!$F$2:$F$26,$AE407,LISTS!$G$2:$G$26,$AF407)=0,"NOT ON LIST",""))</f>
        <v/>
      </c>
      <c r="AH407" s="8" t="str">
        <f t="shared" si="20"/>
        <v/>
      </c>
    </row>
    <row r="408" spans="31:34" x14ac:dyDescent="0.25">
      <c r="AE408" s="8" t="str">
        <f t="shared" si="18"/>
        <v/>
      </c>
      <c r="AF408" s="8" t="str">
        <f t="shared" si="19"/>
        <v/>
      </c>
      <c r="AG408" s="8" t="str">
        <f>IF(TRIM($E408)&lt;&gt;"Tax Paid","",IF(COUNTIFS(LISTS!$F$2:$F$26,$AE408,LISTS!$G$2:$G$26,$AF408)=0,"NOT ON LIST",""))</f>
        <v/>
      </c>
      <c r="AH408" s="8" t="str">
        <f t="shared" si="20"/>
        <v/>
      </c>
    </row>
    <row r="409" spans="31:34" x14ac:dyDescent="0.25">
      <c r="AE409" s="8" t="str">
        <f t="shared" si="18"/>
        <v/>
      </c>
      <c r="AF409" s="8" t="str">
        <f t="shared" si="19"/>
        <v/>
      </c>
      <c r="AG409" s="8" t="str">
        <f>IF(TRIM($E409)&lt;&gt;"Tax Paid","",IF(COUNTIFS(LISTS!$F$2:$F$26,$AE409,LISTS!$G$2:$G$26,$AF409)=0,"NOT ON LIST",""))</f>
        <v/>
      </c>
      <c r="AH409" s="8" t="str">
        <f t="shared" si="20"/>
        <v/>
      </c>
    </row>
    <row r="410" spans="31:34" x14ac:dyDescent="0.25">
      <c r="AE410" s="8" t="str">
        <f t="shared" si="18"/>
        <v/>
      </c>
      <c r="AF410" s="8" t="str">
        <f t="shared" si="19"/>
        <v/>
      </c>
      <c r="AG410" s="8" t="str">
        <f>IF(TRIM($E410)&lt;&gt;"Tax Paid","",IF(COUNTIFS(LISTS!$F$2:$F$26,$AE410,LISTS!$G$2:$G$26,$AF410)=0,"NOT ON LIST",""))</f>
        <v/>
      </c>
      <c r="AH410" s="8" t="str">
        <f t="shared" si="20"/>
        <v/>
      </c>
    </row>
    <row r="411" spans="31:34" x14ac:dyDescent="0.25">
      <c r="AE411" s="8" t="str">
        <f t="shared" si="18"/>
        <v/>
      </c>
      <c r="AF411" s="8" t="str">
        <f t="shared" si="19"/>
        <v/>
      </c>
      <c r="AG411" s="8" t="str">
        <f>IF(TRIM($E411)&lt;&gt;"Tax Paid","",IF(COUNTIFS(LISTS!$F$2:$F$26,$AE411,LISTS!$G$2:$G$26,$AF411)=0,"NOT ON LIST",""))</f>
        <v/>
      </c>
      <c r="AH411" s="8" t="str">
        <f t="shared" si="20"/>
        <v/>
      </c>
    </row>
    <row r="412" spans="31:34" x14ac:dyDescent="0.25">
      <c r="AE412" s="8" t="str">
        <f t="shared" si="18"/>
        <v/>
      </c>
      <c r="AF412" s="8" t="str">
        <f t="shared" si="19"/>
        <v/>
      </c>
      <c r="AG412" s="8" t="str">
        <f>IF(TRIM($E412)&lt;&gt;"Tax Paid","",IF(COUNTIFS(LISTS!$F$2:$F$26,$AE412,LISTS!$G$2:$G$26,$AF412)=0,"NOT ON LIST",""))</f>
        <v/>
      </c>
      <c r="AH412" s="8" t="str">
        <f t="shared" si="20"/>
        <v/>
      </c>
    </row>
    <row r="413" spans="31:34" x14ac:dyDescent="0.25">
      <c r="AE413" s="8" t="str">
        <f t="shared" si="18"/>
        <v/>
      </c>
      <c r="AF413" s="8" t="str">
        <f t="shared" si="19"/>
        <v/>
      </c>
      <c r="AG413" s="8" t="str">
        <f>IF(TRIM($E413)&lt;&gt;"Tax Paid","",IF(COUNTIFS(LISTS!$F$2:$F$26,$AE413,LISTS!$G$2:$G$26,$AF413)=0,"NOT ON LIST",""))</f>
        <v/>
      </c>
      <c r="AH413" s="8" t="str">
        <f t="shared" si="20"/>
        <v/>
      </c>
    </row>
    <row r="414" spans="31:34" x14ac:dyDescent="0.25">
      <c r="AE414" s="8" t="str">
        <f t="shared" si="18"/>
        <v/>
      </c>
      <c r="AF414" s="8" t="str">
        <f t="shared" si="19"/>
        <v/>
      </c>
      <c r="AG414" s="8" t="str">
        <f>IF(TRIM($E414)&lt;&gt;"Tax Paid","",IF(COUNTIFS(LISTS!$F$2:$F$26,$AE414,LISTS!$G$2:$G$26,$AF414)=0,"NOT ON LIST",""))</f>
        <v/>
      </c>
      <c r="AH414" s="8" t="str">
        <f t="shared" si="20"/>
        <v/>
      </c>
    </row>
    <row r="415" spans="31:34" x14ac:dyDescent="0.25">
      <c r="AE415" s="8" t="str">
        <f t="shared" si="18"/>
        <v/>
      </c>
      <c r="AF415" s="8" t="str">
        <f t="shared" si="19"/>
        <v/>
      </c>
      <c r="AG415" s="8" t="str">
        <f>IF(TRIM($E415)&lt;&gt;"Tax Paid","",IF(COUNTIFS(LISTS!$F$2:$F$26,$AE415,LISTS!$G$2:$G$26,$AF415)=0,"NOT ON LIST",""))</f>
        <v/>
      </c>
      <c r="AH415" s="8" t="str">
        <f t="shared" si="20"/>
        <v/>
      </c>
    </row>
    <row r="416" spans="31:34" x14ac:dyDescent="0.25">
      <c r="AE416" s="8" t="str">
        <f t="shared" si="18"/>
        <v/>
      </c>
      <c r="AF416" s="8" t="str">
        <f t="shared" si="19"/>
        <v/>
      </c>
      <c r="AG416" s="8" t="str">
        <f>IF(TRIM($E416)&lt;&gt;"Tax Paid","",IF(COUNTIFS(LISTS!$F$2:$F$26,$AE416,LISTS!$G$2:$G$26,$AF416)=0,"NOT ON LIST",""))</f>
        <v/>
      </c>
      <c r="AH416" s="8" t="str">
        <f t="shared" si="20"/>
        <v/>
      </c>
    </row>
    <row r="417" spans="31:34" x14ac:dyDescent="0.25">
      <c r="AE417" s="8" t="str">
        <f t="shared" si="18"/>
        <v/>
      </c>
      <c r="AF417" s="8" t="str">
        <f t="shared" si="19"/>
        <v/>
      </c>
      <c r="AG417" s="8" t="str">
        <f>IF(TRIM($E417)&lt;&gt;"Tax Paid","",IF(COUNTIFS(LISTS!$F$2:$F$26,$AE417,LISTS!$G$2:$G$26,$AF417)=0,"NOT ON LIST",""))</f>
        <v/>
      </c>
      <c r="AH417" s="8" t="str">
        <f t="shared" si="20"/>
        <v/>
      </c>
    </row>
    <row r="418" spans="31:34" x14ac:dyDescent="0.25">
      <c r="AE418" s="8" t="str">
        <f t="shared" si="18"/>
        <v/>
      </c>
      <c r="AF418" s="8" t="str">
        <f t="shared" si="19"/>
        <v/>
      </c>
      <c r="AG418" s="8" t="str">
        <f>IF(TRIM($E418)&lt;&gt;"Tax Paid","",IF(COUNTIFS(LISTS!$F$2:$F$26,$AE418,LISTS!$G$2:$G$26,$AF418)=0,"NOT ON LIST",""))</f>
        <v/>
      </c>
      <c r="AH418" s="8" t="str">
        <f t="shared" si="20"/>
        <v/>
      </c>
    </row>
    <row r="419" spans="31:34" x14ac:dyDescent="0.25">
      <c r="AE419" s="8" t="str">
        <f t="shared" si="18"/>
        <v/>
      </c>
      <c r="AF419" s="8" t="str">
        <f t="shared" si="19"/>
        <v/>
      </c>
      <c r="AG419" s="8" t="str">
        <f>IF(TRIM($E419)&lt;&gt;"Tax Paid","",IF(COUNTIFS(LISTS!$F$2:$F$26,$AE419,LISTS!$G$2:$G$26,$AF419)=0,"NOT ON LIST",""))</f>
        <v/>
      </c>
      <c r="AH419" s="8" t="str">
        <f t="shared" si="20"/>
        <v/>
      </c>
    </row>
    <row r="420" spans="31:34" x14ac:dyDescent="0.25">
      <c r="AE420" s="8" t="str">
        <f t="shared" si="18"/>
        <v/>
      </c>
      <c r="AF420" s="8" t="str">
        <f t="shared" si="19"/>
        <v/>
      </c>
      <c r="AG420" s="8" t="str">
        <f>IF(TRIM($E420)&lt;&gt;"Tax Paid","",IF(COUNTIFS(LISTS!$F$2:$F$26,$AE420,LISTS!$G$2:$G$26,$AF420)=0,"NOT ON LIST",""))</f>
        <v/>
      </c>
      <c r="AH420" s="8" t="str">
        <f t="shared" si="20"/>
        <v/>
      </c>
    </row>
    <row r="421" spans="31:34" x14ac:dyDescent="0.25">
      <c r="AE421" s="8" t="str">
        <f t="shared" si="18"/>
        <v/>
      </c>
      <c r="AF421" s="8" t="str">
        <f t="shared" si="19"/>
        <v/>
      </c>
      <c r="AG421" s="8" t="str">
        <f>IF(TRIM($E421)&lt;&gt;"Tax Paid","",IF(COUNTIFS(LISTS!$F$2:$F$26,$AE421,LISTS!$G$2:$G$26,$AF421)=0,"NOT ON LIST",""))</f>
        <v/>
      </c>
      <c r="AH421" s="8" t="str">
        <f t="shared" si="20"/>
        <v/>
      </c>
    </row>
    <row r="422" spans="31:34" x14ac:dyDescent="0.25">
      <c r="AE422" s="8" t="str">
        <f t="shared" si="18"/>
        <v/>
      </c>
      <c r="AF422" s="8" t="str">
        <f t="shared" si="19"/>
        <v/>
      </c>
      <c r="AG422" s="8" t="str">
        <f>IF(TRIM($E422)&lt;&gt;"Tax Paid","",IF(COUNTIFS(LISTS!$F$2:$F$26,$AE422,LISTS!$G$2:$G$26,$AF422)=0,"NOT ON LIST",""))</f>
        <v/>
      </c>
      <c r="AH422" s="8" t="str">
        <f t="shared" si="20"/>
        <v/>
      </c>
    </row>
    <row r="423" spans="31:34" x14ac:dyDescent="0.25">
      <c r="AE423" s="8" t="str">
        <f t="shared" si="18"/>
        <v/>
      </c>
      <c r="AF423" s="8" t="str">
        <f t="shared" si="19"/>
        <v/>
      </c>
      <c r="AG423" s="8" t="str">
        <f>IF(TRIM($E423)&lt;&gt;"Tax Paid","",IF(COUNTIFS(LISTS!$F$2:$F$26,$AE423,LISTS!$G$2:$G$26,$AF423)=0,"NOT ON LIST",""))</f>
        <v/>
      </c>
      <c r="AH423" s="8" t="str">
        <f t="shared" si="20"/>
        <v/>
      </c>
    </row>
    <row r="424" spans="31:34" x14ac:dyDescent="0.25">
      <c r="AE424" s="8" t="str">
        <f t="shared" si="18"/>
        <v/>
      </c>
      <c r="AF424" s="8" t="str">
        <f t="shared" si="19"/>
        <v/>
      </c>
      <c r="AG424" s="8" t="str">
        <f>IF(TRIM($E424)&lt;&gt;"Tax Paid","",IF(COUNTIFS(LISTS!$F$2:$F$26,$AE424,LISTS!$G$2:$G$26,$AF424)=0,"NOT ON LIST",""))</f>
        <v/>
      </c>
      <c r="AH424" s="8" t="str">
        <f t="shared" si="20"/>
        <v/>
      </c>
    </row>
    <row r="425" spans="31:34" x14ac:dyDescent="0.25">
      <c r="AE425" s="8" t="str">
        <f t="shared" si="18"/>
        <v/>
      </c>
      <c r="AF425" s="8" t="str">
        <f t="shared" si="19"/>
        <v/>
      </c>
      <c r="AG425" s="8" t="str">
        <f>IF(TRIM($E425)&lt;&gt;"Tax Paid","",IF(COUNTIFS(LISTS!$F$2:$F$26,$AE425,LISTS!$G$2:$G$26,$AF425)=0,"NOT ON LIST",""))</f>
        <v/>
      </c>
      <c r="AH425" s="8" t="str">
        <f t="shared" si="20"/>
        <v/>
      </c>
    </row>
    <row r="426" spans="31:34" x14ac:dyDescent="0.25">
      <c r="AE426" s="8" t="str">
        <f t="shared" si="18"/>
        <v/>
      </c>
      <c r="AF426" s="8" t="str">
        <f t="shared" si="19"/>
        <v/>
      </c>
      <c r="AG426" s="8" t="str">
        <f>IF(TRIM($E426)&lt;&gt;"Tax Paid","",IF(COUNTIFS(LISTS!$F$2:$F$26,$AE426,LISTS!$G$2:$G$26,$AF426)=0,"NOT ON LIST",""))</f>
        <v/>
      </c>
      <c r="AH426" s="8" t="str">
        <f t="shared" si="20"/>
        <v/>
      </c>
    </row>
    <row r="427" spans="31:34" x14ac:dyDescent="0.25">
      <c r="AE427" s="8" t="str">
        <f t="shared" si="18"/>
        <v/>
      </c>
      <c r="AF427" s="8" t="str">
        <f t="shared" si="19"/>
        <v/>
      </c>
      <c r="AG427" s="8" t="str">
        <f>IF(TRIM($E427)&lt;&gt;"Tax Paid","",IF(COUNTIFS(LISTS!$F$2:$F$26,$AE427,LISTS!$G$2:$G$26,$AF427)=0,"NOT ON LIST",""))</f>
        <v/>
      </c>
      <c r="AH427" s="8" t="str">
        <f t="shared" si="20"/>
        <v/>
      </c>
    </row>
    <row r="428" spans="31:34" x14ac:dyDescent="0.25">
      <c r="AE428" s="8" t="str">
        <f t="shared" si="18"/>
        <v/>
      </c>
      <c r="AF428" s="8" t="str">
        <f t="shared" si="19"/>
        <v/>
      </c>
      <c r="AG428" s="8" t="str">
        <f>IF(TRIM($E428)&lt;&gt;"Tax Paid","",IF(COUNTIFS(LISTS!$F$2:$F$26,$AE428,LISTS!$G$2:$G$26,$AF428)=0,"NOT ON LIST",""))</f>
        <v/>
      </c>
      <c r="AH428" s="8" t="str">
        <f t="shared" si="20"/>
        <v/>
      </c>
    </row>
    <row r="429" spans="31:34" x14ac:dyDescent="0.25">
      <c r="AE429" s="8" t="str">
        <f t="shared" si="18"/>
        <v/>
      </c>
      <c r="AF429" s="8" t="str">
        <f t="shared" si="19"/>
        <v/>
      </c>
      <c r="AG429" s="8" t="str">
        <f>IF(TRIM($E429)&lt;&gt;"Tax Paid","",IF(COUNTIFS(LISTS!$F$2:$F$26,$AE429,LISTS!$G$2:$G$26,$AF429)=0,"NOT ON LIST",""))</f>
        <v/>
      </c>
      <c r="AH429" s="8" t="str">
        <f t="shared" si="20"/>
        <v/>
      </c>
    </row>
    <row r="430" spans="31:34" x14ac:dyDescent="0.25">
      <c r="AE430" s="8" t="str">
        <f t="shared" si="18"/>
        <v/>
      </c>
      <c r="AF430" s="8" t="str">
        <f t="shared" si="19"/>
        <v/>
      </c>
      <c r="AG430" s="8" t="str">
        <f>IF(TRIM($E430)&lt;&gt;"Tax Paid","",IF(COUNTIFS(LISTS!$F$2:$F$26,$AE430,LISTS!$G$2:$G$26,$AF430)=0,"NOT ON LIST",""))</f>
        <v/>
      </c>
      <c r="AH430" s="8" t="str">
        <f t="shared" si="20"/>
        <v/>
      </c>
    </row>
    <row r="431" spans="31:34" x14ac:dyDescent="0.25">
      <c r="AE431" s="8" t="str">
        <f t="shared" si="18"/>
        <v/>
      </c>
      <c r="AF431" s="8" t="str">
        <f t="shared" si="19"/>
        <v/>
      </c>
      <c r="AG431" s="8" t="str">
        <f>IF(TRIM($E431)&lt;&gt;"Tax Paid","",IF(COUNTIFS(LISTS!$F$2:$F$26,$AE431,LISTS!$G$2:$G$26,$AF431)=0,"NOT ON LIST",""))</f>
        <v/>
      </c>
      <c r="AH431" s="8" t="str">
        <f t="shared" si="20"/>
        <v/>
      </c>
    </row>
    <row r="432" spans="31:34" x14ac:dyDescent="0.25">
      <c r="AE432" s="8" t="str">
        <f t="shared" si="18"/>
        <v/>
      </c>
      <c r="AF432" s="8" t="str">
        <f t="shared" si="19"/>
        <v/>
      </c>
      <c r="AG432" s="8" t="str">
        <f>IF(TRIM($E432)&lt;&gt;"Tax Paid","",IF(COUNTIFS(LISTS!$F$2:$F$26,$AE432,LISTS!$G$2:$G$26,$AF432)=0,"NOT ON LIST",""))</f>
        <v/>
      </c>
      <c r="AH432" s="8" t="str">
        <f t="shared" si="20"/>
        <v/>
      </c>
    </row>
    <row r="433" spans="31:34" x14ac:dyDescent="0.25">
      <c r="AE433" s="8" t="str">
        <f t="shared" si="18"/>
        <v/>
      </c>
      <c r="AF433" s="8" t="str">
        <f t="shared" si="19"/>
        <v/>
      </c>
      <c r="AG433" s="8" t="str">
        <f>IF(TRIM($E433)&lt;&gt;"Tax Paid","",IF(COUNTIFS(LISTS!$F$2:$F$26,$AE433,LISTS!$G$2:$G$26,$AF433)=0,"NOT ON LIST",""))</f>
        <v/>
      </c>
      <c r="AH433" s="8" t="str">
        <f t="shared" si="20"/>
        <v/>
      </c>
    </row>
    <row r="434" spans="31:34" x14ac:dyDescent="0.25">
      <c r="AE434" s="8" t="str">
        <f t="shared" si="18"/>
        <v/>
      </c>
      <c r="AF434" s="8" t="str">
        <f t="shared" si="19"/>
        <v/>
      </c>
      <c r="AG434" s="8" t="str">
        <f>IF(TRIM($E434)&lt;&gt;"Tax Paid","",IF(COUNTIFS(LISTS!$F$2:$F$26,$AE434,LISTS!$G$2:$G$26,$AF434)=0,"NOT ON LIST",""))</f>
        <v/>
      </c>
      <c r="AH434" s="8" t="str">
        <f t="shared" si="20"/>
        <v/>
      </c>
    </row>
    <row r="435" spans="31:34" x14ac:dyDescent="0.25">
      <c r="AE435" s="8" t="str">
        <f t="shared" si="18"/>
        <v/>
      </c>
      <c r="AF435" s="8" t="str">
        <f t="shared" si="19"/>
        <v/>
      </c>
      <c r="AG435" s="8" t="str">
        <f>IF(TRIM($E435)&lt;&gt;"Tax Paid","",IF(COUNTIFS(LISTS!$F$2:$F$26,$AE435,LISTS!$G$2:$G$26,$AF435)=0,"NOT ON LIST",""))</f>
        <v/>
      </c>
      <c r="AH435" s="8" t="str">
        <f t="shared" si="20"/>
        <v/>
      </c>
    </row>
    <row r="436" spans="31:34" x14ac:dyDescent="0.25">
      <c r="AE436" s="8" t="str">
        <f t="shared" si="18"/>
        <v/>
      </c>
      <c r="AF436" s="8" t="str">
        <f t="shared" si="19"/>
        <v/>
      </c>
      <c r="AG436" s="8" t="str">
        <f>IF(TRIM($E436)&lt;&gt;"Tax Paid","",IF(COUNTIFS(LISTS!$F$2:$F$26,$AE436,LISTS!$G$2:$G$26,$AF436)=0,"NOT ON LIST",""))</f>
        <v/>
      </c>
      <c r="AH436" s="8" t="str">
        <f t="shared" si="20"/>
        <v/>
      </c>
    </row>
    <row r="437" spans="31:34" x14ac:dyDescent="0.25">
      <c r="AE437" s="8" t="str">
        <f t="shared" si="18"/>
        <v/>
      </c>
      <c r="AF437" s="8" t="str">
        <f t="shared" si="19"/>
        <v/>
      </c>
      <c r="AG437" s="8" t="str">
        <f>IF(TRIM($E437)&lt;&gt;"Tax Paid","",IF(COUNTIFS(LISTS!$F$2:$F$26,$AE437,LISTS!$G$2:$G$26,$AF437)=0,"NOT ON LIST",""))</f>
        <v/>
      </c>
      <c r="AH437" s="8" t="str">
        <f t="shared" si="20"/>
        <v/>
      </c>
    </row>
    <row r="438" spans="31:34" x14ac:dyDescent="0.25">
      <c r="AE438" s="8" t="str">
        <f t="shared" si="18"/>
        <v/>
      </c>
      <c r="AF438" s="8" t="str">
        <f t="shared" si="19"/>
        <v/>
      </c>
      <c r="AG438" s="8" t="str">
        <f>IF(TRIM($E438)&lt;&gt;"Tax Paid","",IF(COUNTIFS(LISTS!$F$2:$F$26,$AE438,LISTS!$G$2:$G$26,$AF438)=0,"NOT ON LIST",""))</f>
        <v/>
      </c>
      <c r="AH438" s="8" t="str">
        <f t="shared" si="20"/>
        <v/>
      </c>
    </row>
    <row r="439" spans="31:34" x14ac:dyDescent="0.25">
      <c r="AE439" s="8" t="str">
        <f t="shared" si="18"/>
        <v/>
      </c>
      <c r="AF439" s="8" t="str">
        <f t="shared" si="19"/>
        <v/>
      </c>
      <c r="AG439" s="8" t="str">
        <f>IF(TRIM($E439)&lt;&gt;"Tax Paid","",IF(COUNTIFS(LISTS!$F$2:$F$26,$AE439,LISTS!$G$2:$G$26,$AF439)=0,"NOT ON LIST",""))</f>
        <v/>
      </c>
      <c r="AH439" s="8" t="str">
        <f t="shared" si="20"/>
        <v/>
      </c>
    </row>
    <row r="440" spans="31:34" x14ac:dyDescent="0.25">
      <c r="AE440" s="8" t="str">
        <f t="shared" si="18"/>
        <v/>
      </c>
      <c r="AF440" s="8" t="str">
        <f t="shared" si="19"/>
        <v/>
      </c>
      <c r="AG440" s="8" t="str">
        <f>IF(TRIM($E440)&lt;&gt;"Tax Paid","",IF(COUNTIFS(LISTS!$F$2:$F$26,$AE440,LISTS!$G$2:$G$26,$AF440)=0,"NOT ON LIST",""))</f>
        <v/>
      </c>
      <c r="AH440" s="8" t="str">
        <f t="shared" si="20"/>
        <v/>
      </c>
    </row>
    <row r="441" spans="31:34" x14ac:dyDescent="0.25">
      <c r="AE441" s="8" t="str">
        <f t="shared" si="18"/>
        <v/>
      </c>
      <c r="AF441" s="8" t="str">
        <f t="shared" si="19"/>
        <v/>
      </c>
      <c r="AG441" s="8" t="str">
        <f>IF(TRIM($E441)&lt;&gt;"Tax Paid","",IF(COUNTIFS(LISTS!$F$2:$F$26,$AE441,LISTS!$G$2:$G$26,$AF441)=0,"NOT ON LIST",""))</f>
        <v/>
      </c>
      <c r="AH441" s="8" t="str">
        <f t="shared" si="20"/>
        <v/>
      </c>
    </row>
    <row r="442" spans="31:34" x14ac:dyDescent="0.25">
      <c r="AE442" s="8" t="str">
        <f t="shared" si="18"/>
        <v/>
      </c>
      <c r="AF442" s="8" t="str">
        <f t="shared" si="19"/>
        <v/>
      </c>
      <c r="AG442" s="8" t="str">
        <f>IF(TRIM($E442)&lt;&gt;"Tax Paid","",IF(COUNTIFS(LISTS!$F$2:$F$26,$AE442,LISTS!$G$2:$G$26,$AF442)=0,"NOT ON LIST",""))</f>
        <v/>
      </c>
      <c r="AH442" s="8" t="str">
        <f t="shared" si="20"/>
        <v/>
      </c>
    </row>
    <row r="443" spans="31:34" x14ac:dyDescent="0.25">
      <c r="AE443" s="8" t="str">
        <f t="shared" si="18"/>
        <v/>
      </c>
      <c r="AF443" s="8" t="str">
        <f t="shared" si="19"/>
        <v/>
      </c>
      <c r="AG443" s="8" t="str">
        <f>IF(TRIM($E443)&lt;&gt;"Tax Paid","",IF(COUNTIFS(LISTS!$F$2:$F$26,$AE443,LISTS!$G$2:$G$26,$AF443)=0,"NOT ON LIST",""))</f>
        <v/>
      </c>
      <c r="AH443" s="8" t="str">
        <f t="shared" si="20"/>
        <v/>
      </c>
    </row>
    <row r="444" spans="31:34" x14ac:dyDescent="0.25">
      <c r="AE444" s="8" t="str">
        <f t="shared" si="18"/>
        <v/>
      </c>
      <c r="AF444" s="8" t="str">
        <f t="shared" si="19"/>
        <v/>
      </c>
      <c r="AG444" s="8" t="str">
        <f>IF(TRIM($E444)&lt;&gt;"Tax Paid","",IF(COUNTIFS(LISTS!$F$2:$F$26,$AE444,LISTS!$G$2:$G$26,$AF444)=0,"NOT ON LIST",""))</f>
        <v/>
      </c>
      <c r="AH444" s="8" t="str">
        <f t="shared" si="20"/>
        <v/>
      </c>
    </row>
    <row r="445" spans="31:34" x14ac:dyDescent="0.25">
      <c r="AE445" s="8" t="str">
        <f t="shared" si="18"/>
        <v/>
      </c>
      <c r="AF445" s="8" t="str">
        <f t="shared" si="19"/>
        <v/>
      </c>
      <c r="AG445" s="8" t="str">
        <f>IF(TRIM($E445)&lt;&gt;"Tax Paid","",IF(COUNTIFS(LISTS!$F$2:$F$26,$AE445,LISTS!$G$2:$G$26,$AF445)=0,"NOT ON LIST",""))</f>
        <v/>
      </c>
      <c r="AH445" s="8" t="str">
        <f t="shared" si="20"/>
        <v/>
      </c>
    </row>
    <row r="446" spans="31:34" x14ac:dyDescent="0.25">
      <c r="AE446" s="8" t="str">
        <f t="shared" si="18"/>
        <v/>
      </c>
      <c r="AF446" s="8" t="str">
        <f t="shared" si="19"/>
        <v/>
      </c>
      <c r="AG446" s="8" t="str">
        <f>IF(TRIM($E446)&lt;&gt;"Tax Paid","",IF(COUNTIFS(LISTS!$F$2:$F$26,$AE446,LISTS!$G$2:$G$26,$AF446)=0,"NOT ON LIST",""))</f>
        <v/>
      </c>
      <c r="AH446" s="8" t="str">
        <f t="shared" si="20"/>
        <v/>
      </c>
    </row>
    <row r="447" spans="31:34" x14ac:dyDescent="0.25">
      <c r="AE447" s="8" t="str">
        <f t="shared" si="18"/>
        <v/>
      </c>
      <c r="AF447" s="8" t="str">
        <f t="shared" si="19"/>
        <v/>
      </c>
      <c r="AG447" s="8" t="str">
        <f>IF(TRIM($E447)&lt;&gt;"Tax Paid","",IF(COUNTIFS(LISTS!$F$2:$F$26,$AE447,LISTS!$G$2:$G$26,$AF447)=0,"NOT ON LIST",""))</f>
        <v/>
      </c>
      <c r="AH447" s="8" t="str">
        <f t="shared" si="20"/>
        <v/>
      </c>
    </row>
    <row r="448" spans="31:34" x14ac:dyDescent="0.25">
      <c r="AE448" s="8" t="str">
        <f t="shared" si="18"/>
        <v/>
      </c>
      <c r="AF448" s="8" t="str">
        <f t="shared" si="19"/>
        <v/>
      </c>
      <c r="AG448" s="8" t="str">
        <f>IF(TRIM($E448)&lt;&gt;"Tax Paid","",IF(COUNTIFS(LISTS!$F$2:$F$26,$AE448,LISTS!$G$2:$G$26,$AF448)=0,"NOT ON LIST",""))</f>
        <v/>
      </c>
      <c r="AH448" s="8" t="str">
        <f t="shared" si="20"/>
        <v/>
      </c>
    </row>
    <row r="449" spans="31:34" x14ac:dyDescent="0.25">
      <c r="AE449" s="8" t="str">
        <f t="shared" si="18"/>
        <v/>
      </c>
      <c r="AF449" s="8" t="str">
        <f t="shared" si="19"/>
        <v/>
      </c>
      <c r="AG449" s="8" t="str">
        <f>IF(TRIM($E449)&lt;&gt;"Tax Paid","",IF(COUNTIFS(LISTS!$F$2:$F$26,$AE449,LISTS!$G$2:$G$26,$AF449)=0,"NOT ON LIST",""))</f>
        <v/>
      </c>
      <c r="AH449" s="8" t="str">
        <f t="shared" si="20"/>
        <v/>
      </c>
    </row>
    <row r="450" spans="31:34" x14ac:dyDescent="0.25">
      <c r="AE450" s="8" t="str">
        <f t="shared" ref="AE450:AE513" si="21">IF(TRIM($E450)="Tax Paid",TRIM($S450),"")</f>
        <v/>
      </c>
      <c r="AF450" s="8" t="str">
        <f t="shared" ref="AF450:AF513" si="22">IF(TRIM($E450)="Tax Paid",ROUND($Z450/100,5),"")</f>
        <v/>
      </c>
      <c r="AG450" s="8" t="str">
        <f>IF(TRIM($E450)&lt;&gt;"Tax Paid","",IF(COUNTIFS(LISTS!$F$2:$F$26,$AE450,LISTS!$G$2:$G$26,$AF450)=0,"NOT ON LIST",""))</f>
        <v/>
      </c>
      <c r="AH450" s="8" t="str">
        <f t="shared" ref="AH450:AH513" si="23">IF($AG450="","",IF($AE450="","(no county)",$AE450)&amp;" ("&amp;SUBSTITUTE(TEXT($AF450,"0.###%"),".%","%")&amp;")")</f>
        <v/>
      </c>
    </row>
    <row r="451" spans="31:34" x14ac:dyDescent="0.25">
      <c r="AE451" s="8" t="str">
        <f t="shared" si="21"/>
        <v/>
      </c>
      <c r="AF451" s="8" t="str">
        <f t="shared" si="22"/>
        <v/>
      </c>
      <c r="AG451" s="8" t="str">
        <f>IF(TRIM($E451)&lt;&gt;"Tax Paid","",IF(COUNTIFS(LISTS!$F$2:$F$26,$AE451,LISTS!$G$2:$G$26,$AF451)=0,"NOT ON LIST",""))</f>
        <v/>
      </c>
      <c r="AH451" s="8" t="str">
        <f t="shared" si="23"/>
        <v/>
      </c>
    </row>
    <row r="452" spans="31:34" x14ac:dyDescent="0.25">
      <c r="AE452" s="8" t="str">
        <f t="shared" si="21"/>
        <v/>
      </c>
      <c r="AF452" s="8" t="str">
        <f t="shared" si="22"/>
        <v/>
      </c>
      <c r="AG452" s="8" t="str">
        <f>IF(TRIM($E452)&lt;&gt;"Tax Paid","",IF(COUNTIFS(LISTS!$F$2:$F$26,$AE452,LISTS!$G$2:$G$26,$AF452)=0,"NOT ON LIST",""))</f>
        <v/>
      </c>
      <c r="AH452" s="8" t="str">
        <f t="shared" si="23"/>
        <v/>
      </c>
    </row>
    <row r="453" spans="31:34" x14ac:dyDescent="0.25">
      <c r="AE453" s="8" t="str">
        <f t="shared" si="21"/>
        <v/>
      </c>
      <c r="AF453" s="8" t="str">
        <f t="shared" si="22"/>
        <v/>
      </c>
      <c r="AG453" s="8" t="str">
        <f>IF(TRIM($E453)&lt;&gt;"Tax Paid","",IF(COUNTIFS(LISTS!$F$2:$F$26,$AE453,LISTS!$G$2:$G$26,$AF453)=0,"NOT ON LIST",""))</f>
        <v/>
      </c>
      <c r="AH453" s="8" t="str">
        <f t="shared" si="23"/>
        <v/>
      </c>
    </row>
    <row r="454" spans="31:34" x14ac:dyDescent="0.25">
      <c r="AE454" s="8" t="str">
        <f t="shared" si="21"/>
        <v/>
      </c>
      <c r="AF454" s="8" t="str">
        <f t="shared" si="22"/>
        <v/>
      </c>
      <c r="AG454" s="8" t="str">
        <f>IF(TRIM($E454)&lt;&gt;"Tax Paid","",IF(COUNTIFS(LISTS!$F$2:$F$26,$AE454,LISTS!$G$2:$G$26,$AF454)=0,"NOT ON LIST",""))</f>
        <v/>
      </c>
      <c r="AH454" s="8" t="str">
        <f t="shared" si="23"/>
        <v/>
      </c>
    </row>
    <row r="455" spans="31:34" x14ac:dyDescent="0.25">
      <c r="AE455" s="8" t="str">
        <f t="shared" si="21"/>
        <v/>
      </c>
      <c r="AF455" s="8" t="str">
        <f t="shared" si="22"/>
        <v/>
      </c>
      <c r="AG455" s="8" t="str">
        <f>IF(TRIM($E455)&lt;&gt;"Tax Paid","",IF(COUNTIFS(LISTS!$F$2:$F$26,$AE455,LISTS!$G$2:$G$26,$AF455)=0,"NOT ON LIST",""))</f>
        <v/>
      </c>
      <c r="AH455" s="8" t="str">
        <f t="shared" si="23"/>
        <v/>
      </c>
    </row>
    <row r="456" spans="31:34" x14ac:dyDescent="0.25">
      <c r="AE456" s="8" t="str">
        <f t="shared" si="21"/>
        <v/>
      </c>
      <c r="AF456" s="8" t="str">
        <f t="shared" si="22"/>
        <v/>
      </c>
      <c r="AG456" s="8" t="str">
        <f>IF(TRIM($E456)&lt;&gt;"Tax Paid","",IF(COUNTIFS(LISTS!$F$2:$F$26,$AE456,LISTS!$G$2:$G$26,$AF456)=0,"NOT ON LIST",""))</f>
        <v/>
      </c>
      <c r="AH456" s="8" t="str">
        <f t="shared" si="23"/>
        <v/>
      </c>
    </row>
    <row r="457" spans="31:34" x14ac:dyDescent="0.25">
      <c r="AE457" s="8" t="str">
        <f t="shared" si="21"/>
        <v/>
      </c>
      <c r="AF457" s="8" t="str">
        <f t="shared" si="22"/>
        <v/>
      </c>
      <c r="AG457" s="8" t="str">
        <f>IF(TRIM($E457)&lt;&gt;"Tax Paid","",IF(COUNTIFS(LISTS!$F$2:$F$26,$AE457,LISTS!$G$2:$G$26,$AF457)=0,"NOT ON LIST",""))</f>
        <v/>
      </c>
      <c r="AH457" s="8" t="str">
        <f t="shared" si="23"/>
        <v/>
      </c>
    </row>
    <row r="458" spans="31:34" x14ac:dyDescent="0.25">
      <c r="AE458" s="8" t="str">
        <f t="shared" si="21"/>
        <v/>
      </c>
      <c r="AF458" s="8" t="str">
        <f t="shared" si="22"/>
        <v/>
      </c>
      <c r="AG458" s="8" t="str">
        <f>IF(TRIM($E458)&lt;&gt;"Tax Paid","",IF(COUNTIFS(LISTS!$F$2:$F$26,$AE458,LISTS!$G$2:$G$26,$AF458)=0,"NOT ON LIST",""))</f>
        <v/>
      </c>
      <c r="AH458" s="8" t="str">
        <f t="shared" si="23"/>
        <v/>
      </c>
    </row>
    <row r="459" spans="31:34" x14ac:dyDescent="0.25">
      <c r="AE459" s="8" t="str">
        <f t="shared" si="21"/>
        <v/>
      </c>
      <c r="AF459" s="8" t="str">
        <f t="shared" si="22"/>
        <v/>
      </c>
      <c r="AG459" s="8" t="str">
        <f>IF(TRIM($E459)&lt;&gt;"Tax Paid","",IF(COUNTIFS(LISTS!$F$2:$F$26,$AE459,LISTS!$G$2:$G$26,$AF459)=0,"NOT ON LIST",""))</f>
        <v/>
      </c>
      <c r="AH459" s="8" t="str">
        <f t="shared" si="23"/>
        <v/>
      </c>
    </row>
    <row r="460" spans="31:34" x14ac:dyDescent="0.25">
      <c r="AE460" s="8" t="str">
        <f t="shared" si="21"/>
        <v/>
      </c>
      <c r="AF460" s="8" t="str">
        <f t="shared" si="22"/>
        <v/>
      </c>
      <c r="AG460" s="8" t="str">
        <f>IF(TRIM($E460)&lt;&gt;"Tax Paid","",IF(COUNTIFS(LISTS!$F$2:$F$26,$AE460,LISTS!$G$2:$G$26,$AF460)=0,"NOT ON LIST",""))</f>
        <v/>
      </c>
      <c r="AH460" s="8" t="str">
        <f t="shared" si="23"/>
        <v/>
      </c>
    </row>
    <row r="461" spans="31:34" x14ac:dyDescent="0.25">
      <c r="AE461" s="8" t="str">
        <f t="shared" si="21"/>
        <v/>
      </c>
      <c r="AF461" s="8" t="str">
        <f t="shared" si="22"/>
        <v/>
      </c>
      <c r="AG461" s="8" t="str">
        <f>IF(TRIM($E461)&lt;&gt;"Tax Paid","",IF(COUNTIFS(LISTS!$F$2:$F$26,$AE461,LISTS!$G$2:$G$26,$AF461)=0,"NOT ON LIST",""))</f>
        <v/>
      </c>
      <c r="AH461" s="8" t="str">
        <f t="shared" si="23"/>
        <v/>
      </c>
    </row>
    <row r="462" spans="31:34" x14ac:dyDescent="0.25">
      <c r="AE462" s="8" t="str">
        <f t="shared" si="21"/>
        <v/>
      </c>
      <c r="AF462" s="8" t="str">
        <f t="shared" si="22"/>
        <v/>
      </c>
      <c r="AG462" s="8" t="str">
        <f>IF(TRIM($E462)&lt;&gt;"Tax Paid","",IF(COUNTIFS(LISTS!$F$2:$F$26,$AE462,LISTS!$G$2:$G$26,$AF462)=0,"NOT ON LIST",""))</f>
        <v/>
      </c>
      <c r="AH462" s="8" t="str">
        <f t="shared" si="23"/>
        <v/>
      </c>
    </row>
    <row r="463" spans="31:34" x14ac:dyDescent="0.25">
      <c r="AE463" s="8" t="str">
        <f t="shared" si="21"/>
        <v/>
      </c>
      <c r="AF463" s="8" t="str">
        <f t="shared" si="22"/>
        <v/>
      </c>
      <c r="AG463" s="8" t="str">
        <f>IF(TRIM($E463)&lt;&gt;"Tax Paid","",IF(COUNTIFS(LISTS!$F$2:$F$26,$AE463,LISTS!$G$2:$G$26,$AF463)=0,"NOT ON LIST",""))</f>
        <v/>
      </c>
      <c r="AH463" s="8" t="str">
        <f t="shared" si="23"/>
        <v/>
      </c>
    </row>
    <row r="464" spans="31:34" x14ac:dyDescent="0.25">
      <c r="AE464" s="8" t="str">
        <f t="shared" si="21"/>
        <v/>
      </c>
      <c r="AF464" s="8" t="str">
        <f t="shared" si="22"/>
        <v/>
      </c>
      <c r="AG464" s="8" t="str">
        <f>IF(TRIM($E464)&lt;&gt;"Tax Paid","",IF(COUNTIFS(LISTS!$F$2:$F$26,$AE464,LISTS!$G$2:$G$26,$AF464)=0,"NOT ON LIST",""))</f>
        <v/>
      </c>
      <c r="AH464" s="8" t="str">
        <f t="shared" si="23"/>
        <v/>
      </c>
    </row>
    <row r="465" spans="31:34" x14ac:dyDescent="0.25">
      <c r="AE465" s="8" t="str">
        <f t="shared" si="21"/>
        <v/>
      </c>
      <c r="AF465" s="8" t="str">
        <f t="shared" si="22"/>
        <v/>
      </c>
      <c r="AG465" s="8" t="str">
        <f>IF(TRIM($E465)&lt;&gt;"Tax Paid","",IF(COUNTIFS(LISTS!$F$2:$F$26,$AE465,LISTS!$G$2:$G$26,$AF465)=0,"NOT ON LIST",""))</f>
        <v/>
      </c>
      <c r="AH465" s="8" t="str">
        <f t="shared" si="23"/>
        <v/>
      </c>
    </row>
    <row r="466" spans="31:34" x14ac:dyDescent="0.25">
      <c r="AE466" s="8" t="str">
        <f t="shared" si="21"/>
        <v/>
      </c>
      <c r="AF466" s="8" t="str">
        <f t="shared" si="22"/>
        <v/>
      </c>
      <c r="AG466" s="8" t="str">
        <f>IF(TRIM($E466)&lt;&gt;"Tax Paid","",IF(COUNTIFS(LISTS!$F$2:$F$26,$AE466,LISTS!$G$2:$G$26,$AF466)=0,"NOT ON LIST",""))</f>
        <v/>
      </c>
      <c r="AH466" s="8" t="str">
        <f t="shared" si="23"/>
        <v/>
      </c>
    </row>
    <row r="467" spans="31:34" x14ac:dyDescent="0.25">
      <c r="AE467" s="8" t="str">
        <f t="shared" si="21"/>
        <v/>
      </c>
      <c r="AF467" s="8" t="str">
        <f t="shared" si="22"/>
        <v/>
      </c>
      <c r="AG467" s="8" t="str">
        <f>IF(TRIM($E467)&lt;&gt;"Tax Paid","",IF(COUNTIFS(LISTS!$F$2:$F$26,$AE467,LISTS!$G$2:$G$26,$AF467)=0,"NOT ON LIST",""))</f>
        <v/>
      </c>
      <c r="AH467" s="8" t="str">
        <f t="shared" si="23"/>
        <v/>
      </c>
    </row>
    <row r="468" spans="31:34" x14ac:dyDescent="0.25">
      <c r="AE468" s="8" t="str">
        <f t="shared" si="21"/>
        <v/>
      </c>
      <c r="AF468" s="8" t="str">
        <f t="shared" si="22"/>
        <v/>
      </c>
      <c r="AG468" s="8" t="str">
        <f>IF(TRIM($E468)&lt;&gt;"Tax Paid","",IF(COUNTIFS(LISTS!$F$2:$F$26,$AE468,LISTS!$G$2:$G$26,$AF468)=0,"NOT ON LIST",""))</f>
        <v/>
      </c>
      <c r="AH468" s="8" t="str">
        <f t="shared" si="23"/>
        <v/>
      </c>
    </row>
    <row r="469" spans="31:34" x14ac:dyDescent="0.25">
      <c r="AE469" s="8" t="str">
        <f t="shared" si="21"/>
        <v/>
      </c>
      <c r="AF469" s="8" t="str">
        <f t="shared" si="22"/>
        <v/>
      </c>
      <c r="AG469" s="8" t="str">
        <f>IF(TRIM($E469)&lt;&gt;"Tax Paid","",IF(COUNTIFS(LISTS!$F$2:$F$26,$AE469,LISTS!$G$2:$G$26,$AF469)=0,"NOT ON LIST",""))</f>
        <v/>
      </c>
      <c r="AH469" s="8" t="str">
        <f t="shared" si="23"/>
        <v/>
      </c>
    </row>
    <row r="470" spans="31:34" x14ac:dyDescent="0.25">
      <c r="AE470" s="8" t="str">
        <f t="shared" si="21"/>
        <v/>
      </c>
      <c r="AF470" s="8" t="str">
        <f t="shared" si="22"/>
        <v/>
      </c>
      <c r="AG470" s="8" t="str">
        <f>IF(TRIM($E470)&lt;&gt;"Tax Paid","",IF(COUNTIFS(LISTS!$F$2:$F$26,$AE470,LISTS!$G$2:$G$26,$AF470)=0,"NOT ON LIST",""))</f>
        <v/>
      </c>
      <c r="AH470" s="8" t="str">
        <f t="shared" si="23"/>
        <v/>
      </c>
    </row>
    <row r="471" spans="31:34" x14ac:dyDescent="0.25">
      <c r="AE471" s="8" t="str">
        <f t="shared" si="21"/>
        <v/>
      </c>
      <c r="AF471" s="8" t="str">
        <f t="shared" si="22"/>
        <v/>
      </c>
      <c r="AG471" s="8" t="str">
        <f>IF(TRIM($E471)&lt;&gt;"Tax Paid","",IF(COUNTIFS(LISTS!$F$2:$F$26,$AE471,LISTS!$G$2:$G$26,$AF471)=0,"NOT ON LIST",""))</f>
        <v/>
      </c>
      <c r="AH471" s="8" t="str">
        <f t="shared" si="23"/>
        <v/>
      </c>
    </row>
    <row r="472" spans="31:34" x14ac:dyDescent="0.25">
      <c r="AE472" s="8" t="str">
        <f t="shared" si="21"/>
        <v/>
      </c>
      <c r="AF472" s="8" t="str">
        <f t="shared" si="22"/>
        <v/>
      </c>
      <c r="AG472" s="8" t="str">
        <f>IF(TRIM($E472)&lt;&gt;"Tax Paid","",IF(COUNTIFS(LISTS!$F$2:$F$26,$AE472,LISTS!$G$2:$G$26,$AF472)=0,"NOT ON LIST",""))</f>
        <v/>
      </c>
      <c r="AH472" s="8" t="str">
        <f t="shared" si="23"/>
        <v/>
      </c>
    </row>
    <row r="473" spans="31:34" x14ac:dyDescent="0.25">
      <c r="AE473" s="8" t="str">
        <f t="shared" si="21"/>
        <v/>
      </c>
      <c r="AF473" s="8" t="str">
        <f t="shared" si="22"/>
        <v/>
      </c>
      <c r="AG473" s="8" t="str">
        <f>IF(TRIM($E473)&lt;&gt;"Tax Paid","",IF(COUNTIFS(LISTS!$F$2:$F$26,$AE473,LISTS!$G$2:$G$26,$AF473)=0,"NOT ON LIST",""))</f>
        <v/>
      </c>
      <c r="AH473" s="8" t="str">
        <f t="shared" si="23"/>
        <v/>
      </c>
    </row>
    <row r="474" spans="31:34" x14ac:dyDescent="0.25">
      <c r="AE474" s="8" t="str">
        <f t="shared" si="21"/>
        <v/>
      </c>
      <c r="AF474" s="8" t="str">
        <f t="shared" si="22"/>
        <v/>
      </c>
      <c r="AG474" s="8" t="str">
        <f>IF(TRIM($E474)&lt;&gt;"Tax Paid","",IF(COUNTIFS(LISTS!$F$2:$F$26,$AE474,LISTS!$G$2:$G$26,$AF474)=0,"NOT ON LIST",""))</f>
        <v/>
      </c>
      <c r="AH474" s="8" t="str">
        <f t="shared" si="23"/>
        <v/>
      </c>
    </row>
    <row r="475" spans="31:34" x14ac:dyDescent="0.25">
      <c r="AE475" s="8" t="str">
        <f t="shared" si="21"/>
        <v/>
      </c>
      <c r="AF475" s="8" t="str">
        <f t="shared" si="22"/>
        <v/>
      </c>
      <c r="AG475" s="8" t="str">
        <f>IF(TRIM($E475)&lt;&gt;"Tax Paid","",IF(COUNTIFS(LISTS!$F$2:$F$26,$AE475,LISTS!$G$2:$G$26,$AF475)=0,"NOT ON LIST",""))</f>
        <v/>
      </c>
      <c r="AH475" s="8" t="str">
        <f t="shared" si="23"/>
        <v/>
      </c>
    </row>
    <row r="476" spans="31:34" x14ac:dyDescent="0.25">
      <c r="AE476" s="8" t="str">
        <f t="shared" si="21"/>
        <v/>
      </c>
      <c r="AF476" s="8" t="str">
        <f t="shared" si="22"/>
        <v/>
      </c>
      <c r="AG476" s="8" t="str">
        <f>IF(TRIM($E476)&lt;&gt;"Tax Paid","",IF(COUNTIFS(LISTS!$F$2:$F$26,$AE476,LISTS!$G$2:$G$26,$AF476)=0,"NOT ON LIST",""))</f>
        <v/>
      </c>
      <c r="AH476" s="8" t="str">
        <f t="shared" si="23"/>
        <v/>
      </c>
    </row>
    <row r="477" spans="31:34" x14ac:dyDescent="0.25">
      <c r="AE477" s="8" t="str">
        <f t="shared" si="21"/>
        <v/>
      </c>
      <c r="AF477" s="8" t="str">
        <f t="shared" si="22"/>
        <v/>
      </c>
      <c r="AG477" s="8" t="str">
        <f>IF(TRIM($E477)&lt;&gt;"Tax Paid","",IF(COUNTIFS(LISTS!$F$2:$F$26,$AE477,LISTS!$G$2:$G$26,$AF477)=0,"NOT ON LIST",""))</f>
        <v/>
      </c>
      <c r="AH477" s="8" t="str">
        <f t="shared" si="23"/>
        <v/>
      </c>
    </row>
    <row r="478" spans="31:34" x14ac:dyDescent="0.25">
      <c r="AE478" s="8" t="str">
        <f t="shared" si="21"/>
        <v/>
      </c>
      <c r="AF478" s="8" t="str">
        <f t="shared" si="22"/>
        <v/>
      </c>
      <c r="AG478" s="8" t="str">
        <f>IF(TRIM($E478)&lt;&gt;"Tax Paid","",IF(COUNTIFS(LISTS!$F$2:$F$26,$AE478,LISTS!$G$2:$G$26,$AF478)=0,"NOT ON LIST",""))</f>
        <v/>
      </c>
      <c r="AH478" s="8" t="str">
        <f t="shared" si="23"/>
        <v/>
      </c>
    </row>
    <row r="479" spans="31:34" x14ac:dyDescent="0.25">
      <c r="AE479" s="8" t="str">
        <f t="shared" si="21"/>
        <v/>
      </c>
      <c r="AF479" s="8" t="str">
        <f t="shared" si="22"/>
        <v/>
      </c>
      <c r="AG479" s="8" t="str">
        <f>IF(TRIM($E479)&lt;&gt;"Tax Paid","",IF(COUNTIFS(LISTS!$F$2:$F$26,$AE479,LISTS!$G$2:$G$26,$AF479)=0,"NOT ON LIST",""))</f>
        <v/>
      </c>
      <c r="AH479" s="8" t="str">
        <f t="shared" si="23"/>
        <v/>
      </c>
    </row>
    <row r="480" spans="31:34" x14ac:dyDescent="0.25">
      <c r="AE480" s="8" t="str">
        <f t="shared" si="21"/>
        <v/>
      </c>
      <c r="AF480" s="8" t="str">
        <f t="shared" si="22"/>
        <v/>
      </c>
      <c r="AG480" s="8" t="str">
        <f>IF(TRIM($E480)&lt;&gt;"Tax Paid","",IF(COUNTIFS(LISTS!$F$2:$F$26,$AE480,LISTS!$G$2:$G$26,$AF480)=0,"NOT ON LIST",""))</f>
        <v/>
      </c>
      <c r="AH480" s="8" t="str">
        <f t="shared" si="23"/>
        <v/>
      </c>
    </row>
    <row r="481" spans="31:34" x14ac:dyDescent="0.25">
      <c r="AE481" s="8" t="str">
        <f t="shared" si="21"/>
        <v/>
      </c>
      <c r="AF481" s="8" t="str">
        <f t="shared" si="22"/>
        <v/>
      </c>
      <c r="AG481" s="8" t="str">
        <f>IF(TRIM($E481)&lt;&gt;"Tax Paid","",IF(COUNTIFS(LISTS!$F$2:$F$26,$AE481,LISTS!$G$2:$G$26,$AF481)=0,"NOT ON LIST",""))</f>
        <v/>
      </c>
      <c r="AH481" s="8" t="str">
        <f t="shared" si="23"/>
        <v/>
      </c>
    </row>
    <row r="482" spans="31:34" x14ac:dyDescent="0.25">
      <c r="AE482" s="8" t="str">
        <f t="shared" si="21"/>
        <v/>
      </c>
      <c r="AF482" s="8" t="str">
        <f t="shared" si="22"/>
        <v/>
      </c>
      <c r="AG482" s="8" t="str">
        <f>IF(TRIM($E482)&lt;&gt;"Tax Paid","",IF(COUNTIFS(LISTS!$F$2:$F$26,$AE482,LISTS!$G$2:$G$26,$AF482)=0,"NOT ON LIST",""))</f>
        <v/>
      </c>
      <c r="AH482" s="8" t="str">
        <f t="shared" si="23"/>
        <v/>
      </c>
    </row>
    <row r="483" spans="31:34" x14ac:dyDescent="0.25">
      <c r="AE483" s="8" t="str">
        <f t="shared" si="21"/>
        <v/>
      </c>
      <c r="AF483" s="8" t="str">
        <f t="shared" si="22"/>
        <v/>
      </c>
      <c r="AG483" s="8" t="str">
        <f>IF(TRIM($E483)&lt;&gt;"Tax Paid","",IF(COUNTIFS(LISTS!$F$2:$F$26,$AE483,LISTS!$G$2:$G$26,$AF483)=0,"NOT ON LIST",""))</f>
        <v/>
      </c>
      <c r="AH483" s="8" t="str">
        <f t="shared" si="23"/>
        <v/>
      </c>
    </row>
    <row r="484" spans="31:34" x14ac:dyDescent="0.25">
      <c r="AE484" s="8" t="str">
        <f t="shared" si="21"/>
        <v/>
      </c>
      <c r="AF484" s="8" t="str">
        <f t="shared" si="22"/>
        <v/>
      </c>
      <c r="AG484" s="8" t="str">
        <f>IF(TRIM($E484)&lt;&gt;"Tax Paid","",IF(COUNTIFS(LISTS!$F$2:$F$26,$AE484,LISTS!$G$2:$G$26,$AF484)=0,"NOT ON LIST",""))</f>
        <v/>
      </c>
      <c r="AH484" s="8" t="str">
        <f t="shared" si="23"/>
        <v/>
      </c>
    </row>
    <row r="485" spans="31:34" x14ac:dyDescent="0.25">
      <c r="AE485" s="8" t="str">
        <f t="shared" si="21"/>
        <v/>
      </c>
      <c r="AF485" s="8" t="str">
        <f t="shared" si="22"/>
        <v/>
      </c>
      <c r="AG485" s="8" t="str">
        <f>IF(TRIM($E485)&lt;&gt;"Tax Paid","",IF(COUNTIFS(LISTS!$F$2:$F$26,$AE485,LISTS!$G$2:$G$26,$AF485)=0,"NOT ON LIST",""))</f>
        <v/>
      </c>
      <c r="AH485" s="8" t="str">
        <f t="shared" si="23"/>
        <v/>
      </c>
    </row>
    <row r="486" spans="31:34" x14ac:dyDescent="0.25">
      <c r="AE486" s="8" t="str">
        <f t="shared" si="21"/>
        <v/>
      </c>
      <c r="AF486" s="8" t="str">
        <f t="shared" si="22"/>
        <v/>
      </c>
      <c r="AG486" s="8" t="str">
        <f>IF(TRIM($E486)&lt;&gt;"Tax Paid","",IF(COUNTIFS(LISTS!$F$2:$F$26,$AE486,LISTS!$G$2:$G$26,$AF486)=0,"NOT ON LIST",""))</f>
        <v/>
      </c>
      <c r="AH486" s="8" t="str">
        <f t="shared" si="23"/>
        <v/>
      </c>
    </row>
    <row r="487" spans="31:34" x14ac:dyDescent="0.25">
      <c r="AE487" s="8" t="str">
        <f t="shared" si="21"/>
        <v/>
      </c>
      <c r="AF487" s="8" t="str">
        <f t="shared" si="22"/>
        <v/>
      </c>
      <c r="AG487" s="8" t="str">
        <f>IF(TRIM($E487)&lt;&gt;"Tax Paid","",IF(COUNTIFS(LISTS!$F$2:$F$26,$AE487,LISTS!$G$2:$G$26,$AF487)=0,"NOT ON LIST",""))</f>
        <v/>
      </c>
      <c r="AH487" s="8" t="str">
        <f t="shared" si="23"/>
        <v/>
      </c>
    </row>
    <row r="488" spans="31:34" x14ac:dyDescent="0.25">
      <c r="AE488" s="8" t="str">
        <f t="shared" si="21"/>
        <v/>
      </c>
      <c r="AF488" s="8" t="str">
        <f t="shared" si="22"/>
        <v/>
      </c>
      <c r="AG488" s="8" t="str">
        <f>IF(TRIM($E488)&lt;&gt;"Tax Paid","",IF(COUNTIFS(LISTS!$F$2:$F$26,$AE488,LISTS!$G$2:$G$26,$AF488)=0,"NOT ON LIST",""))</f>
        <v/>
      </c>
      <c r="AH488" s="8" t="str">
        <f t="shared" si="23"/>
        <v/>
      </c>
    </row>
    <row r="489" spans="31:34" x14ac:dyDescent="0.25">
      <c r="AE489" s="8" t="str">
        <f t="shared" si="21"/>
        <v/>
      </c>
      <c r="AF489" s="8" t="str">
        <f t="shared" si="22"/>
        <v/>
      </c>
      <c r="AG489" s="8" t="str">
        <f>IF(TRIM($E489)&lt;&gt;"Tax Paid","",IF(COUNTIFS(LISTS!$F$2:$F$26,$AE489,LISTS!$G$2:$G$26,$AF489)=0,"NOT ON LIST",""))</f>
        <v/>
      </c>
      <c r="AH489" s="8" t="str">
        <f t="shared" si="23"/>
        <v/>
      </c>
    </row>
    <row r="490" spans="31:34" x14ac:dyDescent="0.25">
      <c r="AE490" s="8" t="str">
        <f t="shared" si="21"/>
        <v/>
      </c>
      <c r="AF490" s="8" t="str">
        <f t="shared" si="22"/>
        <v/>
      </c>
      <c r="AG490" s="8" t="str">
        <f>IF(TRIM($E490)&lt;&gt;"Tax Paid","",IF(COUNTIFS(LISTS!$F$2:$F$26,$AE490,LISTS!$G$2:$G$26,$AF490)=0,"NOT ON LIST",""))</f>
        <v/>
      </c>
      <c r="AH490" s="8" t="str">
        <f t="shared" si="23"/>
        <v/>
      </c>
    </row>
    <row r="491" spans="31:34" x14ac:dyDescent="0.25">
      <c r="AE491" s="8" t="str">
        <f t="shared" si="21"/>
        <v/>
      </c>
      <c r="AF491" s="8" t="str">
        <f t="shared" si="22"/>
        <v/>
      </c>
      <c r="AG491" s="8" t="str">
        <f>IF(TRIM($E491)&lt;&gt;"Tax Paid","",IF(COUNTIFS(LISTS!$F$2:$F$26,$AE491,LISTS!$G$2:$G$26,$AF491)=0,"NOT ON LIST",""))</f>
        <v/>
      </c>
      <c r="AH491" s="8" t="str">
        <f t="shared" si="23"/>
        <v/>
      </c>
    </row>
    <row r="492" spans="31:34" x14ac:dyDescent="0.25">
      <c r="AE492" s="8" t="str">
        <f t="shared" si="21"/>
        <v/>
      </c>
      <c r="AF492" s="8" t="str">
        <f t="shared" si="22"/>
        <v/>
      </c>
      <c r="AG492" s="8" t="str">
        <f>IF(TRIM($E492)&lt;&gt;"Tax Paid","",IF(COUNTIFS(LISTS!$F$2:$F$26,$AE492,LISTS!$G$2:$G$26,$AF492)=0,"NOT ON LIST",""))</f>
        <v/>
      </c>
      <c r="AH492" s="8" t="str">
        <f t="shared" si="23"/>
        <v/>
      </c>
    </row>
    <row r="493" spans="31:34" x14ac:dyDescent="0.25">
      <c r="AE493" s="8" t="str">
        <f t="shared" si="21"/>
        <v/>
      </c>
      <c r="AF493" s="8" t="str">
        <f t="shared" si="22"/>
        <v/>
      </c>
      <c r="AG493" s="8" t="str">
        <f>IF(TRIM($E493)&lt;&gt;"Tax Paid","",IF(COUNTIFS(LISTS!$F$2:$F$26,$AE493,LISTS!$G$2:$G$26,$AF493)=0,"NOT ON LIST",""))</f>
        <v/>
      </c>
      <c r="AH493" s="8" t="str">
        <f t="shared" si="23"/>
        <v/>
      </c>
    </row>
    <row r="494" spans="31:34" x14ac:dyDescent="0.25">
      <c r="AE494" s="8" t="str">
        <f t="shared" si="21"/>
        <v/>
      </c>
      <c r="AF494" s="8" t="str">
        <f t="shared" si="22"/>
        <v/>
      </c>
      <c r="AG494" s="8" t="str">
        <f>IF(TRIM($E494)&lt;&gt;"Tax Paid","",IF(COUNTIFS(LISTS!$F$2:$F$26,$AE494,LISTS!$G$2:$G$26,$AF494)=0,"NOT ON LIST",""))</f>
        <v/>
      </c>
      <c r="AH494" s="8" t="str">
        <f t="shared" si="23"/>
        <v/>
      </c>
    </row>
    <row r="495" spans="31:34" x14ac:dyDescent="0.25">
      <c r="AE495" s="8" t="str">
        <f t="shared" si="21"/>
        <v/>
      </c>
      <c r="AF495" s="8" t="str">
        <f t="shared" si="22"/>
        <v/>
      </c>
      <c r="AG495" s="8" t="str">
        <f>IF(TRIM($E495)&lt;&gt;"Tax Paid","",IF(COUNTIFS(LISTS!$F$2:$F$26,$AE495,LISTS!$G$2:$G$26,$AF495)=0,"NOT ON LIST",""))</f>
        <v/>
      </c>
      <c r="AH495" s="8" t="str">
        <f t="shared" si="23"/>
        <v/>
      </c>
    </row>
    <row r="496" spans="31:34" x14ac:dyDescent="0.25">
      <c r="AE496" s="8" t="str">
        <f t="shared" si="21"/>
        <v/>
      </c>
      <c r="AF496" s="8" t="str">
        <f t="shared" si="22"/>
        <v/>
      </c>
      <c r="AG496" s="8" t="str">
        <f>IF(TRIM($E496)&lt;&gt;"Tax Paid","",IF(COUNTIFS(LISTS!$F$2:$F$26,$AE496,LISTS!$G$2:$G$26,$AF496)=0,"NOT ON LIST",""))</f>
        <v/>
      </c>
      <c r="AH496" s="8" t="str">
        <f t="shared" si="23"/>
        <v/>
      </c>
    </row>
    <row r="497" spans="31:34" x14ac:dyDescent="0.25">
      <c r="AE497" s="8" t="str">
        <f t="shared" si="21"/>
        <v/>
      </c>
      <c r="AF497" s="8" t="str">
        <f t="shared" si="22"/>
        <v/>
      </c>
      <c r="AG497" s="8" t="str">
        <f>IF(TRIM($E497)&lt;&gt;"Tax Paid","",IF(COUNTIFS(LISTS!$F$2:$F$26,$AE497,LISTS!$G$2:$G$26,$AF497)=0,"NOT ON LIST",""))</f>
        <v/>
      </c>
      <c r="AH497" s="8" t="str">
        <f t="shared" si="23"/>
        <v/>
      </c>
    </row>
    <row r="498" spans="31:34" x14ac:dyDescent="0.25">
      <c r="AE498" s="8" t="str">
        <f t="shared" si="21"/>
        <v/>
      </c>
      <c r="AF498" s="8" t="str">
        <f t="shared" si="22"/>
        <v/>
      </c>
      <c r="AG498" s="8" t="str">
        <f>IF(TRIM($E498)&lt;&gt;"Tax Paid","",IF(COUNTIFS(LISTS!$F$2:$F$26,$AE498,LISTS!$G$2:$G$26,$AF498)=0,"NOT ON LIST",""))</f>
        <v/>
      </c>
      <c r="AH498" s="8" t="str">
        <f t="shared" si="23"/>
        <v/>
      </c>
    </row>
    <row r="499" spans="31:34" x14ac:dyDescent="0.25">
      <c r="AE499" s="8" t="str">
        <f t="shared" si="21"/>
        <v/>
      </c>
      <c r="AF499" s="8" t="str">
        <f t="shared" si="22"/>
        <v/>
      </c>
      <c r="AG499" s="8" t="str">
        <f>IF(TRIM($E499)&lt;&gt;"Tax Paid","",IF(COUNTIFS(LISTS!$F$2:$F$26,$AE499,LISTS!$G$2:$G$26,$AF499)=0,"NOT ON LIST",""))</f>
        <v/>
      </c>
      <c r="AH499" s="8" t="str">
        <f t="shared" si="23"/>
        <v/>
      </c>
    </row>
    <row r="500" spans="31:34" x14ac:dyDescent="0.25">
      <c r="AE500" s="8" t="str">
        <f t="shared" si="21"/>
        <v/>
      </c>
      <c r="AF500" s="8" t="str">
        <f t="shared" si="22"/>
        <v/>
      </c>
      <c r="AG500" s="8" t="str">
        <f>IF(TRIM($E500)&lt;&gt;"Tax Paid","",IF(COUNTIFS(LISTS!$F$2:$F$26,$AE500,LISTS!$G$2:$G$26,$AF500)=0,"NOT ON LIST",""))</f>
        <v/>
      </c>
      <c r="AH500" s="8" t="str">
        <f t="shared" si="23"/>
        <v/>
      </c>
    </row>
    <row r="501" spans="31:34" x14ac:dyDescent="0.25">
      <c r="AE501" s="8" t="str">
        <f t="shared" si="21"/>
        <v/>
      </c>
      <c r="AF501" s="8" t="str">
        <f t="shared" si="22"/>
        <v/>
      </c>
      <c r="AG501" s="8" t="str">
        <f>IF(TRIM($E501)&lt;&gt;"Tax Paid","",IF(COUNTIFS(LISTS!$F$2:$F$26,$AE501,LISTS!$G$2:$G$26,$AF501)=0,"NOT ON LIST",""))</f>
        <v/>
      </c>
      <c r="AH501" s="8" t="str">
        <f t="shared" si="23"/>
        <v/>
      </c>
    </row>
    <row r="502" spans="31:34" x14ac:dyDescent="0.25">
      <c r="AE502" s="8" t="str">
        <f t="shared" si="21"/>
        <v/>
      </c>
      <c r="AF502" s="8" t="str">
        <f t="shared" si="22"/>
        <v/>
      </c>
      <c r="AG502" s="8" t="str">
        <f>IF(TRIM($E502)&lt;&gt;"Tax Paid","",IF(COUNTIFS(LISTS!$F$2:$F$26,$AE502,LISTS!$G$2:$G$26,$AF502)=0,"NOT ON LIST",""))</f>
        <v/>
      </c>
      <c r="AH502" s="8" t="str">
        <f t="shared" si="23"/>
        <v/>
      </c>
    </row>
    <row r="503" spans="31:34" x14ac:dyDescent="0.25">
      <c r="AE503" s="8" t="str">
        <f t="shared" si="21"/>
        <v/>
      </c>
      <c r="AF503" s="8" t="str">
        <f t="shared" si="22"/>
        <v/>
      </c>
      <c r="AG503" s="8" t="str">
        <f>IF(TRIM($E503)&lt;&gt;"Tax Paid","",IF(COUNTIFS(LISTS!$F$2:$F$26,$AE503,LISTS!$G$2:$G$26,$AF503)=0,"NOT ON LIST",""))</f>
        <v/>
      </c>
      <c r="AH503" s="8" t="str">
        <f t="shared" si="23"/>
        <v/>
      </c>
    </row>
    <row r="504" spans="31:34" x14ac:dyDescent="0.25">
      <c r="AE504" s="8" t="str">
        <f t="shared" si="21"/>
        <v/>
      </c>
      <c r="AF504" s="8" t="str">
        <f t="shared" si="22"/>
        <v/>
      </c>
      <c r="AG504" s="8" t="str">
        <f>IF(TRIM($E504)&lt;&gt;"Tax Paid","",IF(COUNTIFS(LISTS!$F$2:$F$26,$AE504,LISTS!$G$2:$G$26,$AF504)=0,"NOT ON LIST",""))</f>
        <v/>
      </c>
      <c r="AH504" s="8" t="str">
        <f t="shared" si="23"/>
        <v/>
      </c>
    </row>
    <row r="505" spans="31:34" x14ac:dyDescent="0.25">
      <c r="AE505" s="8" t="str">
        <f t="shared" si="21"/>
        <v/>
      </c>
      <c r="AF505" s="8" t="str">
        <f t="shared" si="22"/>
        <v/>
      </c>
      <c r="AG505" s="8" t="str">
        <f>IF(TRIM($E505)&lt;&gt;"Tax Paid","",IF(COUNTIFS(LISTS!$F$2:$F$26,$AE505,LISTS!$G$2:$G$26,$AF505)=0,"NOT ON LIST",""))</f>
        <v/>
      </c>
      <c r="AH505" s="8" t="str">
        <f t="shared" si="23"/>
        <v/>
      </c>
    </row>
    <row r="506" spans="31:34" x14ac:dyDescent="0.25">
      <c r="AE506" s="8" t="str">
        <f t="shared" si="21"/>
        <v/>
      </c>
      <c r="AF506" s="8" t="str">
        <f t="shared" si="22"/>
        <v/>
      </c>
      <c r="AG506" s="8" t="str">
        <f>IF(TRIM($E506)&lt;&gt;"Tax Paid","",IF(COUNTIFS(LISTS!$F$2:$F$26,$AE506,LISTS!$G$2:$G$26,$AF506)=0,"NOT ON LIST",""))</f>
        <v/>
      </c>
      <c r="AH506" s="8" t="str">
        <f t="shared" si="23"/>
        <v/>
      </c>
    </row>
    <row r="507" spans="31:34" x14ac:dyDescent="0.25">
      <c r="AE507" s="8" t="str">
        <f t="shared" si="21"/>
        <v/>
      </c>
      <c r="AF507" s="8" t="str">
        <f t="shared" si="22"/>
        <v/>
      </c>
      <c r="AG507" s="8" t="str">
        <f>IF(TRIM($E507)&lt;&gt;"Tax Paid","",IF(COUNTIFS(LISTS!$F$2:$F$26,$AE507,LISTS!$G$2:$G$26,$AF507)=0,"NOT ON LIST",""))</f>
        <v/>
      </c>
      <c r="AH507" s="8" t="str">
        <f t="shared" si="23"/>
        <v/>
      </c>
    </row>
    <row r="508" spans="31:34" x14ac:dyDescent="0.25">
      <c r="AE508" s="8" t="str">
        <f t="shared" si="21"/>
        <v/>
      </c>
      <c r="AF508" s="8" t="str">
        <f t="shared" si="22"/>
        <v/>
      </c>
      <c r="AG508" s="8" t="str">
        <f>IF(TRIM($E508)&lt;&gt;"Tax Paid","",IF(COUNTIFS(LISTS!$F$2:$F$26,$AE508,LISTS!$G$2:$G$26,$AF508)=0,"NOT ON LIST",""))</f>
        <v/>
      </c>
      <c r="AH508" s="8" t="str">
        <f t="shared" si="23"/>
        <v/>
      </c>
    </row>
    <row r="509" spans="31:34" x14ac:dyDescent="0.25">
      <c r="AE509" s="8" t="str">
        <f t="shared" si="21"/>
        <v/>
      </c>
      <c r="AF509" s="8" t="str">
        <f t="shared" si="22"/>
        <v/>
      </c>
      <c r="AG509" s="8" t="str">
        <f>IF(TRIM($E509)&lt;&gt;"Tax Paid","",IF(COUNTIFS(LISTS!$F$2:$F$26,$AE509,LISTS!$G$2:$G$26,$AF509)=0,"NOT ON LIST",""))</f>
        <v/>
      </c>
      <c r="AH509" s="8" t="str">
        <f t="shared" si="23"/>
        <v/>
      </c>
    </row>
    <row r="510" spans="31:34" x14ac:dyDescent="0.25">
      <c r="AE510" s="8" t="str">
        <f t="shared" si="21"/>
        <v/>
      </c>
      <c r="AF510" s="8" t="str">
        <f t="shared" si="22"/>
        <v/>
      </c>
      <c r="AG510" s="8" t="str">
        <f>IF(TRIM($E510)&lt;&gt;"Tax Paid","",IF(COUNTIFS(LISTS!$F$2:$F$26,$AE510,LISTS!$G$2:$G$26,$AF510)=0,"NOT ON LIST",""))</f>
        <v/>
      </c>
      <c r="AH510" s="8" t="str">
        <f t="shared" si="23"/>
        <v/>
      </c>
    </row>
    <row r="511" spans="31:34" x14ac:dyDescent="0.25">
      <c r="AE511" s="8" t="str">
        <f t="shared" si="21"/>
        <v/>
      </c>
      <c r="AF511" s="8" t="str">
        <f t="shared" si="22"/>
        <v/>
      </c>
      <c r="AG511" s="8" t="str">
        <f>IF(TRIM($E511)&lt;&gt;"Tax Paid","",IF(COUNTIFS(LISTS!$F$2:$F$26,$AE511,LISTS!$G$2:$G$26,$AF511)=0,"NOT ON LIST",""))</f>
        <v/>
      </c>
      <c r="AH511" s="8" t="str">
        <f t="shared" si="23"/>
        <v/>
      </c>
    </row>
    <row r="512" spans="31:34" x14ac:dyDescent="0.25">
      <c r="AE512" s="8" t="str">
        <f t="shared" si="21"/>
        <v/>
      </c>
      <c r="AF512" s="8" t="str">
        <f t="shared" si="22"/>
        <v/>
      </c>
      <c r="AG512" s="8" t="str">
        <f>IF(TRIM($E512)&lt;&gt;"Tax Paid","",IF(COUNTIFS(LISTS!$F$2:$F$26,$AE512,LISTS!$G$2:$G$26,$AF512)=0,"NOT ON LIST",""))</f>
        <v/>
      </c>
      <c r="AH512" s="8" t="str">
        <f t="shared" si="23"/>
        <v/>
      </c>
    </row>
    <row r="513" spans="31:34" x14ac:dyDescent="0.25">
      <c r="AE513" s="8" t="str">
        <f t="shared" si="21"/>
        <v/>
      </c>
      <c r="AF513" s="8" t="str">
        <f t="shared" si="22"/>
        <v/>
      </c>
      <c r="AG513" s="8" t="str">
        <f>IF(TRIM($E513)&lt;&gt;"Tax Paid","",IF(COUNTIFS(LISTS!$F$2:$F$26,$AE513,LISTS!$G$2:$G$26,$AF513)=0,"NOT ON LIST",""))</f>
        <v/>
      </c>
      <c r="AH513" s="8" t="str">
        <f t="shared" si="23"/>
        <v/>
      </c>
    </row>
    <row r="514" spans="31:34" x14ac:dyDescent="0.25">
      <c r="AE514" s="8" t="str">
        <f t="shared" ref="AE514:AE577" si="24">IF(TRIM($E514)="Tax Paid",TRIM($S514),"")</f>
        <v/>
      </c>
      <c r="AF514" s="8" t="str">
        <f t="shared" ref="AF514:AF577" si="25">IF(TRIM($E514)="Tax Paid",ROUND($Z514/100,5),"")</f>
        <v/>
      </c>
      <c r="AG514" s="8" t="str">
        <f>IF(TRIM($E514)&lt;&gt;"Tax Paid","",IF(COUNTIFS(LISTS!$F$2:$F$26,$AE514,LISTS!$G$2:$G$26,$AF514)=0,"NOT ON LIST",""))</f>
        <v/>
      </c>
      <c r="AH514" s="8" t="str">
        <f t="shared" ref="AH514:AH577" si="26">IF($AG514="","",IF($AE514="","(no county)",$AE514)&amp;" ("&amp;SUBSTITUTE(TEXT($AF514,"0.###%"),".%","%")&amp;")")</f>
        <v/>
      </c>
    </row>
    <row r="515" spans="31:34" x14ac:dyDescent="0.25">
      <c r="AE515" s="8" t="str">
        <f t="shared" si="24"/>
        <v/>
      </c>
      <c r="AF515" s="8" t="str">
        <f t="shared" si="25"/>
        <v/>
      </c>
      <c r="AG515" s="8" t="str">
        <f>IF(TRIM($E515)&lt;&gt;"Tax Paid","",IF(COUNTIFS(LISTS!$F$2:$F$26,$AE515,LISTS!$G$2:$G$26,$AF515)=0,"NOT ON LIST",""))</f>
        <v/>
      </c>
      <c r="AH515" s="8" t="str">
        <f t="shared" si="26"/>
        <v/>
      </c>
    </row>
    <row r="516" spans="31:34" x14ac:dyDescent="0.25">
      <c r="AE516" s="8" t="str">
        <f t="shared" si="24"/>
        <v/>
      </c>
      <c r="AF516" s="8" t="str">
        <f t="shared" si="25"/>
        <v/>
      </c>
      <c r="AG516" s="8" t="str">
        <f>IF(TRIM($E516)&lt;&gt;"Tax Paid","",IF(COUNTIFS(LISTS!$F$2:$F$26,$AE516,LISTS!$G$2:$G$26,$AF516)=0,"NOT ON LIST",""))</f>
        <v/>
      </c>
      <c r="AH516" s="8" t="str">
        <f t="shared" si="26"/>
        <v/>
      </c>
    </row>
    <row r="517" spans="31:34" x14ac:dyDescent="0.25">
      <c r="AE517" s="8" t="str">
        <f t="shared" si="24"/>
        <v/>
      </c>
      <c r="AF517" s="8" t="str">
        <f t="shared" si="25"/>
        <v/>
      </c>
      <c r="AG517" s="8" t="str">
        <f>IF(TRIM($E517)&lt;&gt;"Tax Paid","",IF(COUNTIFS(LISTS!$F$2:$F$26,$AE517,LISTS!$G$2:$G$26,$AF517)=0,"NOT ON LIST",""))</f>
        <v/>
      </c>
      <c r="AH517" s="8" t="str">
        <f t="shared" si="26"/>
        <v/>
      </c>
    </row>
    <row r="518" spans="31:34" x14ac:dyDescent="0.25">
      <c r="AE518" s="8" t="str">
        <f t="shared" si="24"/>
        <v/>
      </c>
      <c r="AF518" s="8" t="str">
        <f t="shared" si="25"/>
        <v/>
      </c>
      <c r="AG518" s="8" t="str">
        <f>IF(TRIM($E518)&lt;&gt;"Tax Paid","",IF(COUNTIFS(LISTS!$F$2:$F$26,$AE518,LISTS!$G$2:$G$26,$AF518)=0,"NOT ON LIST",""))</f>
        <v/>
      </c>
      <c r="AH518" s="8" t="str">
        <f t="shared" si="26"/>
        <v/>
      </c>
    </row>
    <row r="519" spans="31:34" x14ac:dyDescent="0.25">
      <c r="AE519" s="8" t="str">
        <f t="shared" si="24"/>
        <v/>
      </c>
      <c r="AF519" s="8" t="str">
        <f t="shared" si="25"/>
        <v/>
      </c>
      <c r="AG519" s="8" t="str">
        <f>IF(TRIM($E519)&lt;&gt;"Tax Paid","",IF(COUNTIFS(LISTS!$F$2:$F$26,$AE519,LISTS!$G$2:$G$26,$AF519)=0,"NOT ON LIST",""))</f>
        <v/>
      </c>
      <c r="AH519" s="8" t="str">
        <f t="shared" si="26"/>
        <v/>
      </c>
    </row>
    <row r="520" spans="31:34" x14ac:dyDescent="0.25">
      <c r="AE520" s="8" t="str">
        <f t="shared" si="24"/>
        <v/>
      </c>
      <c r="AF520" s="8" t="str">
        <f t="shared" si="25"/>
        <v/>
      </c>
      <c r="AG520" s="8" t="str">
        <f>IF(TRIM($E520)&lt;&gt;"Tax Paid","",IF(COUNTIFS(LISTS!$F$2:$F$26,$AE520,LISTS!$G$2:$G$26,$AF520)=0,"NOT ON LIST",""))</f>
        <v/>
      </c>
      <c r="AH520" s="8" t="str">
        <f t="shared" si="26"/>
        <v/>
      </c>
    </row>
    <row r="521" spans="31:34" x14ac:dyDescent="0.25">
      <c r="AE521" s="8" t="str">
        <f t="shared" si="24"/>
        <v/>
      </c>
      <c r="AF521" s="8" t="str">
        <f t="shared" si="25"/>
        <v/>
      </c>
      <c r="AG521" s="8" t="str">
        <f>IF(TRIM($E521)&lt;&gt;"Tax Paid","",IF(COUNTIFS(LISTS!$F$2:$F$26,$AE521,LISTS!$G$2:$G$26,$AF521)=0,"NOT ON LIST",""))</f>
        <v/>
      </c>
      <c r="AH521" s="8" t="str">
        <f t="shared" si="26"/>
        <v/>
      </c>
    </row>
    <row r="522" spans="31:34" x14ac:dyDescent="0.25">
      <c r="AE522" s="8" t="str">
        <f t="shared" si="24"/>
        <v/>
      </c>
      <c r="AF522" s="8" t="str">
        <f t="shared" si="25"/>
        <v/>
      </c>
      <c r="AG522" s="8" t="str">
        <f>IF(TRIM($E522)&lt;&gt;"Tax Paid","",IF(COUNTIFS(LISTS!$F$2:$F$26,$AE522,LISTS!$G$2:$G$26,$AF522)=0,"NOT ON LIST",""))</f>
        <v/>
      </c>
      <c r="AH522" s="8" t="str">
        <f t="shared" si="26"/>
        <v/>
      </c>
    </row>
    <row r="523" spans="31:34" x14ac:dyDescent="0.25">
      <c r="AE523" s="8" t="str">
        <f t="shared" si="24"/>
        <v/>
      </c>
      <c r="AF523" s="8" t="str">
        <f t="shared" si="25"/>
        <v/>
      </c>
      <c r="AG523" s="8" t="str">
        <f>IF(TRIM($E523)&lt;&gt;"Tax Paid","",IF(COUNTIFS(LISTS!$F$2:$F$26,$AE523,LISTS!$G$2:$G$26,$AF523)=0,"NOT ON LIST",""))</f>
        <v/>
      </c>
      <c r="AH523" s="8" t="str">
        <f t="shared" si="26"/>
        <v/>
      </c>
    </row>
    <row r="524" spans="31:34" x14ac:dyDescent="0.25">
      <c r="AE524" s="8" t="str">
        <f t="shared" si="24"/>
        <v/>
      </c>
      <c r="AF524" s="8" t="str">
        <f t="shared" si="25"/>
        <v/>
      </c>
      <c r="AG524" s="8" t="str">
        <f>IF(TRIM($E524)&lt;&gt;"Tax Paid","",IF(COUNTIFS(LISTS!$F$2:$F$26,$AE524,LISTS!$G$2:$G$26,$AF524)=0,"NOT ON LIST",""))</f>
        <v/>
      </c>
      <c r="AH524" s="8" t="str">
        <f t="shared" si="26"/>
        <v/>
      </c>
    </row>
    <row r="525" spans="31:34" x14ac:dyDescent="0.25">
      <c r="AE525" s="8" t="str">
        <f t="shared" si="24"/>
        <v/>
      </c>
      <c r="AF525" s="8" t="str">
        <f t="shared" si="25"/>
        <v/>
      </c>
      <c r="AG525" s="8" t="str">
        <f>IF(TRIM($E525)&lt;&gt;"Tax Paid","",IF(COUNTIFS(LISTS!$F$2:$F$26,$AE525,LISTS!$G$2:$G$26,$AF525)=0,"NOT ON LIST",""))</f>
        <v/>
      </c>
      <c r="AH525" s="8" t="str">
        <f t="shared" si="26"/>
        <v/>
      </c>
    </row>
    <row r="526" spans="31:34" x14ac:dyDescent="0.25">
      <c r="AE526" s="8" t="str">
        <f t="shared" si="24"/>
        <v/>
      </c>
      <c r="AF526" s="8" t="str">
        <f t="shared" si="25"/>
        <v/>
      </c>
      <c r="AG526" s="8" t="str">
        <f>IF(TRIM($E526)&lt;&gt;"Tax Paid","",IF(COUNTIFS(LISTS!$F$2:$F$26,$AE526,LISTS!$G$2:$G$26,$AF526)=0,"NOT ON LIST",""))</f>
        <v/>
      </c>
      <c r="AH526" s="8" t="str">
        <f t="shared" si="26"/>
        <v/>
      </c>
    </row>
    <row r="527" spans="31:34" x14ac:dyDescent="0.25">
      <c r="AE527" s="8" t="str">
        <f t="shared" si="24"/>
        <v/>
      </c>
      <c r="AF527" s="8" t="str">
        <f t="shared" si="25"/>
        <v/>
      </c>
      <c r="AG527" s="8" t="str">
        <f>IF(TRIM($E527)&lt;&gt;"Tax Paid","",IF(COUNTIFS(LISTS!$F$2:$F$26,$AE527,LISTS!$G$2:$G$26,$AF527)=0,"NOT ON LIST",""))</f>
        <v/>
      </c>
      <c r="AH527" s="8" t="str">
        <f t="shared" si="26"/>
        <v/>
      </c>
    </row>
    <row r="528" spans="31:34" x14ac:dyDescent="0.25">
      <c r="AE528" s="8" t="str">
        <f t="shared" si="24"/>
        <v/>
      </c>
      <c r="AF528" s="8" t="str">
        <f t="shared" si="25"/>
        <v/>
      </c>
      <c r="AG528" s="8" t="str">
        <f>IF(TRIM($E528)&lt;&gt;"Tax Paid","",IF(COUNTIFS(LISTS!$F$2:$F$26,$AE528,LISTS!$G$2:$G$26,$AF528)=0,"NOT ON LIST",""))</f>
        <v/>
      </c>
      <c r="AH528" s="8" t="str">
        <f t="shared" si="26"/>
        <v/>
      </c>
    </row>
    <row r="529" spans="31:34" x14ac:dyDescent="0.25">
      <c r="AE529" s="8" t="str">
        <f t="shared" si="24"/>
        <v/>
      </c>
      <c r="AF529" s="8" t="str">
        <f t="shared" si="25"/>
        <v/>
      </c>
      <c r="AG529" s="8" t="str">
        <f>IF(TRIM($E529)&lt;&gt;"Tax Paid","",IF(COUNTIFS(LISTS!$F$2:$F$26,$AE529,LISTS!$G$2:$G$26,$AF529)=0,"NOT ON LIST",""))</f>
        <v/>
      </c>
      <c r="AH529" s="8" t="str">
        <f t="shared" si="26"/>
        <v/>
      </c>
    </row>
    <row r="530" spans="31:34" x14ac:dyDescent="0.25">
      <c r="AE530" s="8" t="str">
        <f t="shared" si="24"/>
        <v/>
      </c>
      <c r="AF530" s="8" t="str">
        <f t="shared" si="25"/>
        <v/>
      </c>
      <c r="AG530" s="8" t="str">
        <f>IF(TRIM($E530)&lt;&gt;"Tax Paid","",IF(COUNTIFS(LISTS!$F$2:$F$26,$AE530,LISTS!$G$2:$G$26,$AF530)=0,"NOT ON LIST",""))</f>
        <v/>
      </c>
      <c r="AH530" s="8" t="str">
        <f t="shared" si="26"/>
        <v/>
      </c>
    </row>
    <row r="531" spans="31:34" x14ac:dyDescent="0.25">
      <c r="AE531" s="8" t="str">
        <f t="shared" si="24"/>
        <v/>
      </c>
      <c r="AF531" s="8" t="str">
        <f t="shared" si="25"/>
        <v/>
      </c>
      <c r="AG531" s="8" t="str">
        <f>IF(TRIM($E531)&lt;&gt;"Tax Paid","",IF(COUNTIFS(LISTS!$F$2:$F$26,$AE531,LISTS!$G$2:$G$26,$AF531)=0,"NOT ON LIST",""))</f>
        <v/>
      </c>
      <c r="AH531" s="8" t="str">
        <f t="shared" si="26"/>
        <v/>
      </c>
    </row>
    <row r="532" spans="31:34" x14ac:dyDescent="0.25">
      <c r="AE532" s="8" t="str">
        <f t="shared" si="24"/>
        <v/>
      </c>
      <c r="AF532" s="8" t="str">
        <f t="shared" si="25"/>
        <v/>
      </c>
      <c r="AG532" s="8" t="str">
        <f>IF(TRIM($E532)&lt;&gt;"Tax Paid","",IF(COUNTIFS(LISTS!$F$2:$F$26,$AE532,LISTS!$G$2:$G$26,$AF532)=0,"NOT ON LIST",""))</f>
        <v/>
      </c>
      <c r="AH532" s="8" t="str">
        <f t="shared" si="26"/>
        <v/>
      </c>
    </row>
    <row r="533" spans="31:34" x14ac:dyDescent="0.25">
      <c r="AE533" s="8" t="str">
        <f t="shared" si="24"/>
        <v/>
      </c>
      <c r="AF533" s="8" t="str">
        <f t="shared" si="25"/>
        <v/>
      </c>
      <c r="AG533" s="8" t="str">
        <f>IF(TRIM($E533)&lt;&gt;"Tax Paid","",IF(COUNTIFS(LISTS!$F$2:$F$26,$AE533,LISTS!$G$2:$G$26,$AF533)=0,"NOT ON LIST",""))</f>
        <v/>
      </c>
      <c r="AH533" s="8" t="str">
        <f t="shared" si="26"/>
        <v/>
      </c>
    </row>
    <row r="534" spans="31:34" x14ac:dyDescent="0.25">
      <c r="AE534" s="8" t="str">
        <f t="shared" si="24"/>
        <v/>
      </c>
      <c r="AF534" s="8" t="str">
        <f t="shared" si="25"/>
        <v/>
      </c>
      <c r="AG534" s="8" t="str">
        <f>IF(TRIM($E534)&lt;&gt;"Tax Paid","",IF(COUNTIFS(LISTS!$F$2:$F$26,$AE534,LISTS!$G$2:$G$26,$AF534)=0,"NOT ON LIST",""))</f>
        <v/>
      </c>
      <c r="AH534" s="8" t="str">
        <f t="shared" si="26"/>
        <v/>
      </c>
    </row>
    <row r="535" spans="31:34" x14ac:dyDescent="0.25">
      <c r="AE535" s="8" t="str">
        <f t="shared" si="24"/>
        <v/>
      </c>
      <c r="AF535" s="8" t="str">
        <f t="shared" si="25"/>
        <v/>
      </c>
      <c r="AG535" s="8" t="str">
        <f>IF(TRIM($E535)&lt;&gt;"Tax Paid","",IF(COUNTIFS(LISTS!$F$2:$F$26,$AE535,LISTS!$G$2:$G$26,$AF535)=0,"NOT ON LIST",""))</f>
        <v/>
      </c>
      <c r="AH535" s="8" t="str">
        <f t="shared" si="26"/>
        <v/>
      </c>
    </row>
    <row r="536" spans="31:34" x14ac:dyDescent="0.25">
      <c r="AE536" s="8" t="str">
        <f t="shared" si="24"/>
        <v/>
      </c>
      <c r="AF536" s="8" t="str">
        <f t="shared" si="25"/>
        <v/>
      </c>
      <c r="AG536" s="8" t="str">
        <f>IF(TRIM($E536)&lt;&gt;"Tax Paid","",IF(COUNTIFS(LISTS!$F$2:$F$26,$AE536,LISTS!$G$2:$G$26,$AF536)=0,"NOT ON LIST",""))</f>
        <v/>
      </c>
      <c r="AH536" s="8" t="str">
        <f t="shared" si="26"/>
        <v/>
      </c>
    </row>
    <row r="537" spans="31:34" x14ac:dyDescent="0.25">
      <c r="AE537" s="8" t="str">
        <f t="shared" si="24"/>
        <v/>
      </c>
      <c r="AF537" s="8" t="str">
        <f t="shared" si="25"/>
        <v/>
      </c>
      <c r="AG537" s="8" t="str">
        <f>IF(TRIM($E537)&lt;&gt;"Tax Paid","",IF(COUNTIFS(LISTS!$F$2:$F$26,$AE537,LISTS!$G$2:$G$26,$AF537)=0,"NOT ON LIST",""))</f>
        <v/>
      </c>
      <c r="AH537" s="8" t="str">
        <f t="shared" si="26"/>
        <v/>
      </c>
    </row>
    <row r="538" spans="31:34" x14ac:dyDescent="0.25">
      <c r="AE538" s="8" t="str">
        <f t="shared" si="24"/>
        <v/>
      </c>
      <c r="AF538" s="8" t="str">
        <f t="shared" si="25"/>
        <v/>
      </c>
      <c r="AG538" s="8" t="str">
        <f>IF(TRIM($E538)&lt;&gt;"Tax Paid","",IF(COUNTIFS(LISTS!$F$2:$F$26,$AE538,LISTS!$G$2:$G$26,$AF538)=0,"NOT ON LIST",""))</f>
        <v/>
      </c>
      <c r="AH538" s="8" t="str">
        <f t="shared" si="26"/>
        <v/>
      </c>
    </row>
    <row r="539" spans="31:34" x14ac:dyDescent="0.25">
      <c r="AE539" s="8" t="str">
        <f t="shared" si="24"/>
        <v/>
      </c>
      <c r="AF539" s="8" t="str">
        <f t="shared" si="25"/>
        <v/>
      </c>
      <c r="AG539" s="8" t="str">
        <f>IF(TRIM($E539)&lt;&gt;"Tax Paid","",IF(COUNTIFS(LISTS!$F$2:$F$26,$AE539,LISTS!$G$2:$G$26,$AF539)=0,"NOT ON LIST",""))</f>
        <v/>
      </c>
      <c r="AH539" s="8" t="str">
        <f t="shared" si="26"/>
        <v/>
      </c>
    </row>
    <row r="540" spans="31:34" x14ac:dyDescent="0.25">
      <c r="AE540" s="8" t="str">
        <f t="shared" si="24"/>
        <v/>
      </c>
      <c r="AF540" s="8" t="str">
        <f t="shared" si="25"/>
        <v/>
      </c>
      <c r="AG540" s="8" t="str">
        <f>IF(TRIM($E540)&lt;&gt;"Tax Paid","",IF(COUNTIFS(LISTS!$F$2:$F$26,$AE540,LISTS!$G$2:$G$26,$AF540)=0,"NOT ON LIST",""))</f>
        <v/>
      </c>
      <c r="AH540" s="8" t="str">
        <f t="shared" si="26"/>
        <v/>
      </c>
    </row>
    <row r="541" spans="31:34" x14ac:dyDescent="0.25">
      <c r="AE541" s="8" t="str">
        <f t="shared" si="24"/>
        <v/>
      </c>
      <c r="AF541" s="8" t="str">
        <f t="shared" si="25"/>
        <v/>
      </c>
      <c r="AG541" s="8" t="str">
        <f>IF(TRIM($E541)&lt;&gt;"Tax Paid","",IF(COUNTIFS(LISTS!$F$2:$F$26,$AE541,LISTS!$G$2:$G$26,$AF541)=0,"NOT ON LIST",""))</f>
        <v/>
      </c>
      <c r="AH541" s="8" t="str">
        <f t="shared" si="26"/>
        <v/>
      </c>
    </row>
    <row r="542" spans="31:34" x14ac:dyDescent="0.25">
      <c r="AE542" s="8" t="str">
        <f t="shared" si="24"/>
        <v/>
      </c>
      <c r="AF542" s="8" t="str">
        <f t="shared" si="25"/>
        <v/>
      </c>
      <c r="AG542" s="8" t="str">
        <f>IF(TRIM($E542)&lt;&gt;"Tax Paid","",IF(COUNTIFS(LISTS!$F$2:$F$26,$AE542,LISTS!$G$2:$G$26,$AF542)=0,"NOT ON LIST",""))</f>
        <v/>
      </c>
      <c r="AH542" s="8" t="str">
        <f t="shared" si="26"/>
        <v/>
      </c>
    </row>
    <row r="543" spans="31:34" x14ac:dyDescent="0.25">
      <c r="AE543" s="8" t="str">
        <f t="shared" si="24"/>
        <v/>
      </c>
      <c r="AF543" s="8" t="str">
        <f t="shared" si="25"/>
        <v/>
      </c>
      <c r="AG543" s="8" t="str">
        <f>IF(TRIM($E543)&lt;&gt;"Tax Paid","",IF(COUNTIFS(LISTS!$F$2:$F$26,$AE543,LISTS!$G$2:$G$26,$AF543)=0,"NOT ON LIST",""))</f>
        <v/>
      </c>
      <c r="AH543" s="8" t="str">
        <f t="shared" si="26"/>
        <v/>
      </c>
    </row>
    <row r="544" spans="31:34" x14ac:dyDescent="0.25">
      <c r="AE544" s="8" t="str">
        <f t="shared" si="24"/>
        <v/>
      </c>
      <c r="AF544" s="8" t="str">
        <f t="shared" si="25"/>
        <v/>
      </c>
      <c r="AG544" s="8" t="str">
        <f>IF(TRIM($E544)&lt;&gt;"Tax Paid","",IF(COUNTIFS(LISTS!$F$2:$F$26,$AE544,LISTS!$G$2:$G$26,$AF544)=0,"NOT ON LIST",""))</f>
        <v/>
      </c>
      <c r="AH544" s="8" t="str">
        <f t="shared" si="26"/>
        <v/>
      </c>
    </row>
    <row r="545" spans="31:34" x14ac:dyDescent="0.25">
      <c r="AE545" s="8" t="str">
        <f t="shared" si="24"/>
        <v/>
      </c>
      <c r="AF545" s="8" t="str">
        <f t="shared" si="25"/>
        <v/>
      </c>
      <c r="AG545" s="8" t="str">
        <f>IF(TRIM($E545)&lt;&gt;"Tax Paid","",IF(COUNTIFS(LISTS!$F$2:$F$26,$AE545,LISTS!$G$2:$G$26,$AF545)=0,"NOT ON LIST",""))</f>
        <v/>
      </c>
      <c r="AH545" s="8" t="str">
        <f t="shared" si="26"/>
        <v/>
      </c>
    </row>
    <row r="546" spans="31:34" x14ac:dyDescent="0.25">
      <c r="AE546" s="8" t="str">
        <f t="shared" si="24"/>
        <v/>
      </c>
      <c r="AF546" s="8" t="str">
        <f t="shared" si="25"/>
        <v/>
      </c>
      <c r="AG546" s="8" t="str">
        <f>IF(TRIM($E546)&lt;&gt;"Tax Paid","",IF(COUNTIFS(LISTS!$F$2:$F$26,$AE546,LISTS!$G$2:$G$26,$AF546)=0,"NOT ON LIST",""))</f>
        <v/>
      </c>
      <c r="AH546" s="8" t="str">
        <f t="shared" si="26"/>
        <v/>
      </c>
    </row>
    <row r="547" spans="31:34" x14ac:dyDescent="0.25">
      <c r="AE547" s="8" t="str">
        <f t="shared" si="24"/>
        <v/>
      </c>
      <c r="AF547" s="8" t="str">
        <f t="shared" si="25"/>
        <v/>
      </c>
      <c r="AG547" s="8" t="str">
        <f>IF(TRIM($E547)&lt;&gt;"Tax Paid","",IF(COUNTIFS(LISTS!$F$2:$F$26,$AE547,LISTS!$G$2:$G$26,$AF547)=0,"NOT ON LIST",""))</f>
        <v/>
      </c>
      <c r="AH547" s="8" t="str">
        <f t="shared" si="26"/>
        <v/>
      </c>
    </row>
    <row r="548" spans="31:34" x14ac:dyDescent="0.25">
      <c r="AE548" s="8" t="str">
        <f t="shared" si="24"/>
        <v/>
      </c>
      <c r="AF548" s="8" t="str">
        <f t="shared" si="25"/>
        <v/>
      </c>
      <c r="AG548" s="8" t="str">
        <f>IF(TRIM($E548)&lt;&gt;"Tax Paid","",IF(COUNTIFS(LISTS!$F$2:$F$26,$AE548,LISTS!$G$2:$G$26,$AF548)=0,"NOT ON LIST",""))</f>
        <v/>
      </c>
      <c r="AH548" s="8" t="str">
        <f t="shared" si="26"/>
        <v/>
      </c>
    </row>
    <row r="549" spans="31:34" x14ac:dyDescent="0.25">
      <c r="AE549" s="8" t="str">
        <f t="shared" si="24"/>
        <v/>
      </c>
      <c r="AF549" s="8" t="str">
        <f t="shared" si="25"/>
        <v/>
      </c>
      <c r="AG549" s="8" t="str">
        <f>IF(TRIM($E549)&lt;&gt;"Tax Paid","",IF(COUNTIFS(LISTS!$F$2:$F$26,$AE549,LISTS!$G$2:$G$26,$AF549)=0,"NOT ON LIST",""))</f>
        <v/>
      </c>
      <c r="AH549" s="8" t="str">
        <f t="shared" si="26"/>
        <v/>
      </c>
    </row>
    <row r="550" spans="31:34" x14ac:dyDescent="0.25">
      <c r="AE550" s="8" t="str">
        <f t="shared" si="24"/>
        <v/>
      </c>
      <c r="AF550" s="8" t="str">
        <f t="shared" si="25"/>
        <v/>
      </c>
      <c r="AG550" s="8" t="str">
        <f>IF(TRIM($E550)&lt;&gt;"Tax Paid","",IF(COUNTIFS(LISTS!$F$2:$F$26,$AE550,LISTS!$G$2:$G$26,$AF550)=0,"NOT ON LIST",""))</f>
        <v/>
      </c>
      <c r="AH550" s="8" t="str">
        <f t="shared" si="26"/>
        <v/>
      </c>
    </row>
    <row r="551" spans="31:34" x14ac:dyDescent="0.25">
      <c r="AE551" s="8" t="str">
        <f t="shared" si="24"/>
        <v/>
      </c>
      <c r="AF551" s="8" t="str">
        <f t="shared" si="25"/>
        <v/>
      </c>
      <c r="AG551" s="8" t="str">
        <f>IF(TRIM($E551)&lt;&gt;"Tax Paid","",IF(COUNTIFS(LISTS!$F$2:$F$26,$AE551,LISTS!$G$2:$G$26,$AF551)=0,"NOT ON LIST",""))</f>
        <v/>
      </c>
      <c r="AH551" s="8" t="str">
        <f t="shared" si="26"/>
        <v/>
      </c>
    </row>
    <row r="552" spans="31:34" x14ac:dyDescent="0.25">
      <c r="AE552" s="8" t="str">
        <f t="shared" si="24"/>
        <v/>
      </c>
      <c r="AF552" s="8" t="str">
        <f t="shared" si="25"/>
        <v/>
      </c>
      <c r="AG552" s="8" t="str">
        <f>IF(TRIM($E552)&lt;&gt;"Tax Paid","",IF(COUNTIFS(LISTS!$F$2:$F$26,$AE552,LISTS!$G$2:$G$26,$AF552)=0,"NOT ON LIST",""))</f>
        <v/>
      </c>
      <c r="AH552" s="8" t="str">
        <f t="shared" si="26"/>
        <v/>
      </c>
    </row>
    <row r="553" spans="31:34" x14ac:dyDescent="0.25">
      <c r="AE553" s="8" t="str">
        <f t="shared" si="24"/>
        <v/>
      </c>
      <c r="AF553" s="8" t="str">
        <f t="shared" si="25"/>
        <v/>
      </c>
      <c r="AG553" s="8" t="str">
        <f>IF(TRIM($E553)&lt;&gt;"Tax Paid","",IF(COUNTIFS(LISTS!$F$2:$F$26,$AE553,LISTS!$G$2:$G$26,$AF553)=0,"NOT ON LIST",""))</f>
        <v/>
      </c>
      <c r="AH553" s="8" t="str">
        <f t="shared" si="26"/>
        <v/>
      </c>
    </row>
    <row r="554" spans="31:34" x14ac:dyDescent="0.25">
      <c r="AE554" s="8" t="str">
        <f t="shared" si="24"/>
        <v/>
      </c>
      <c r="AF554" s="8" t="str">
        <f t="shared" si="25"/>
        <v/>
      </c>
      <c r="AG554" s="8" t="str">
        <f>IF(TRIM($E554)&lt;&gt;"Tax Paid","",IF(COUNTIFS(LISTS!$F$2:$F$26,$AE554,LISTS!$G$2:$G$26,$AF554)=0,"NOT ON LIST",""))</f>
        <v/>
      </c>
      <c r="AH554" s="8" t="str">
        <f t="shared" si="26"/>
        <v/>
      </c>
    </row>
    <row r="555" spans="31:34" x14ac:dyDescent="0.25">
      <c r="AE555" s="8" t="str">
        <f t="shared" si="24"/>
        <v/>
      </c>
      <c r="AF555" s="8" t="str">
        <f t="shared" si="25"/>
        <v/>
      </c>
      <c r="AG555" s="8" t="str">
        <f>IF(TRIM($E555)&lt;&gt;"Tax Paid","",IF(COUNTIFS(LISTS!$F$2:$F$26,$AE555,LISTS!$G$2:$G$26,$AF555)=0,"NOT ON LIST",""))</f>
        <v/>
      </c>
      <c r="AH555" s="8" t="str">
        <f t="shared" si="26"/>
        <v/>
      </c>
    </row>
    <row r="556" spans="31:34" x14ac:dyDescent="0.25">
      <c r="AE556" s="8" t="str">
        <f t="shared" si="24"/>
        <v/>
      </c>
      <c r="AF556" s="8" t="str">
        <f t="shared" si="25"/>
        <v/>
      </c>
      <c r="AG556" s="8" t="str">
        <f>IF(TRIM($E556)&lt;&gt;"Tax Paid","",IF(COUNTIFS(LISTS!$F$2:$F$26,$AE556,LISTS!$G$2:$G$26,$AF556)=0,"NOT ON LIST",""))</f>
        <v/>
      </c>
      <c r="AH556" s="8" t="str">
        <f t="shared" si="26"/>
        <v/>
      </c>
    </row>
    <row r="557" spans="31:34" x14ac:dyDescent="0.25">
      <c r="AE557" s="8" t="str">
        <f t="shared" si="24"/>
        <v/>
      </c>
      <c r="AF557" s="8" t="str">
        <f t="shared" si="25"/>
        <v/>
      </c>
      <c r="AG557" s="8" t="str">
        <f>IF(TRIM($E557)&lt;&gt;"Tax Paid","",IF(COUNTIFS(LISTS!$F$2:$F$26,$AE557,LISTS!$G$2:$G$26,$AF557)=0,"NOT ON LIST",""))</f>
        <v/>
      </c>
      <c r="AH557" s="8" t="str">
        <f t="shared" si="26"/>
        <v/>
      </c>
    </row>
    <row r="558" spans="31:34" x14ac:dyDescent="0.25">
      <c r="AE558" s="8" t="str">
        <f t="shared" si="24"/>
        <v/>
      </c>
      <c r="AF558" s="8" t="str">
        <f t="shared" si="25"/>
        <v/>
      </c>
      <c r="AG558" s="8" t="str">
        <f>IF(TRIM($E558)&lt;&gt;"Tax Paid","",IF(COUNTIFS(LISTS!$F$2:$F$26,$AE558,LISTS!$G$2:$G$26,$AF558)=0,"NOT ON LIST",""))</f>
        <v/>
      </c>
      <c r="AH558" s="8" t="str">
        <f t="shared" si="26"/>
        <v/>
      </c>
    </row>
    <row r="559" spans="31:34" x14ac:dyDescent="0.25">
      <c r="AE559" s="8" t="str">
        <f t="shared" si="24"/>
        <v/>
      </c>
      <c r="AF559" s="8" t="str">
        <f t="shared" si="25"/>
        <v/>
      </c>
      <c r="AG559" s="8" t="str">
        <f>IF(TRIM($E559)&lt;&gt;"Tax Paid","",IF(COUNTIFS(LISTS!$F$2:$F$26,$AE559,LISTS!$G$2:$G$26,$AF559)=0,"NOT ON LIST",""))</f>
        <v/>
      </c>
      <c r="AH559" s="8" t="str">
        <f t="shared" si="26"/>
        <v/>
      </c>
    </row>
    <row r="560" spans="31:34" x14ac:dyDescent="0.25">
      <c r="AE560" s="8" t="str">
        <f t="shared" si="24"/>
        <v/>
      </c>
      <c r="AF560" s="8" t="str">
        <f t="shared" si="25"/>
        <v/>
      </c>
      <c r="AG560" s="8" t="str">
        <f>IF(TRIM($E560)&lt;&gt;"Tax Paid","",IF(COUNTIFS(LISTS!$F$2:$F$26,$AE560,LISTS!$G$2:$G$26,$AF560)=0,"NOT ON LIST",""))</f>
        <v/>
      </c>
      <c r="AH560" s="8" t="str">
        <f t="shared" si="26"/>
        <v/>
      </c>
    </row>
    <row r="561" spans="31:34" x14ac:dyDescent="0.25">
      <c r="AE561" s="8" t="str">
        <f t="shared" si="24"/>
        <v/>
      </c>
      <c r="AF561" s="8" t="str">
        <f t="shared" si="25"/>
        <v/>
      </c>
      <c r="AG561" s="8" t="str">
        <f>IF(TRIM($E561)&lt;&gt;"Tax Paid","",IF(COUNTIFS(LISTS!$F$2:$F$26,$AE561,LISTS!$G$2:$G$26,$AF561)=0,"NOT ON LIST",""))</f>
        <v/>
      </c>
      <c r="AH561" s="8" t="str">
        <f t="shared" si="26"/>
        <v/>
      </c>
    </row>
    <row r="562" spans="31:34" x14ac:dyDescent="0.25">
      <c r="AE562" s="8" t="str">
        <f t="shared" si="24"/>
        <v/>
      </c>
      <c r="AF562" s="8" t="str">
        <f t="shared" si="25"/>
        <v/>
      </c>
      <c r="AG562" s="8" t="str">
        <f>IF(TRIM($E562)&lt;&gt;"Tax Paid","",IF(COUNTIFS(LISTS!$F$2:$F$26,$AE562,LISTS!$G$2:$G$26,$AF562)=0,"NOT ON LIST",""))</f>
        <v/>
      </c>
      <c r="AH562" s="8" t="str">
        <f t="shared" si="26"/>
        <v/>
      </c>
    </row>
    <row r="563" spans="31:34" x14ac:dyDescent="0.25">
      <c r="AE563" s="8" t="str">
        <f t="shared" si="24"/>
        <v/>
      </c>
      <c r="AF563" s="8" t="str">
        <f t="shared" si="25"/>
        <v/>
      </c>
      <c r="AG563" s="8" t="str">
        <f>IF(TRIM($E563)&lt;&gt;"Tax Paid","",IF(COUNTIFS(LISTS!$F$2:$F$26,$AE563,LISTS!$G$2:$G$26,$AF563)=0,"NOT ON LIST",""))</f>
        <v/>
      </c>
      <c r="AH563" s="8" t="str">
        <f t="shared" si="26"/>
        <v/>
      </c>
    </row>
    <row r="564" spans="31:34" x14ac:dyDescent="0.25">
      <c r="AE564" s="8" t="str">
        <f t="shared" si="24"/>
        <v/>
      </c>
      <c r="AF564" s="8" t="str">
        <f t="shared" si="25"/>
        <v/>
      </c>
      <c r="AG564" s="8" t="str">
        <f>IF(TRIM($E564)&lt;&gt;"Tax Paid","",IF(COUNTIFS(LISTS!$F$2:$F$26,$AE564,LISTS!$G$2:$G$26,$AF564)=0,"NOT ON LIST",""))</f>
        <v/>
      </c>
      <c r="AH564" s="8" t="str">
        <f t="shared" si="26"/>
        <v/>
      </c>
    </row>
    <row r="565" spans="31:34" x14ac:dyDescent="0.25">
      <c r="AE565" s="8" t="str">
        <f t="shared" si="24"/>
        <v/>
      </c>
      <c r="AF565" s="8" t="str">
        <f t="shared" si="25"/>
        <v/>
      </c>
      <c r="AG565" s="8" t="str">
        <f>IF(TRIM($E565)&lt;&gt;"Tax Paid","",IF(COUNTIFS(LISTS!$F$2:$F$26,$AE565,LISTS!$G$2:$G$26,$AF565)=0,"NOT ON LIST",""))</f>
        <v/>
      </c>
      <c r="AH565" s="8" t="str">
        <f t="shared" si="26"/>
        <v/>
      </c>
    </row>
    <row r="566" spans="31:34" x14ac:dyDescent="0.25">
      <c r="AE566" s="8" t="str">
        <f t="shared" si="24"/>
        <v/>
      </c>
      <c r="AF566" s="8" t="str">
        <f t="shared" si="25"/>
        <v/>
      </c>
      <c r="AG566" s="8" t="str">
        <f>IF(TRIM($E566)&lt;&gt;"Tax Paid","",IF(COUNTIFS(LISTS!$F$2:$F$26,$AE566,LISTS!$G$2:$G$26,$AF566)=0,"NOT ON LIST",""))</f>
        <v/>
      </c>
      <c r="AH566" s="8" t="str">
        <f t="shared" si="26"/>
        <v/>
      </c>
    </row>
    <row r="567" spans="31:34" x14ac:dyDescent="0.25">
      <c r="AE567" s="8" t="str">
        <f t="shared" si="24"/>
        <v/>
      </c>
      <c r="AF567" s="8" t="str">
        <f t="shared" si="25"/>
        <v/>
      </c>
      <c r="AG567" s="8" t="str">
        <f>IF(TRIM($E567)&lt;&gt;"Tax Paid","",IF(COUNTIFS(LISTS!$F$2:$F$26,$AE567,LISTS!$G$2:$G$26,$AF567)=0,"NOT ON LIST",""))</f>
        <v/>
      </c>
      <c r="AH567" s="8" t="str">
        <f t="shared" si="26"/>
        <v/>
      </c>
    </row>
    <row r="568" spans="31:34" x14ac:dyDescent="0.25">
      <c r="AE568" s="8" t="str">
        <f t="shared" si="24"/>
        <v/>
      </c>
      <c r="AF568" s="8" t="str">
        <f t="shared" si="25"/>
        <v/>
      </c>
      <c r="AG568" s="8" t="str">
        <f>IF(TRIM($E568)&lt;&gt;"Tax Paid","",IF(COUNTIFS(LISTS!$F$2:$F$26,$AE568,LISTS!$G$2:$G$26,$AF568)=0,"NOT ON LIST",""))</f>
        <v/>
      </c>
      <c r="AH568" s="8" t="str">
        <f t="shared" si="26"/>
        <v/>
      </c>
    </row>
    <row r="569" spans="31:34" x14ac:dyDescent="0.25">
      <c r="AE569" s="8" t="str">
        <f t="shared" si="24"/>
        <v/>
      </c>
      <c r="AF569" s="8" t="str">
        <f t="shared" si="25"/>
        <v/>
      </c>
      <c r="AG569" s="8" t="str">
        <f>IF(TRIM($E569)&lt;&gt;"Tax Paid","",IF(COUNTIFS(LISTS!$F$2:$F$26,$AE569,LISTS!$G$2:$G$26,$AF569)=0,"NOT ON LIST",""))</f>
        <v/>
      </c>
      <c r="AH569" s="8" t="str">
        <f t="shared" si="26"/>
        <v/>
      </c>
    </row>
    <row r="570" spans="31:34" x14ac:dyDescent="0.25">
      <c r="AE570" s="8" t="str">
        <f t="shared" si="24"/>
        <v/>
      </c>
      <c r="AF570" s="8" t="str">
        <f t="shared" si="25"/>
        <v/>
      </c>
      <c r="AG570" s="8" t="str">
        <f>IF(TRIM($E570)&lt;&gt;"Tax Paid","",IF(COUNTIFS(LISTS!$F$2:$F$26,$AE570,LISTS!$G$2:$G$26,$AF570)=0,"NOT ON LIST",""))</f>
        <v/>
      </c>
      <c r="AH570" s="8" t="str">
        <f t="shared" si="26"/>
        <v/>
      </c>
    </row>
    <row r="571" spans="31:34" x14ac:dyDescent="0.25">
      <c r="AE571" s="8" t="str">
        <f t="shared" si="24"/>
        <v/>
      </c>
      <c r="AF571" s="8" t="str">
        <f t="shared" si="25"/>
        <v/>
      </c>
      <c r="AG571" s="8" t="str">
        <f>IF(TRIM($E571)&lt;&gt;"Tax Paid","",IF(COUNTIFS(LISTS!$F$2:$F$26,$AE571,LISTS!$G$2:$G$26,$AF571)=0,"NOT ON LIST",""))</f>
        <v/>
      </c>
      <c r="AH571" s="8" t="str">
        <f t="shared" si="26"/>
        <v/>
      </c>
    </row>
    <row r="572" spans="31:34" x14ac:dyDescent="0.25">
      <c r="AE572" s="8" t="str">
        <f t="shared" si="24"/>
        <v/>
      </c>
      <c r="AF572" s="8" t="str">
        <f t="shared" si="25"/>
        <v/>
      </c>
      <c r="AG572" s="8" t="str">
        <f>IF(TRIM($E572)&lt;&gt;"Tax Paid","",IF(COUNTIFS(LISTS!$F$2:$F$26,$AE572,LISTS!$G$2:$G$26,$AF572)=0,"NOT ON LIST",""))</f>
        <v/>
      </c>
      <c r="AH572" s="8" t="str">
        <f t="shared" si="26"/>
        <v/>
      </c>
    </row>
    <row r="573" spans="31:34" x14ac:dyDescent="0.25">
      <c r="AE573" s="8" t="str">
        <f t="shared" si="24"/>
        <v/>
      </c>
      <c r="AF573" s="8" t="str">
        <f t="shared" si="25"/>
        <v/>
      </c>
      <c r="AG573" s="8" t="str">
        <f>IF(TRIM($E573)&lt;&gt;"Tax Paid","",IF(COUNTIFS(LISTS!$F$2:$F$26,$AE573,LISTS!$G$2:$G$26,$AF573)=0,"NOT ON LIST",""))</f>
        <v/>
      </c>
      <c r="AH573" s="8" t="str">
        <f t="shared" si="26"/>
        <v/>
      </c>
    </row>
    <row r="574" spans="31:34" x14ac:dyDescent="0.25">
      <c r="AE574" s="8" t="str">
        <f t="shared" si="24"/>
        <v/>
      </c>
      <c r="AF574" s="8" t="str">
        <f t="shared" si="25"/>
        <v/>
      </c>
      <c r="AG574" s="8" t="str">
        <f>IF(TRIM($E574)&lt;&gt;"Tax Paid","",IF(COUNTIFS(LISTS!$F$2:$F$26,$AE574,LISTS!$G$2:$G$26,$AF574)=0,"NOT ON LIST",""))</f>
        <v/>
      </c>
      <c r="AH574" s="8" t="str">
        <f t="shared" si="26"/>
        <v/>
      </c>
    </row>
    <row r="575" spans="31:34" x14ac:dyDescent="0.25">
      <c r="AE575" s="8" t="str">
        <f t="shared" si="24"/>
        <v/>
      </c>
      <c r="AF575" s="8" t="str">
        <f t="shared" si="25"/>
        <v/>
      </c>
      <c r="AG575" s="8" t="str">
        <f>IF(TRIM($E575)&lt;&gt;"Tax Paid","",IF(COUNTIFS(LISTS!$F$2:$F$26,$AE575,LISTS!$G$2:$G$26,$AF575)=0,"NOT ON LIST",""))</f>
        <v/>
      </c>
      <c r="AH575" s="8" t="str">
        <f t="shared" si="26"/>
        <v/>
      </c>
    </row>
    <row r="576" spans="31:34" x14ac:dyDescent="0.25">
      <c r="AE576" s="8" t="str">
        <f t="shared" si="24"/>
        <v/>
      </c>
      <c r="AF576" s="8" t="str">
        <f t="shared" si="25"/>
        <v/>
      </c>
      <c r="AG576" s="8" t="str">
        <f>IF(TRIM($E576)&lt;&gt;"Tax Paid","",IF(COUNTIFS(LISTS!$F$2:$F$26,$AE576,LISTS!$G$2:$G$26,$AF576)=0,"NOT ON LIST",""))</f>
        <v/>
      </c>
      <c r="AH576" s="8" t="str">
        <f t="shared" si="26"/>
        <v/>
      </c>
    </row>
    <row r="577" spans="31:34" x14ac:dyDescent="0.25">
      <c r="AE577" s="8" t="str">
        <f t="shared" si="24"/>
        <v/>
      </c>
      <c r="AF577" s="8" t="str">
        <f t="shared" si="25"/>
        <v/>
      </c>
      <c r="AG577" s="8" t="str">
        <f>IF(TRIM($E577)&lt;&gt;"Tax Paid","",IF(COUNTIFS(LISTS!$F$2:$F$26,$AE577,LISTS!$G$2:$G$26,$AF577)=0,"NOT ON LIST",""))</f>
        <v/>
      </c>
      <c r="AH577" s="8" t="str">
        <f t="shared" si="26"/>
        <v/>
      </c>
    </row>
    <row r="578" spans="31:34" x14ac:dyDescent="0.25">
      <c r="AE578" s="8" t="str">
        <f t="shared" ref="AE578:AE641" si="27">IF(TRIM($E578)="Tax Paid",TRIM($S578),"")</f>
        <v/>
      </c>
      <c r="AF578" s="8" t="str">
        <f t="shared" ref="AF578:AF641" si="28">IF(TRIM($E578)="Tax Paid",ROUND($Z578/100,5),"")</f>
        <v/>
      </c>
      <c r="AG578" s="8" t="str">
        <f>IF(TRIM($E578)&lt;&gt;"Tax Paid","",IF(COUNTIFS(LISTS!$F$2:$F$26,$AE578,LISTS!$G$2:$G$26,$AF578)=0,"NOT ON LIST",""))</f>
        <v/>
      </c>
      <c r="AH578" s="8" t="str">
        <f t="shared" ref="AH578:AH641" si="29">IF($AG578="","",IF($AE578="","(no county)",$AE578)&amp;" ("&amp;SUBSTITUTE(TEXT($AF578,"0.###%"),".%","%")&amp;")")</f>
        <v/>
      </c>
    </row>
    <row r="579" spans="31:34" x14ac:dyDescent="0.25">
      <c r="AE579" s="8" t="str">
        <f t="shared" si="27"/>
        <v/>
      </c>
      <c r="AF579" s="8" t="str">
        <f t="shared" si="28"/>
        <v/>
      </c>
      <c r="AG579" s="8" t="str">
        <f>IF(TRIM($E579)&lt;&gt;"Tax Paid","",IF(COUNTIFS(LISTS!$F$2:$F$26,$AE579,LISTS!$G$2:$G$26,$AF579)=0,"NOT ON LIST",""))</f>
        <v/>
      </c>
      <c r="AH579" s="8" t="str">
        <f t="shared" si="29"/>
        <v/>
      </c>
    </row>
    <row r="580" spans="31:34" x14ac:dyDescent="0.25">
      <c r="AE580" s="8" t="str">
        <f t="shared" si="27"/>
        <v/>
      </c>
      <c r="AF580" s="8" t="str">
        <f t="shared" si="28"/>
        <v/>
      </c>
      <c r="AG580" s="8" t="str">
        <f>IF(TRIM($E580)&lt;&gt;"Tax Paid","",IF(COUNTIFS(LISTS!$F$2:$F$26,$AE580,LISTS!$G$2:$G$26,$AF580)=0,"NOT ON LIST",""))</f>
        <v/>
      </c>
      <c r="AH580" s="8" t="str">
        <f t="shared" si="29"/>
        <v/>
      </c>
    </row>
    <row r="581" spans="31:34" x14ac:dyDescent="0.25">
      <c r="AE581" s="8" t="str">
        <f t="shared" si="27"/>
        <v/>
      </c>
      <c r="AF581" s="8" t="str">
        <f t="shared" si="28"/>
        <v/>
      </c>
      <c r="AG581" s="8" t="str">
        <f>IF(TRIM($E581)&lt;&gt;"Tax Paid","",IF(COUNTIFS(LISTS!$F$2:$F$26,$AE581,LISTS!$G$2:$G$26,$AF581)=0,"NOT ON LIST",""))</f>
        <v/>
      </c>
      <c r="AH581" s="8" t="str">
        <f t="shared" si="29"/>
        <v/>
      </c>
    </row>
    <row r="582" spans="31:34" x14ac:dyDescent="0.25">
      <c r="AE582" s="8" t="str">
        <f t="shared" si="27"/>
        <v/>
      </c>
      <c r="AF582" s="8" t="str">
        <f t="shared" si="28"/>
        <v/>
      </c>
      <c r="AG582" s="8" t="str">
        <f>IF(TRIM($E582)&lt;&gt;"Tax Paid","",IF(COUNTIFS(LISTS!$F$2:$F$26,$AE582,LISTS!$G$2:$G$26,$AF582)=0,"NOT ON LIST",""))</f>
        <v/>
      </c>
      <c r="AH582" s="8" t="str">
        <f t="shared" si="29"/>
        <v/>
      </c>
    </row>
    <row r="583" spans="31:34" x14ac:dyDescent="0.25">
      <c r="AE583" s="8" t="str">
        <f t="shared" si="27"/>
        <v/>
      </c>
      <c r="AF583" s="8" t="str">
        <f t="shared" si="28"/>
        <v/>
      </c>
      <c r="AG583" s="8" t="str">
        <f>IF(TRIM($E583)&lt;&gt;"Tax Paid","",IF(COUNTIFS(LISTS!$F$2:$F$26,$AE583,LISTS!$G$2:$G$26,$AF583)=0,"NOT ON LIST",""))</f>
        <v/>
      </c>
      <c r="AH583" s="8" t="str">
        <f t="shared" si="29"/>
        <v/>
      </c>
    </row>
    <row r="584" spans="31:34" x14ac:dyDescent="0.25">
      <c r="AE584" s="8" t="str">
        <f t="shared" si="27"/>
        <v/>
      </c>
      <c r="AF584" s="8" t="str">
        <f t="shared" si="28"/>
        <v/>
      </c>
      <c r="AG584" s="8" t="str">
        <f>IF(TRIM($E584)&lt;&gt;"Tax Paid","",IF(COUNTIFS(LISTS!$F$2:$F$26,$AE584,LISTS!$G$2:$G$26,$AF584)=0,"NOT ON LIST",""))</f>
        <v/>
      </c>
      <c r="AH584" s="8" t="str">
        <f t="shared" si="29"/>
        <v/>
      </c>
    </row>
    <row r="585" spans="31:34" x14ac:dyDescent="0.25">
      <c r="AE585" s="8" t="str">
        <f t="shared" si="27"/>
        <v/>
      </c>
      <c r="AF585" s="8" t="str">
        <f t="shared" si="28"/>
        <v/>
      </c>
      <c r="AG585" s="8" t="str">
        <f>IF(TRIM($E585)&lt;&gt;"Tax Paid","",IF(COUNTIFS(LISTS!$F$2:$F$26,$AE585,LISTS!$G$2:$G$26,$AF585)=0,"NOT ON LIST",""))</f>
        <v/>
      </c>
      <c r="AH585" s="8" t="str">
        <f t="shared" si="29"/>
        <v/>
      </c>
    </row>
    <row r="586" spans="31:34" x14ac:dyDescent="0.25">
      <c r="AE586" s="8" t="str">
        <f t="shared" si="27"/>
        <v/>
      </c>
      <c r="AF586" s="8" t="str">
        <f t="shared" si="28"/>
        <v/>
      </c>
      <c r="AG586" s="8" t="str">
        <f>IF(TRIM($E586)&lt;&gt;"Tax Paid","",IF(COUNTIFS(LISTS!$F$2:$F$26,$AE586,LISTS!$G$2:$G$26,$AF586)=0,"NOT ON LIST",""))</f>
        <v/>
      </c>
      <c r="AH586" s="8" t="str">
        <f t="shared" si="29"/>
        <v/>
      </c>
    </row>
    <row r="587" spans="31:34" x14ac:dyDescent="0.25">
      <c r="AE587" s="8" t="str">
        <f t="shared" si="27"/>
        <v/>
      </c>
      <c r="AF587" s="8" t="str">
        <f t="shared" si="28"/>
        <v/>
      </c>
      <c r="AG587" s="8" t="str">
        <f>IF(TRIM($E587)&lt;&gt;"Tax Paid","",IF(COUNTIFS(LISTS!$F$2:$F$26,$AE587,LISTS!$G$2:$G$26,$AF587)=0,"NOT ON LIST",""))</f>
        <v/>
      </c>
      <c r="AH587" s="8" t="str">
        <f t="shared" si="29"/>
        <v/>
      </c>
    </row>
    <row r="588" spans="31:34" x14ac:dyDescent="0.25">
      <c r="AE588" s="8" t="str">
        <f t="shared" si="27"/>
        <v/>
      </c>
      <c r="AF588" s="8" t="str">
        <f t="shared" si="28"/>
        <v/>
      </c>
      <c r="AG588" s="8" t="str">
        <f>IF(TRIM($E588)&lt;&gt;"Tax Paid","",IF(COUNTIFS(LISTS!$F$2:$F$26,$AE588,LISTS!$G$2:$G$26,$AF588)=0,"NOT ON LIST",""))</f>
        <v/>
      </c>
      <c r="AH588" s="8" t="str">
        <f t="shared" si="29"/>
        <v/>
      </c>
    </row>
    <row r="589" spans="31:34" x14ac:dyDescent="0.25">
      <c r="AE589" s="8" t="str">
        <f t="shared" si="27"/>
        <v/>
      </c>
      <c r="AF589" s="8" t="str">
        <f t="shared" si="28"/>
        <v/>
      </c>
      <c r="AG589" s="8" t="str">
        <f>IF(TRIM($E589)&lt;&gt;"Tax Paid","",IF(COUNTIFS(LISTS!$F$2:$F$26,$AE589,LISTS!$G$2:$G$26,$AF589)=0,"NOT ON LIST",""))</f>
        <v/>
      </c>
      <c r="AH589" s="8" t="str">
        <f t="shared" si="29"/>
        <v/>
      </c>
    </row>
    <row r="590" spans="31:34" x14ac:dyDescent="0.25">
      <c r="AE590" s="8" t="str">
        <f t="shared" si="27"/>
        <v/>
      </c>
      <c r="AF590" s="8" t="str">
        <f t="shared" si="28"/>
        <v/>
      </c>
      <c r="AG590" s="8" t="str">
        <f>IF(TRIM($E590)&lt;&gt;"Tax Paid","",IF(COUNTIFS(LISTS!$F$2:$F$26,$AE590,LISTS!$G$2:$G$26,$AF590)=0,"NOT ON LIST",""))</f>
        <v/>
      </c>
      <c r="AH590" s="8" t="str">
        <f t="shared" si="29"/>
        <v/>
      </c>
    </row>
    <row r="591" spans="31:34" x14ac:dyDescent="0.25">
      <c r="AE591" s="8" t="str">
        <f t="shared" si="27"/>
        <v/>
      </c>
      <c r="AF591" s="8" t="str">
        <f t="shared" si="28"/>
        <v/>
      </c>
      <c r="AG591" s="8" t="str">
        <f>IF(TRIM($E591)&lt;&gt;"Tax Paid","",IF(COUNTIFS(LISTS!$F$2:$F$26,$AE591,LISTS!$G$2:$G$26,$AF591)=0,"NOT ON LIST",""))</f>
        <v/>
      </c>
      <c r="AH591" s="8" t="str">
        <f t="shared" si="29"/>
        <v/>
      </c>
    </row>
    <row r="592" spans="31:34" x14ac:dyDescent="0.25">
      <c r="AE592" s="8" t="str">
        <f t="shared" si="27"/>
        <v/>
      </c>
      <c r="AF592" s="8" t="str">
        <f t="shared" si="28"/>
        <v/>
      </c>
      <c r="AG592" s="8" t="str">
        <f>IF(TRIM($E592)&lt;&gt;"Tax Paid","",IF(COUNTIFS(LISTS!$F$2:$F$26,$AE592,LISTS!$G$2:$G$26,$AF592)=0,"NOT ON LIST",""))</f>
        <v/>
      </c>
      <c r="AH592" s="8" t="str">
        <f t="shared" si="29"/>
        <v/>
      </c>
    </row>
    <row r="593" spans="31:34" x14ac:dyDescent="0.25">
      <c r="AE593" s="8" t="str">
        <f t="shared" si="27"/>
        <v/>
      </c>
      <c r="AF593" s="8" t="str">
        <f t="shared" si="28"/>
        <v/>
      </c>
      <c r="AG593" s="8" t="str">
        <f>IF(TRIM($E593)&lt;&gt;"Tax Paid","",IF(COUNTIFS(LISTS!$F$2:$F$26,$AE593,LISTS!$G$2:$G$26,$AF593)=0,"NOT ON LIST",""))</f>
        <v/>
      </c>
      <c r="AH593" s="8" t="str">
        <f t="shared" si="29"/>
        <v/>
      </c>
    </row>
    <row r="594" spans="31:34" x14ac:dyDescent="0.25">
      <c r="AE594" s="8" t="str">
        <f t="shared" si="27"/>
        <v/>
      </c>
      <c r="AF594" s="8" t="str">
        <f t="shared" si="28"/>
        <v/>
      </c>
      <c r="AG594" s="8" t="str">
        <f>IF(TRIM($E594)&lt;&gt;"Tax Paid","",IF(COUNTIFS(LISTS!$F$2:$F$26,$AE594,LISTS!$G$2:$G$26,$AF594)=0,"NOT ON LIST",""))</f>
        <v/>
      </c>
      <c r="AH594" s="8" t="str">
        <f t="shared" si="29"/>
        <v/>
      </c>
    </row>
    <row r="595" spans="31:34" x14ac:dyDescent="0.25">
      <c r="AE595" s="8" t="str">
        <f t="shared" si="27"/>
        <v/>
      </c>
      <c r="AF595" s="8" t="str">
        <f t="shared" si="28"/>
        <v/>
      </c>
      <c r="AG595" s="8" t="str">
        <f>IF(TRIM($E595)&lt;&gt;"Tax Paid","",IF(COUNTIFS(LISTS!$F$2:$F$26,$AE595,LISTS!$G$2:$G$26,$AF595)=0,"NOT ON LIST",""))</f>
        <v/>
      </c>
      <c r="AH595" s="8" t="str">
        <f t="shared" si="29"/>
        <v/>
      </c>
    </row>
    <row r="596" spans="31:34" x14ac:dyDescent="0.25">
      <c r="AE596" s="8" t="str">
        <f t="shared" si="27"/>
        <v/>
      </c>
      <c r="AF596" s="8" t="str">
        <f t="shared" si="28"/>
        <v/>
      </c>
      <c r="AG596" s="8" t="str">
        <f>IF(TRIM($E596)&lt;&gt;"Tax Paid","",IF(COUNTIFS(LISTS!$F$2:$F$26,$AE596,LISTS!$G$2:$G$26,$AF596)=0,"NOT ON LIST",""))</f>
        <v/>
      </c>
      <c r="AH596" s="8" t="str">
        <f t="shared" si="29"/>
        <v/>
      </c>
    </row>
    <row r="597" spans="31:34" x14ac:dyDescent="0.25">
      <c r="AE597" s="8" t="str">
        <f t="shared" si="27"/>
        <v/>
      </c>
      <c r="AF597" s="8" t="str">
        <f t="shared" si="28"/>
        <v/>
      </c>
      <c r="AG597" s="8" t="str">
        <f>IF(TRIM($E597)&lt;&gt;"Tax Paid","",IF(COUNTIFS(LISTS!$F$2:$F$26,$AE597,LISTS!$G$2:$G$26,$AF597)=0,"NOT ON LIST",""))</f>
        <v/>
      </c>
      <c r="AH597" s="8" t="str">
        <f t="shared" si="29"/>
        <v/>
      </c>
    </row>
    <row r="598" spans="31:34" x14ac:dyDescent="0.25">
      <c r="AE598" s="8" t="str">
        <f t="shared" si="27"/>
        <v/>
      </c>
      <c r="AF598" s="8" t="str">
        <f t="shared" si="28"/>
        <v/>
      </c>
      <c r="AG598" s="8" t="str">
        <f>IF(TRIM($E598)&lt;&gt;"Tax Paid","",IF(COUNTIFS(LISTS!$F$2:$F$26,$AE598,LISTS!$G$2:$G$26,$AF598)=0,"NOT ON LIST",""))</f>
        <v/>
      </c>
      <c r="AH598" s="8" t="str">
        <f t="shared" si="29"/>
        <v/>
      </c>
    </row>
    <row r="599" spans="31:34" x14ac:dyDescent="0.25">
      <c r="AE599" s="8" t="str">
        <f t="shared" si="27"/>
        <v/>
      </c>
      <c r="AF599" s="8" t="str">
        <f t="shared" si="28"/>
        <v/>
      </c>
      <c r="AG599" s="8" t="str">
        <f>IF(TRIM($E599)&lt;&gt;"Tax Paid","",IF(COUNTIFS(LISTS!$F$2:$F$26,$AE599,LISTS!$G$2:$G$26,$AF599)=0,"NOT ON LIST",""))</f>
        <v/>
      </c>
      <c r="AH599" s="8" t="str">
        <f t="shared" si="29"/>
        <v/>
      </c>
    </row>
    <row r="600" spans="31:34" x14ac:dyDescent="0.25">
      <c r="AE600" s="8" t="str">
        <f t="shared" si="27"/>
        <v/>
      </c>
      <c r="AF600" s="8" t="str">
        <f t="shared" si="28"/>
        <v/>
      </c>
      <c r="AG600" s="8" t="str">
        <f>IF(TRIM($E600)&lt;&gt;"Tax Paid","",IF(COUNTIFS(LISTS!$F$2:$F$26,$AE600,LISTS!$G$2:$G$26,$AF600)=0,"NOT ON LIST",""))</f>
        <v/>
      </c>
      <c r="AH600" s="8" t="str">
        <f t="shared" si="29"/>
        <v/>
      </c>
    </row>
    <row r="601" spans="31:34" x14ac:dyDescent="0.25">
      <c r="AE601" s="8" t="str">
        <f t="shared" si="27"/>
        <v/>
      </c>
      <c r="AF601" s="8" t="str">
        <f t="shared" si="28"/>
        <v/>
      </c>
      <c r="AG601" s="8" t="str">
        <f>IF(TRIM($E601)&lt;&gt;"Tax Paid","",IF(COUNTIFS(LISTS!$F$2:$F$26,$AE601,LISTS!$G$2:$G$26,$AF601)=0,"NOT ON LIST",""))</f>
        <v/>
      </c>
      <c r="AH601" s="8" t="str">
        <f t="shared" si="29"/>
        <v/>
      </c>
    </row>
    <row r="602" spans="31:34" x14ac:dyDescent="0.25">
      <c r="AE602" s="8" t="str">
        <f t="shared" si="27"/>
        <v/>
      </c>
      <c r="AF602" s="8" t="str">
        <f t="shared" si="28"/>
        <v/>
      </c>
      <c r="AG602" s="8" t="str">
        <f>IF(TRIM($E602)&lt;&gt;"Tax Paid","",IF(COUNTIFS(LISTS!$F$2:$F$26,$AE602,LISTS!$G$2:$G$26,$AF602)=0,"NOT ON LIST",""))</f>
        <v/>
      </c>
      <c r="AH602" s="8" t="str">
        <f t="shared" si="29"/>
        <v/>
      </c>
    </row>
    <row r="603" spans="31:34" x14ac:dyDescent="0.25">
      <c r="AE603" s="8" t="str">
        <f t="shared" si="27"/>
        <v/>
      </c>
      <c r="AF603" s="8" t="str">
        <f t="shared" si="28"/>
        <v/>
      </c>
      <c r="AG603" s="8" t="str">
        <f>IF(TRIM($E603)&lt;&gt;"Tax Paid","",IF(COUNTIFS(LISTS!$F$2:$F$26,$AE603,LISTS!$G$2:$G$26,$AF603)=0,"NOT ON LIST",""))</f>
        <v/>
      </c>
      <c r="AH603" s="8" t="str">
        <f t="shared" si="29"/>
        <v/>
      </c>
    </row>
    <row r="604" spans="31:34" x14ac:dyDescent="0.25">
      <c r="AE604" s="8" t="str">
        <f t="shared" si="27"/>
        <v/>
      </c>
      <c r="AF604" s="8" t="str">
        <f t="shared" si="28"/>
        <v/>
      </c>
      <c r="AG604" s="8" t="str">
        <f>IF(TRIM($E604)&lt;&gt;"Tax Paid","",IF(COUNTIFS(LISTS!$F$2:$F$26,$AE604,LISTS!$G$2:$G$26,$AF604)=0,"NOT ON LIST",""))</f>
        <v/>
      </c>
      <c r="AH604" s="8" t="str">
        <f t="shared" si="29"/>
        <v/>
      </c>
    </row>
    <row r="605" spans="31:34" x14ac:dyDescent="0.25">
      <c r="AE605" s="8" t="str">
        <f t="shared" si="27"/>
        <v/>
      </c>
      <c r="AF605" s="8" t="str">
        <f t="shared" si="28"/>
        <v/>
      </c>
      <c r="AG605" s="8" t="str">
        <f>IF(TRIM($E605)&lt;&gt;"Tax Paid","",IF(COUNTIFS(LISTS!$F$2:$F$26,$AE605,LISTS!$G$2:$G$26,$AF605)=0,"NOT ON LIST",""))</f>
        <v/>
      </c>
      <c r="AH605" s="8" t="str">
        <f t="shared" si="29"/>
        <v/>
      </c>
    </row>
    <row r="606" spans="31:34" x14ac:dyDescent="0.25">
      <c r="AE606" s="8" t="str">
        <f t="shared" si="27"/>
        <v/>
      </c>
      <c r="AF606" s="8" t="str">
        <f t="shared" si="28"/>
        <v/>
      </c>
      <c r="AG606" s="8" t="str">
        <f>IF(TRIM($E606)&lt;&gt;"Tax Paid","",IF(COUNTIFS(LISTS!$F$2:$F$26,$AE606,LISTS!$G$2:$G$26,$AF606)=0,"NOT ON LIST",""))</f>
        <v/>
      </c>
      <c r="AH606" s="8" t="str">
        <f t="shared" si="29"/>
        <v/>
      </c>
    </row>
    <row r="607" spans="31:34" x14ac:dyDescent="0.25">
      <c r="AE607" s="8" t="str">
        <f t="shared" si="27"/>
        <v/>
      </c>
      <c r="AF607" s="8" t="str">
        <f t="shared" si="28"/>
        <v/>
      </c>
      <c r="AG607" s="8" t="str">
        <f>IF(TRIM($E607)&lt;&gt;"Tax Paid","",IF(COUNTIFS(LISTS!$F$2:$F$26,$AE607,LISTS!$G$2:$G$26,$AF607)=0,"NOT ON LIST",""))</f>
        <v/>
      </c>
      <c r="AH607" s="8" t="str">
        <f t="shared" si="29"/>
        <v/>
      </c>
    </row>
    <row r="608" spans="31:34" x14ac:dyDescent="0.25">
      <c r="AE608" s="8" t="str">
        <f t="shared" si="27"/>
        <v/>
      </c>
      <c r="AF608" s="8" t="str">
        <f t="shared" si="28"/>
        <v/>
      </c>
      <c r="AG608" s="8" t="str">
        <f>IF(TRIM($E608)&lt;&gt;"Tax Paid","",IF(COUNTIFS(LISTS!$F$2:$F$26,$AE608,LISTS!$G$2:$G$26,$AF608)=0,"NOT ON LIST",""))</f>
        <v/>
      </c>
      <c r="AH608" s="8" t="str">
        <f t="shared" si="29"/>
        <v/>
      </c>
    </row>
    <row r="609" spans="31:34" x14ac:dyDescent="0.25">
      <c r="AE609" s="8" t="str">
        <f t="shared" si="27"/>
        <v/>
      </c>
      <c r="AF609" s="8" t="str">
        <f t="shared" si="28"/>
        <v/>
      </c>
      <c r="AG609" s="8" t="str">
        <f>IF(TRIM($E609)&lt;&gt;"Tax Paid","",IF(COUNTIFS(LISTS!$F$2:$F$26,$AE609,LISTS!$G$2:$G$26,$AF609)=0,"NOT ON LIST",""))</f>
        <v/>
      </c>
      <c r="AH609" s="8" t="str">
        <f t="shared" si="29"/>
        <v/>
      </c>
    </row>
    <row r="610" spans="31:34" x14ac:dyDescent="0.25">
      <c r="AE610" s="8" t="str">
        <f t="shared" si="27"/>
        <v/>
      </c>
      <c r="AF610" s="8" t="str">
        <f t="shared" si="28"/>
        <v/>
      </c>
      <c r="AG610" s="8" t="str">
        <f>IF(TRIM($E610)&lt;&gt;"Tax Paid","",IF(COUNTIFS(LISTS!$F$2:$F$26,$AE610,LISTS!$G$2:$G$26,$AF610)=0,"NOT ON LIST",""))</f>
        <v/>
      </c>
      <c r="AH610" s="8" t="str">
        <f t="shared" si="29"/>
        <v/>
      </c>
    </row>
    <row r="611" spans="31:34" x14ac:dyDescent="0.25">
      <c r="AE611" s="8" t="str">
        <f t="shared" si="27"/>
        <v/>
      </c>
      <c r="AF611" s="8" t="str">
        <f t="shared" si="28"/>
        <v/>
      </c>
      <c r="AG611" s="8" t="str">
        <f>IF(TRIM($E611)&lt;&gt;"Tax Paid","",IF(COUNTIFS(LISTS!$F$2:$F$26,$AE611,LISTS!$G$2:$G$26,$AF611)=0,"NOT ON LIST",""))</f>
        <v/>
      </c>
      <c r="AH611" s="8" t="str">
        <f t="shared" si="29"/>
        <v/>
      </c>
    </row>
    <row r="612" spans="31:34" x14ac:dyDescent="0.25">
      <c r="AE612" s="8" t="str">
        <f t="shared" si="27"/>
        <v/>
      </c>
      <c r="AF612" s="8" t="str">
        <f t="shared" si="28"/>
        <v/>
      </c>
      <c r="AG612" s="8" t="str">
        <f>IF(TRIM($E612)&lt;&gt;"Tax Paid","",IF(COUNTIFS(LISTS!$F$2:$F$26,$AE612,LISTS!$G$2:$G$26,$AF612)=0,"NOT ON LIST",""))</f>
        <v/>
      </c>
      <c r="AH612" s="8" t="str">
        <f t="shared" si="29"/>
        <v/>
      </c>
    </row>
    <row r="613" spans="31:34" x14ac:dyDescent="0.25">
      <c r="AE613" s="8" t="str">
        <f t="shared" si="27"/>
        <v/>
      </c>
      <c r="AF613" s="8" t="str">
        <f t="shared" si="28"/>
        <v/>
      </c>
      <c r="AG613" s="8" t="str">
        <f>IF(TRIM($E613)&lt;&gt;"Tax Paid","",IF(COUNTIFS(LISTS!$F$2:$F$26,$AE613,LISTS!$G$2:$G$26,$AF613)=0,"NOT ON LIST",""))</f>
        <v/>
      </c>
      <c r="AH613" s="8" t="str">
        <f t="shared" si="29"/>
        <v/>
      </c>
    </row>
    <row r="614" spans="31:34" x14ac:dyDescent="0.25">
      <c r="AE614" s="8" t="str">
        <f t="shared" si="27"/>
        <v/>
      </c>
      <c r="AF614" s="8" t="str">
        <f t="shared" si="28"/>
        <v/>
      </c>
      <c r="AG614" s="8" t="str">
        <f>IF(TRIM($E614)&lt;&gt;"Tax Paid","",IF(COUNTIFS(LISTS!$F$2:$F$26,$AE614,LISTS!$G$2:$G$26,$AF614)=0,"NOT ON LIST",""))</f>
        <v/>
      </c>
      <c r="AH614" s="8" t="str">
        <f t="shared" si="29"/>
        <v/>
      </c>
    </row>
    <row r="615" spans="31:34" x14ac:dyDescent="0.25">
      <c r="AE615" s="8" t="str">
        <f t="shared" si="27"/>
        <v/>
      </c>
      <c r="AF615" s="8" t="str">
        <f t="shared" si="28"/>
        <v/>
      </c>
      <c r="AG615" s="8" t="str">
        <f>IF(TRIM($E615)&lt;&gt;"Tax Paid","",IF(COUNTIFS(LISTS!$F$2:$F$26,$AE615,LISTS!$G$2:$G$26,$AF615)=0,"NOT ON LIST",""))</f>
        <v/>
      </c>
      <c r="AH615" s="8" t="str">
        <f t="shared" si="29"/>
        <v/>
      </c>
    </row>
    <row r="616" spans="31:34" x14ac:dyDescent="0.25">
      <c r="AE616" s="8" t="str">
        <f t="shared" si="27"/>
        <v/>
      </c>
      <c r="AF616" s="8" t="str">
        <f t="shared" si="28"/>
        <v/>
      </c>
      <c r="AG616" s="8" t="str">
        <f>IF(TRIM($E616)&lt;&gt;"Tax Paid","",IF(COUNTIFS(LISTS!$F$2:$F$26,$AE616,LISTS!$G$2:$G$26,$AF616)=0,"NOT ON LIST",""))</f>
        <v/>
      </c>
      <c r="AH616" s="8" t="str">
        <f t="shared" si="29"/>
        <v/>
      </c>
    </row>
    <row r="617" spans="31:34" x14ac:dyDescent="0.25">
      <c r="AE617" s="8" t="str">
        <f t="shared" si="27"/>
        <v/>
      </c>
      <c r="AF617" s="8" t="str">
        <f t="shared" si="28"/>
        <v/>
      </c>
      <c r="AG617" s="8" t="str">
        <f>IF(TRIM($E617)&lt;&gt;"Tax Paid","",IF(COUNTIFS(LISTS!$F$2:$F$26,$AE617,LISTS!$G$2:$G$26,$AF617)=0,"NOT ON LIST",""))</f>
        <v/>
      </c>
      <c r="AH617" s="8" t="str">
        <f t="shared" si="29"/>
        <v/>
      </c>
    </row>
    <row r="618" spans="31:34" x14ac:dyDescent="0.25">
      <c r="AE618" s="8" t="str">
        <f t="shared" si="27"/>
        <v/>
      </c>
      <c r="AF618" s="8" t="str">
        <f t="shared" si="28"/>
        <v/>
      </c>
      <c r="AG618" s="8" t="str">
        <f>IF(TRIM($E618)&lt;&gt;"Tax Paid","",IF(COUNTIFS(LISTS!$F$2:$F$26,$AE618,LISTS!$G$2:$G$26,$AF618)=0,"NOT ON LIST",""))</f>
        <v/>
      </c>
      <c r="AH618" s="8" t="str">
        <f t="shared" si="29"/>
        <v/>
      </c>
    </row>
    <row r="619" spans="31:34" x14ac:dyDescent="0.25">
      <c r="AE619" s="8" t="str">
        <f t="shared" si="27"/>
        <v/>
      </c>
      <c r="AF619" s="8" t="str">
        <f t="shared" si="28"/>
        <v/>
      </c>
      <c r="AG619" s="8" t="str">
        <f>IF(TRIM($E619)&lt;&gt;"Tax Paid","",IF(COUNTIFS(LISTS!$F$2:$F$26,$AE619,LISTS!$G$2:$G$26,$AF619)=0,"NOT ON LIST",""))</f>
        <v/>
      </c>
      <c r="AH619" s="8" t="str">
        <f t="shared" si="29"/>
        <v/>
      </c>
    </row>
    <row r="620" spans="31:34" x14ac:dyDescent="0.25">
      <c r="AE620" s="8" t="str">
        <f t="shared" si="27"/>
        <v/>
      </c>
      <c r="AF620" s="8" t="str">
        <f t="shared" si="28"/>
        <v/>
      </c>
      <c r="AG620" s="8" t="str">
        <f>IF(TRIM($E620)&lt;&gt;"Tax Paid","",IF(COUNTIFS(LISTS!$F$2:$F$26,$AE620,LISTS!$G$2:$G$26,$AF620)=0,"NOT ON LIST",""))</f>
        <v/>
      </c>
      <c r="AH620" s="8" t="str">
        <f t="shared" si="29"/>
        <v/>
      </c>
    </row>
    <row r="621" spans="31:34" x14ac:dyDescent="0.25">
      <c r="AE621" s="8" t="str">
        <f t="shared" si="27"/>
        <v/>
      </c>
      <c r="AF621" s="8" t="str">
        <f t="shared" si="28"/>
        <v/>
      </c>
      <c r="AG621" s="8" t="str">
        <f>IF(TRIM($E621)&lt;&gt;"Tax Paid","",IF(COUNTIFS(LISTS!$F$2:$F$26,$AE621,LISTS!$G$2:$G$26,$AF621)=0,"NOT ON LIST",""))</f>
        <v/>
      </c>
      <c r="AH621" s="8" t="str">
        <f t="shared" si="29"/>
        <v/>
      </c>
    </row>
    <row r="622" spans="31:34" x14ac:dyDescent="0.25">
      <c r="AE622" s="8" t="str">
        <f t="shared" si="27"/>
        <v/>
      </c>
      <c r="AF622" s="8" t="str">
        <f t="shared" si="28"/>
        <v/>
      </c>
      <c r="AG622" s="8" t="str">
        <f>IF(TRIM($E622)&lt;&gt;"Tax Paid","",IF(COUNTIFS(LISTS!$F$2:$F$26,$AE622,LISTS!$G$2:$G$26,$AF622)=0,"NOT ON LIST",""))</f>
        <v/>
      </c>
      <c r="AH622" s="8" t="str">
        <f t="shared" si="29"/>
        <v/>
      </c>
    </row>
    <row r="623" spans="31:34" x14ac:dyDescent="0.25">
      <c r="AE623" s="8" t="str">
        <f t="shared" si="27"/>
        <v/>
      </c>
      <c r="AF623" s="8" t="str">
        <f t="shared" si="28"/>
        <v/>
      </c>
      <c r="AG623" s="8" t="str">
        <f>IF(TRIM($E623)&lt;&gt;"Tax Paid","",IF(COUNTIFS(LISTS!$F$2:$F$26,$AE623,LISTS!$G$2:$G$26,$AF623)=0,"NOT ON LIST",""))</f>
        <v/>
      </c>
      <c r="AH623" s="8" t="str">
        <f t="shared" si="29"/>
        <v/>
      </c>
    </row>
    <row r="624" spans="31:34" x14ac:dyDescent="0.25">
      <c r="AE624" s="8" t="str">
        <f t="shared" si="27"/>
        <v/>
      </c>
      <c r="AF624" s="8" t="str">
        <f t="shared" si="28"/>
        <v/>
      </c>
      <c r="AG624" s="8" t="str">
        <f>IF(TRIM($E624)&lt;&gt;"Tax Paid","",IF(COUNTIFS(LISTS!$F$2:$F$26,$AE624,LISTS!$G$2:$G$26,$AF624)=0,"NOT ON LIST",""))</f>
        <v/>
      </c>
      <c r="AH624" s="8" t="str">
        <f t="shared" si="29"/>
        <v/>
      </c>
    </row>
    <row r="625" spans="31:34" x14ac:dyDescent="0.25">
      <c r="AE625" s="8" t="str">
        <f t="shared" si="27"/>
        <v/>
      </c>
      <c r="AF625" s="8" t="str">
        <f t="shared" si="28"/>
        <v/>
      </c>
      <c r="AG625" s="8" t="str">
        <f>IF(TRIM($E625)&lt;&gt;"Tax Paid","",IF(COUNTIFS(LISTS!$F$2:$F$26,$AE625,LISTS!$G$2:$G$26,$AF625)=0,"NOT ON LIST",""))</f>
        <v/>
      </c>
      <c r="AH625" s="8" t="str">
        <f t="shared" si="29"/>
        <v/>
      </c>
    </row>
    <row r="626" spans="31:34" x14ac:dyDescent="0.25">
      <c r="AE626" s="8" t="str">
        <f t="shared" si="27"/>
        <v/>
      </c>
      <c r="AF626" s="8" t="str">
        <f t="shared" si="28"/>
        <v/>
      </c>
      <c r="AG626" s="8" t="str">
        <f>IF(TRIM($E626)&lt;&gt;"Tax Paid","",IF(COUNTIFS(LISTS!$F$2:$F$26,$AE626,LISTS!$G$2:$G$26,$AF626)=0,"NOT ON LIST",""))</f>
        <v/>
      </c>
      <c r="AH626" s="8" t="str">
        <f t="shared" si="29"/>
        <v/>
      </c>
    </row>
    <row r="627" spans="31:34" x14ac:dyDescent="0.25">
      <c r="AE627" s="8" t="str">
        <f t="shared" si="27"/>
        <v/>
      </c>
      <c r="AF627" s="8" t="str">
        <f t="shared" si="28"/>
        <v/>
      </c>
      <c r="AG627" s="8" t="str">
        <f>IF(TRIM($E627)&lt;&gt;"Tax Paid","",IF(COUNTIFS(LISTS!$F$2:$F$26,$AE627,LISTS!$G$2:$G$26,$AF627)=0,"NOT ON LIST",""))</f>
        <v/>
      </c>
      <c r="AH627" s="8" t="str">
        <f t="shared" si="29"/>
        <v/>
      </c>
    </row>
    <row r="628" spans="31:34" x14ac:dyDescent="0.25">
      <c r="AE628" s="8" t="str">
        <f t="shared" si="27"/>
        <v/>
      </c>
      <c r="AF628" s="8" t="str">
        <f t="shared" si="28"/>
        <v/>
      </c>
      <c r="AG628" s="8" t="str">
        <f>IF(TRIM($E628)&lt;&gt;"Tax Paid","",IF(COUNTIFS(LISTS!$F$2:$F$26,$AE628,LISTS!$G$2:$G$26,$AF628)=0,"NOT ON LIST",""))</f>
        <v/>
      </c>
      <c r="AH628" s="8" t="str">
        <f t="shared" si="29"/>
        <v/>
      </c>
    </row>
    <row r="629" spans="31:34" x14ac:dyDescent="0.25">
      <c r="AE629" s="8" t="str">
        <f t="shared" si="27"/>
        <v/>
      </c>
      <c r="AF629" s="8" t="str">
        <f t="shared" si="28"/>
        <v/>
      </c>
      <c r="AG629" s="8" t="str">
        <f>IF(TRIM($E629)&lt;&gt;"Tax Paid","",IF(COUNTIFS(LISTS!$F$2:$F$26,$AE629,LISTS!$G$2:$G$26,$AF629)=0,"NOT ON LIST",""))</f>
        <v/>
      </c>
      <c r="AH629" s="8" t="str">
        <f t="shared" si="29"/>
        <v/>
      </c>
    </row>
    <row r="630" spans="31:34" x14ac:dyDescent="0.25">
      <c r="AE630" s="8" t="str">
        <f t="shared" si="27"/>
        <v/>
      </c>
      <c r="AF630" s="8" t="str">
        <f t="shared" si="28"/>
        <v/>
      </c>
      <c r="AG630" s="8" t="str">
        <f>IF(TRIM($E630)&lt;&gt;"Tax Paid","",IF(COUNTIFS(LISTS!$F$2:$F$26,$AE630,LISTS!$G$2:$G$26,$AF630)=0,"NOT ON LIST",""))</f>
        <v/>
      </c>
      <c r="AH630" s="8" t="str">
        <f t="shared" si="29"/>
        <v/>
      </c>
    </row>
    <row r="631" spans="31:34" x14ac:dyDescent="0.25">
      <c r="AE631" s="8" t="str">
        <f t="shared" si="27"/>
        <v/>
      </c>
      <c r="AF631" s="8" t="str">
        <f t="shared" si="28"/>
        <v/>
      </c>
      <c r="AG631" s="8" t="str">
        <f>IF(TRIM($E631)&lt;&gt;"Tax Paid","",IF(COUNTIFS(LISTS!$F$2:$F$26,$AE631,LISTS!$G$2:$G$26,$AF631)=0,"NOT ON LIST",""))</f>
        <v/>
      </c>
      <c r="AH631" s="8" t="str">
        <f t="shared" si="29"/>
        <v/>
      </c>
    </row>
    <row r="632" spans="31:34" x14ac:dyDescent="0.25">
      <c r="AE632" s="8" t="str">
        <f t="shared" si="27"/>
        <v/>
      </c>
      <c r="AF632" s="8" t="str">
        <f t="shared" si="28"/>
        <v/>
      </c>
      <c r="AG632" s="8" t="str">
        <f>IF(TRIM($E632)&lt;&gt;"Tax Paid","",IF(COUNTIFS(LISTS!$F$2:$F$26,$AE632,LISTS!$G$2:$G$26,$AF632)=0,"NOT ON LIST",""))</f>
        <v/>
      </c>
      <c r="AH632" s="8" t="str">
        <f t="shared" si="29"/>
        <v/>
      </c>
    </row>
    <row r="633" spans="31:34" x14ac:dyDescent="0.25">
      <c r="AE633" s="8" t="str">
        <f t="shared" si="27"/>
        <v/>
      </c>
      <c r="AF633" s="8" t="str">
        <f t="shared" si="28"/>
        <v/>
      </c>
      <c r="AG633" s="8" t="str">
        <f>IF(TRIM($E633)&lt;&gt;"Tax Paid","",IF(COUNTIFS(LISTS!$F$2:$F$26,$AE633,LISTS!$G$2:$G$26,$AF633)=0,"NOT ON LIST",""))</f>
        <v/>
      </c>
      <c r="AH633" s="8" t="str">
        <f t="shared" si="29"/>
        <v/>
      </c>
    </row>
    <row r="634" spans="31:34" x14ac:dyDescent="0.25">
      <c r="AE634" s="8" t="str">
        <f t="shared" si="27"/>
        <v/>
      </c>
      <c r="AF634" s="8" t="str">
        <f t="shared" si="28"/>
        <v/>
      </c>
      <c r="AG634" s="8" t="str">
        <f>IF(TRIM($E634)&lt;&gt;"Tax Paid","",IF(COUNTIFS(LISTS!$F$2:$F$26,$AE634,LISTS!$G$2:$G$26,$AF634)=0,"NOT ON LIST",""))</f>
        <v/>
      </c>
      <c r="AH634" s="8" t="str">
        <f t="shared" si="29"/>
        <v/>
      </c>
    </row>
    <row r="635" spans="31:34" x14ac:dyDescent="0.25">
      <c r="AE635" s="8" t="str">
        <f t="shared" si="27"/>
        <v/>
      </c>
      <c r="AF635" s="8" t="str">
        <f t="shared" si="28"/>
        <v/>
      </c>
      <c r="AG635" s="8" t="str">
        <f>IF(TRIM($E635)&lt;&gt;"Tax Paid","",IF(COUNTIFS(LISTS!$F$2:$F$26,$AE635,LISTS!$G$2:$G$26,$AF635)=0,"NOT ON LIST",""))</f>
        <v/>
      </c>
      <c r="AH635" s="8" t="str">
        <f t="shared" si="29"/>
        <v/>
      </c>
    </row>
    <row r="636" spans="31:34" x14ac:dyDescent="0.25">
      <c r="AE636" s="8" t="str">
        <f t="shared" si="27"/>
        <v/>
      </c>
      <c r="AF636" s="8" t="str">
        <f t="shared" si="28"/>
        <v/>
      </c>
      <c r="AG636" s="8" t="str">
        <f>IF(TRIM($E636)&lt;&gt;"Tax Paid","",IF(COUNTIFS(LISTS!$F$2:$F$26,$AE636,LISTS!$G$2:$G$26,$AF636)=0,"NOT ON LIST",""))</f>
        <v/>
      </c>
      <c r="AH636" s="8" t="str">
        <f t="shared" si="29"/>
        <v/>
      </c>
    </row>
    <row r="637" spans="31:34" x14ac:dyDescent="0.25">
      <c r="AE637" s="8" t="str">
        <f t="shared" si="27"/>
        <v/>
      </c>
      <c r="AF637" s="8" t="str">
        <f t="shared" si="28"/>
        <v/>
      </c>
      <c r="AG637" s="8" t="str">
        <f>IF(TRIM($E637)&lt;&gt;"Tax Paid","",IF(COUNTIFS(LISTS!$F$2:$F$26,$AE637,LISTS!$G$2:$G$26,$AF637)=0,"NOT ON LIST",""))</f>
        <v/>
      </c>
      <c r="AH637" s="8" t="str">
        <f t="shared" si="29"/>
        <v/>
      </c>
    </row>
    <row r="638" spans="31:34" x14ac:dyDescent="0.25">
      <c r="AE638" s="8" t="str">
        <f t="shared" si="27"/>
        <v/>
      </c>
      <c r="AF638" s="8" t="str">
        <f t="shared" si="28"/>
        <v/>
      </c>
      <c r="AG638" s="8" t="str">
        <f>IF(TRIM($E638)&lt;&gt;"Tax Paid","",IF(COUNTIFS(LISTS!$F$2:$F$26,$AE638,LISTS!$G$2:$G$26,$AF638)=0,"NOT ON LIST",""))</f>
        <v/>
      </c>
      <c r="AH638" s="8" t="str">
        <f t="shared" si="29"/>
        <v/>
      </c>
    </row>
    <row r="639" spans="31:34" x14ac:dyDescent="0.25">
      <c r="AE639" s="8" t="str">
        <f t="shared" si="27"/>
        <v/>
      </c>
      <c r="AF639" s="8" t="str">
        <f t="shared" si="28"/>
        <v/>
      </c>
      <c r="AG639" s="8" t="str">
        <f>IF(TRIM($E639)&lt;&gt;"Tax Paid","",IF(COUNTIFS(LISTS!$F$2:$F$26,$AE639,LISTS!$G$2:$G$26,$AF639)=0,"NOT ON LIST",""))</f>
        <v/>
      </c>
      <c r="AH639" s="8" t="str">
        <f t="shared" si="29"/>
        <v/>
      </c>
    </row>
    <row r="640" spans="31:34" x14ac:dyDescent="0.25">
      <c r="AE640" s="8" t="str">
        <f t="shared" si="27"/>
        <v/>
      </c>
      <c r="AF640" s="8" t="str">
        <f t="shared" si="28"/>
        <v/>
      </c>
      <c r="AG640" s="8" t="str">
        <f>IF(TRIM($E640)&lt;&gt;"Tax Paid","",IF(COUNTIFS(LISTS!$F$2:$F$26,$AE640,LISTS!$G$2:$G$26,$AF640)=0,"NOT ON LIST",""))</f>
        <v/>
      </c>
      <c r="AH640" s="8" t="str">
        <f t="shared" si="29"/>
        <v/>
      </c>
    </row>
    <row r="641" spans="31:34" x14ac:dyDescent="0.25">
      <c r="AE641" s="8" t="str">
        <f t="shared" si="27"/>
        <v/>
      </c>
      <c r="AF641" s="8" t="str">
        <f t="shared" si="28"/>
        <v/>
      </c>
      <c r="AG641" s="8" t="str">
        <f>IF(TRIM($E641)&lt;&gt;"Tax Paid","",IF(COUNTIFS(LISTS!$F$2:$F$26,$AE641,LISTS!$G$2:$G$26,$AF641)=0,"NOT ON LIST",""))</f>
        <v/>
      </c>
      <c r="AH641" s="8" t="str">
        <f t="shared" si="29"/>
        <v/>
      </c>
    </row>
    <row r="642" spans="31:34" x14ac:dyDescent="0.25">
      <c r="AE642" s="8" t="str">
        <f t="shared" ref="AE642:AE705" si="30">IF(TRIM($E642)="Tax Paid",TRIM($S642),"")</f>
        <v/>
      </c>
      <c r="AF642" s="8" t="str">
        <f t="shared" ref="AF642:AF705" si="31">IF(TRIM($E642)="Tax Paid",ROUND($Z642/100,5),"")</f>
        <v/>
      </c>
      <c r="AG642" s="8" t="str">
        <f>IF(TRIM($E642)&lt;&gt;"Tax Paid","",IF(COUNTIFS(LISTS!$F$2:$F$26,$AE642,LISTS!$G$2:$G$26,$AF642)=0,"NOT ON LIST",""))</f>
        <v/>
      </c>
      <c r="AH642" s="8" t="str">
        <f t="shared" ref="AH642:AH705" si="32">IF($AG642="","",IF($AE642="","(no county)",$AE642)&amp;" ("&amp;SUBSTITUTE(TEXT($AF642,"0.###%"),".%","%")&amp;")")</f>
        <v/>
      </c>
    </row>
    <row r="643" spans="31:34" x14ac:dyDescent="0.25">
      <c r="AE643" s="8" t="str">
        <f t="shared" si="30"/>
        <v/>
      </c>
      <c r="AF643" s="8" t="str">
        <f t="shared" si="31"/>
        <v/>
      </c>
      <c r="AG643" s="8" t="str">
        <f>IF(TRIM($E643)&lt;&gt;"Tax Paid","",IF(COUNTIFS(LISTS!$F$2:$F$26,$AE643,LISTS!$G$2:$G$26,$AF643)=0,"NOT ON LIST",""))</f>
        <v/>
      </c>
      <c r="AH643" s="8" t="str">
        <f t="shared" si="32"/>
        <v/>
      </c>
    </row>
    <row r="644" spans="31:34" x14ac:dyDescent="0.25">
      <c r="AE644" s="8" t="str">
        <f t="shared" si="30"/>
        <v/>
      </c>
      <c r="AF644" s="8" t="str">
        <f t="shared" si="31"/>
        <v/>
      </c>
      <c r="AG644" s="8" t="str">
        <f>IF(TRIM($E644)&lt;&gt;"Tax Paid","",IF(COUNTIFS(LISTS!$F$2:$F$26,$AE644,LISTS!$G$2:$G$26,$AF644)=0,"NOT ON LIST",""))</f>
        <v/>
      </c>
      <c r="AH644" s="8" t="str">
        <f t="shared" si="32"/>
        <v/>
      </c>
    </row>
    <row r="645" spans="31:34" x14ac:dyDescent="0.25">
      <c r="AE645" s="8" t="str">
        <f t="shared" si="30"/>
        <v/>
      </c>
      <c r="AF645" s="8" t="str">
        <f t="shared" si="31"/>
        <v/>
      </c>
      <c r="AG645" s="8" t="str">
        <f>IF(TRIM($E645)&lt;&gt;"Tax Paid","",IF(COUNTIFS(LISTS!$F$2:$F$26,$AE645,LISTS!$G$2:$G$26,$AF645)=0,"NOT ON LIST",""))</f>
        <v/>
      </c>
      <c r="AH645" s="8" t="str">
        <f t="shared" si="32"/>
        <v/>
      </c>
    </row>
    <row r="646" spans="31:34" x14ac:dyDescent="0.25">
      <c r="AE646" s="8" t="str">
        <f t="shared" si="30"/>
        <v/>
      </c>
      <c r="AF646" s="8" t="str">
        <f t="shared" si="31"/>
        <v/>
      </c>
      <c r="AG646" s="8" t="str">
        <f>IF(TRIM($E646)&lt;&gt;"Tax Paid","",IF(COUNTIFS(LISTS!$F$2:$F$26,$AE646,LISTS!$G$2:$G$26,$AF646)=0,"NOT ON LIST",""))</f>
        <v/>
      </c>
      <c r="AH646" s="8" t="str">
        <f t="shared" si="32"/>
        <v/>
      </c>
    </row>
    <row r="647" spans="31:34" x14ac:dyDescent="0.25">
      <c r="AE647" s="8" t="str">
        <f t="shared" si="30"/>
        <v/>
      </c>
      <c r="AF647" s="8" t="str">
        <f t="shared" si="31"/>
        <v/>
      </c>
      <c r="AG647" s="8" t="str">
        <f>IF(TRIM($E647)&lt;&gt;"Tax Paid","",IF(COUNTIFS(LISTS!$F$2:$F$26,$AE647,LISTS!$G$2:$G$26,$AF647)=0,"NOT ON LIST",""))</f>
        <v/>
      </c>
      <c r="AH647" s="8" t="str">
        <f t="shared" si="32"/>
        <v/>
      </c>
    </row>
    <row r="648" spans="31:34" x14ac:dyDescent="0.25">
      <c r="AE648" s="8" t="str">
        <f t="shared" si="30"/>
        <v/>
      </c>
      <c r="AF648" s="8" t="str">
        <f t="shared" si="31"/>
        <v/>
      </c>
      <c r="AG648" s="8" t="str">
        <f>IF(TRIM($E648)&lt;&gt;"Tax Paid","",IF(COUNTIFS(LISTS!$F$2:$F$26,$AE648,LISTS!$G$2:$G$26,$AF648)=0,"NOT ON LIST",""))</f>
        <v/>
      </c>
      <c r="AH648" s="8" t="str">
        <f t="shared" si="32"/>
        <v/>
      </c>
    </row>
    <row r="649" spans="31:34" x14ac:dyDescent="0.25">
      <c r="AE649" s="8" t="str">
        <f t="shared" si="30"/>
        <v/>
      </c>
      <c r="AF649" s="8" t="str">
        <f t="shared" si="31"/>
        <v/>
      </c>
      <c r="AG649" s="8" t="str">
        <f>IF(TRIM($E649)&lt;&gt;"Tax Paid","",IF(COUNTIFS(LISTS!$F$2:$F$26,$AE649,LISTS!$G$2:$G$26,$AF649)=0,"NOT ON LIST",""))</f>
        <v/>
      </c>
      <c r="AH649" s="8" t="str">
        <f t="shared" si="32"/>
        <v/>
      </c>
    </row>
    <row r="650" spans="31:34" x14ac:dyDescent="0.25">
      <c r="AE650" s="8" t="str">
        <f t="shared" si="30"/>
        <v/>
      </c>
      <c r="AF650" s="8" t="str">
        <f t="shared" si="31"/>
        <v/>
      </c>
      <c r="AG650" s="8" t="str">
        <f>IF(TRIM($E650)&lt;&gt;"Tax Paid","",IF(COUNTIFS(LISTS!$F$2:$F$26,$AE650,LISTS!$G$2:$G$26,$AF650)=0,"NOT ON LIST",""))</f>
        <v/>
      </c>
      <c r="AH650" s="8" t="str">
        <f t="shared" si="32"/>
        <v/>
      </c>
    </row>
    <row r="651" spans="31:34" x14ac:dyDescent="0.25">
      <c r="AE651" s="8" t="str">
        <f t="shared" si="30"/>
        <v/>
      </c>
      <c r="AF651" s="8" t="str">
        <f t="shared" si="31"/>
        <v/>
      </c>
      <c r="AG651" s="8" t="str">
        <f>IF(TRIM($E651)&lt;&gt;"Tax Paid","",IF(COUNTIFS(LISTS!$F$2:$F$26,$AE651,LISTS!$G$2:$G$26,$AF651)=0,"NOT ON LIST",""))</f>
        <v/>
      </c>
      <c r="AH651" s="8" t="str">
        <f t="shared" si="32"/>
        <v/>
      </c>
    </row>
    <row r="652" spans="31:34" x14ac:dyDescent="0.25">
      <c r="AE652" s="8" t="str">
        <f t="shared" si="30"/>
        <v/>
      </c>
      <c r="AF652" s="8" t="str">
        <f t="shared" si="31"/>
        <v/>
      </c>
      <c r="AG652" s="8" t="str">
        <f>IF(TRIM($E652)&lt;&gt;"Tax Paid","",IF(COUNTIFS(LISTS!$F$2:$F$26,$AE652,LISTS!$G$2:$G$26,$AF652)=0,"NOT ON LIST",""))</f>
        <v/>
      </c>
      <c r="AH652" s="8" t="str">
        <f t="shared" si="32"/>
        <v/>
      </c>
    </row>
    <row r="653" spans="31:34" x14ac:dyDescent="0.25">
      <c r="AE653" s="8" t="str">
        <f t="shared" si="30"/>
        <v/>
      </c>
      <c r="AF653" s="8" t="str">
        <f t="shared" si="31"/>
        <v/>
      </c>
      <c r="AG653" s="8" t="str">
        <f>IF(TRIM($E653)&lt;&gt;"Tax Paid","",IF(COUNTIFS(LISTS!$F$2:$F$26,$AE653,LISTS!$G$2:$G$26,$AF653)=0,"NOT ON LIST",""))</f>
        <v/>
      </c>
      <c r="AH653" s="8" t="str">
        <f t="shared" si="32"/>
        <v/>
      </c>
    </row>
    <row r="654" spans="31:34" x14ac:dyDescent="0.25">
      <c r="AE654" s="8" t="str">
        <f t="shared" si="30"/>
        <v/>
      </c>
      <c r="AF654" s="8" t="str">
        <f t="shared" si="31"/>
        <v/>
      </c>
      <c r="AG654" s="8" t="str">
        <f>IF(TRIM($E654)&lt;&gt;"Tax Paid","",IF(COUNTIFS(LISTS!$F$2:$F$26,$AE654,LISTS!$G$2:$G$26,$AF654)=0,"NOT ON LIST",""))</f>
        <v/>
      </c>
      <c r="AH654" s="8" t="str">
        <f t="shared" si="32"/>
        <v/>
      </c>
    </row>
    <row r="655" spans="31:34" x14ac:dyDescent="0.25">
      <c r="AE655" s="8" t="str">
        <f t="shared" si="30"/>
        <v/>
      </c>
      <c r="AF655" s="8" t="str">
        <f t="shared" si="31"/>
        <v/>
      </c>
      <c r="AG655" s="8" t="str">
        <f>IF(TRIM($E655)&lt;&gt;"Tax Paid","",IF(COUNTIFS(LISTS!$F$2:$F$26,$AE655,LISTS!$G$2:$G$26,$AF655)=0,"NOT ON LIST",""))</f>
        <v/>
      </c>
      <c r="AH655" s="8" t="str">
        <f t="shared" si="32"/>
        <v/>
      </c>
    </row>
    <row r="656" spans="31:34" x14ac:dyDescent="0.25">
      <c r="AE656" s="8" t="str">
        <f t="shared" si="30"/>
        <v/>
      </c>
      <c r="AF656" s="8" t="str">
        <f t="shared" si="31"/>
        <v/>
      </c>
      <c r="AG656" s="8" t="str">
        <f>IF(TRIM($E656)&lt;&gt;"Tax Paid","",IF(COUNTIFS(LISTS!$F$2:$F$26,$AE656,LISTS!$G$2:$G$26,$AF656)=0,"NOT ON LIST",""))</f>
        <v/>
      </c>
      <c r="AH656" s="8" t="str">
        <f t="shared" si="32"/>
        <v/>
      </c>
    </row>
    <row r="657" spans="31:34" x14ac:dyDescent="0.25">
      <c r="AE657" s="8" t="str">
        <f t="shared" si="30"/>
        <v/>
      </c>
      <c r="AF657" s="8" t="str">
        <f t="shared" si="31"/>
        <v/>
      </c>
      <c r="AG657" s="8" t="str">
        <f>IF(TRIM($E657)&lt;&gt;"Tax Paid","",IF(COUNTIFS(LISTS!$F$2:$F$26,$AE657,LISTS!$G$2:$G$26,$AF657)=0,"NOT ON LIST",""))</f>
        <v/>
      </c>
      <c r="AH657" s="8" t="str">
        <f t="shared" si="32"/>
        <v/>
      </c>
    </row>
    <row r="658" spans="31:34" x14ac:dyDescent="0.25">
      <c r="AE658" s="8" t="str">
        <f t="shared" si="30"/>
        <v/>
      </c>
      <c r="AF658" s="8" t="str">
        <f t="shared" si="31"/>
        <v/>
      </c>
      <c r="AG658" s="8" t="str">
        <f>IF(TRIM($E658)&lt;&gt;"Tax Paid","",IF(COUNTIFS(LISTS!$F$2:$F$26,$AE658,LISTS!$G$2:$G$26,$AF658)=0,"NOT ON LIST",""))</f>
        <v/>
      </c>
      <c r="AH658" s="8" t="str">
        <f t="shared" si="32"/>
        <v/>
      </c>
    </row>
    <row r="659" spans="31:34" x14ac:dyDescent="0.25">
      <c r="AE659" s="8" t="str">
        <f t="shared" si="30"/>
        <v/>
      </c>
      <c r="AF659" s="8" t="str">
        <f t="shared" si="31"/>
        <v/>
      </c>
      <c r="AG659" s="8" t="str">
        <f>IF(TRIM($E659)&lt;&gt;"Tax Paid","",IF(COUNTIFS(LISTS!$F$2:$F$26,$AE659,LISTS!$G$2:$G$26,$AF659)=0,"NOT ON LIST",""))</f>
        <v/>
      </c>
      <c r="AH659" s="8" t="str">
        <f t="shared" si="32"/>
        <v/>
      </c>
    </row>
    <row r="660" spans="31:34" x14ac:dyDescent="0.25">
      <c r="AE660" s="8" t="str">
        <f t="shared" si="30"/>
        <v/>
      </c>
      <c r="AF660" s="8" t="str">
        <f t="shared" si="31"/>
        <v/>
      </c>
      <c r="AG660" s="8" t="str">
        <f>IF(TRIM($E660)&lt;&gt;"Tax Paid","",IF(COUNTIFS(LISTS!$F$2:$F$26,$AE660,LISTS!$G$2:$G$26,$AF660)=0,"NOT ON LIST",""))</f>
        <v/>
      </c>
      <c r="AH660" s="8" t="str">
        <f t="shared" si="32"/>
        <v/>
      </c>
    </row>
    <row r="661" spans="31:34" x14ac:dyDescent="0.25">
      <c r="AE661" s="8" t="str">
        <f t="shared" si="30"/>
        <v/>
      </c>
      <c r="AF661" s="8" t="str">
        <f t="shared" si="31"/>
        <v/>
      </c>
      <c r="AG661" s="8" t="str">
        <f>IF(TRIM($E661)&lt;&gt;"Tax Paid","",IF(COUNTIFS(LISTS!$F$2:$F$26,$AE661,LISTS!$G$2:$G$26,$AF661)=0,"NOT ON LIST",""))</f>
        <v/>
      </c>
      <c r="AH661" s="8" t="str">
        <f t="shared" si="32"/>
        <v/>
      </c>
    </row>
    <row r="662" spans="31:34" x14ac:dyDescent="0.25">
      <c r="AE662" s="8" t="str">
        <f t="shared" si="30"/>
        <v/>
      </c>
      <c r="AF662" s="8" t="str">
        <f t="shared" si="31"/>
        <v/>
      </c>
      <c r="AG662" s="8" t="str">
        <f>IF(TRIM($E662)&lt;&gt;"Tax Paid","",IF(COUNTIFS(LISTS!$F$2:$F$26,$AE662,LISTS!$G$2:$G$26,$AF662)=0,"NOT ON LIST",""))</f>
        <v/>
      </c>
      <c r="AH662" s="8" t="str">
        <f t="shared" si="32"/>
        <v/>
      </c>
    </row>
    <row r="663" spans="31:34" x14ac:dyDescent="0.25">
      <c r="AE663" s="8" t="str">
        <f t="shared" si="30"/>
        <v/>
      </c>
      <c r="AF663" s="8" t="str">
        <f t="shared" si="31"/>
        <v/>
      </c>
      <c r="AG663" s="8" t="str">
        <f>IF(TRIM($E663)&lt;&gt;"Tax Paid","",IF(COUNTIFS(LISTS!$F$2:$F$26,$AE663,LISTS!$G$2:$G$26,$AF663)=0,"NOT ON LIST",""))</f>
        <v/>
      </c>
      <c r="AH663" s="8" t="str">
        <f t="shared" si="32"/>
        <v/>
      </c>
    </row>
    <row r="664" spans="31:34" x14ac:dyDescent="0.25">
      <c r="AE664" s="8" t="str">
        <f t="shared" si="30"/>
        <v/>
      </c>
      <c r="AF664" s="8" t="str">
        <f t="shared" si="31"/>
        <v/>
      </c>
      <c r="AG664" s="8" t="str">
        <f>IF(TRIM($E664)&lt;&gt;"Tax Paid","",IF(COUNTIFS(LISTS!$F$2:$F$26,$AE664,LISTS!$G$2:$G$26,$AF664)=0,"NOT ON LIST",""))</f>
        <v/>
      </c>
      <c r="AH664" s="8" t="str">
        <f t="shared" si="32"/>
        <v/>
      </c>
    </row>
    <row r="665" spans="31:34" x14ac:dyDescent="0.25">
      <c r="AE665" s="8" t="str">
        <f t="shared" si="30"/>
        <v/>
      </c>
      <c r="AF665" s="8" t="str">
        <f t="shared" si="31"/>
        <v/>
      </c>
      <c r="AG665" s="8" t="str">
        <f>IF(TRIM($E665)&lt;&gt;"Tax Paid","",IF(COUNTIFS(LISTS!$F$2:$F$26,$AE665,LISTS!$G$2:$G$26,$AF665)=0,"NOT ON LIST",""))</f>
        <v/>
      </c>
      <c r="AH665" s="8" t="str">
        <f t="shared" si="32"/>
        <v/>
      </c>
    </row>
    <row r="666" spans="31:34" x14ac:dyDescent="0.25">
      <c r="AE666" s="8" t="str">
        <f t="shared" si="30"/>
        <v/>
      </c>
      <c r="AF666" s="8" t="str">
        <f t="shared" si="31"/>
        <v/>
      </c>
      <c r="AG666" s="8" t="str">
        <f>IF(TRIM($E666)&lt;&gt;"Tax Paid","",IF(COUNTIFS(LISTS!$F$2:$F$26,$AE666,LISTS!$G$2:$G$26,$AF666)=0,"NOT ON LIST",""))</f>
        <v/>
      </c>
      <c r="AH666" s="8" t="str">
        <f t="shared" si="32"/>
        <v/>
      </c>
    </row>
    <row r="667" spans="31:34" x14ac:dyDescent="0.25">
      <c r="AE667" s="8" t="str">
        <f t="shared" si="30"/>
        <v/>
      </c>
      <c r="AF667" s="8" t="str">
        <f t="shared" si="31"/>
        <v/>
      </c>
      <c r="AG667" s="8" t="str">
        <f>IF(TRIM($E667)&lt;&gt;"Tax Paid","",IF(COUNTIFS(LISTS!$F$2:$F$26,$AE667,LISTS!$G$2:$G$26,$AF667)=0,"NOT ON LIST",""))</f>
        <v/>
      </c>
      <c r="AH667" s="8" t="str">
        <f t="shared" si="32"/>
        <v/>
      </c>
    </row>
    <row r="668" spans="31:34" x14ac:dyDescent="0.25">
      <c r="AE668" s="8" t="str">
        <f t="shared" si="30"/>
        <v/>
      </c>
      <c r="AF668" s="8" t="str">
        <f t="shared" si="31"/>
        <v/>
      </c>
      <c r="AG668" s="8" t="str">
        <f>IF(TRIM($E668)&lt;&gt;"Tax Paid","",IF(COUNTIFS(LISTS!$F$2:$F$26,$AE668,LISTS!$G$2:$G$26,$AF668)=0,"NOT ON LIST",""))</f>
        <v/>
      </c>
      <c r="AH668" s="8" t="str">
        <f t="shared" si="32"/>
        <v/>
      </c>
    </row>
    <row r="669" spans="31:34" x14ac:dyDescent="0.25">
      <c r="AE669" s="8" t="str">
        <f t="shared" si="30"/>
        <v/>
      </c>
      <c r="AF669" s="8" t="str">
        <f t="shared" si="31"/>
        <v/>
      </c>
      <c r="AG669" s="8" t="str">
        <f>IF(TRIM($E669)&lt;&gt;"Tax Paid","",IF(COUNTIFS(LISTS!$F$2:$F$26,$AE669,LISTS!$G$2:$G$26,$AF669)=0,"NOT ON LIST",""))</f>
        <v/>
      </c>
      <c r="AH669" s="8" t="str">
        <f t="shared" si="32"/>
        <v/>
      </c>
    </row>
    <row r="670" spans="31:34" x14ac:dyDescent="0.25">
      <c r="AE670" s="8" t="str">
        <f t="shared" si="30"/>
        <v/>
      </c>
      <c r="AF670" s="8" t="str">
        <f t="shared" si="31"/>
        <v/>
      </c>
      <c r="AG670" s="8" t="str">
        <f>IF(TRIM($E670)&lt;&gt;"Tax Paid","",IF(COUNTIFS(LISTS!$F$2:$F$26,$AE670,LISTS!$G$2:$G$26,$AF670)=0,"NOT ON LIST",""))</f>
        <v/>
      </c>
      <c r="AH670" s="8" t="str">
        <f t="shared" si="32"/>
        <v/>
      </c>
    </row>
    <row r="671" spans="31:34" x14ac:dyDescent="0.25">
      <c r="AE671" s="8" t="str">
        <f t="shared" si="30"/>
        <v/>
      </c>
      <c r="AF671" s="8" t="str">
        <f t="shared" si="31"/>
        <v/>
      </c>
      <c r="AG671" s="8" t="str">
        <f>IF(TRIM($E671)&lt;&gt;"Tax Paid","",IF(COUNTIFS(LISTS!$F$2:$F$26,$AE671,LISTS!$G$2:$G$26,$AF671)=0,"NOT ON LIST",""))</f>
        <v/>
      </c>
      <c r="AH671" s="8" t="str">
        <f t="shared" si="32"/>
        <v/>
      </c>
    </row>
    <row r="672" spans="31:34" x14ac:dyDescent="0.25">
      <c r="AE672" s="8" t="str">
        <f t="shared" si="30"/>
        <v/>
      </c>
      <c r="AF672" s="8" t="str">
        <f t="shared" si="31"/>
        <v/>
      </c>
      <c r="AG672" s="8" t="str">
        <f>IF(TRIM($E672)&lt;&gt;"Tax Paid","",IF(COUNTIFS(LISTS!$F$2:$F$26,$AE672,LISTS!$G$2:$G$26,$AF672)=0,"NOT ON LIST",""))</f>
        <v/>
      </c>
      <c r="AH672" s="8" t="str">
        <f t="shared" si="32"/>
        <v/>
      </c>
    </row>
    <row r="673" spans="31:34" x14ac:dyDescent="0.25">
      <c r="AE673" s="8" t="str">
        <f t="shared" si="30"/>
        <v/>
      </c>
      <c r="AF673" s="8" t="str">
        <f t="shared" si="31"/>
        <v/>
      </c>
      <c r="AG673" s="8" t="str">
        <f>IF(TRIM($E673)&lt;&gt;"Tax Paid","",IF(COUNTIFS(LISTS!$F$2:$F$26,$AE673,LISTS!$G$2:$G$26,$AF673)=0,"NOT ON LIST",""))</f>
        <v/>
      </c>
      <c r="AH673" s="8" t="str">
        <f t="shared" si="32"/>
        <v/>
      </c>
    </row>
    <row r="674" spans="31:34" x14ac:dyDescent="0.25">
      <c r="AE674" s="8" t="str">
        <f t="shared" si="30"/>
        <v/>
      </c>
      <c r="AF674" s="8" t="str">
        <f t="shared" si="31"/>
        <v/>
      </c>
      <c r="AG674" s="8" t="str">
        <f>IF(TRIM($E674)&lt;&gt;"Tax Paid","",IF(COUNTIFS(LISTS!$F$2:$F$26,$AE674,LISTS!$G$2:$G$26,$AF674)=0,"NOT ON LIST",""))</f>
        <v/>
      </c>
      <c r="AH674" s="8" t="str">
        <f t="shared" si="32"/>
        <v/>
      </c>
    </row>
    <row r="675" spans="31:34" x14ac:dyDescent="0.25">
      <c r="AE675" s="8" t="str">
        <f t="shared" si="30"/>
        <v/>
      </c>
      <c r="AF675" s="8" t="str">
        <f t="shared" si="31"/>
        <v/>
      </c>
      <c r="AG675" s="8" t="str">
        <f>IF(TRIM($E675)&lt;&gt;"Tax Paid","",IF(COUNTIFS(LISTS!$F$2:$F$26,$AE675,LISTS!$G$2:$G$26,$AF675)=0,"NOT ON LIST",""))</f>
        <v/>
      </c>
      <c r="AH675" s="8" t="str">
        <f t="shared" si="32"/>
        <v/>
      </c>
    </row>
    <row r="676" spans="31:34" x14ac:dyDescent="0.25">
      <c r="AE676" s="8" t="str">
        <f t="shared" si="30"/>
        <v/>
      </c>
      <c r="AF676" s="8" t="str">
        <f t="shared" si="31"/>
        <v/>
      </c>
      <c r="AG676" s="8" t="str">
        <f>IF(TRIM($E676)&lt;&gt;"Tax Paid","",IF(COUNTIFS(LISTS!$F$2:$F$26,$AE676,LISTS!$G$2:$G$26,$AF676)=0,"NOT ON LIST",""))</f>
        <v/>
      </c>
      <c r="AH676" s="8" t="str">
        <f t="shared" si="32"/>
        <v/>
      </c>
    </row>
    <row r="677" spans="31:34" x14ac:dyDescent="0.25">
      <c r="AE677" s="8" t="str">
        <f t="shared" si="30"/>
        <v/>
      </c>
      <c r="AF677" s="8" t="str">
        <f t="shared" si="31"/>
        <v/>
      </c>
      <c r="AG677" s="8" t="str">
        <f>IF(TRIM($E677)&lt;&gt;"Tax Paid","",IF(COUNTIFS(LISTS!$F$2:$F$26,$AE677,LISTS!$G$2:$G$26,$AF677)=0,"NOT ON LIST",""))</f>
        <v/>
      </c>
      <c r="AH677" s="8" t="str">
        <f t="shared" si="32"/>
        <v/>
      </c>
    </row>
    <row r="678" spans="31:34" x14ac:dyDescent="0.25">
      <c r="AE678" s="8" t="str">
        <f t="shared" si="30"/>
        <v/>
      </c>
      <c r="AF678" s="8" t="str">
        <f t="shared" si="31"/>
        <v/>
      </c>
      <c r="AG678" s="8" t="str">
        <f>IF(TRIM($E678)&lt;&gt;"Tax Paid","",IF(COUNTIFS(LISTS!$F$2:$F$26,$AE678,LISTS!$G$2:$G$26,$AF678)=0,"NOT ON LIST",""))</f>
        <v/>
      </c>
      <c r="AH678" s="8" t="str">
        <f t="shared" si="32"/>
        <v/>
      </c>
    </row>
    <row r="679" spans="31:34" x14ac:dyDescent="0.25">
      <c r="AE679" s="8" t="str">
        <f t="shared" si="30"/>
        <v/>
      </c>
      <c r="AF679" s="8" t="str">
        <f t="shared" si="31"/>
        <v/>
      </c>
      <c r="AG679" s="8" t="str">
        <f>IF(TRIM($E679)&lt;&gt;"Tax Paid","",IF(COUNTIFS(LISTS!$F$2:$F$26,$AE679,LISTS!$G$2:$G$26,$AF679)=0,"NOT ON LIST",""))</f>
        <v/>
      </c>
      <c r="AH679" s="8" t="str">
        <f t="shared" si="32"/>
        <v/>
      </c>
    </row>
    <row r="680" spans="31:34" x14ac:dyDescent="0.25">
      <c r="AE680" s="8" t="str">
        <f t="shared" si="30"/>
        <v/>
      </c>
      <c r="AF680" s="8" t="str">
        <f t="shared" si="31"/>
        <v/>
      </c>
      <c r="AG680" s="8" t="str">
        <f>IF(TRIM($E680)&lt;&gt;"Tax Paid","",IF(COUNTIFS(LISTS!$F$2:$F$26,$AE680,LISTS!$G$2:$G$26,$AF680)=0,"NOT ON LIST",""))</f>
        <v/>
      </c>
      <c r="AH680" s="8" t="str">
        <f t="shared" si="32"/>
        <v/>
      </c>
    </row>
    <row r="681" spans="31:34" x14ac:dyDescent="0.25">
      <c r="AE681" s="8" t="str">
        <f t="shared" si="30"/>
        <v/>
      </c>
      <c r="AF681" s="8" t="str">
        <f t="shared" si="31"/>
        <v/>
      </c>
      <c r="AG681" s="8" t="str">
        <f>IF(TRIM($E681)&lt;&gt;"Tax Paid","",IF(COUNTIFS(LISTS!$F$2:$F$26,$AE681,LISTS!$G$2:$G$26,$AF681)=0,"NOT ON LIST",""))</f>
        <v/>
      </c>
      <c r="AH681" s="8" t="str">
        <f t="shared" si="32"/>
        <v/>
      </c>
    </row>
    <row r="682" spans="31:34" x14ac:dyDescent="0.25">
      <c r="AE682" s="8" t="str">
        <f t="shared" si="30"/>
        <v/>
      </c>
      <c r="AF682" s="8" t="str">
        <f t="shared" si="31"/>
        <v/>
      </c>
      <c r="AG682" s="8" t="str">
        <f>IF(TRIM($E682)&lt;&gt;"Tax Paid","",IF(COUNTIFS(LISTS!$F$2:$F$26,$AE682,LISTS!$G$2:$G$26,$AF682)=0,"NOT ON LIST",""))</f>
        <v/>
      </c>
      <c r="AH682" s="8" t="str">
        <f t="shared" si="32"/>
        <v/>
      </c>
    </row>
    <row r="683" spans="31:34" x14ac:dyDescent="0.25">
      <c r="AE683" s="8" t="str">
        <f t="shared" si="30"/>
        <v/>
      </c>
      <c r="AF683" s="8" t="str">
        <f t="shared" si="31"/>
        <v/>
      </c>
      <c r="AG683" s="8" t="str">
        <f>IF(TRIM($E683)&lt;&gt;"Tax Paid","",IF(COUNTIFS(LISTS!$F$2:$F$26,$AE683,LISTS!$G$2:$G$26,$AF683)=0,"NOT ON LIST",""))</f>
        <v/>
      </c>
      <c r="AH683" s="8" t="str">
        <f t="shared" si="32"/>
        <v/>
      </c>
    </row>
    <row r="684" spans="31:34" x14ac:dyDescent="0.25">
      <c r="AE684" s="8" t="str">
        <f t="shared" si="30"/>
        <v/>
      </c>
      <c r="AF684" s="8" t="str">
        <f t="shared" si="31"/>
        <v/>
      </c>
      <c r="AG684" s="8" t="str">
        <f>IF(TRIM($E684)&lt;&gt;"Tax Paid","",IF(COUNTIFS(LISTS!$F$2:$F$26,$AE684,LISTS!$G$2:$G$26,$AF684)=0,"NOT ON LIST",""))</f>
        <v/>
      </c>
      <c r="AH684" s="8" t="str">
        <f t="shared" si="32"/>
        <v/>
      </c>
    </row>
    <row r="685" spans="31:34" x14ac:dyDescent="0.25">
      <c r="AE685" s="8" t="str">
        <f t="shared" si="30"/>
        <v/>
      </c>
      <c r="AF685" s="8" t="str">
        <f t="shared" si="31"/>
        <v/>
      </c>
      <c r="AG685" s="8" t="str">
        <f>IF(TRIM($E685)&lt;&gt;"Tax Paid","",IF(COUNTIFS(LISTS!$F$2:$F$26,$AE685,LISTS!$G$2:$G$26,$AF685)=0,"NOT ON LIST",""))</f>
        <v/>
      </c>
      <c r="AH685" s="8" t="str">
        <f t="shared" si="32"/>
        <v/>
      </c>
    </row>
    <row r="686" spans="31:34" x14ac:dyDescent="0.25">
      <c r="AE686" s="8" t="str">
        <f t="shared" si="30"/>
        <v/>
      </c>
      <c r="AF686" s="8" t="str">
        <f t="shared" si="31"/>
        <v/>
      </c>
      <c r="AG686" s="8" t="str">
        <f>IF(TRIM($E686)&lt;&gt;"Tax Paid","",IF(COUNTIFS(LISTS!$F$2:$F$26,$AE686,LISTS!$G$2:$G$26,$AF686)=0,"NOT ON LIST",""))</f>
        <v/>
      </c>
      <c r="AH686" s="8" t="str">
        <f t="shared" si="32"/>
        <v/>
      </c>
    </row>
    <row r="687" spans="31:34" x14ac:dyDescent="0.25">
      <c r="AE687" s="8" t="str">
        <f t="shared" si="30"/>
        <v/>
      </c>
      <c r="AF687" s="8" t="str">
        <f t="shared" si="31"/>
        <v/>
      </c>
      <c r="AG687" s="8" t="str">
        <f>IF(TRIM($E687)&lt;&gt;"Tax Paid","",IF(COUNTIFS(LISTS!$F$2:$F$26,$AE687,LISTS!$G$2:$G$26,$AF687)=0,"NOT ON LIST",""))</f>
        <v/>
      </c>
      <c r="AH687" s="8" t="str">
        <f t="shared" si="32"/>
        <v/>
      </c>
    </row>
    <row r="688" spans="31:34" x14ac:dyDescent="0.25">
      <c r="AE688" s="8" t="str">
        <f t="shared" si="30"/>
        <v/>
      </c>
      <c r="AF688" s="8" t="str">
        <f t="shared" si="31"/>
        <v/>
      </c>
      <c r="AG688" s="8" t="str">
        <f>IF(TRIM($E688)&lt;&gt;"Tax Paid","",IF(COUNTIFS(LISTS!$F$2:$F$26,$AE688,LISTS!$G$2:$G$26,$AF688)=0,"NOT ON LIST",""))</f>
        <v/>
      </c>
      <c r="AH688" s="8" t="str">
        <f t="shared" si="32"/>
        <v/>
      </c>
    </row>
    <row r="689" spans="31:34" x14ac:dyDescent="0.25">
      <c r="AE689" s="8" t="str">
        <f t="shared" si="30"/>
        <v/>
      </c>
      <c r="AF689" s="8" t="str">
        <f t="shared" si="31"/>
        <v/>
      </c>
      <c r="AG689" s="8" t="str">
        <f>IF(TRIM($E689)&lt;&gt;"Tax Paid","",IF(COUNTIFS(LISTS!$F$2:$F$26,$AE689,LISTS!$G$2:$G$26,$AF689)=0,"NOT ON LIST",""))</f>
        <v/>
      </c>
      <c r="AH689" s="8" t="str">
        <f t="shared" si="32"/>
        <v/>
      </c>
    </row>
    <row r="690" spans="31:34" x14ac:dyDescent="0.25">
      <c r="AE690" s="8" t="str">
        <f t="shared" si="30"/>
        <v/>
      </c>
      <c r="AF690" s="8" t="str">
        <f t="shared" si="31"/>
        <v/>
      </c>
      <c r="AG690" s="8" t="str">
        <f>IF(TRIM($E690)&lt;&gt;"Tax Paid","",IF(COUNTIFS(LISTS!$F$2:$F$26,$AE690,LISTS!$G$2:$G$26,$AF690)=0,"NOT ON LIST",""))</f>
        <v/>
      </c>
      <c r="AH690" s="8" t="str">
        <f t="shared" si="32"/>
        <v/>
      </c>
    </row>
    <row r="691" spans="31:34" x14ac:dyDescent="0.25">
      <c r="AE691" s="8" t="str">
        <f t="shared" si="30"/>
        <v/>
      </c>
      <c r="AF691" s="8" t="str">
        <f t="shared" si="31"/>
        <v/>
      </c>
      <c r="AG691" s="8" t="str">
        <f>IF(TRIM($E691)&lt;&gt;"Tax Paid","",IF(COUNTIFS(LISTS!$F$2:$F$26,$AE691,LISTS!$G$2:$G$26,$AF691)=0,"NOT ON LIST",""))</f>
        <v/>
      </c>
      <c r="AH691" s="8" t="str">
        <f t="shared" si="32"/>
        <v/>
      </c>
    </row>
    <row r="692" spans="31:34" x14ac:dyDescent="0.25">
      <c r="AE692" s="8" t="str">
        <f t="shared" si="30"/>
        <v/>
      </c>
      <c r="AF692" s="8" t="str">
        <f t="shared" si="31"/>
        <v/>
      </c>
      <c r="AG692" s="8" t="str">
        <f>IF(TRIM($E692)&lt;&gt;"Tax Paid","",IF(COUNTIFS(LISTS!$F$2:$F$26,$AE692,LISTS!$G$2:$G$26,$AF692)=0,"NOT ON LIST",""))</f>
        <v/>
      </c>
      <c r="AH692" s="8" t="str">
        <f t="shared" si="32"/>
        <v/>
      </c>
    </row>
    <row r="693" spans="31:34" x14ac:dyDescent="0.25">
      <c r="AE693" s="8" t="str">
        <f t="shared" si="30"/>
        <v/>
      </c>
      <c r="AF693" s="8" t="str">
        <f t="shared" si="31"/>
        <v/>
      </c>
      <c r="AG693" s="8" t="str">
        <f>IF(TRIM($E693)&lt;&gt;"Tax Paid","",IF(COUNTIFS(LISTS!$F$2:$F$26,$AE693,LISTS!$G$2:$G$26,$AF693)=0,"NOT ON LIST",""))</f>
        <v/>
      </c>
      <c r="AH693" s="8" t="str">
        <f t="shared" si="32"/>
        <v/>
      </c>
    </row>
    <row r="694" spans="31:34" x14ac:dyDescent="0.25">
      <c r="AE694" s="8" t="str">
        <f t="shared" si="30"/>
        <v/>
      </c>
      <c r="AF694" s="8" t="str">
        <f t="shared" si="31"/>
        <v/>
      </c>
      <c r="AG694" s="8" t="str">
        <f>IF(TRIM($E694)&lt;&gt;"Tax Paid","",IF(COUNTIFS(LISTS!$F$2:$F$26,$AE694,LISTS!$G$2:$G$26,$AF694)=0,"NOT ON LIST",""))</f>
        <v/>
      </c>
      <c r="AH694" s="8" t="str">
        <f t="shared" si="32"/>
        <v/>
      </c>
    </row>
    <row r="695" spans="31:34" x14ac:dyDescent="0.25">
      <c r="AE695" s="8" t="str">
        <f t="shared" si="30"/>
        <v/>
      </c>
      <c r="AF695" s="8" t="str">
        <f t="shared" si="31"/>
        <v/>
      </c>
      <c r="AG695" s="8" t="str">
        <f>IF(TRIM($E695)&lt;&gt;"Tax Paid","",IF(COUNTIFS(LISTS!$F$2:$F$26,$AE695,LISTS!$G$2:$G$26,$AF695)=0,"NOT ON LIST",""))</f>
        <v/>
      </c>
      <c r="AH695" s="8" t="str">
        <f t="shared" si="32"/>
        <v/>
      </c>
    </row>
    <row r="696" spans="31:34" x14ac:dyDescent="0.25">
      <c r="AE696" s="8" t="str">
        <f t="shared" si="30"/>
        <v/>
      </c>
      <c r="AF696" s="8" t="str">
        <f t="shared" si="31"/>
        <v/>
      </c>
      <c r="AG696" s="8" t="str">
        <f>IF(TRIM($E696)&lt;&gt;"Tax Paid","",IF(COUNTIFS(LISTS!$F$2:$F$26,$AE696,LISTS!$G$2:$G$26,$AF696)=0,"NOT ON LIST",""))</f>
        <v/>
      </c>
      <c r="AH696" s="8" t="str">
        <f t="shared" si="32"/>
        <v/>
      </c>
    </row>
    <row r="697" spans="31:34" x14ac:dyDescent="0.25">
      <c r="AE697" s="8" t="str">
        <f t="shared" si="30"/>
        <v/>
      </c>
      <c r="AF697" s="8" t="str">
        <f t="shared" si="31"/>
        <v/>
      </c>
      <c r="AG697" s="8" t="str">
        <f>IF(TRIM($E697)&lt;&gt;"Tax Paid","",IF(COUNTIFS(LISTS!$F$2:$F$26,$AE697,LISTS!$G$2:$G$26,$AF697)=0,"NOT ON LIST",""))</f>
        <v/>
      </c>
      <c r="AH697" s="8" t="str">
        <f t="shared" si="32"/>
        <v/>
      </c>
    </row>
    <row r="698" spans="31:34" x14ac:dyDescent="0.25">
      <c r="AE698" s="8" t="str">
        <f t="shared" si="30"/>
        <v/>
      </c>
      <c r="AF698" s="8" t="str">
        <f t="shared" si="31"/>
        <v/>
      </c>
      <c r="AG698" s="8" t="str">
        <f>IF(TRIM($E698)&lt;&gt;"Tax Paid","",IF(COUNTIFS(LISTS!$F$2:$F$26,$AE698,LISTS!$G$2:$G$26,$AF698)=0,"NOT ON LIST",""))</f>
        <v/>
      </c>
      <c r="AH698" s="8" t="str">
        <f t="shared" si="32"/>
        <v/>
      </c>
    </row>
    <row r="699" spans="31:34" x14ac:dyDescent="0.25">
      <c r="AE699" s="8" t="str">
        <f t="shared" si="30"/>
        <v/>
      </c>
      <c r="AF699" s="8" t="str">
        <f t="shared" si="31"/>
        <v/>
      </c>
      <c r="AG699" s="8" t="str">
        <f>IF(TRIM($E699)&lt;&gt;"Tax Paid","",IF(COUNTIFS(LISTS!$F$2:$F$26,$AE699,LISTS!$G$2:$G$26,$AF699)=0,"NOT ON LIST",""))</f>
        <v/>
      </c>
      <c r="AH699" s="8" t="str">
        <f t="shared" si="32"/>
        <v/>
      </c>
    </row>
    <row r="700" spans="31:34" x14ac:dyDescent="0.25">
      <c r="AE700" s="8" t="str">
        <f t="shared" si="30"/>
        <v/>
      </c>
      <c r="AF700" s="8" t="str">
        <f t="shared" si="31"/>
        <v/>
      </c>
      <c r="AG700" s="8" t="str">
        <f>IF(TRIM($E700)&lt;&gt;"Tax Paid","",IF(COUNTIFS(LISTS!$F$2:$F$26,$AE700,LISTS!$G$2:$G$26,$AF700)=0,"NOT ON LIST",""))</f>
        <v/>
      </c>
      <c r="AH700" s="8" t="str">
        <f t="shared" si="32"/>
        <v/>
      </c>
    </row>
    <row r="701" spans="31:34" x14ac:dyDescent="0.25">
      <c r="AE701" s="8" t="str">
        <f t="shared" si="30"/>
        <v/>
      </c>
      <c r="AF701" s="8" t="str">
        <f t="shared" si="31"/>
        <v/>
      </c>
      <c r="AG701" s="8" t="str">
        <f>IF(TRIM($E701)&lt;&gt;"Tax Paid","",IF(COUNTIFS(LISTS!$F$2:$F$26,$AE701,LISTS!$G$2:$G$26,$AF701)=0,"NOT ON LIST",""))</f>
        <v/>
      </c>
      <c r="AH701" s="8" t="str">
        <f t="shared" si="32"/>
        <v/>
      </c>
    </row>
    <row r="702" spans="31:34" x14ac:dyDescent="0.25">
      <c r="AE702" s="8" t="str">
        <f t="shared" si="30"/>
        <v/>
      </c>
      <c r="AF702" s="8" t="str">
        <f t="shared" si="31"/>
        <v/>
      </c>
      <c r="AG702" s="8" t="str">
        <f>IF(TRIM($E702)&lt;&gt;"Tax Paid","",IF(COUNTIFS(LISTS!$F$2:$F$26,$AE702,LISTS!$G$2:$G$26,$AF702)=0,"NOT ON LIST",""))</f>
        <v/>
      </c>
      <c r="AH702" s="8" t="str">
        <f t="shared" si="32"/>
        <v/>
      </c>
    </row>
    <row r="703" spans="31:34" x14ac:dyDescent="0.25">
      <c r="AE703" s="8" t="str">
        <f t="shared" si="30"/>
        <v/>
      </c>
      <c r="AF703" s="8" t="str">
        <f t="shared" si="31"/>
        <v/>
      </c>
      <c r="AG703" s="8" t="str">
        <f>IF(TRIM($E703)&lt;&gt;"Tax Paid","",IF(COUNTIFS(LISTS!$F$2:$F$26,$AE703,LISTS!$G$2:$G$26,$AF703)=0,"NOT ON LIST",""))</f>
        <v/>
      </c>
      <c r="AH703" s="8" t="str">
        <f t="shared" si="32"/>
        <v/>
      </c>
    </row>
    <row r="704" spans="31:34" x14ac:dyDescent="0.25">
      <c r="AE704" s="8" t="str">
        <f t="shared" si="30"/>
        <v/>
      </c>
      <c r="AF704" s="8" t="str">
        <f t="shared" si="31"/>
        <v/>
      </c>
      <c r="AG704" s="8" t="str">
        <f>IF(TRIM($E704)&lt;&gt;"Tax Paid","",IF(COUNTIFS(LISTS!$F$2:$F$26,$AE704,LISTS!$G$2:$G$26,$AF704)=0,"NOT ON LIST",""))</f>
        <v/>
      </c>
      <c r="AH704" s="8" t="str">
        <f t="shared" si="32"/>
        <v/>
      </c>
    </row>
    <row r="705" spans="31:34" x14ac:dyDescent="0.25">
      <c r="AE705" s="8" t="str">
        <f t="shared" si="30"/>
        <v/>
      </c>
      <c r="AF705" s="8" t="str">
        <f t="shared" si="31"/>
        <v/>
      </c>
      <c r="AG705" s="8" t="str">
        <f>IF(TRIM($E705)&lt;&gt;"Tax Paid","",IF(COUNTIFS(LISTS!$F$2:$F$26,$AE705,LISTS!$G$2:$G$26,$AF705)=0,"NOT ON LIST",""))</f>
        <v/>
      </c>
      <c r="AH705" s="8" t="str">
        <f t="shared" si="32"/>
        <v/>
      </c>
    </row>
    <row r="706" spans="31:34" x14ac:dyDescent="0.25">
      <c r="AE706" s="8" t="str">
        <f t="shared" ref="AE706:AE769" si="33">IF(TRIM($E706)="Tax Paid",TRIM($S706),"")</f>
        <v/>
      </c>
      <c r="AF706" s="8" t="str">
        <f t="shared" ref="AF706:AF769" si="34">IF(TRIM($E706)="Tax Paid",ROUND($Z706/100,5),"")</f>
        <v/>
      </c>
      <c r="AG706" s="8" t="str">
        <f>IF(TRIM($E706)&lt;&gt;"Tax Paid","",IF(COUNTIFS(LISTS!$F$2:$F$26,$AE706,LISTS!$G$2:$G$26,$AF706)=0,"NOT ON LIST",""))</f>
        <v/>
      </c>
      <c r="AH706" s="8" t="str">
        <f t="shared" ref="AH706:AH769" si="35">IF($AG706="","",IF($AE706="","(no county)",$AE706)&amp;" ("&amp;SUBSTITUTE(TEXT($AF706,"0.###%"),".%","%")&amp;")")</f>
        <v/>
      </c>
    </row>
    <row r="707" spans="31:34" x14ac:dyDescent="0.25">
      <c r="AE707" s="8" t="str">
        <f t="shared" si="33"/>
        <v/>
      </c>
      <c r="AF707" s="8" t="str">
        <f t="shared" si="34"/>
        <v/>
      </c>
      <c r="AG707" s="8" t="str">
        <f>IF(TRIM($E707)&lt;&gt;"Tax Paid","",IF(COUNTIFS(LISTS!$F$2:$F$26,$AE707,LISTS!$G$2:$G$26,$AF707)=0,"NOT ON LIST",""))</f>
        <v/>
      </c>
      <c r="AH707" s="8" t="str">
        <f t="shared" si="35"/>
        <v/>
      </c>
    </row>
    <row r="708" spans="31:34" x14ac:dyDescent="0.25">
      <c r="AE708" s="8" t="str">
        <f t="shared" si="33"/>
        <v/>
      </c>
      <c r="AF708" s="8" t="str">
        <f t="shared" si="34"/>
        <v/>
      </c>
      <c r="AG708" s="8" t="str">
        <f>IF(TRIM($E708)&lt;&gt;"Tax Paid","",IF(COUNTIFS(LISTS!$F$2:$F$26,$AE708,LISTS!$G$2:$G$26,$AF708)=0,"NOT ON LIST",""))</f>
        <v/>
      </c>
      <c r="AH708" s="8" t="str">
        <f t="shared" si="35"/>
        <v/>
      </c>
    </row>
    <row r="709" spans="31:34" x14ac:dyDescent="0.25">
      <c r="AE709" s="8" t="str">
        <f t="shared" si="33"/>
        <v/>
      </c>
      <c r="AF709" s="8" t="str">
        <f t="shared" si="34"/>
        <v/>
      </c>
      <c r="AG709" s="8" t="str">
        <f>IF(TRIM($E709)&lt;&gt;"Tax Paid","",IF(COUNTIFS(LISTS!$F$2:$F$26,$AE709,LISTS!$G$2:$G$26,$AF709)=0,"NOT ON LIST",""))</f>
        <v/>
      </c>
      <c r="AH709" s="8" t="str">
        <f t="shared" si="35"/>
        <v/>
      </c>
    </row>
    <row r="710" spans="31:34" x14ac:dyDescent="0.25">
      <c r="AE710" s="8" t="str">
        <f t="shared" si="33"/>
        <v/>
      </c>
      <c r="AF710" s="8" t="str">
        <f t="shared" si="34"/>
        <v/>
      </c>
      <c r="AG710" s="8" t="str">
        <f>IF(TRIM($E710)&lt;&gt;"Tax Paid","",IF(COUNTIFS(LISTS!$F$2:$F$26,$AE710,LISTS!$G$2:$G$26,$AF710)=0,"NOT ON LIST",""))</f>
        <v/>
      </c>
      <c r="AH710" s="8" t="str">
        <f t="shared" si="35"/>
        <v/>
      </c>
    </row>
    <row r="711" spans="31:34" x14ac:dyDescent="0.25">
      <c r="AE711" s="8" t="str">
        <f t="shared" si="33"/>
        <v/>
      </c>
      <c r="AF711" s="8" t="str">
        <f t="shared" si="34"/>
        <v/>
      </c>
      <c r="AG711" s="8" t="str">
        <f>IF(TRIM($E711)&lt;&gt;"Tax Paid","",IF(COUNTIFS(LISTS!$F$2:$F$26,$AE711,LISTS!$G$2:$G$26,$AF711)=0,"NOT ON LIST",""))</f>
        <v/>
      </c>
      <c r="AH711" s="8" t="str">
        <f t="shared" si="35"/>
        <v/>
      </c>
    </row>
    <row r="712" spans="31:34" x14ac:dyDescent="0.25">
      <c r="AE712" s="8" t="str">
        <f t="shared" si="33"/>
        <v/>
      </c>
      <c r="AF712" s="8" t="str">
        <f t="shared" si="34"/>
        <v/>
      </c>
      <c r="AG712" s="8" t="str">
        <f>IF(TRIM($E712)&lt;&gt;"Tax Paid","",IF(COUNTIFS(LISTS!$F$2:$F$26,$AE712,LISTS!$G$2:$G$26,$AF712)=0,"NOT ON LIST",""))</f>
        <v/>
      </c>
      <c r="AH712" s="8" t="str">
        <f t="shared" si="35"/>
        <v/>
      </c>
    </row>
    <row r="713" spans="31:34" x14ac:dyDescent="0.25">
      <c r="AE713" s="8" t="str">
        <f t="shared" si="33"/>
        <v/>
      </c>
      <c r="AF713" s="8" t="str">
        <f t="shared" si="34"/>
        <v/>
      </c>
      <c r="AG713" s="8" t="str">
        <f>IF(TRIM($E713)&lt;&gt;"Tax Paid","",IF(COUNTIFS(LISTS!$F$2:$F$26,$AE713,LISTS!$G$2:$G$26,$AF713)=0,"NOT ON LIST",""))</f>
        <v/>
      </c>
      <c r="AH713" s="8" t="str">
        <f t="shared" si="35"/>
        <v/>
      </c>
    </row>
    <row r="714" spans="31:34" x14ac:dyDescent="0.25">
      <c r="AE714" s="8" t="str">
        <f t="shared" si="33"/>
        <v/>
      </c>
      <c r="AF714" s="8" t="str">
        <f t="shared" si="34"/>
        <v/>
      </c>
      <c r="AG714" s="8" t="str">
        <f>IF(TRIM($E714)&lt;&gt;"Tax Paid","",IF(COUNTIFS(LISTS!$F$2:$F$26,$AE714,LISTS!$G$2:$G$26,$AF714)=0,"NOT ON LIST",""))</f>
        <v/>
      </c>
      <c r="AH714" s="8" t="str">
        <f t="shared" si="35"/>
        <v/>
      </c>
    </row>
    <row r="715" spans="31:34" x14ac:dyDescent="0.25">
      <c r="AE715" s="8" t="str">
        <f t="shared" si="33"/>
        <v/>
      </c>
      <c r="AF715" s="8" t="str">
        <f t="shared" si="34"/>
        <v/>
      </c>
      <c r="AG715" s="8" t="str">
        <f>IF(TRIM($E715)&lt;&gt;"Tax Paid","",IF(COUNTIFS(LISTS!$F$2:$F$26,$AE715,LISTS!$G$2:$G$26,$AF715)=0,"NOT ON LIST",""))</f>
        <v/>
      </c>
      <c r="AH715" s="8" t="str">
        <f t="shared" si="35"/>
        <v/>
      </c>
    </row>
    <row r="716" spans="31:34" x14ac:dyDescent="0.25">
      <c r="AE716" s="8" t="str">
        <f t="shared" si="33"/>
        <v/>
      </c>
      <c r="AF716" s="8" t="str">
        <f t="shared" si="34"/>
        <v/>
      </c>
      <c r="AG716" s="8" t="str">
        <f>IF(TRIM($E716)&lt;&gt;"Tax Paid","",IF(COUNTIFS(LISTS!$F$2:$F$26,$AE716,LISTS!$G$2:$G$26,$AF716)=0,"NOT ON LIST",""))</f>
        <v/>
      </c>
      <c r="AH716" s="8" t="str">
        <f t="shared" si="35"/>
        <v/>
      </c>
    </row>
    <row r="717" spans="31:34" x14ac:dyDescent="0.25">
      <c r="AE717" s="8" t="str">
        <f t="shared" si="33"/>
        <v/>
      </c>
      <c r="AF717" s="8" t="str">
        <f t="shared" si="34"/>
        <v/>
      </c>
      <c r="AG717" s="8" t="str">
        <f>IF(TRIM($E717)&lt;&gt;"Tax Paid","",IF(COUNTIFS(LISTS!$F$2:$F$26,$AE717,LISTS!$G$2:$G$26,$AF717)=0,"NOT ON LIST",""))</f>
        <v/>
      </c>
      <c r="AH717" s="8" t="str">
        <f t="shared" si="35"/>
        <v/>
      </c>
    </row>
    <row r="718" spans="31:34" x14ac:dyDescent="0.25">
      <c r="AE718" s="8" t="str">
        <f t="shared" si="33"/>
        <v/>
      </c>
      <c r="AF718" s="8" t="str">
        <f t="shared" si="34"/>
        <v/>
      </c>
      <c r="AG718" s="8" t="str">
        <f>IF(TRIM($E718)&lt;&gt;"Tax Paid","",IF(COUNTIFS(LISTS!$F$2:$F$26,$AE718,LISTS!$G$2:$G$26,$AF718)=0,"NOT ON LIST",""))</f>
        <v/>
      </c>
      <c r="AH718" s="8" t="str">
        <f t="shared" si="35"/>
        <v/>
      </c>
    </row>
    <row r="719" spans="31:34" x14ac:dyDescent="0.25">
      <c r="AE719" s="8" t="str">
        <f t="shared" si="33"/>
        <v/>
      </c>
      <c r="AF719" s="8" t="str">
        <f t="shared" si="34"/>
        <v/>
      </c>
      <c r="AG719" s="8" t="str">
        <f>IF(TRIM($E719)&lt;&gt;"Tax Paid","",IF(COUNTIFS(LISTS!$F$2:$F$26,$AE719,LISTS!$G$2:$G$26,$AF719)=0,"NOT ON LIST",""))</f>
        <v/>
      </c>
      <c r="AH719" s="8" t="str">
        <f t="shared" si="35"/>
        <v/>
      </c>
    </row>
    <row r="720" spans="31:34" x14ac:dyDescent="0.25">
      <c r="AE720" s="8" t="str">
        <f t="shared" si="33"/>
        <v/>
      </c>
      <c r="AF720" s="8" t="str">
        <f t="shared" si="34"/>
        <v/>
      </c>
      <c r="AG720" s="8" t="str">
        <f>IF(TRIM($E720)&lt;&gt;"Tax Paid","",IF(COUNTIFS(LISTS!$F$2:$F$26,$AE720,LISTS!$G$2:$G$26,$AF720)=0,"NOT ON LIST",""))</f>
        <v/>
      </c>
      <c r="AH720" s="8" t="str">
        <f t="shared" si="35"/>
        <v/>
      </c>
    </row>
    <row r="721" spans="31:34" x14ac:dyDescent="0.25">
      <c r="AE721" s="8" t="str">
        <f t="shared" si="33"/>
        <v/>
      </c>
      <c r="AF721" s="8" t="str">
        <f t="shared" si="34"/>
        <v/>
      </c>
      <c r="AG721" s="8" t="str">
        <f>IF(TRIM($E721)&lt;&gt;"Tax Paid","",IF(COUNTIFS(LISTS!$F$2:$F$26,$AE721,LISTS!$G$2:$G$26,$AF721)=0,"NOT ON LIST",""))</f>
        <v/>
      </c>
      <c r="AH721" s="8" t="str">
        <f t="shared" si="35"/>
        <v/>
      </c>
    </row>
    <row r="722" spans="31:34" x14ac:dyDescent="0.25">
      <c r="AE722" s="8" t="str">
        <f t="shared" si="33"/>
        <v/>
      </c>
      <c r="AF722" s="8" t="str">
        <f t="shared" si="34"/>
        <v/>
      </c>
      <c r="AG722" s="8" t="str">
        <f>IF(TRIM($E722)&lt;&gt;"Tax Paid","",IF(COUNTIFS(LISTS!$F$2:$F$26,$AE722,LISTS!$G$2:$G$26,$AF722)=0,"NOT ON LIST",""))</f>
        <v/>
      </c>
      <c r="AH722" s="8" t="str">
        <f t="shared" si="35"/>
        <v/>
      </c>
    </row>
    <row r="723" spans="31:34" x14ac:dyDescent="0.25">
      <c r="AE723" s="8" t="str">
        <f t="shared" si="33"/>
        <v/>
      </c>
      <c r="AF723" s="8" t="str">
        <f t="shared" si="34"/>
        <v/>
      </c>
      <c r="AG723" s="8" t="str">
        <f>IF(TRIM($E723)&lt;&gt;"Tax Paid","",IF(COUNTIFS(LISTS!$F$2:$F$26,$AE723,LISTS!$G$2:$G$26,$AF723)=0,"NOT ON LIST",""))</f>
        <v/>
      </c>
      <c r="AH723" s="8" t="str">
        <f t="shared" si="35"/>
        <v/>
      </c>
    </row>
    <row r="724" spans="31:34" x14ac:dyDescent="0.25">
      <c r="AE724" s="8" t="str">
        <f t="shared" si="33"/>
        <v/>
      </c>
      <c r="AF724" s="8" t="str">
        <f t="shared" si="34"/>
        <v/>
      </c>
      <c r="AG724" s="8" t="str">
        <f>IF(TRIM($E724)&lt;&gt;"Tax Paid","",IF(COUNTIFS(LISTS!$F$2:$F$26,$AE724,LISTS!$G$2:$G$26,$AF724)=0,"NOT ON LIST",""))</f>
        <v/>
      </c>
      <c r="AH724" s="8" t="str">
        <f t="shared" si="35"/>
        <v/>
      </c>
    </row>
    <row r="725" spans="31:34" x14ac:dyDescent="0.25">
      <c r="AE725" s="8" t="str">
        <f t="shared" si="33"/>
        <v/>
      </c>
      <c r="AF725" s="8" t="str">
        <f t="shared" si="34"/>
        <v/>
      </c>
      <c r="AG725" s="8" t="str">
        <f>IF(TRIM($E725)&lt;&gt;"Tax Paid","",IF(COUNTIFS(LISTS!$F$2:$F$26,$AE725,LISTS!$G$2:$G$26,$AF725)=0,"NOT ON LIST",""))</f>
        <v/>
      </c>
      <c r="AH725" s="8" t="str">
        <f t="shared" si="35"/>
        <v/>
      </c>
    </row>
    <row r="726" spans="31:34" x14ac:dyDescent="0.25">
      <c r="AE726" s="8" t="str">
        <f t="shared" si="33"/>
        <v/>
      </c>
      <c r="AF726" s="8" t="str">
        <f t="shared" si="34"/>
        <v/>
      </c>
      <c r="AG726" s="8" t="str">
        <f>IF(TRIM($E726)&lt;&gt;"Tax Paid","",IF(COUNTIFS(LISTS!$F$2:$F$26,$AE726,LISTS!$G$2:$G$26,$AF726)=0,"NOT ON LIST",""))</f>
        <v/>
      </c>
      <c r="AH726" s="8" t="str">
        <f t="shared" si="35"/>
        <v/>
      </c>
    </row>
    <row r="727" spans="31:34" x14ac:dyDescent="0.25">
      <c r="AE727" s="8" t="str">
        <f t="shared" si="33"/>
        <v/>
      </c>
      <c r="AF727" s="8" t="str">
        <f t="shared" si="34"/>
        <v/>
      </c>
      <c r="AG727" s="8" t="str">
        <f>IF(TRIM($E727)&lt;&gt;"Tax Paid","",IF(COUNTIFS(LISTS!$F$2:$F$26,$AE727,LISTS!$G$2:$G$26,$AF727)=0,"NOT ON LIST",""))</f>
        <v/>
      </c>
      <c r="AH727" s="8" t="str">
        <f t="shared" si="35"/>
        <v/>
      </c>
    </row>
    <row r="728" spans="31:34" x14ac:dyDescent="0.25">
      <c r="AE728" s="8" t="str">
        <f t="shared" si="33"/>
        <v/>
      </c>
      <c r="AF728" s="8" t="str">
        <f t="shared" si="34"/>
        <v/>
      </c>
      <c r="AG728" s="8" t="str">
        <f>IF(TRIM($E728)&lt;&gt;"Tax Paid","",IF(COUNTIFS(LISTS!$F$2:$F$26,$AE728,LISTS!$G$2:$G$26,$AF728)=0,"NOT ON LIST",""))</f>
        <v/>
      </c>
      <c r="AH728" s="8" t="str">
        <f t="shared" si="35"/>
        <v/>
      </c>
    </row>
    <row r="729" spans="31:34" x14ac:dyDescent="0.25">
      <c r="AE729" s="8" t="str">
        <f t="shared" si="33"/>
        <v/>
      </c>
      <c r="AF729" s="8" t="str">
        <f t="shared" si="34"/>
        <v/>
      </c>
      <c r="AG729" s="8" t="str">
        <f>IF(TRIM($E729)&lt;&gt;"Tax Paid","",IF(COUNTIFS(LISTS!$F$2:$F$26,$AE729,LISTS!$G$2:$G$26,$AF729)=0,"NOT ON LIST",""))</f>
        <v/>
      </c>
      <c r="AH729" s="8" t="str">
        <f t="shared" si="35"/>
        <v/>
      </c>
    </row>
    <row r="730" spans="31:34" x14ac:dyDescent="0.25">
      <c r="AE730" s="8" t="str">
        <f t="shared" si="33"/>
        <v/>
      </c>
      <c r="AF730" s="8" t="str">
        <f t="shared" si="34"/>
        <v/>
      </c>
      <c r="AG730" s="8" t="str">
        <f>IF(TRIM($E730)&lt;&gt;"Tax Paid","",IF(COUNTIFS(LISTS!$F$2:$F$26,$AE730,LISTS!$G$2:$G$26,$AF730)=0,"NOT ON LIST",""))</f>
        <v/>
      </c>
      <c r="AH730" s="8" t="str">
        <f t="shared" si="35"/>
        <v/>
      </c>
    </row>
    <row r="731" spans="31:34" x14ac:dyDescent="0.25">
      <c r="AE731" s="8" t="str">
        <f t="shared" si="33"/>
        <v/>
      </c>
      <c r="AF731" s="8" t="str">
        <f t="shared" si="34"/>
        <v/>
      </c>
      <c r="AG731" s="8" t="str">
        <f>IF(TRIM($E731)&lt;&gt;"Tax Paid","",IF(COUNTIFS(LISTS!$F$2:$F$26,$AE731,LISTS!$G$2:$G$26,$AF731)=0,"NOT ON LIST",""))</f>
        <v/>
      </c>
      <c r="AH731" s="8" t="str">
        <f t="shared" si="35"/>
        <v/>
      </c>
    </row>
    <row r="732" spans="31:34" x14ac:dyDescent="0.25">
      <c r="AE732" s="8" t="str">
        <f t="shared" si="33"/>
        <v/>
      </c>
      <c r="AF732" s="8" t="str">
        <f t="shared" si="34"/>
        <v/>
      </c>
      <c r="AG732" s="8" t="str">
        <f>IF(TRIM($E732)&lt;&gt;"Tax Paid","",IF(COUNTIFS(LISTS!$F$2:$F$26,$AE732,LISTS!$G$2:$G$26,$AF732)=0,"NOT ON LIST",""))</f>
        <v/>
      </c>
      <c r="AH732" s="8" t="str">
        <f t="shared" si="35"/>
        <v/>
      </c>
    </row>
    <row r="733" spans="31:34" x14ac:dyDescent="0.25">
      <c r="AE733" s="8" t="str">
        <f t="shared" si="33"/>
        <v/>
      </c>
      <c r="AF733" s="8" t="str">
        <f t="shared" si="34"/>
        <v/>
      </c>
      <c r="AG733" s="8" t="str">
        <f>IF(TRIM($E733)&lt;&gt;"Tax Paid","",IF(COUNTIFS(LISTS!$F$2:$F$26,$AE733,LISTS!$G$2:$G$26,$AF733)=0,"NOT ON LIST",""))</f>
        <v/>
      </c>
      <c r="AH733" s="8" t="str">
        <f t="shared" si="35"/>
        <v/>
      </c>
    </row>
    <row r="734" spans="31:34" x14ac:dyDescent="0.25">
      <c r="AE734" s="8" t="str">
        <f t="shared" si="33"/>
        <v/>
      </c>
      <c r="AF734" s="8" t="str">
        <f t="shared" si="34"/>
        <v/>
      </c>
      <c r="AG734" s="8" t="str">
        <f>IF(TRIM($E734)&lt;&gt;"Tax Paid","",IF(COUNTIFS(LISTS!$F$2:$F$26,$AE734,LISTS!$G$2:$G$26,$AF734)=0,"NOT ON LIST",""))</f>
        <v/>
      </c>
      <c r="AH734" s="8" t="str">
        <f t="shared" si="35"/>
        <v/>
      </c>
    </row>
    <row r="735" spans="31:34" x14ac:dyDescent="0.25">
      <c r="AE735" s="8" t="str">
        <f t="shared" si="33"/>
        <v/>
      </c>
      <c r="AF735" s="8" t="str">
        <f t="shared" si="34"/>
        <v/>
      </c>
      <c r="AG735" s="8" t="str">
        <f>IF(TRIM($E735)&lt;&gt;"Tax Paid","",IF(COUNTIFS(LISTS!$F$2:$F$26,$AE735,LISTS!$G$2:$G$26,$AF735)=0,"NOT ON LIST",""))</f>
        <v/>
      </c>
      <c r="AH735" s="8" t="str">
        <f t="shared" si="35"/>
        <v/>
      </c>
    </row>
    <row r="736" spans="31:34" x14ac:dyDescent="0.25">
      <c r="AE736" s="8" t="str">
        <f t="shared" si="33"/>
        <v/>
      </c>
      <c r="AF736" s="8" t="str">
        <f t="shared" si="34"/>
        <v/>
      </c>
      <c r="AG736" s="8" t="str">
        <f>IF(TRIM($E736)&lt;&gt;"Tax Paid","",IF(COUNTIFS(LISTS!$F$2:$F$26,$AE736,LISTS!$G$2:$G$26,$AF736)=0,"NOT ON LIST",""))</f>
        <v/>
      </c>
      <c r="AH736" s="8" t="str">
        <f t="shared" si="35"/>
        <v/>
      </c>
    </row>
    <row r="737" spans="31:34" x14ac:dyDescent="0.25">
      <c r="AE737" s="8" t="str">
        <f t="shared" si="33"/>
        <v/>
      </c>
      <c r="AF737" s="8" t="str">
        <f t="shared" si="34"/>
        <v/>
      </c>
      <c r="AG737" s="8" t="str">
        <f>IF(TRIM($E737)&lt;&gt;"Tax Paid","",IF(COUNTIFS(LISTS!$F$2:$F$26,$AE737,LISTS!$G$2:$G$26,$AF737)=0,"NOT ON LIST",""))</f>
        <v/>
      </c>
      <c r="AH737" s="8" t="str">
        <f t="shared" si="35"/>
        <v/>
      </c>
    </row>
    <row r="738" spans="31:34" x14ac:dyDescent="0.25">
      <c r="AE738" s="8" t="str">
        <f t="shared" si="33"/>
        <v/>
      </c>
      <c r="AF738" s="8" t="str">
        <f t="shared" si="34"/>
        <v/>
      </c>
      <c r="AG738" s="8" t="str">
        <f>IF(TRIM($E738)&lt;&gt;"Tax Paid","",IF(COUNTIFS(LISTS!$F$2:$F$26,$AE738,LISTS!$G$2:$G$26,$AF738)=0,"NOT ON LIST",""))</f>
        <v/>
      </c>
      <c r="AH738" s="8" t="str">
        <f t="shared" si="35"/>
        <v/>
      </c>
    </row>
    <row r="739" spans="31:34" x14ac:dyDescent="0.25">
      <c r="AE739" s="8" t="str">
        <f t="shared" si="33"/>
        <v/>
      </c>
      <c r="AF739" s="8" t="str">
        <f t="shared" si="34"/>
        <v/>
      </c>
      <c r="AG739" s="8" t="str">
        <f>IF(TRIM($E739)&lt;&gt;"Tax Paid","",IF(COUNTIFS(LISTS!$F$2:$F$26,$AE739,LISTS!$G$2:$G$26,$AF739)=0,"NOT ON LIST",""))</f>
        <v/>
      </c>
      <c r="AH739" s="8" t="str">
        <f t="shared" si="35"/>
        <v/>
      </c>
    </row>
    <row r="740" spans="31:34" x14ac:dyDescent="0.25">
      <c r="AE740" s="8" t="str">
        <f t="shared" si="33"/>
        <v/>
      </c>
      <c r="AF740" s="8" t="str">
        <f t="shared" si="34"/>
        <v/>
      </c>
      <c r="AG740" s="8" t="str">
        <f>IF(TRIM($E740)&lt;&gt;"Tax Paid","",IF(COUNTIFS(LISTS!$F$2:$F$26,$AE740,LISTS!$G$2:$G$26,$AF740)=0,"NOT ON LIST",""))</f>
        <v/>
      </c>
      <c r="AH740" s="8" t="str">
        <f t="shared" si="35"/>
        <v/>
      </c>
    </row>
    <row r="741" spans="31:34" x14ac:dyDescent="0.25">
      <c r="AE741" s="8" t="str">
        <f t="shared" si="33"/>
        <v/>
      </c>
      <c r="AF741" s="8" t="str">
        <f t="shared" si="34"/>
        <v/>
      </c>
      <c r="AG741" s="8" t="str">
        <f>IF(TRIM($E741)&lt;&gt;"Tax Paid","",IF(COUNTIFS(LISTS!$F$2:$F$26,$AE741,LISTS!$G$2:$G$26,$AF741)=0,"NOT ON LIST",""))</f>
        <v/>
      </c>
      <c r="AH741" s="8" t="str">
        <f t="shared" si="35"/>
        <v/>
      </c>
    </row>
    <row r="742" spans="31:34" x14ac:dyDescent="0.25">
      <c r="AE742" s="8" t="str">
        <f t="shared" si="33"/>
        <v/>
      </c>
      <c r="AF742" s="8" t="str">
        <f t="shared" si="34"/>
        <v/>
      </c>
      <c r="AG742" s="8" t="str">
        <f>IF(TRIM($E742)&lt;&gt;"Tax Paid","",IF(COUNTIFS(LISTS!$F$2:$F$26,$AE742,LISTS!$G$2:$G$26,$AF742)=0,"NOT ON LIST",""))</f>
        <v/>
      </c>
      <c r="AH742" s="8" t="str">
        <f t="shared" si="35"/>
        <v/>
      </c>
    </row>
    <row r="743" spans="31:34" x14ac:dyDescent="0.25">
      <c r="AE743" s="8" t="str">
        <f t="shared" si="33"/>
        <v/>
      </c>
      <c r="AF743" s="8" t="str">
        <f t="shared" si="34"/>
        <v/>
      </c>
      <c r="AG743" s="8" t="str">
        <f>IF(TRIM($E743)&lt;&gt;"Tax Paid","",IF(COUNTIFS(LISTS!$F$2:$F$26,$AE743,LISTS!$G$2:$G$26,$AF743)=0,"NOT ON LIST",""))</f>
        <v/>
      </c>
      <c r="AH743" s="8" t="str">
        <f t="shared" si="35"/>
        <v/>
      </c>
    </row>
    <row r="744" spans="31:34" x14ac:dyDescent="0.25">
      <c r="AE744" s="8" t="str">
        <f t="shared" si="33"/>
        <v/>
      </c>
      <c r="AF744" s="8" t="str">
        <f t="shared" si="34"/>
        <v/>
      </c>
      <c r="AG744" s="8" t="str">
        <f>IF(TRIM($E744)&lt;&gt;"Tax Paid","",IF(COUNTIFS(LISTS!$F$2:$F$26,$AE744,LISTS!$G$2:$G$26,$AF744)=0,"NOT ON LIST",""))</f>
        <v/>
      </c>
      <c r="AH744" s="8" t="str">
        <f t="shared" si="35"/>
        <v/>
      </c>
    </row>
    <row r="745" spans="31:34" x14ac:dyDescent="0.25">
      <c r="AE745" s="8" t="str">
        <f t="shared" si="33"/>
        <v/>
      </c>
      <c r="AF745" s="8" t="str">
        <f t="shared" si="34"/>
        <v/>
      </c>
      <c r="AG745" s="8" t="str">
        <f>IF(TRIM($E745)&lt;&gt;"Tax Paid","",IF(COUNTIFS(LISTS!$F$2:$F$26,$AE745,LISTS!$G$2:$G$26,$AF745)=0,"NOT ON LIST",""))</f>
        <v/>
      </c>
      <c r="AH745" s="8" t="str">
        <f t="shared" si="35"/>
        <v/>
      </c>
    </row>
    <row r="746" spans="31:34" x14ac:dyDescent="0.25">
      <c r="AE746" s="8" t="str">
        <f t="shared" si="33"/>
        <v/>
      </c>
      <c r="AF746" s="8" t="str">
        <f t="shared" si="34"/>
        <v/>
      </c>
      <c r="AG746" s="8" t="str">
        <f>IF(TRIM($E746)&lt;&gt;"Tax Paid","",IF(COUNTIFS(LISTS!$F$2:$F$26,$AE746,LISTS!$G$2:$G$26,$AF746)=0,"NOT ON LIST",""))</f>
        <v/>
      </c>
      <c r="AH746" s="8" t="str">
        <f t="shared" si="35"/>
        <v/>
      </c>
    </row>
    <row r="747" spans="31:34" x14ac:dyDescent="0.25">
      <c r="AE747" s="8" t="str">
        <f t="shared" si="33"/>
        <v/>
      </c>
      <c r="AF747" s="8" t="str">
        <f t="shared" si="34"/>
        <v/>
      </c>
      <c r="AG747" s="8" t="str">
        <f>IF(TRIM($E747)&lt;&gt;"Tax Paid","",IF(COUNTIFS(LISTS!$F$2:$F$26,$AE747,LISTS!$G$2:$G$26,$AF747)=0,"NOT ON LIST",""))</f>
        <v/>
      </c>
      <c r="AH747" s="8" t="str">
        <f t="shared" si="35"/>
        <v/>
      </c>
    </row>
    <row r="748" spans="31:34" x14ac:dyDescent="0.25">
      <c r="AE748" s="8" t="str">
        <f t="shared" si="33"/>
        <v/>
      </c>
      <c r="AF748" s="8" t="str">
        <f t="shared" si="34"/>
        <v/>
      </c>
      <c r="AG748" s="8" t="str">
        <f>IF(TRIM($E748)&lt;&gt;"Tax Paid","",IF(COUNTIFS(LISTS!$F$2:$F$26,$AE748,LISTS!$G$2:$G$26,$AF748)=0,"NOT ON LIST",""))</f>
        <v/>
      </c>
      <c r="AH748" s="8" t="str">
        <f t="shared" si="35"/>
        <v/>
      </c>
    </row>
    <row r="749" spans="31:34" x14ac:dyDescent="0.25">
      <c r="AE749" s="8" t="str">
        <f t="shared" si="33"/>
        <v/>
      </c>
      <c r="AF749" s="8" t="str">
        <f t="shared" si="34"/>
        <v/>
      </c>
      <c r="AG749" s="8" t="str">
        <f>IF(TRIM($E749)&lt;&gt;"Tax Paid","",IF(COUNTIFS(LISTS!$F$2:$F$26,$AE749,LISTS!$G$2:$G$26,$AF749)=0,"NOT ON LIST",""))</f>
        <v/>
      </c>
      <c r="AH749" s="8" t="str">
        <f t="shared" si="35"/>
        <v/>
      </c>
    </row>
    <row r="750" spans="31:34" x14ac:dyDescent="0.25">
      <c r="AE750" s="8" t="str">
        <f t="shared" si="33"/>
        <v/>
      </c>
      <c r="AF750" s="8" t="str">
        <f t="shared" si="34"/>
        <v/>
      </c>
      <c r="AG750" s="8" t="str">
        <f>IF(TRIM($E750)&lt;&gt;"Tax Paid","",IF(COUNTIFS(LISTS!$F$2:$F$26,$AE750,LISTS!$G$2:$G$26,$AF750)=0,"NOT ON LIST",""))</f>
        <v/>
      </c>
      <c r="AH750" s="8" t="str">
        <f t="shared" si="35"/>
        <v/>
      </c>
    </row>
    <row r="751" spans="31:34" x14ac:dyDescent="0.25">
      <c r="AE751" s="8" t="str">
        <f t="shared" si="33"/>
        <v/>
      </c>
      <c r="AF751" s="8" t="str">
        <f t="shared" si="34"/>
        <v/>
      </c>
      <c r="AG751" s="8" t="str">
        <f>IF(TRIM($E751)&lt;&gt;"Tax Paid","",IF(COUNTIFS(LISTS!$F$2:$F$26,$AE751,LISTS!$G$2:$G$26,$AF751)=0,"NOT ON LIST",""))</f>
        <v/>
      </c>
      <c r="AH751" s="8" t="str">
        <f t="shared" si="35"/>
        <v/>
      </c>
    </row>
    <row r="752" spans="31:34" x14ac:dyDescent="0.25">
      <c r="AE752" s="8" t="str">
        <f t="shared" si="33"/>
        <v/>
      </c>
      <c r="AF752" s="8" t="str">
        <f t="shared" si="34"/>
        <v/>
      </c>
      <c r="AG752" s="8" t="str">
        <f>IF(TRIM($E752)&lt;&gt;"Tax Paid","",IF(COUNTIFS(LISTS!$F$2:$F$26,$AE752,LISTS!$G$2:$G$26,$AF752)=0,"NOT ON LIST",""))</f>
        <v/>
      </c>
      <c r="AH752" s="8" t="str">
        <f t="shared" si="35"/>
        <v/>
      </c>
    </row>
    <row r="753" spans="31:34" x14ac:dyDescent="0.25">
      <c r="AE753" s="8" t="str">
        <f t="shared" si="33"/>
        <v/>
      </c>
      <c r="AF753" s="8" t="str">
        <f t="shared" si="34"/>
        <v/>
      </c>
      <c r="AG753" s="8" t="str">
        <f>IF(TRIM($E753)&lt;&gt;"Tax Paid","",IF(COUNTIFS(LISTS!$F$2:$F$26,$AE753,LISTS!$G$2:$G$26,$AF753)=0,"NOT ON LIST",""))</f>
        <v/>
      </c>
      <c r="AH753" s="8" t="str">
        <f t="shared" si="35"/>
        <v/>
      </c>
    </row>
    <row r="754" spans="31:34" x14ac:dyDescent="0.25">
      <c r="AE754" s="8" t="str">
        <f t="shared" si="33"/>
        <v/>
      </c>
      <c r="AF754" s="8" t="str">
        <f t="shared" si="34"/>
        <v/>
      </c>
      <c r="AG754" s="8" t="str">
        <f>IF(TRIM($E754)&lt;&gt;"Tax Paid","",IF(COUNTIFS(LISTS!$F$2:$F$26,$AE754,LISTS!$G$2:$G$26,$AF754)=0,"NOT ON LIST",""))</f>
        <v/>
      </c>
      <c r="AH754" s="8" t="str">
        <f t="shared" si="35"/>
        <v/>
      </c>
    </row>
    <row r="755" spans="31:34" x14ac:dyDescent="0.25">
      <c r="AE755" s="8" t="str">
        <f t="shared" si="33"/>
        <v/>
      </c>
      <c r="AF755" s="8" t="str">
        <f t="shared" si="34"/>
        <v/>
      </c>
      <c r="AG755" s="8" t="str">
        <f>IF(TRIM($E755)&lt;&gt;"Tax Paid","",IF(COUNTIFS(LISTS!$F$2:$F$26,$AE755,LISTS!$G$2:$G$26,$AF755)=0,"NOT ON LIST",""))</f>
        <v/>
      </c>
      <c r="AH755" s="8" t="str">
        <f t="shared" si="35"/>
        <v/>
      </c>
    </row>
    <row r="756" spans="31:34" x14ac:dyDescent="0.25">
      <c r="AE756" s="8" t="str">
        <f t="shared" si="33"/>
        <v/>
      </c>
      <c r="AF756" s="8" t="str">
        <f t="shared" si="34"/>
        <v/>
      </c>
      <c r="AG756" s="8" t="str">
        <f>IF(TRIM($E756)&lt;&gt;"Tax Paid","",IF(COUNTIFS(LISTS!$F$2:$F$26,$AE756,LISTS!$G$2:$G$26,$AF756)=0,"NOT ON LIST",""))</f>
        <v/>
      </c>
      <c r="AH756" s="8" t="str">
        <f t="shared" si="35"/>
        <v/>
      </c>
    </row>
    <row r="757" spans="31:34" x14ac:dyDescent="0.25">
      <c r="AE757" s="8" t="str">
        <f t="shared" si="33"/>
        <v/>
      </c>
      <c r="AF757" s="8" t="str">
        <f t="shared" si="34"/>
        <v/>
      </c>
      <c r="AG757" s="8" t="str">
        <f>IF(TRIM($E757)&lt;&gt;"Tax Paid","",IF(COUNTIFS(LISTS!$F$2:$F$26,$AE757,LISTS!$G$2:$G$26,$AF757)=0,"NOT ON LIST",""))</f>
        <v/>
      </c>
      <c r="AH757" s="8" t="str">
        <f t="shared" si="35"/>
        <v/>
      </c>
    </row>
    <row r="758" spans="31:34" x14ac:dyDescent="0.25">
      <c r="AE758" s="8" t="str">
        <f t="shared" si="33"/>
        <v/>
      </c>
      <c r="AF758" s="8" t="str">
        <f t="shared" si="34"/>
        <v/>
      </c>
      <c r="AG758" s="8" t="str">
        <f>IF(TRIM($E758)&lt;&gt;"Tax Paid","",IF(COUNTIFS(LISTS!$F$2:$F$26,$AE758,LISTS!$G$2:$G$26,$AF758)=0,"NOT ON LIST",""))</f>
        <v/>
      </c>
      <c r="AH758" s="8" t="str">
        <f t="shared" si="35"/>
        <v/>
      </c>
    </row>
    <row r="759" spans="31:34" x14ac:dyDescent="0.25">
      <c r="AE759" s="8" t="str">
        <f t="shared" si="33"/>
        <v/>
      </c>
      <c r="AF759" s="8" t="str">
        <f t="shared" si="34"/>
        <v/>
      </c>
      <c r="AG759" s="8" t="str">
        <f>IF(TRIM($E759)&lt;&gt;"Tax Paid","",IF(COUNTIFS(LISTS!$F$2:$F$26,$AE759,LISTS!$G$2:$G$26,$AF759)=0,"NOT ON LIST",""))</f>
        <v/>
      </c>
      <c r="AH759" s="8" t="str">
        <f t="shared" si="35"/>
        <v/>
      </c>
    </row>
    <row r="760" spans="31:34" x14ac:dyDescent="0.25">
      <c r="AE760" s="8" t="str">
        <f t="shared" si="33"/>
        <v/>
      </c>
      <c r="AF760" s="8" t="str">
        <f t="shared" si="34"/>
        <v/>
      </c>
      <c r="AG760" s="8" t="str">
        <f>IF(TRIM($E760)&lt;&gt;"Tax Paid","",IF(COUNTIFS(LISTS!$F$2:$F$26,$AE760,LISTS!$G$2:$G$26,$AF760)=0,"NOT ON LIST",""))</f>
        <v/>
      </c>
      <c r="AH760" s="8" t="str">
        <f t="shared" si="35"/>
        <v/>
      </c>
    </row>
    <row r="761" spans="31:34" x14ac:dyDescent="0.25">
      <c r="AE761" s="8" t="str">
        <f t="shared" si="33"/>
        <v/>
      </c>
      <c r="AF761" s="8" t="str">
        <f t="shared" si="34"/>
        <v/>
      </c>
      <c r="AG761" s="8" t="str">
        <f>IF(TRIM($E761)&lt;&gt;"Tax Paid","",IF(COUNTIFS(LISTS!$F$2:$F$26,$AE761,LISTS!$G$2:$G$26,$AF761)=0,"NOT ON LIST",""))</f>
        <v/>
      </c>
      <c r="AH761" s="8" t="str">
        <f t="shared" si="35"/>
        <v/>
      </c>
    </row>
    <row r="762" spans="31:34" x14ac:dyDescent="0.25">
      <c r="AE762" s="8" t="str">
        <f t="shared" si="33"/>
        <v/>
      </c>
      <c r="AF762" s="8" t="str">
        <f t="shared" si="34"/>
        <v/>
      </c>
      <c r="AG762" s="8" t="str">
        <f>IF(TRIM($E762)&lt;&gt;"Tax Paid","",IF(COUNTIFS(LISTS!$F$2:$F$26,$AE762,LISTS!$G$2:$G$26,$AF762)=0,"NOT ON LIST",""))</f>
        <v/>
      </c>
      <c r="AH762" s="8" t="str">
        <f t="shared" si="35"/>
        <v/>
      </c>
    </row>
    <row r="763" spans="31:34" x14ac:dyDescent="0.25">
      <c r="AE763" s="8" t="str">
        <f t="shared" si="33"/>
        <v/>
      </c>
      <c r="AF763" s="8" t="str">
        <f t="shared" si="34"/>
        <v/>
      </c>
      <c r="AG763" s="8" t="str">
        <f>IF(TRIM($E763)&lt;&gt;"Tax Paid","",IF(COUNTIFS(LISTS!$F$2:$F$26,$AE763,LISTS!$G$2:$G$26,$AF763)=0,"NOT ON LIST",""))</f>
        <v/>
      </c>
      <c r="AH763" s="8" t="str">
        <f t="shared" si="35"/>
        <v/>
      </c>
    </row>
    <row r="764" spans="31:34" x14ac:dyDescent="0.25">
      <c r="AE764" s="8" t="str">
        <f t="shared" si="33"/>
        <v/>
      </c>
      <c r="AF764" s="8" t="str">
        <f t="shared" si="34"/>
        <v/>
      </c>
      <c r="AG764" s="8" t="str">
        <f>IF(TRIM($E764)&lt;&gt;"Tax Paid","",IF(COUNTIFS(LISTS!$F$2:$F$26,$AE764,LISTS!$G$2:$G$26,$AF764)=0,"NOT ON LIST",""))</f>
        <v/>
      </c>
      <c r="AH764" s="8" t="str">
        <f t="shared" si="35"/>
        <v/>
      </c>
    </row>
    <row r="765" spans="31:34" x14ac:dyDescent="0.25">
      <c r="AE765" s="8" t="str">
        <f t="shared" si="33"/>
        <v/>
      </c>
      <c r="AF765" s="8" t="str">
        <f t="shared" si="34"/>
        <v/>
      </c>
      <c r="AG765" s="8" t="str">
        <f>IF(TRIM($E765)&lt;&gt;"Tax Paid","",IF(COUNTIFS(LISTS!$F$2:$F$26,$AE765,LISTS!$G$2:$G$26,$AF765)=0,"NOT ON LIST",""))</f>
        <v/>
      </c>
      <c r="AH765" s="8" t="str">
        <f t="shared" si="35"/>
        <v/>
      </c>
    </row>
    <row r="766" spans="31:34" x14ac:dyDescent="0.25">
      <c r="AE766" s="8" t="str">
        <f t="shared" si="33"/>
        <v/>
      </c>
      <c r="AF766" s="8" t="str">
        <f t="shared" si="34"/>
        <v/>
      </c>
      <c r="AG766" s="8" t="str">
        <f>IF(TRIM($E766)&lt;&gt;"Tax Paid","",IF(COUNTIFS(LISTS!$F$2:$F$26,$AE766,LISTS!$G$2:$G$26,$AF766)=0,"NOT ON LIST",""))</f>
        <v/>
      </c>
      <c r="AH766" s="8" t="str">
        <f t="shared" si="35"/>
        <v/>
      </c>
    </row>
    <row r="767" spans="31:34" x14ac:dyDescent="0.25">
      <c r="AE767" s="8" t="str">
        <f t="shared" si="33"/>
        <v/>
      </c>
      <c r="AF767" s="8" t="str">
        <f t="shared" si="34"/>
        <v/>
      </c>
      <c r="AG767" s="8" t="str">
        <f>IF(TRIM($E767)&lt;&gt;"Tax Paid","",IF(COUNTIFS(LISTS!$F$2:$F$26,$AE767,LISTS!$G$2:$G$26,$AF767)=0,"NOT ON LIST",""))</f>
        <v/>
      </c>
      <c r="AH767" s="8" t="str">
        <f t="shared" si="35"/>
        <v/>
      </c>
    </row>
    <row r="768" spans="31:34" x14ac:dyDescent="0.25">
      <c r="AE768" s="8" t="str">
        <f t="shared" si="33"/>
        <v/>
      </c>
      <c r="AF768" s="8" t="str">
        <f t="shared" si="34"/>
        <v/>
      </c>
      <c r="AG768" s="8" t="str">
        <f>IF(TRIM($E768)&lt;&gt;"Tax Paid","",IF(COUNTIFS(LISTS!$F$2:$F$26,$AE768,LISTS!$G$2:$G$26,$AF768)=0,"NOT ON LIST",""))</f>
        <v/>
      </c>
      <c r="AH768" s="8" t="str">
        <f t="shared" si="35"/>
        <v/>
      </c>
    </row>
    <row r="769" spans="31:34" x14ac:dyDescent="0.25">
      <c r="AE769" s="8" t="str">
        <f t="shared" si="33"/>
        <v/>
      </c>
      <c r="AF769" s="8" t="str">
        <f t="shared" si="34"/>
        <v/>
      </c>
      <c r="AG769" s="8" t="str">
        <f>IF(TRIM($E769)&lt;&gt;"Tax Paid","",IF(COUNTIFS(LISTS!$F$2:$F$26,$AE769,LISTS!$G$2:$G$26,$AF769)=0,"NOT ON LIST",""))</f>
        <v/>
      </c>
      <c r="AH769" s="8" t="str">
        <f t="shared" si="35"/>
        <v/>
      </c>
    </row>
    <row r="770" spans="31:34" x14ac:dyDescent="0.25">
      <c r="AE770" s="8" t="str">
        <f t="shared" ref="AE770:AE833" si="36">IF(TRIM($E770)="Tax Paid",TRIM($S770),"")</f>
        <v/>
      </c>
      <c r="AF770" s="8" t="str">
        <f t="shared" ref="AF770:AF833" si="37">IF(TRIM($E770)="Tax Paid",ROUND($Z770/100,5),"")</f>
        <v/>
      </c>
      <c r="AG770" s="8" t="str">
        <f>IF(TRIM($E770)&lt;&gt;"Tax Paid","",IF(COUNTIFS(LISTS!$F$2:$F$26,$AE770,LISTS!$G$2:$G$26,$AF770)=0,"NOT ON LIST",""))</f>
        <v/>
      </c>
      <c r="AH770" s="8" t="str">
        <f t="shared" ref="AH770:AH833" si="38">IF($AG770="","",IF($AE770="","(no county)",$AE770)&amp;" ("&amp;SUBSTITUTE(TEXT($AF770,"0.###%"),".%","%")&amp;")")</f>
        <v/>
      </c>
    </row>
    <row r="771" spans="31:34" x14ac:dyDescent="0.25">
      <c r="AE771" s="8" t="str">
        <f t="shared" si="36"/>
        <v/>
      </c>
      <c r="AF771" s="8" t="str">
        <f t="shared" si="37"/>
        <v/>
      </c>
      <c r="AG771" s="8" t="str">
        <f>IF(TRIM($E771)&lt;&gt;"Tax Paid","",IF(COUNTIFS(LISTS!$F$2:$F$26,$AE771,LISTS!$G$2:$G$26,$AF771)=0,"NOT ON LIST",""))</f>
        <v/>
      </c>
      <c r="AH771" s="8" t="str">
        <f t="shared" si="38"/>
        <v/>
      </c>
    </row>
    <row r="772" spans="31:34" x14ac:dyDescent="0.25">
      <c r="AE772" s="8" t="str">
        <f t="shared" si="36"/>
        <v/>
      </c>
      <c r="AF772" s="8" t="str">
        <f t="shared" si="37"/>
        <v/>
      </c>
      <c r="AG772" s="8" t="str">
        <f>IF(TRIM($E772)&lt;&gt;"Tax Paid","",IF(COUNTIFS(LISTS!$F$2:$F$26,$AE772,LISTS!$G$2:$G$26,$AF772)=0,"NOT ON LIST",""))</f>
        <v/>
      </c>
      <c r="AH772" s="8" t="str">
        <f t="shared" si="38"/>
        <v/>
      </c>
    </row>
    <row r="773" spans="31:34" x14ac:dyDescent="0.25">
      <c r="AE773" s="8" t="str">
        <f t="shared" si="36"/>
        <v/>
      </c>
      <c r="AF773" s="8" t="str">
        <f t="shared" si="37"/>
        <v/>
      </c>
      <c r="AG773" s="8" t="str">
        <f>IF(TRIM($E773)&lt;&gt;"Tax Paid","",IF(COUNTIFS(LISTS!$F$2:$F$26,$AE773,LISTS!$G$2:$G$26,$AF773)=0,"NOT ON LIST",""))</f>
        <v/>
      </c>
      <c r="AH773" s="8" t="str">
        <f t="shared" si="38"/>
        <v/>
      </c>
    </row>
    <row r="774" spans="31:34" x14ac:dyDescent="0.25">
      <c r="AE774" s="8" t="str">
        <f t="shared" si="36"/>
        <v/>
      </c>
      <c r="AF774" s="8" t="str">
        <f t="shared" si="37"/>
        <v/>
      </c>
      <c r="AG774" s="8" t="str">
        <f>IF(TRIM($E774)&lt;&gt;"Tax Paid","",IF(COUNTIFS(LISTS!$F$2:$F$26,$AE774,LISTS!$G$2:$G$26,$AF774)=0,"NOT ON LIST",""))</f>
        <v/>
      </c>
      <c r="AH774" s="8" t="str">
        <f t="shared" si="38"/>
        <v/>
      </c>
    </row>
    <row r="775" spans="31:34" x14ac:dyDescent="0.25">
      <c r="AE775" s="8" t="str">
        <f t="shared" si="36"/>
        <v/>
      </c>
      <c r="AF775" s="8" t="str">
        <f t="shared" si="37"/>
        <v/>
      </c>
      <c r="AG775" s="8" t="str">
        <f>IF(TRIM($E775)&lt;&gt;"Tax Paid","",IF(COUNTIFS(LISTS!$F$2:$F$26,$AE775,LISTS!$G$2:$G$26,$AF775)=0,"NOT ON LIST",""))</f>
        <v/>
      </c>
      <c r="AH775" s="8" t="str">
        <f t="shared" si="38"/>
        <v/>
      </c>
    </row>
    <row r="776" spans="31:34" x14ac:dyDescent="0.25">
      <c r="AE776" s="8" t="str">
        <f t="shared" si="36"/>
        <v/>
      </c>
      <c r="AF776" s="8" t="str">
        <f t="shared" si="37"/>
        <v/>
      </c>
      <c r="AG776" s="8" t="str">
        <f>IF(TRIM($E776)&lt;&gt;"Tax Paid","",IF(COUNTIFS(LISTS!$F$2:$F$26,$AE776,LISTS!$G$2:$G$26,$AF776)=0,"NOT ON LIST",""))</f>
        <v/>
      </c>
      <c r="AH776" s="8" t="str">
        <f t="shared" si="38"/>
        <v/>
      </c>
    </row>
    <row r="777" spans="31:34" x14ac:dyDescent="0.25">
      <c r="AE777" s="8" t="str">
        <f t="shared" si="36"/>
        <v/>
      </c>
      <c r="AF777" s="8" t="str">
        <f t="shared" si="37"/>
        <v/>
      </c>
      <c r="AG777" s="8" t="str">
        <f>IF(TRIM($E777)&lt;&gt;"Tax Paid","",IF(COUNTIFS(LISTS!$F$2:$F$26,$AE777,LISTS!$G$2:$G$26,$AF777)=0,"NOT ON LIST",""))</f>
        <v/>
      </c>
      <c r="AH777" s="8" t="str">
        <f t="shared" si="38"/>
        <v/>
      </c>
    </row>
    <row r="778" spans="31:34" x14ac:dyDescent="0.25">
      <c r="AE778" s="8" t="str">
        <f t="shared" si="36"/>
        <v/>
      </c>
      <c r="AF778" s="8" t="str">
        <f t="shared" si="37"/>
        <v/>
      </c>
      <c r="AG778" s="8" t="str">
        <f>IF(TRIM($E778)&lt;&gt;"Tax Paid","",IF(COUNTIFS(LISTS!$F$2:$F$26,$AE778,LISTS!$G$2:$G$26,$AF778)=0,"NOT ON LIST",""))</f>
        <v/>
      </c>
      <c r="AH778" s="8" t="str">
        <f t="shared" si="38"/>
        <v/>
      </c>
    </row>
    <row r="779" spans="31:34" x14ac:dyDescent="0.25">
      <c r="AE779" s="8" t="str">
        <f t="shared" si="36"/>
        <v/>
      </c>
      <c r="AF779" s="8" t="str">
        <f t="shared" si="37"/>
        <v/>
      </c>
      <c r="AG779" s="8" t="str">
        <f>IF(TRIM($E779)&lt;&gt;"Tax Paid","",IF(COUNTIFS(LISTS!$F$2:$F$26,$AE779,LISTS!$G$2:$G$26,$AF779)=0,"NOT ON LIST",""))</f>
        <v/>
      </c>
      <c r="AH779" s="8" t="str">
        <f t="shared" si="38"/>
        <v/>
      </c>
    </row>
    <row r="780" spans="31:34" x14ac:dyDescent="0.25">
      <c r="AE780" s="8" t="str">
        <f t="shared" si="36"/>
        <v/>
      </c>
      <c r="AF780" s="8" t="str">
        <f t="shared" si="37"/>
        <v/>
      </c>
      <c r="AG780" s="8" t="str">
        <f>IF(TRIM($E780)&lt;&gt;"Tax Paid","",IF(COUNTIFS(LISTS!$F$2:$F$26,$AE780,LISTS!$G$2:$G$26,$AF780)=0,"NOT ON LIST",""))</f>
        <v/>
      </c>
      <c r="AH780" s="8" t="str">
        <f t="shared" si="38"/>
        <v/>
      </c>
    </row>
    <row r="781" spans="31:34" x14ac:dyDescent="0.25">
      <c r="AE781" s="8" t="str">
        <f t="shared" si="36"/>
        <v/>
      </c>
      <c r="AF781" s="8" t="str">
        <f t="shared" si="37"/>
        <v/>
      </c>
      <c r="AG781" s="8" t="str">
        <f>IF(TRIM($E781)&lt;&gt;"Tax Paid","",IF(COUNTIFS(LISTS!$F$2:$F$26,$AE781,LISTS!$G$2:$G$26,$AF781)=0,"NOT ON LIST",""))</f>
        <v/>
      </c>
      <c r="AH781" s="8" t="str">
        <f t="shared" si="38"/>
        <v/>
      </c>
    </row>
    <row r="782" spans="31:34" x14ac:dyDescent="0.25">
      <c r="AE782" s="8" t="str">
        <f t="shared" si="36"/>
        <v/>
      </c>
      <c r="AF782" s="8" t="str">
        <f t="shared" si="37"/>
        <v/>
      </c>
      <c r="AG782" s="8" t="str">
        <f>IF(TRIM($E782)&lt;&gt;"Tax Paid","",IF(COUNTIFS(LISTS!$F$2:$F$26,$AE782,LISTS!$G$2:$G$26,$AF782)=0,"NOT ON LIST",""))</f>
        <v/>
      </c>
      <c r="AH782" s="8" t="str">
        <f t="shared" si="38"/>
        <v/>
      </c>
    </row>
    <row r="783" spans="31:34" x14ac:dyDescent="0.25">
      <c r="AE783" s="8" t="str">
        <f t="shared" si="36"/>
        <v/>
      </c>
      <c r="AF783" s="8" t="str">
        <f t="shared" si="37"/>
        <v/>
      </c>
      <c r="AG783" s="8" t="str">
        <f>IF(TRIM($E783)&lt;&gt;"Tax Paid","",IF(COUNTIFS(LISTS!$F$2:$F$26,$AE783,LISTS!$G$2:$G$26,$AF783)=0,"NOT ON LIST",""))</f>
        <v/>
      </c>
      <c r="AH783" s="8" t="str">
        <f t="shared" si="38"/>
        <v/>
      </c>
    </row>
    <row r="784" spans="31:34" x14ac:dyDescent="0.25">
      <c r="AE784" s="8" t="str">
        <f t="shared" si="36"/>
        <v/>
      </c>
      <c r="AF784" s="8" t="str">
        <f t="shared" si="37"/>
        <v/>
      </c>
      <c r="AG784" s="8" t="str">
        <f>IF(TRIM($E784)&lt;&gt;"Tax Paid","",IF(COUNTIFS(LISTS!$F$2:$F$26,$AE784,LISTS!$G$2:$G$26,$AF784)=0,"NOT ON LIST",""))</f>
        <v/>
      </c>
      <c r="AH784" s="8" t="str">
        <f t="shared" si="38"/>
        <v/>
      </c>
    </row>
    <row r="785" spans="31:34" x14ac:dyDescent="0.25">
      <c r="AE785" s="8" t="str">
        <f t="shared" si="36"/>
        <v/>
      </c>
      <c r="AF785" s="8" t="str">
        <f t="shared" si="37"/>
        <v/>
      </c>
      <c r="AG785" s="8" t="str">
        <f>IF(TRIM($E785)&lt;&gt;"Tax Paid","",IF(COUNTIFS(LISTS!$F$2:$F$26,$AE785,LISTS!$G$2:$G$26,$AF785)=0,"NOT ON LIST",""))</f>
        <v/>
      </c>
      <c r="AH785" s="8" t="str">
        <f t="shared" si="38"/>
        <v/>
      </c>
    </row>
    <row r="786" spans="31:34" x14ac:dyDescent="0.25">
      <c r="AE786" s="8" t="str">
        <f t="shared" si="36"/>
        <v/>
      </c>
      <c r="AF786" s="8" t="str">
        <f t="shared" si="37"/>
        <v/>
      </c>
      <c r="AG786" s="8" t="str">
        <f>IF(TRIM($E786)&lt;&gt;"Tax Paid","",IF(COUNTIFS(LISTS!$F$2:$F$26,$AE786,LISTS!$G$2:$G$26,$AF786)=0,"NOT ON LIST",""))</f>
        <v/>
      </c>
      <c r="AH786" s="8" t="str">
        <f t="shared" si="38"/>
        <v/>
      </c>
    </row>
    <row r="787" spans="31:34" x14ac:dyDescent="0.25">
      <c r="AE787" s="8" t="str">
        <f t="shared" si="36"/>
        <v/>
      </c>
      <c r="AF787" s="8" t="str">
        <f t="shared" si="37"/>
        <v/>
      </c>
      <c r="AG787" s="8" t="str">
        <f>IF(TRIM($E787)&lt;&gt;"Tax Paid","",IF(COUNTIFS(LISTS!$F$2:$F$26,$AE787,LISTS!$G$2:$G$26,$AF787)=0,"NOT ON LIST",""))</f>
        <v/>
      </c>
      <c r="AH787" s="8" t="str">
        <f t="shared" si="38"/>
        <v/>
      </c>
    </row>
    <row r="788" spans="31:34" x14ac:dyDescent="0.25">
      <c r="AE788" s="8" t="str">
        <f t="shared" si="36"/>
        <v/>
      </c>
      <c r="AF788" s="8" t="str">
        <f t="shared" si="37"/>
        <v/>
      </c>
      <c r="AG788" s="8" t="str">
        <f>IF(TRIM($E788)&lt;&gt;"Tax Paid","",IF(COUNTIFS(LISTS!$F$2:$F$26,$AE788,LISTS!$G$2:$G$26,$AF788)=0,"NOT ON LIST",""))</f>
        <v/>
      </c>
      <c r="AH788" s="8" t="str">
        <f t="shared" si="38"/>
        <v/>
      </c>
    </row>
    <row r="789" spans="31:34" x14ac:dyDescent="0.25">
      <c r="AE789" s="8" t="str">
        <f t="shared" si="36"/>
        <v/>
      </c>
      <c r="AF789" s="8" t="str">
        <f t="shared" si="37"/>
        <v/>
      </c>
      <c r="AG789" s="8" t="str">
        <f>IF(TRIM($E789)&lt;&gt;"Tax Paid","",IF(COUNTIFS(LISTS!$F$2:$F$26,$AE789,LISTS!$G$2:$G$26,$AF789)=0,"NOT ON LIST",""))</f>
        <v/>
      </c>
      <c r="AH789" s="8" t="str">
        <f t="shared" si="38"/>
        <v/>
      </c>
    </row>
    <row r="790" spans="31:34" x14ac:dyDescent="0.25">
      <c r="AE790" s="8" t="str">
        <f t="shared" si="36"/>
        <v/>
      </c>
      <c r="AF790" s="8" t="str">
        <f t="shared" si="37"/>
        <v/>
      </c>
      <c r="AG790" s="8" t="str">
        <f>IF(TRIM($E790)&lt;&gt;"Tax Paid","",IF(COUNTIFS(LISTS!$F$2:$F$26,$AE790,LISTS!$G$2:$G$26,$AF790)=0,"NOT ON LIST",""))</f>
        <v/>
      </c>
      <c r="AH790" s="8" t="str">
        <f t="shared" si="38"/>
        <v/>
      </c>
    </row>
    <row r="791" spans="31:34" x14ac:dyDescent="0.25">
      <c r="AE791" s="8" t="str">
        <f t="shared" si="36"/>
        <v/>
      </c>
      <c r="AF791" s="8" t="str">
        <f t="shared" si="37"/>
        <v/>
      </c>
      <c r="AG791" s="8" t="str">
        <f>IF(TRIM($E791)&lt;&gt;"Tax Paid","",IF(COUNTIFS(LISTS!$F$2:$F$26,$AE791,LISTS!$G$2:$G$26,$AF791)=0,"NOT ON LIST",""))</f>
        <v/>
      </c>
      <c r="AH791" s="8" t="str">
        <f t="shared" si="38"/>
        <v/>
      </c>
    </row>
    <row r="792" spans="31:34" x14ac:dyDescent="0.25">
      <c r="AE792" s="8" t="str">
        <f t="shared" si="36"/>
        <v/>
      </c>
      <c r="AF792" s="8" t="str">
        <f t="shared" si="37"/>
        <v/>
      </c>
      <c r="AG792" s="8" t="str">
        <f>IF(TRIM($E792)&lt;&gt;"Tax Paid","",IF(COUNTIFS(LISTS!$F$2:$F$26,$AE792,LISTS!$G$2:$G$26,$AF792)=0,"NOT ON LIST",""))</f>
        <v/>
      </c>
      <c r="AH792" s="8" t="str">
        <f t="shared" si="38"/>
        <v/>
      </c>
    </row>
    <row r="793" spans="31:34" x14ac:dyDescent="0.25">
      <c r="AE793" s="8" t="str">
        <f t="shared" si="36"/>
        <v/>
      </c>
      <c r="AF793" s="8" t="str">
        <f t="shared" si="37"/>
        <v/>
      </c>
      <c r="AG793" s="8" t="str">
        <f>IF(TRIM($E793)&lt;&gt;"Tax Paid","",IF(COUNTIFS(LISTS!$F$2:$F$26,$AE793,LISTS!$G$2:$G$26,$AF793)=0,"NOT ON LIST",""))</f>
        <v/>
      </c>
      <c r="AH793" s="8" t="str">
        <f t="shared" si="38"/>
        <v/>
      </c>
    </row>
    <row r="794" spans="31:34" x14ac:dyDescent="0.25">
      <c r="AE794" s="8" t="str">
        <f t="shared" si="36"/>
        <v/>
      </c>
      <c r="AF794" s="8" t="str">
        <f t="shared" si="37"/>
        <v/>
      </c>
      <c r="AG794" s="8" t="str">
        <f>IF(TRIM($E794)&lt;&gt;"Tax Paid","",IF(COUNTIFS(LISTS!$F$2:$F$26,$AE794,LISTS!$G$2:$G$26,$AF794)=0,"NOT ON LIST",""))</f>
        <v/>
      </c>
      <c r="AH794" s="8" t="str">
        <f t="shared" si="38"/>
        <v/>
      </c>
    </row>
    <row r="795" spans="31:34" x14ac:dyDescent="0.25">
      <c r="AE795" s="8" t="str">
        <f t="shared" si="36"/>
        <v/>
      </c>
      <c r="AF795" s="8" t="str">
        <f t="shared" si="37"/>
        <v/>
      </c>
      <c r="AG795" s="8" t="str">
        <f>IF(TRIM($E795)&lt;&gt;"Tax Paid","",IF(COUNTIFS(LISTS!$F$2:$F$26,$AE795,LISTS!$G$2:$G$26,$AF795)=0,"NOT ON LIST",""))</f>
        <v/>
      </c>
      <c r="AH795" s="8" t="str">
        <f t="shared" si="38"/>
        <v/>
      </c>
    </row>
    <row r="796" spans="31:34" x14ac:dyDescent="0.25">
      <c r="AE796" s="8" t="str">
        <f t="shared" si="36"/>
        <v/>
      </c>
      <c r="AF796" s="8" t="str">
        <f t="shared" si="37"/>
        <v/>
      </c>
      <c r="AG796" s="8" t="str">
        <f>IF(TRIM($E796)&lt;&gt;"Tax Paid","",IF(COUNTIFS(LISTS!$F$2:$F$26,$AE796,LISTS!$G$2:$G$26,$AF796)=0,"NOT ON LIST",""))</f>
        <v/>
      </c>
      <c r="AH796" s="8" t="str">
        <f t="shared" si="38"/>
        <v/>
      </c>
    </row>
    <row r="797" spans="31:34" x14ac:dyDescent="0.25">
      <c r="AE797" s="8" t="str">
        <f t="shared" si="36"/>
        <v/>
      </c>
      <c r="AF797" s="8" t="str">
        <f t="shared" si="37"/>
        <v/>
      </c>
      <c r="AG797" s="8" t="str">
        <f>IF(TRIM($E797)&lt;&gt;"Tax Paid","",IF(COUNTIFS(LISTS!$F$2:$F$26,$AE797,LISTS!$G$2:$G$26,$AF797)=0,"NOT ON LIST",""))</f>
        <v/>
      </c>
      <c r="AH797" s="8" t="str">
        <f t="shared" si="38"/>
        <v/>
      </c>
    </row>
    <row r="798" spans="31:34" x14ac:dyDescent="0.25">
      <c r="AE798" s="8" t="str">
        <f t="shared" si="36"/>
        <v/>
      </c>
      <c r="AF798" s="8" t="str">
        <f t="shared" si="37"/>
        <v/>
      </c>
      <c r="AG798" s="8" t="str">
        <f>IF(TRIM($E798)&lt;&gt;"Tax Paid","",IF(COUNTIFS(LISTS!$F$2:$F$26,$AE798,LISTS!$G$2:$G$26,$AF798)=0,"NOT ON LIST",""))</f>
        <v/>
      </c>
      <c r="AH798" s="8" t="str">
        <f t="shared" si="38"/>
        <v/>
      </c>
    </row>
    <row r="799" spans="31:34" x14ac:dyDescent="0.25">
      <c r="AE799" s="8" t="str">
        <f t="shared" si="36"/>
        <v/>
      </c>
      <c r="AF799" s="8" t="str">
        <f t="shared" si="37"/>
        <v/>
      </c>
      <c r="AG799" s="8" t="str">
        <f>IF(TRIM($E799)&lt;&gt;"Tax Paid","",IF(COUNTIFS(LISTS!$F$2:$F$26,$AE799,LISTS!$G$2:$G$26,$AF799)=0,"NOT ON LIST",""))</f>
        <v/>
      </c>
      <c r="AH799" s="8" t="str">
        <f t="shared" si="38"/>
        <v/>
      </c>
    </row>
    <row r="800" spans="31:34" x14ac:dyDescent="0.25">
      <c r="AE800" s="8" t="str">
        <f t="shared" si="36"/>
        <v/>
      </c>
      <c r="AF800" s="8" t="str">
        <f t="shared" si="37"/>
        <v/>
      </c>
      <c r="AG800" s="8" t="str">
        <f>IF(TRIM($E800)&lt;&gt;"Tax Paid","",IF(COUNTIFS(LISTS!$F$2:$F$26,$AE800,LISTS!$G$2:$G$26,$AF800)=0,"NOT ON LIST",""))</f>
        <v/>
      </c>
      <c r="AH800" s="8" t="str">
        <f t="shared" si="38"/>
        <v/>
      </c>
    </row>
    <row r="801" spans="31:34" x14ac:dyDescent="0.25">
      <c r="AE801" s="8" t="str">
        <f t="shared" si="36"/>
        <v/>
      </c>
      <c r="AF801" s="8" t="str">
        <f t="shared" si="37"/>
        <v/>
      </c>
      <c r="AG801" s="8" t="str">
        <f>IF(TRIM($E801)&lt;&gt;"Tax Paid","",IF(COUNTIFS(LISTS!$F$2:$F$26,$AE801,LISTS!$G$2:$G$26,$AF801)=0,"NOT ON LIST",""))</f>
        <v/>
      </c>
      <c r="AH801" s="8" t="str">
        <f t="shared" si="38"/>
        <v/>
      </c>
    </row>
    <row r="802" spans="31:34" x14ac:dyDescent="0.25">
      <c r="AE802" s="8" t="str">
        <f t="shared" si="36"/>
        <v/>
      </c>
      <c r="AF802" s="8" t="str">
        <f t="shared" si="37"/>
        <v/>
      </c>
      <c r="AG802" s="8" t="str">
        <f>IF(TRIM($E802)&lt;&gt;"Tax Paid","",IF(COUNTIFS(LISTS!$F$2:$F$26,$AE802,LISTS!$G$2:$G$26,$AF802)=0,"NOT ON LIST",""))</f>
        <v/>
      </c>
      <c r="AH802" s="8" t="str">
        <f t="shared" si="38"/>
        <v/>
      </c>
    </row>
    <row r="803" spans="31:34" x14ac:dyDescent="0.25">
      <c r="AE803" s="8" t="str">
        <f t="shared" si="36"/>
        <v/>
      </c>
      <c r="AF803" s="8" t="str">
        <f t="shared" si="37"/>
        <v/>
      </c>
      <c r="AG803" s="8" t="str">
        <f>IF(TRIM($E803)&lt;&gt;"Tax Paid","",IF(COUNTIFS(LISTS!$F$2:$F$26,$AE803,LISTS!$G$2:$G$26,$AF803)=0,"NOT ON LIST",""))</f>
        <v/>
      </c>
      <c r="AH803" s="8" t="str">
        <f t="shared" si="38"/>
        <v/>
      </c>
    </row>
    <row r="804" spans="31:34" x14ac:dyDescent="0.25">
      <c r="AE804" s="8" t="str">
        <f t="shared" si="36"/>
        <v/>
      </c>
      <c r="AF804" s="8" t="str">
        <f t="shared" si="37"/>
        <v/>
      </c>
      <c r="AG804" s="8" t="str">
        <f>IF(TRIM($E804)&lt;&gt;"Tax Paid","",IF(COUNTIFS(LISTS!$F$2:$F$26,$AE804,LISTS!$G$2:$G$26,$AF804)=0,"NOT ON LIST",""))</f>
        <v/>
      </c>
      <c r="AH804" s="8" t="str">
        <f t="shared" si="38"/>
        <v/>
      </c>
    </row>
    <row r="805" spans="31:34" x14ac:dyDescent="0.25">
      <c r="AE805" s="8" t="str">
        <f t="shared" si="36"/>
        <v/>
      </c>
      <c r="AF805" s="8" t="str">
        <f t="shared" si="37"/>
        <v/>
      </c>
      <c r="AG805" s="8" t="str">
        <f>IF(TRIM($E805)&lt;&gt;"Tax Paid","",IF(COUNTIFS(LISTS!$F$2:$F$26,$AE805,LISTS!$G$2:$G$26,$AF805)=0,"NOT ON LIST",""))</f>
        <v/>
      </c>
      <c r="AH805" s="8" t="str">
        <f t="shared" si="38"/>
        <v/>
      </c>
    </row>
    <row r="806" spans="31:34" x14ac:dyDescent="0.25">
      <c r="AE806" s="8" t="str">
        <f t="shared" si="36"/>
        <v/>
      </c>
      <c r="AF806" s="8" t="str">
        <f t="shared" si="37"/>
        <v/>
      </c>
      <c r="AG806" s="8" t="str">
        <f>IF(TRIM($E806)&lt;&gt;"Tax Paid","",IF(COUNTIFS(LISTS!$F$2:$F$26,$AE806,LISTS!$G$2:$G$26,$AF806)=0,"NOT ON LIST",""))</f>
        <v/>
      </c>
      <c r="AH806" s="8" t="str">
        <f t="shared" si="38"/>
        <v/>
      </c>
    </row>
    <row r="807" spans="31:34" x14ac:dyDescent="0.25">
      <c r="AE807" s="8" t="str">
        <f t="shared" si="36"/>
        <v/>
      </c>
      <c r="AF807" s="8" t="str">
        <f t="shared" si="37"/>
        <v/>
      </c>
      <c r="AG807" s="8" t="str">
        <f>IF(TRIM($E807)&lt;&gt;"Tax Paid","",IF(COUNTIFS(LISTS!$F$2:$F$26,$AE807,LISTS!$G$2:$G$26,$AF807)=0,"NOT ON LIST",""))</f>
        <v/>
      </c>
      <c r="AH807" s="8" t="str">
        <f t="shared" si="38"/>
        <v/>
      </c>
    </row>
    <row r="808" spans="31:34" x14ac:dyDescent="0.25">
      <c r="AE808" s="8" t="str">
        <f t="shared" si="36"/>
        <v/>
      </c>
      <c r="AF808" s="8" t="str">
        <f t="shared" si="37"/>
        <v/>
      </c>
      <c r="AG808" s="8" t="str">
        <f>IF(TRIM($E808)&lt;&gt;"Tax Paid","",IF(COUNTIFS(LISTS!$F$2:$F$26,$AE808,LISTS!$G$2:$G$26,$AF808)=0,"NOT ON LIST",""))</f>
        <v/>
      </c>
      <c r="AH808" s="8" t="str">
        <f t="shared" si="38"/>
        <v/>
      </c>
    </row>
    <row r="809" spans="31:34" x14ac:dyDescent="0.25">
      <c r="AE809" s="8" t="str">
        <f t="shared" si="36"/>
        <v/>
      </c>
      <c r="AF809" s="8" t="str">
        <f t="shared" si="37"/>
        <v/>
      </c>
      <c r="AG809" s="8" t="str">
        <f>IF(TRIM($E809)&lt;&gt;"Tax Paid","",IF(COUNTIFS(LISTS!$F$2:$F$26,$AE809,LISTS!$G$2:$G$26,$AF809)=0,"NOT ON LIST",""))</f>
        <v/>
      </c>
      <c r="AH809" s="8" t="str">
        <f t="shared" si="38"/>
        <v/>
      </c>
    </row>
    <row r="810" spans="31:34" x14ac:dyDescent="0.25">
      <c r="AE810" s="8" t="str">
        <f t="shared" si="36"/>
        <v/>
      </c>
      <c r="AF810" s="8" t="str">
        <f t="shared" si="37"/>
        <v/>
      </c>
      <c r="AG810" s="8" t="str">
        <f>IF(TRIM($E810)&lt;&gt;"Tax Paid","",IF(COUNTIFS(LISTS!$F$2:$F$26,$AE810,LISTS!$G$2:$G$26,$AF810)=0,"NOT ON LIST",""))</f>
        <v/>
      </c>
      <c r="AH810" s="8" t="str">
        <f t="shared" si="38"/>
        <v/>
      </c>
    </row>
    <row r="811" spans="31:34" x14ac:dyDescent="0.25">
      <c r="AE811" s="8" t="str">
        <f t="shared" si="36"/>
        <v/>
      </c>
      <c r="AF811" s="8" t="str">
        <f t="shared" si="37"/>
        <v/>
      </c>
      <c r="AG811" s="8" t="str">
        <f>IF(TRIM($E811)&lt;&gt;"Tax Paid","",IF(COUNTIFS(LISTS!$F$2:$F$26,$AE811,LISTS!$G$2:$G$26,$AF811)=0,"NOT ON LIST",""))</f>
        <v/>
      </c>
      <c r="AH811" s="8" t="str">
        <f t="shared" si="38"/>
        <v/>
      </c>
    </row>
    <row r="812" spans="31:34" x14ac:dyDescent="0.25">
      <c r="AE812" s="8" t="str">
        <f t="shared" si="36"/>
        <v/>
      </c>
      <c r="AF812" s="8" t="str">
        <f t="shared" si="37"/>
        <v/>
      </c>
      <c r="AG812" s="8" t="str">
        <f>IF(TRIM($E812)&lt;&gt;"Tax Paid","",IF(COUNTIFS(LISTS!$F$2:$F$26,$AE812,LISTS!$G$2:$G$26,$AF812)=0,"NOT ON LIST",""))</f>
        <v/>
      </c>
      <c r="AH812" s="8" t="str">
        <f t="shared" si="38"/>
        <v/>
      </c>
    </row>
    <row r="813" spans="31:34" x14ac:dyDescent="0.25">
      <c r="AE813" s="8" t="str">
        <f t="shared" si="36"/>
        <v/>
      </c>
      <c r="AF813" s="8" t="str">
        <f t="shared" si="37"/>
        <v/>
      </c>
      <c r="AG813" s="8" t="str">
        <f>IF(TRIM($E813)&lt;&gt;"Tax Paid","",IF(COUNTIFS(LISTS!$F$2:$F$26,$AE813,LISTS!$G$2:$G$26,$AF813)=0,"NOT ON LIST",""))</f>
        <v/>
      </c>
      <c r="AH813" s="8" t="str">
        <f t="shared" si="38"/>
        <v/>
      </c>
    </row>
    <row r="814" spans="31:34" x14ac:dyDescent="0.25">
      <c r="AE814" s="8" t="str">
        <f t="shared" si="36"/>
        <v/>
      </c>
      <c r="AF814" s="8" t="str">
        <f t="shared" si="37"/>
        <v/>
      </c>
      <c r="AG814" s="8" t="str">
        <f>IF(TRIM($E814)&lt;&gt;"Tax Paid","",IF(COUNTIFS(LISTS!$F$2:$F$26,$AE814,LISTS!$G$2:$G$26,$AF814)=0,"NOT ON LIST",""))</f>
        <v/>
      </c>
      <c r="AH814" s="8" t="str">
        <f t="shared" si="38"/>
        <v/>
      </c>
    </row>
    <row r="815" spans="31:34" x14ac:dyDescent="0.25">
      <c r="AE815" s="8" t="str">
        <f t="shared" si="36"/>
        <v/>
      </c>
      <c r="AF815" s="8" t="str">
        <f t="shared" si="37"/>
        <v/>
      </c>
      <c r="AG815" s="8" t="str">
        <f>IF(TRIM($E815)&lt;&gt;"Tax Paid","",IF(COUNTIFS(LISTS!$F$2:$F$26,$AE815,LISTS!$G$2:$G$26,$AF815)=0,"NOT ON LIST",""))</f>
        <v/>
      </c>
      <c r="AH815" s="8" t="str">
        <f t="shared" si="38"/>
        <v/>
      </c>
    </row>
    <row r="816" spans="31:34" x14ac:dyDescent="0.25">
      <c r="AE816" s="8" t="str">
        <f t="shared" si="36"/>
        <v/>
      </c>
      <c r="AF816" s="8" t="str">
        <f t="shared" si="37"/>
        <v/>
      </c>
      <c r="AG816" s="8" t="str">
        <f>IF(TRIM($E816)&lt;&gt;"Tax Paid","",IF(COUNTIFS(LISTS!$F$2:$F$26,$AE816,LISTS!$G$2:$G$26,$AF816)=0,"NOT ON LIST",""))</f>
        <v/>
      </c>
      <c r="AH816" s="8" t="str">
        <f t="shared" si="38"/>
        <v/>
      </c>
    </row>
    <row r="817" spans="31:34" x14ac:dyDescent="0.25">
      <c r="AE817" s="8" t="str">
        <f t="shared" si="36"/>
        <v/>
      </c>
      <c r="AF817" s="8" t="str">
        <f t="shared" si="37"/>
        <v/>
      </c>
      <c r="AG817" s="8" t="str">
        <f>IF(TRIM($E817)&lt;&gt;"Tax Paid","",IF(COUNTIFS(LISTS!$F$2:$F$26,$AE817,LISTS!$G$2:$G$26,$AF817)=0,"NOT ON LIST",""))</f>
        <v/>
      </c>
      <c r="AH817" s="8" t="str">
        <f t="shared" si="38"/>
        <v/>
      </c>
    </row>
    <row r="818" spans="31:34" x14ac:dyDescent="0.25">
      <c r="AE818" s="8" t="str">
        <f t="shared" si="36"/>
        <v/>
      </c>
      <c r="AF818" s="8" t="str">
        <f t="shared" si="37"/>
        <v/>
      </c>
      <c r="AG818" s="8" t="str">
        <f>IF(TRIM($E818)&lt;&gt;"Tax Paid","",IF(COUNTIFS(LISTS!$F$2:$F$26,$AE818,LISTS!$G$2:$G$26,$AF818)=0,"NOT ON LIST",""))</f>
        <v/>
      </c>
      <c r="AH818" s="8" t="str">
        <f t="shared" si="38"/>
        <v/>
      </c>
    </row>
    <row r="819" spans="31:34" x14ac:dyDescent="0.25">
      <c r="AE819" s="8" t="str">
        <f t="shared" si="36"/>
        <v/>
      </c>
      <c r="AF819" s="8" t="str">
        <f t="shared" si="37"/>
        <v/>
      </c>
      <c r="AG819" s="8" t="str">
        <f>IF(TRIM($E819)&lt;&gt;"Tax Paid","",IF(COUNTIFS(LISTS!$F$2:$F$26,$AE819,LISTS!$G$2:$G$26,$AF819)=0,"NOT ON LIST",""))</f>
        <v/>
      </c>
      <c r="AH819" s="8" t="str">
        <f t="shared" si="38"/>
        <v/>
      </c>
    </row>
    <row r="820" spans="31:34" x14ac:dyDescent="0.25">
      <c r="AE820" s="8" t="str">
        <f t="shared" si="36"/>
        <v/>
      </c>
      <c r="AF820" s="8" t="str">
        <f t="shared" si="37"/>
        <v/>
      </c>
      <c r="AG820" s="8" t="str">
        <f>IF(TRIM($E820)&lt;&gt;"Tax Paid","",IF(COUNTIFS(LISTS!$F$2:$F$26,$AE820,LISTS!$G$2:$G$26,$AF820)=0,"NOT ON LIST",""))</f>
        <v/>
      </c>
      <c r="AH820" s="8" t="str">
        <f t="shared" si="38"/>
        <v/>
      </c>
    </row>
    <row r="821" spans="31:34" x14ac:dyDescent="0.25">
      <c r="AE821" s="8" t="str">
        <f t="shared" si="36"/>
        <v/>
      </c>
      <c r="AF821" s="8" t="str">
        <f t="shared" si="37"/>
        <v/>
      </c>
      <c r="AG821" s="8" t="str">
        <f>IF(TRIM($E821)&lt;&gt;"Tax Paid","",IF(COUNTIFS(LISTS!$F$2:$F$26,$AE821,LISTS!$G$2:$G$26,$AF821)=0,"NOT ON LIST",""))</f>
        <v/>
      </c>
      <c r="AH821" s="8" t="str">
        <f t="shared" si="38"/>
        <v/>
      </c>
    </row>
    <row r="822" spans="31:34" x14ac:dyDescent="0.25">
      <c r="AE822" s="8" t="str">
        <f t="shared" si="36"/>
        <v/>
      </c>
      <c r="AF822" s="8" t="str">
        <f t="shared" si="37"/>
        <v/>
      </c>
      <c r="AG822" s="8" t="str">
        <f>IF(TRIM($E822)&lt;&gt;"Tax Paid","",IF(COUNTIFS(LISTS!$F$2:$F$26,$AE822,LISTS!$G$2:$G$26,$AF822)=0,"NOT ON LIST",""))</f>
        <v/>
      </c>
      <c r="AH822" s="8" t="str">
        <f t="shared" si="38"/>
        <v/>
      </c>
    </row>
    <row r="823" spans="31:34" x14ac:dyDescent="0.25">
      <c r="AE823" s="8" t="str">
        <f t="shared" si="36"/>
        <v/>
      </c>
      <c r="AF823" s="8" t="str">
        <f t="shared" si="37"/>
        <v/>
      </c>
      <c r="AG823" s="8" t="str">
        <f>IF(TRIM($E823)&lt;&gt;"Tax Paid","",IF(COUNTIFS(LISTS!$F$2:$F$26,$AE823,LISTS!$G$2:$G$26,$AF823)=0,"NOT ON LIST",""))</f>
        <v/>
      </c>
      <c r="AH823" s="8" t="str">
        <f t="shared" si="38"/>
        <v/>
      </c>
    </row>
    <row r="824" spans="31:34" x14ac:dyDescent="0.25">
      <c r="AE824" s="8" t="str">
        <f t="shared" si="36"/>
        <v/>
      </c>
      <c r="AF824" s="8" t="str">
        <f t="shared" si="37"/>
        <v/>
      </c>
      <c r="AG824" s="8" t="str">
        <f>IF(TRIM($E824)&lt;&gt;"Tax Paid","",IF(COUNTIFS(LISTS!$F$2:$F$26,$AE824,LISTS!$G$2:$G$26,$AF824)=0,"NOT ON LIST",""))</f>
        <v/>
      </c>
      <c r="AH824" s="8" t="str">
        <f t="shared" si="38"/>
        <v/>
      </c>
    </row>
    <row r="825" spans="31:34" x14ac:dyDescent="0.25">
      <c r="AE825" s="8" t="str">
        <f t="shared" si="36"/>
        <v/>
      </c>
      <c r="AF825" s="8" t="str">
        <f t="shared" si="37"/>
        <v/>
      </c>
      <c r="AG825" s="8" t="str">
        <f>IF(TRIM($E825)&lt;&gt;"Tax Paid","",IF(COUNTIFS(LISTS!$F$2:$F$26,$AE825,LISTS!$G$2:$G$26,$AF825)=0,"NOT ON LIST",""))</f>
        <v/>
      </c>
      <c r="AH825" s="8" t="str">
        <f t="shared" si="38"/>
        <v/>
      </c>
    </row>
    <row r="826" spans="31:34" x14ac:dyDescent="0.25">
      <c r="AE826" s="8" t="str">
        <f t="shared" si="36"/>
        <v/>
      </c>
      <c r="AF826" s="8" t="str">
        <f t="shared" si="37"/>
        <v/>
      </c>
      <c r="AG826" s="8" t="str">
        <f>IF(TRIM($E826)&lt;&gt;"Tax Paid","",IF(COUNTIFS(LISTS!$F$2:$F$26,$AE826,LISTS!$G$2:$G$26,$AF826)=0,"NOT ON LIST",""))</f>
        <v/>
      </c>
      <c r="AH826" s="8" t="str">
        <f t="shared" si="38"/>
        <v/>
      </c>
    </row>
    <row r="827" spans="31:34" x14ac:dyDescent="0.25">
      <c r="AE827" s="8" t="str">
        <f t="shared" si="36"/>
        <v/>
      </c>
      <c r="AF827" s="8" t="str">
        <f t="shared" si="37"/>
        <v/>
      </c>
      <c r="AG827" s="8" t="str">
        <f>IF(TRIM($E827)&lt;&gt;"Tax Paid","",IF(COUNTIFS(LISTS!$F$2:$F$26,$AE827,LISTS!$G$2:$G$26,$AF827)=0,"NOT ON LIST",""))</f>
        <v/>
      </c>
      <c r="AH827" s="8" t="str">
        <f t="shared" si="38"/>
        <v/>
      </c>
    </row>
    <row r="828" spans="31:34" x14ac:dyDescent="0.25">
      <c r="AE828" s="8" t="str">
        <f t="shared" si="36"/>
        <v/>
      </c>
      <c r="AF828" s="8" t="str">
        <f t="shared" si="37"/>
        <v/>
      </c>
      <c r="AG828" s="8" t="str">
        <f>IF(TRIM($E828)&lt;&gt;"Tax Paid","",IF(COUNTIFS(LISTS!$F$2:$F$26,$AE828,LISTS!$G$2:$G$26,$AF828)=0,"NOT ON LIST",""))</f>
        <v/>
      </c>
      <c r="AH828" s="8" t="str">
        <f t="shared" si="38"/>
        <v/>
      </c>
    </row>
    <row r="829" spans="31:34" x14ac:dyDescent="0.25">
      <c r="AE829" s="8" t="str">
        <f t="shared" si="36"/>
        <v/>
      </c>
      <c r="AF829" s="8" t="str">
        <f t="shared" si="37"/>
        <v/>
      </c>
      <c r="AG829" s="8" t="str">
        <f>IF(TRIM($E829)&lt;&gt;"Tax Paid","",IF(COUNTIFS(LISTS!$F$2:$F$26,$AE829,LISTS!$G$2:$G$26,$AF829)=0,"NOT ON LIST",""))</f>
        <v/>
      </c>
      <c r="AH829" s="8" t="str">
        <f t="shared" si="38"/>
        <v/>
      </c>
    </row>
    <row r="830" spans="31:34" x14ac:dyDescent="0.25">
      <c r="AE830" s="8" t="str">
        <f t="shared" si="36"/>
        <v/>
      </c>
      <c r="AF830" s="8" t="str">
        <f t="shared" si="37"/>
        <v/>
      </c>
      <c r="AG830" s="8" t="str">
        <f>IF(TRIM($E830)&lt;&gt;"Tax Paid","",IF(COUNTIFS(LISTS!$F$2:$F$26,$AE830,LISTS!$G$2:$G$26,$AF830)=0,"NOT ON LIST",""))</f>
        <v/>
      </c>
      <c r="AH830" s="8" t="str">
        <f t="shared" si="38"/>
        <v/>
      </c>
    </row>
    <row r="831" spans="31:34" x14ac:dyDescent="0.25">
      <c r="AE831" s="8" t="str">
        <f t="shared" si="36"/>
        <v/>
      </c>
      <c r="AF831" s="8" t="str">
        <f t="shared" si="37"/>
        <v/>
      </c>
      <c r="AG831" s="8" t="str">
        <f>IF(TRIM($E831)&lt;&gt;"Tax Paid","",IF(COUNTIFS(LISTS!$F$2:$F$26,$AE831,LISTS!$G$2:$G$26,$AF831)=0,"NOT ON LIST",""))</f>
        <v/>
      </c>
      <c r="AH831" s="8" t="str">
        <f t="shared" si="38"/>
        <v/>
      </c>
    </row>
    <row r="832" spans="31:34" x14ac:dyDescent="0.25">
      <c r="AE832" s="8" t="str">
        <f t="shared" si="36"/>
        <v/>
      </c>
      <c r="AF832" s="8" t="str">
        <f t="shared" si="37"/>
        <v/>
      </c>
      <c r="AG832" s="8" t="str">
        <f>IF(TRIM($E832)&lt;&gt;"Tax Paid","",IF(COUNTIFS(LISTS!$F$2:$F$26,$AE832,LISTS!$G$2:$G$26,$AF832)=0,"NOT ON LIST",""))</f>
        <v/>
      </c>
      <c r="AH832" s="8" t="str">
        <f t="shared" si="38"/>
        <v/>
      </c>
    </row>
    <row r="833" spans="31:34" x14ac:dyDescent="0.25">
      <c r="AE833" s="8" t="str">
        <f t="shared" si="36"/>
        <v/>
      </c>
      <c r="AF833" s="8" t="str">
        <f t="shared" si="37"/>
        <v/>
      </c>
      <c r="AG833" s="8" t="str">
        <f>IF(TRIM($E833)&lt;&gt;"Tax Paid","",IF(COUNTIFS(LISTS!$F$2:$F$26,$AE833,LISTS!$G$2:$G$26,$AF833)=0,"NOT ON LIST",""))</f>
        <v/>
      </c>
      <c r="AH833" s="8" t="str">
        <f t="shared" si="38"/>
        <v/>
      </c>
    </row>
    <row r="834" spans="31:34" x14ac:dyDescent="0.25">
      <c r="AE834" s="8" t="str">
        <f t="shared" ref="AE834:AE897" si="39">IF(TRIM($E834)="Tax Paid",TRIM($S834),"")</f>
        <v/>
      </c>
      <c r="AF834" s="8" t="str">
        <f t="shared" ref="AF834:AF897" si="40">IF(TRIM($E834)="Tax Paid",ROUND($Z834/100,5),"")</f>
        <v/>
      </c>
      <c r="AG834" s="8" t="str">
        <f>IF(TRIM($E834)&lt;&gt;"Tax Paid","",IF(COUNTIFS(LISTS!$F$2:$F$26,$AE834,LISTS!$G$2:$G$26,$AF834)=0,"NOT ON LIST",""))</f>
        <v/>
      </c>
      <c r="AH834" s="8" t="str">
        <f t="shared" ref="AH834:AH897" si="41">IF($AG834="","",IF($AE834="","(no county)",$AE834)&amp;" ("&amp;SUBSTITUTE(TEXT($AF834,"0.###%"),".%","%")&amp;")")</f>
        <v/>
      </c>
    </row>
    <row r="835" spans="31:34" x14ac:dyDescent="0.25">
      <c r="AE835" s="8" t="str">
        <f t="shared" si="39"/>
        <v/>
      </c>
      <c r="AF835" s="8" t="str">
        <f t="shared" si="40"/>
        <v/>
      </c>
      <c r="AG835" s="8" t="str">
        <f>IF(TRIM($E835)&lt;&gt;"Tax Paid","",IF(COUNTIFS(LISTS!$F$2:$F$26,$AE835,LISTS!$G$2:$G$26,$AF835)=0,"NOT ON LIST",""))</f>
        <v/>
      </c>
      <c r="AH835" s="8" t="str">
        <f t="shared" si="41"/>
        <v/>
      </c>
    </row>
    <row r="836" spans="31:34" x14ac:dyDescent="0.25">
      <c r="AE836" s="8" t="str">
        <f t="shared" si="39"/>
        <v/>
      </c>
      <c r="AF836" s="8" t="str">
        <f t="shared" si="40"/>
        <v/>
      </c>
      <c r="AG836" s="8" t="str">
        <f>IF(TRIM($E836)&lt;&gt;"Tax Paid","",IF(COUNTIFS(LISTS!$F$2:$F$26,$AE836,LISTS!$G$2:$G$26,$AF836)=0,"NOT ON LIST",""))</f>
        <v/>
      </c>
      <c r="AH836" s="8" t="str">
        <f t="shared" si="41"/>
        <v/>
      </c>
    </row>
    <row r="837" spans="31:34" x14ac:dyDescent="0.25">
      <c r="AE837" s="8" t="str">
        <f t="shared" si="39"/>
        <v/>
      </c>
      <c r="AF837" s="8" t="str">
        <f t="shared" si="40"/>
        <v/>
      </c>
      <c r="AG837" s="8" t="str">
        <f>IF(TRIM($E837)&lt;&gt;"Tax Paid","",IF(COUNTIFS(LISTS!$F$2:$F$26,$AE837,LISTS!$G$2:$G$26,$AF837)=0,"NOT ON LIST",""))</f>
        <v/>
      </c>
      <c r="AH837" s="8" t="str">
        <f t="shared" si="41"/>
        <v/>
      </c>
    </row>
    <row r="838" spans="31:34" x14ac:dyDescent="0.25">
      <c r="AE838" s="8" t="str">
        <f t="shared" si="39"/>
        <v/>
      </c>
      <c r="AF838" s="8" t="str">
        <f t="shared" si="40"/>
        <v/>
      </c>
      <c r="AG838" s="8" t="str">
        <f>IF(TRIM($E838)&lt;&gt;"Tax Paid","",IF(COUNTIFS(LISTS!$F$2:$F$26,$AE838,LISTS!$G$2:$G$26,$AF838)=0,"NOT ON LIST",""))</f>
        <v/>
      </c>
      <c r="AH838" s="8" t="str">
        <f t="shared" si="41"/>
        <v/>
      </c>
    </row>
    <row r="839" spans="31:34" x14ac:dyDescent="0.25">
      <c r="AE839" s="8" t="str">
        <f t="shared" si="39"/>
        <v/>
      </c>
      <c r="AF839" s="8" t="str">
        <f t="shared" si="40"/>
        <v/>
      </c>
      <c r="AG839" s="8" t="str">
        <f>IF(TRIM($E839)&lt;&gt;"Tax Paid","",IF(COUNTIFS(LISTS!$F$2:$F$26,$AE839,LISTS!$G$2:$G$26,$AF839)=0,"NOT ON LIST",""))</f>
        <v/>
      </c>
      <c r="AH839" s="8" t="str">
        <f t="shared" si="41"/>
        <v/>
      </c>
    </row>
    <row r="840" spans="31:34" x14ac:dyDescent="0.25">
      <c r="AE840" s="8" t="str">
        <f t="shared" si="39"/>
        <v/>
      </c>
      <c r="AF840" s="8" t="str">
        <f t="shared" si="40"/>
        <v/>
      </c>
      <c r="AG840" s="8" t="str">
        <f>IF(TRIM($E840)&lt;&gt;"Tax Paid","",IF(COUNTIFS(LISTS!$F$2:$F$26,$AE840,LISTS!$G$2:$G$26,$AF840)=0,"NOT ON LIST",""))</f>
        <v/>
      </c>
      <c r="AH840" s="8" t="str">
        <f t="shared" si="41"/>
        <v/>
      </c>
    </row>
    <row r="841" spans="31:34" x14ac:dyDescent="0.25">
      <c r="AE841" s="8" t="str">
        <f t="shared" si="39"/>
        <v/>
      </c>
      <c r="AF841" s="8" t="str">
        <f t="shared" si="40"/>
        <v/>
      </c>
      <c r="AG841" s="8" t="str">
        <f>IF(TRIM($E841)&lt;&gt;"Tax Paid","",IF(COUNTIFS(LISTS!$F$2:$F$26,$AE841,LISTS!$G$2:$G$26,$AF841)=0,"NOT ON LIST",""))</f>
        <v/>
      </c>
      <c r="AH841" s="8" t="str">
        <f t="shared" si="41"/>
        <v/>
      </c>
    </row>
    <row r="842" spans="31:34" x14ac:dyDescent="0.25">
      <c r="AE842" s="8" t="str">
        <f t="shared" si="39"/>
        <v/>
      </c>
      <c r="AF842" s="8" t="str">
        <f t="shared" si="40"/>
        <v/>
      </c>
      <c r="AG842" s="8" t="str">
        <f>IF(TRIM($E842)&lt;&gt;"Tax Paid","",IF(COUNTIFS(LISTS!$F$2:$F$26,$AE842,LISTS!$G$2:$G$26,$AF842)=0,"NOT ON LIST",""))</f>
        <v/>
      </c>
      <c r="AH842" s="8" t="str">
        <f t="shared" si="41"/>
        <v/>
      </c>
    </row>
    <row r="843" spans="31:34" x14ac:dyDescent="0.25">
      <c r="AE843" s="8" t="str">
        <f t="shared" si="39"/>
        <v/>
      </c>
      <c r="AF843" s="8" t="str">
        <f t="shared" si="40"/>
        <v/>
      </c>
      <c r="AG843" s="8" t="str">
        <f>IF(TRIM($E843)&lt;&gt;"Tax Paid","",IF(COUNTIFS(LISTS!$F$2:$F$26,$AE843,LISTS!$G$2:$G$26,$AF843)=0,"NOT ON LIST",""))</f>
        <v/>
      </c>
      <c r="AH843" s="8" t="str">
        <f t="shared" si="41"/>
        <v/>
      </c>
    </row>
    <row r="844" spans="31:34" x14ac:dyDescent="0.25">
      <c r="AE844" s="8" t="str">
        <f t="shared" si="39"/>
        <v/>
      </c>
      <c r="AF844" s="8" t="str">
        <f t="shared" si="40"/>
        <v/>
      </c>
      <c r="AG844" s="8" t="str">
        <f>IF(TRIM($E844)&lt;&gt;"Tax Paid","",IF(COUNTIFS(LISTS!$F$2:$F$26,$AE844,LISTS!$G$2:$G$26,$AF844)=0,"NOT ON LIST",""))</f>
        <v/>
      </c>
      <c r="AH844" s="8" t="str">
        <f t="shared" si="41"/>
        <v/>
      </c>
    </row>
    <row r="845" spans="31:34" x14ac:dyDescent="0.25">
      <c r="AE845" s="8" t="str">
        <f t="shared" si="39"/>
        <v/>
      </c>
      <c r="AF845" s="8" t="str">
        <f t="shared" si="40"/>
        <v/>
      </c>
      <c r="AG845" s="8" t="str">
        <f>IF(TRIM($E845)&lt;&gt;"Tax Paid","",IF(COUNTIFS(LISTS!$F$2:$F$26,$AE845,LISTS!$G$2:$G$26,$AF845)=0,"NOT ON LIST",""))</f>
        <v/>
      </c>
      <c r="AH845" s="8" t="str">
        <f t="shared" si="41"/>
        <v/>
      </c>
    </row>
    <row r="846" spans="31:34" x14ac:dyDescent="0.25">
      <c r="AE846" s="8" t="str">
        <f t="shared" si="39"/>
        <v/>
      </c>
      <c r="AF846" s="8" t="str">
        <f t="shared" si="40"/>
        <v/>
      </c>
      <c r="AG846" s="8" t="str">
        <f>IF(TRIM($E846)&lt;&gt;"Tax Paid","",IF(COUNTIFS(LISTS!$F$2:$F$26,$AE846,LISTS!$G$2:$G$26,$AF846)=0,"NOT ON LIST",""))</f>
        <v/>
      </c>
      <c r="AH846" s="8" t="str">
        <f t="shared" si="41"/>
        <v/>
      </c>
    </row>
    <row r="847" spans="31:34" x14ac:dyDescent="0.25">
      <c r="AE847" s="8" t="str">
        <f t="shared" si="39"/>
        <v/>
      </c>
      <c r="AF847" s="8" t="str">
        <f t="shared" si="40"/>
        <v/>
      </c>
      <c r="AG847" s="8" t="str">
        <f>IF(TRIM($E847)&lt;&gt;"Tax Paid","",IF(COUNTIFS(LISTS!$F$2:$F$26,$AE847,LISTS!$G$2:$G$26,$AF847)=0,"NOT ON LIST",""))</f>
        <v/>
      </c>
      <c r="AH847" s="8" t="str">
        <f t="shared" si="41"/>
        <v/>
      </c>
    </row>
    <row r="848" spans="31:34" x14ac:dyDescent="0.25">
      <c r="AE848" s="8" t="str">
        <f t="shared" si="39"/>
        <v/>
      </c>
      <c r="AF848" s="8" t="str">
        <f t="shared" si="40"/>
        <v/>
      </c>
      <c r="AG848" s="8" t="str">
        <f>IF(TRIM($E848)&lt;&gt;"Tax Paid","",IF(COUNTIFS(LISTS!$F$2:$F$26,$AE848,LISTS!$G$2:$G$26,$AF848)=0,"NOT ON LIST",""))</f>
        <v/>
      </c>
      <c r="AH848" s="8" t="str">
        <f t="shared" si="41"/>
        <v/>
      </c>
    </row>
    <row r="849" spans="31:34" x14ac:dyDescent="0.25">
      <c r="AE849" s="8" t="str">
        <f t="shared" si="39"/>
        <v/>
      </c>
      <c r="AF849" s="8" t="str">
        <f t="shared" si="40"/>
        <v/>
      </c>
      <c r="AG849" s="8" t="str">
        <f>IF(TRIM($E849)&lt;&gt;"Tax Paid","",IF(COUNTIFS(LISTS!$F$2:$F$26,$AE849,LISTS!$G$2:$G$26,$AF849)=0,"NOT ON LIST",""))</f>
        <v/>
      </c>
      <c r="AH849" s="8" t="str">
        <f t="shared" si="41"/>
        <v/>
      </c>
    </row>
    <row r="850" spans="31:34" x14ac:dyDescent="0.25">
      <c r="AE850" s="8" t="str">
        <f t="shared" si="39"/>
        <v/>
      </c>
      <c r="AF850" s="8" t="str">
        <f t="shared" si="40"/>
        <v/>
      </c>
      <c r="AG850" s="8" t="str">
        <f>IF(TRIM($E850)&lt;&gt;"Tax Paid","",IF(COUNTIFS(LISTS!$F$2:$F$26,$AE850,LISTS!$G$2:$G$26,$AF850)=0,"NOT ON LIST",""))</f>
        <v/>
      </c>
      <c r="AH850" s="8" t="str">
        <f t="shared" si="41"/>
        <v/>
      </c>
    </row>
    <row r="851" spans="31:34" x14ac:dyDescent="0.25">
      <c r="AE851" s="8" t="str">
        <f t="shared" si="39"/>
        <v/>
      </c>
      <c r="AF851" s="8" t="str">
        <f t="shared" si="40"/>
        <v/>
      </c>
      <c r="AG851" s="8" t="str">
        <f>IF(TRIM($E851)&lt;&gt;"Tax Paid","",IF(COUNTIFS(LISTS!$F$2:$F$26,$AE851,LISTS!$G$2:$G$26,$AF851)=0,"NOT ON LIST",""))</f>
        <v/>
      </c>
      <c r="AH851" s="8" t="str">
        <f t="shared" si="41"/>
        <v/>
      </c>
    </row>
    <row r="852" spans="31:34" x14ac:dyDescent="0.25">
      <c r="AE852" s="8" t="str">
        <f t="shared" si="39"/>
        <v/>
      </c>
      <c r="AF852" s="8" t="str">
        <f t="shared" si="40"/>
        <v/>
      </c>
      <c r="AG852" s="8" t="str">
        <f>IF(TRIM($E852)&lt;&gt;"Tax Paid","",IF(COUNTIFS(LISTS!$F$2:$F$26,$AE852,LISTS!$G$2:$G$26,$AF852)=0,"NOT ON LIST",""))</f>
        <v/>
      </c>
      <c r="AH852" s="8" t="str">
        <f t="shared" si="41"/>
        <v/>
      </c>
    </row>
    <row r="853" spans="31:34" x14ac:dyDescent="0.25">
      <c r="AE853" s="8" t="str">
        <f t="shared" si="39"/>
        <v/>
      </c>
      <c r="AF853" s="8" t="str">
        <f t="shared" si="40"/>
        <v/>
      </c>
      <c r="AG853" s="8" t="str">
        <f>IF(TRIM($E853)&lt;&gt;"Tax Paid","",IF(COUNTIFS(LISTS!$F$2:$F$26,$AE853,LISTS!$G$2:$G$26,$AF853)=0,"NOT ON LIST",""))</f>
        <v/>
      </c>
      <c r="AH853" s="8" t="str">
        <f t="shared" si="41"/>
        <v/>
      </c>
    </row>
    <row r="854" spans="31:34" x14ac:dyDescent="0.25">
      <c r="AE854" s="8" t="str">
        <f t="shared" si="39"/>
        <v/>
      </c>
      <c r="AF854" s="8" t="str">
        <f t="shared" si="40"/>
        <v/>
      </c>
      <c r="AG854" s="8" t="str">
        <f>IF(TRIM($E854)&lt;&gt;"Tax Paid","",IF(COUNTIFS(LISTS!$F$2:$F$26,$AE854,LISTS!$G$2:$G$26,$AF854)=0,"NOT ON LIST",""))</f>
        <v/>
      </c>
      <c r="AH854" s="8" t="str">
        <f t="shared" si="41"/>
        <v/>
      </c>
    </row>
    <row r="855" spans="31:34" x14ac:dyDescent="0.25">
      <c r="AE855" s="8" t="str">
        <f t="shared" si="39"/>
        <v/>
      </c>
      <c r="AF855" s="8" t="str">
        <f t="shared" si="40"/>
        <v/>
      </c>
      <c r="AG855" s="8" t="str">
        <f>IF(TRIM($E855)&lt;&gt;"Tax Paid","",IF(COUNTIFS(LISTS!$F$2:$F$26,$AE855,LISTS!$G$2:$G$26,$AF855)=0,"NOT ON LIST",""))</f>
        <v/>
      </c>
      <c r="AH855" s="8" t="str">
        <f t="shared" si="41"/>
        <v/>
      </c>
    </row>
    <row r="856" spans="31:34" x14ac:dyDescent="0.25">
      <c r="AE856" s="8" t="str">
        <f t="shared" si="39"/>
        <v/>
      </c>
      <c r="AF856" s="8" t="str">
        <f t="shared" si="40"/>
        <v/>
      </c>
      <c r="AG856" s="8" t="str">
        <f>IF(TRIM($E856)&lt;&gt;"Tax Paid","",IF(COUNTIFS(LISTS!$F$2:$F$26,$AE856,LISTS!$G$2:$G$26,$AF856)=0,"NOT ON LIST",""))</f>
        <v/>
      </c>
      <c r="AH856" s="8" t="str">
        <f t="shared" si="41"/>
        <v/>
      </c>
    </row>
    <row r="857" spans="31:34" x14ac:dyDescent="0.25">
      <c r="AE857" s="8" t="str">
        <f t="shared" si="39"/>
        <v/>
      </c>
      <c r="AF857" s="8" t="str">
        <f t="shared" si="40"/>
        <v/>
      </c>
      <c r="AG857" s="8" t="str">
        <f>IF(TRIM($E857)&lt;&gt;"Tax Paid","",IF(COUNTIFS(LISTS!$F$2:$F$26,$AE857,LISTS!$G$2:$G$26,$AF857)=0,"NOT ON LIST",""))</f>
        <v/>
      </c>
      <c r="AH857" s="8" t="str">
        <f t="shared" si="41"/>
        <v/>
      </c>
    </row>
    <row r="858" spans="31:34" x14ac:dyDescent="0.25">
      <c r="AE858" s="8" t="str">
        <f t="shared" si="39"/>
        <v/>
      </c>
      <c r="AF858" s="8" t="str">
        <f t="shared" si="40"/>
        <v/>
      </c>
      <c r="AG858" s="8" t="str">
        <f>IF(TRIM($E858)&lt;&gt;"Tax Paid","",IF(COUNTIFS(LISTS!$F$2:$F$26,$AE858,LISTS!$G$2:$G$26,$AF858)=0,"NOT ON LIST",""))</f>
        <v/>
      </c>
      <c r="AH858" s="8" t="str">
        <f t="shared" si="41"/>
        <v/>
      </c>
    </row>
    <row r="859" spans="31:34" x14ac:dyDescent="0.25">
      <c r="AE859" s="8" t="str">
        <f t="shared" si="39"/>
        <v/>
      </c>
      <c r="AF859" s="8" t="str">
        <f t="shared" si="40"/>
        <v/>
      </c>
      <c r="AG859" s="8" t="str">
        <f>IF(TRIM($E859)&lt;&gt;"Tax Paid","",IF(COUNTIFS(LISTS!$F$2:$F$26,$AE859,LISTS!$G$2:$G$26,$AF859)=0,"NOT ON LIST",""))</f>
        <v/>
      </c>
      <c r="AH859" s="8" t="str">
        <f t="shared" si="41"/>
        <v/>
      </c>
    </row>
    <row r="860" spans="31:34" x14ac:dyDescent="0.25">
      <c r="AE860" s="8" t="str">
        <f t="shared" si="39"/>
        <v/>
      </c>
      <c r="AF860" s="8" t="str">
        <f t="shared" si="40"/>
        <v/>
      </c>
      <c r="AG860" s="8" t="str">
        <f>IF(TRIM($E860)&lt;&gt;"Tax Paid","",IF(COUNTIFS(LISTS!$F$2:$F$26,$AE860,LISTS!$G$2:$G$26,$AF860)=0,"NOT ON LIST",""))</f>
        <v/>
      </c>
      <c r="AH860" s="8" t="str">
        <f t="shared" si="41"/>
        <v/>
      </c>
    </row>
    <row r="861" spans="31:34" x14ac:dyDescent="0.25">
      <c r="AE861" s="8" t="str">
        <f t="shared" si="39"/>
        <v/>
      </c>
      <c r="AF861" s="8" t="str">
        <f t="shared" si="40"/>
        <v/>
      </c>
      <c r="AG861" s="8" t="str">
        <f>IF(TRIM($E861)&lt;&gt;"Tax Paid","",IF(COUNTIFS(LISTS!$F$2:$F$26,$AE861,LISTS!$G$2:$G$26,$AF861)=0,"NOT ON LIST",""))</f>
        <v/>
      </c>
      <c r="AH861" s="8" t="str">
        <f t="shared" si="41"/>
        <v/>
      </c>
    </row>
    <row r="862" spans="31:34" x14ac:dyDescent="0.25">
      <c r="AE862" s="8" t="str">
        <f t="shared" si="39"/>
        <v/>
      </c>
      <c r="AF862" s="8" t="str">
        <f t="shared" si="40"/>
        <v/>
      </c>
      <c r="AG862" s="8" t="str">
        <f>IF(TRIM($E862)&lt;&gt;"Tax Paid","",IF(COUNTIFS(LISTS!$F$2:$F$26,$AE862,LISTS!$G$2:$G$26,$AF862)=0,"NOT ON LIST",""))</f>
        <v/>
      </c>
      <c r="AH862" s="8" t="str">
        <f t="shared" si="41"/>
        <v/>
      </c>
    </row>
    <row r="863" spans="31:34" x14ac:dyDescent="0.25">
      <c r="AE863" s="8" t="str">
        <f t="shared" si="39"/>
        <v/>
      </c>
      <c r="AF863" s="8" t="str">
        <f t="shared" si="40"/>
        <v/>
      </c>
      <c r="AG863" s="8" t="str">
        <f>IF(TRIM($E863)&lt;&gt;"Tax Paid","",IF(COUNTIFS(LISTS!$F$2:$F$26,$AE863,LISTS!$G$2:$G$26,$AF863)=0,"NOT ON LIST",""))</f>
        <v/>
      </c>
      <c r="AH863" s="8" t="str">
        <f t="shared" si="41"/>
        <v/>
      </c>
    </row>
    <row r="864" spans="31:34" x14ac:dyDescent="0.25">
      <c r="AE864" s="8" t="str">
        <f t="shared" si="39"/>
        <v/>
      </c>
      <c r="AF864" s="8" t="str">
        <f t="shared" si="40"/>
        <v/>
      </c>
      <c r="AG864" s="8" t="str">
        <f>IF(TRIM($E864)&lt;&gt;"Tax Paid","",IF(COUNTIFS(LISTS!$F$2:$F$26,$AE864,LISTS!$G$2:$G$26,$AF864)=0,"NOT ON LIST",""))</f>
        <v/>
      </c>
      <c r="AH864" s="8" t="str">
        <f t="shared" si="41"/>
        <v/>
      </c>
    </row>
    <row r="865" spans="31:34" x14ac:dyDescent="0.25">
      <c r="AE865" s="8" t="str">
        <f t="shared" si="39"/>
        <v/>
      </c>
      <c r="AF865" s="8" t="str">
        <f t="shared" si="40"/>
        <v/>
      </c>
      <c r="AG865" s="8" t="str">
        <f>IF(TRIM($E865)&lt;&gt;"Tax Paid","",IF(COUNTIFS(LISTS!$F$2:$F$26,$AE865,LISTS!$G$2:$G$26,$AF865)=0,"NOT ON LIST",""))</f>
        <v/>
      </c>
      <c r="AH865" s="8" t="str">
        <f t="shared" si="41"/>
        <v/>
      </c>
    </row>
    <row r="866" spans="31:34" x14ac:dyDescent="0.25">
      <c r="AE866" s="8" t="str">
        <f t="shared" si="39"/>
        <v/>
      </c>
      <c r="AF866" s="8" t="str">
        <f t="shared" si="40"/>
        <v/>
      </c>
      <c r="AG866" s="8" t="str">
        <f>IF(TRIM($E866)&lt;&gt;"Tax Paid","",IF(COUNTIFS(LISTS!$F$2:$F$26,$AE866,LISTS!$G$2:$G$26,$AF866)=0,"NOT ON LIST",""))</f>
        <v/>
      </c>
      <c r="AH866" s="8" t="str">
        <f t="shared" si="41"/>
        <v/>
      </c>
    </row>
    <row r="867" spans="31:34" x14ac:dyDescent="0.25">
      <c r="AE867" s="8" t="str">
        <f t="shared" si="39"/>
        <v/>
      </c>
      <c r="AF867" s="8" t="str">
        <f t="shared" si="40"/>
        <v/>
      </c>
      <c r="AG867" s="8" t="str">
        <f>IF(TRIM($E867)&lt;&gt;"Tax Paid","",IF(COUNTIFS(LISTS!$F$2:$F$26,$AE867,LISTS!$G$2:$G$26,$AF867)=0,"NOT ON LIST",""))</f>
        <v/>
      </c>
      <c r="AH867" s="8" t="str">
        <f t="shared" si="41"/>
        <v/>
      </c>
    </row>
    <row r="868" spans="31:34" x14ac:dyDescent="0.25">
      <c r="AE868" s="8" t="str">
        <f t="shared" si="39"/>
        <v/>
      </c>
      <c r="AF868" s="8" t="str">
        <f t="shared" si="40"/>
        <v/>
      </c>
      <c r="AG868" s="8" t="str">
        <f>IF(TRIM($E868)&lt;&gt;"Tax Paid","",IF(COUNTIFS(LISTS!$F$2:$F$26,$AE868,LISTS!$G$2:$G$26,$AF868)=0,"NOT ON LIST",""))</f>
        <v/>
      </c>
      <c r="AH868" s="8" t="str">
        <f t="shared" si="41"/>
        <v/>
      </c>
    </row>
    <row r="869" spans="31:34" x14ac:dyDescent="0.25">
      <c r="AE869" s="8" t="str">
        <f t="shared" si="39"/>
        <v/>
      </c>
      <c r="AF869" s="8" t="str">
        <f t="shared" si="40"/>
        <v/>
      </c>
      <c r="AG869" s="8" t="str">
        <f>IF(TRIM($E869)&lt;&gt;"Tax Paid","",IF(COUNTIFS(LISTS!$F$2:$F$26,$AE869,LISTS!$G$2:$G$26,$AF869)=0,"NOT ON LIST",""))</f>
        <v/>
      </c>
      <c r="AH869" s="8" t="str">
        <f t="shared" si="41"/>
        <v/>
      </c>
    </row>
    <row r="870" spans="31:34" x14ac:dyDescent="0.25">
      <c r="AE870" s="8" t="str">
        <f t="shared" si="39"/>
        <v/>
      </c>
      <c r="AF870" s="8" t="str">
        <f t="shared" si="40"/>
        <v/>
      </c>
      <c r="AG870" s="8" t="str">
        <f>IF(TRIM($E870)&lt;&gt;"Tax Paid","",IF(COUNTIFS(LISTS!$F$2:$F$26,$AE870,LISTS!$G$2:$G$26,$AF870)=0,"NOT ON LIST",""))</f>
        <v/>
      </c>
      <c r="AH870" s="8" t="str">
        <f t="shared" si="41"/>
        <v/>
      </c>
    </row>
    <row r="871" spans="31:34" x14ac:dyDescent="0.25">
      <c r="AE871" s="8" t="str">
        <f t="shared" si="39"/>
        <v/>
      </c>
      <c r="AF871" s="8" t="str">
        <f t="shared" si="40"/>
        <v/>
      </c>
      <c r="AG871" s="8" t="str">
        <f>IF(TRIM($E871)&lt;&gt;"Tax Paid","",IF(COUNTIFS(LISTS!$F$2:$F$26,$AE871,LISTS!$G$2:$G$26,$AF871)=0,"NOT ON LIST",""))</f>
        <v/>
      </c>
      <c r="AH871" s="8" t="str">
        <f t="shared" si="41"/>
        <v/>
      </c>
    </row>
    <row r="872" spans="31:34" x14ac:dyDescent="0.25">
      <c r="AE872" s="8" t="str">
        <f t="shared" si="39"/>
        <v/>
      </c>
      <c r="AF872" s="8" t="str">
        <f t="shared" si="40"/>
        <v/>
      </c>
      <c r="AG872" s="8" t="str">
        <f>IF(TRIM($E872)&lt;&gt;"Tax Paid","",IF(COUNTIFS(LISTS!$F$2:$F$26,$AE872,LISTS!$G$2:$G$26,$AF872)=0,"NOT ON LIST",""))</f>
        <v/>
      </c>
      <c r="AH872" s="8" t="str">
        <f t="shared" si="41"/>
        <v/>
      </c>
    </row>
    <row r="873" spans="31:34" x14ac:dyDescent="0.25">
      <c r="AE873" s="8" t="str">
        <f t="shared" si="39"/>
        <v/>
      </c>
      <c r="AF873" s="8" t="str">
        <f t="shared" si="40"/>
        <v/>
      </c>
      <c r="AG873" s="8" t="str">
        <f>IF(TRIM($E873)&lt;&gt;"Tax Paid","",IF(COUNTIFS(LISTS!$F$2:$F$26,$AE873,LISTS!$G$2:$G$26,$AF873)=0,"NOT ON LIST",""))</f>
        <v/>
      </c>
      <c r="AH873" s="8" t="str">
        <f t="shared" si="41"/>
        <v/>
      </c>
    </row>
    <row r="874" spans="31:34" x14ac:dyDescent="0.25">
      <c r="AE874" s="8" t="str">
        <f t="shared" si="39"/>
        <v/>
      </c>
      <c r="AF874" s="8" t="str">
        <f t="shared" si="40"/>
        <v/>
      </c>
      <c r="AG874" s="8" t="str">
        <f>IF(TRIM($E874)&lt;&gt;"Tax Paid","",IF(COUNTIFS(LISTS!$F$2:$F$26,$AE874,LISTS!$G$2:$G$26,$AF874)=0,"NOT ON LIST",""))</f>
        <v/>
      </c>
      <c r="AH874" s="8" t="str">
        <f t="shared" si="41"/>
        <v/>
      </c>
    </row>
    <row r="875" spans="31:34" x14ac:dyDescent="0.25">
      <c r="AE875" s="8" t="str">
        <f t="shared" si="39"/>
        <v/>
      </c>
      <c r="AF875" s="8" t="str">
        <f t="shared" si="40"/>
        <v/>
      </c>
      <c r="AG875" s="8" t="str">
        <f>IF(TRIM($E875)&lt;&gt;"Tax Paid","",IF(COUNTIFS(LISTS!$F$2:$F$26,$AE875,LISTS!$G$2:$G$26,$AF875)=0,"NOT ON LIST",""))</f>
        <v/>
      </c>
      <c r="AH875" s="8" t="str">
        <f t="shared" si="41"/>
        <v/>
      </c>
    </row>
    <row r="876" spans="31:34" x14ac:dyDescent="0.25">
      <c r="AE876" s="8" t="str">
        <f t="shared" si="39"/>
        <v/>
      </c>
      <c r="AF876" s="8" t="str">
        <f t="shared" si="40"/>
        <v/>
      </c>
      <c r="AG876" s="8" t="str">
        <f>IF(TRIM($E876)&lt;&gt;"Tax Paid","",IF(COUNTIFS(LISTS!$F$2:$F$26,$AE876,LISTS!$G$2:$G$26,$AF876)=0,"NOT ON LIST",""))</f>
        <v/>
      </c>
      <c r="AH876" s="8" t="str">
        <f t="shared" si="41"/>
        <v/>
      </c>
    </row>
    <row r="877" spans="31:34" x14ac:dyDescent="0.25">
      <c r="AE877" s="8" t="str">
        <f t="shared" si="39"/>
        <v/>
      </c>
      <c r="AF877" s="8" t="str">
        <f t="shared" si="40"/>
        <v/>
      </c>
      <c r="AG877" s="8" t="str">
        <f>IF(TRIM($E877)&lt;&gt;"Tax Paid","",IF(COUNTIFS(LISTS!$F$2:$F$26,$AE877,LISTS!$G$2:$G$26,$AF877)=0,"NOT ON LIST",""))</f>
        <v/>
      </c>
      <c r="AH877" s="8" t="str">
        <f t="shared" si="41"/>
        <v/>
      </c>
    </row>
    <row r="878" spans="31:34" x14ac:dyDescent="0.25">
      <c r="AE878" s="8" t="str">
        <f t="shared" si="39"/>
        <v/>
      </c>
      <c r="AF878" s="8" t="str">
        <f t="shared" si="40"/>
        <v/>
      </c>
      <c r="AG878" s="8" t="str">
        <f>IF(TRIM($E878)&lt;&gt;"Tax Paid","",IF(COUNTIFS(LISTS!$F$2:$F$26,$AE878,LISTS!$G$2:$G$26,$AF878)=0,"NOT ON LIST",""))</f>
        <v/>
      </c>
      <c r="AH878" s="8" t="str">
        <f t="shared" si="41"/>
        <v/>
      </c>
    </row>
    <row r="879" spans="31:34" x14ac:dyDescent="0.25">
      <c r="AE879" s="8" t="str">
        <f t="shared" si="39"/>
        <v/>
      </c>
      <c r="AF879" s="8" t="str">
        <f t="shared" si="40"/>
        <v/>
      </c>
      <c r="AG879" s="8" t="str">
        <f>IF(TRIM($E879)&lt;&gt;"Tax Paid","",IF(COUNTIFS(LISTS!$F$2:$F$26,$AE879,LISTS!$G$2:$G$26,$AF879)=0,"NOT ON LIST",""))</f>
        <v/>
      </c>
      <c r="AH879" s="8" t="str">
        <f t="shared" si="41"/>
        <v/>
      </c>
    </row>
    <row r="880" spans="31:34" x14ac:dyDescent="0.25">
      <c r="AE880" s="8" t="str">
        <f t="shared" si="39"/>
        <v/>
      </c>
      <c r="AF880" s="8" t="str">
        <f t="shared" si="40"/>
        <v/>
      </c>
      <c r="AG880" s="8" t="str">
        <f>IF(TRIM($E880)&lt;&gt;"Tax Paid","",IF(COUNTIFS(LISTS!$F$2:$F$26,$AE880,LISTS!$G$2:$G$26,$AF880)=0,"NOT ON LIST",""))</f>
        <v/>
      </c>
      <c r="AH880" s="8" t="str">
        <f t="shared" si="41"/>
        <v/>
      </c>
    </row>
    <row r="881" spans="31:34" x14ac:dyDescent="0.25">
      <c r="AE881" s="8" t="str">
        <f t="shared" si="39"/>
        <v/>
      </c>
      <c r="AF881" s="8" t="str">
        <f t="shared" si="40"/>
        <v/>
      </c>
      <c r="AG881" s="8" t="str">
        <f>IF(TRIM($E881)&lt;&gt;"Tax Paid","",IF(COUNTIFS(LISTS!$F$2:$F$26,$AE881,LISTS!$G$2:$G$26,$AF881)=0,"NOT ON LIST",""))</f>
        <v/>
      </c>
      <c r="AH881" s="8" t="str">
        <f t="shared" si="41"/>
        <v/>
      </c>
    </row>
    <row r="882" spans="31:34" x14ac:dyDescent="0.25">
      <c r="AE882" s="8" t="str">
        <f t="shared" si="39"/>
        <v/>
      </c>
      <c r="AF882" s="8" t="str">
        <f t="shared" si="40"/>
        <v/>
      </c>
      <c r="AG882" s="8" t="str">
        <f>IF(TRIM($E882)&lt;&gt;"Tax Paid","",IF(COUNTIFS(LISTS!$F$2:$F$26,$AE882,LISTS!$G$2:$G$26,$AF882)=0,"NOT ON LIST",""))</f>
        <v/>
      </c>
      <c r="AH882" s="8" t="str">
        <f t="shared" si="41"/>
        <v/>
      </c>
    </row>
    <row r="883" spans="31:34" x14ac:dyDescent="0.25">
      <c r="AE883" s="8" t="str">
        <f t="shared" si="39"/>
        <v/>
      </c>
      <c r="AF883" s="8" t="str">
        <f t="shared" si="40"/>
        <v/>
      </c>
      <c r="AG883" s="8" t="str">
        <f>IF(TRIM($E883)&lt;&gt;"Tax Paid","",IF(COUNTIFS(LISTS!$F$2:$F$26,$AE883,LISTS!$G$2:$G$26,$AF883)=0,"NOT ON LIST",""))</f>
        <v/>
      </c>
      <c r="AH883" s="8" t="str">
        <f t="shared" si="41"/>
        <v/>
      </c>
    </row>
    <row r="884" spans="31:34" x14ac:dyDescent="0.25">
      <c r="AE884" s="8" t="str">
        <f t="shared" si="39"/>
        <v/>
      </c>
      <c r="AF884" s="8" t="str">
        <f t="shared" si="40"/>
        <v/>
      </c>
      <c r="AG884" s="8" t="str">
        <f>IF(TRIM($E884)&lt;&gt;"Tax Paid","",IF(COUNTIFS(LISTS!$F$2:$F$26,$AE884,LISTS!$G$2:$G$26,$AF884)=0,"NOT ON LIST",""))</f>
        <v/>
      </c>
      <c r="AH884" s="8" t="str">
        <f t="shared" si="41"/>
        <v/>
      </c>
    </row>
    <row r="885" spans="31:34" x14ac:dyDescent="0.25">
      <c r="AE885" s="8" t="str">
        <f t="shared" si="39"/>
        <v/>
      </c>
      <c r="AF885" s="8" t="str">
        <f t="shared" si="40"/>
        <v/>
      </c>
      <c r="AG885" s="8" t="str">
        <f>IF(TRIM($E885)&lt;&gt;"Tax Paid","",IF(COUNTIFS(LISTS!$F$2:$F$26,$AE885,LISTS!$G$2:$G$26,$AF885)=0,"NOT ON LIST",""))</f>
        <v/>
      </c>
      <c r="AH885" s="8" t="str">
        <f t="shared" si="41"/>
        <v/>
      </c>
    </row>
    <row r="886" spans="31:34" x14ac:dyDescent="0.25">
      <c r="AE886" s="8" t="str">
        <f t="shared" si="39"/>
        <v/>
      </c>
      <c r="AF886" s="8" t="str">
        <f t="shared" si="40"/>
        <v/>
      </c>
      <c r="AG886" s="8" t="str">
        <f>IF(TRIM($E886)&lt;&gt;"Tax Paid","",IF(COUNTIFS(LISTS!$F$2:$F$26,$AE886,LISTS!$G$2:$G$26,$AF886)=0,"NOT ON LIST",""))</f>
        <v/>
      </c>
      <c r="AH886" s="8" t="str">
        <f t="shared" si="41"/>
        <v/>
      </c>
    </row>
    <row r="887" spans="31:34" x14ac:dyDescent="0.25">
      <c r="AE887" s="8" t="str">
        <f t="shared" si="39"/>
        <v/>
      </c>
      <c r="AF887" s="8" t="str">
        <f t="shared" si="40"/>
        <v/>
      </c>
      <c r="AG887" s="8" t="str">
        <f>IF(TRIM($E887)&lt;&gt;"Tax Paid","",IF(COUNTIFS(LISTS!$F$2:$F$26,$AE887,LISTS!$G$2:$G$26,$AF887)=0,"NOT ON LIST",""))</f>
        <v/>
      </c>
      <c r="AH887" s="8" t="str">
        <f t="shared" si="41"/>
        <v/>
      </c>
    </row>
    <row r="888" spans="31:34" x14ac:dyDescent="0.25">
      <c r="AE888" s="8" t="str">
        <f t="shared" si="39"/>
        <v/>
      </c>
      <c r="AF888" s="8" t="str">
        <f t="shared" si="40"/>
        <v/>
      </c>
      <c r="AG888" s="8" t="str">
        <f>IF(TRIM($E888)&lt;&gt;"Tax Paid","",IF(COUNTIFS(LISTS!$F$2:$F$26,$AE888,LISTS!$G$2:$G$26,$AF888)=0,"NOT ON LIST",""))</f>
        <v/>
      </c>
      <c r="AH888" s="8" t="str">
        <f t="shared" si="41"/>
        <v/>
      </c>
    </row>
    <row r="889" spans="31:34" x14ac:dyDescent="0.25">
      <c r="AE889" s="8" t="str">
        <f t="shared" si="39"/>
        <v/>
      </c>
      <c r="AF889" s="8" t="str">
        <f t="shared" si="40"/>
        <v/>
      </c>
      <c r="AG889" s="8" t="str">
        <f>IF(TRIM($E889)&lt;&gt;"Tax Paid","",IF(COUNTIFS(LISTS!$F$2:$F$26,$AE889,LISTS!$G$2:$G$26,$AF889)=0,"NOT ON LIST",""))</f>
        <v/>
      </c>
      <c r="AH889" s="8" t="str">
        <f t="shared" si="41"/>
        <v/>
      </c>
    </row>
    <row r="890" spans="31:34" x14ac:dyDescent="0.25">
      <c r="AE890" s="8" t="str">
        <f t="shared" si="39"/>
        <v/>
      </c>
      <c r="AF890" s="8" t="str">
        <f t="shared" si="40"/>
        <v/>
      </c>
      <c r="AG890" s="8" t="str">
        <f>IF(TRIM($E890)&lt;&gt;"Tax Paid","",IF(COUNTIFS(LISTS!$F$2:$F$26,$AE890,LISTS!$G$2:$G$26,$AF890)=0,"NOT ON LIST",""))</f>
        <v/>
      </c>
      <c r="AH890" s="8" t="str">
        <f t="shared" si="41"/>
        <v/>
      </c>
    </row>
    <row r="891" spans="31:34" x14ac:dyDescent="0.25">
      <c r="AE891" s="8" t="str">
        <f t="shared" si="39"/>
        <v/>
      </c>
      <c r="AF891" s="8" t="str">
        <f t="shared" si="40"/>
        <v/>
      </c>
      <c r="AG891" s="8" t="str">
        <f>IF(TRIM($E891)&lt;&gt;"Tax Paid","",IF(COUNTIFS(LISTS!$F$2:$F$26,$AE891,LISTS!$G$2:$G$26,$AF891)=0,"NOT ON LIST",""))</f>
        <v/>
      </c>
      <c r="AH891" s="8" t="str">
        <f t="shared" si="41"/>
        <v/>
      </c>
    </row>
    <row r="892" spans="31:34" x14ac:dyDescent="0.25">
      <c r="AE892" s="8" t="str">
        <f t="shared" si="39"/>
        <v/>
      </c>
      <c r="AF892" s="8" t="str">
        <f t="shared" si="40"/>
        <v/>
      </c>
      <c r="AG892" s="8" t="str">
        <f>IF(TRIM($E892)&lt;&gt;"Tax Paid","",IF(COUNTIFS(LISTS!$F$2:$F$26,$AE892,LISTS!$G$2:$G$26,$AF892)=0,"NOT ON LIST",""))</f>
        <v/>
      </c>
      <c r="AH892" s="8" t="str">
        <f t="shared" si="41"/>
        <v/>
      </c>
    </row>
    <row r="893" spans="31:34" x14ac:dyDescent="0.25">
      <c r="AE893" s="8" t="str">
        <f t="shared" si="39"/>
        <v/>
      </c>
      <c r="AF893" s="8" t="str">
        <f t="shared" si="40"/>
        <v/>
      </c>
      <c r="AG893" s="8" t="str">
        <f>IF(TRIM($E893)&lt;&gt;"Tax Paid","",IF(COUNTIFS(LISTS!$F$2:$F$26,$AE893,LISTS!$G$2:$G$26,$AF893)=0,"NOT ON LIST",""))</f>
        <v/>
      </c>
      <c r="AH893" s="8" t="str">
        <f t="shared" si="41"/>
        <v/>
      </c>
    </row>
    <row r="894" spans="31:34" x14ac:dyDescent="0.25">
      <c r="AE894" s="8" t="str">
        <f t="shared" si="39"/>
        <v/>
      </c>
      <c r="AF894" s="8" t="str">
        <f t="shared" si="40"/>
        <v/>
      </c>
      <c r="AG894" s="8" t="str">
        <f>IF(TRIM($E894)&lt;&gt;"Tax Paid","",IF(COUNTIFS(LISTS!$F$2:$F$26,$AE894,LISTS!$G$2:$G$26,$AF894)=0,"NOT ON LIST",""))</f>
        <v/>
      </c>
      <c r="AH894" s="8" t="str">
        <f t="shared" si="41"/>
        <v/>
      </c>
    </row>
    <row r="895" spans="31:34" x14ac:dyDescent="0.25">
      <c r="AE895" s="8" t="str">
        <f t="shared" si="39"/>
        <v/>
      </c>
      <c r="AF895" s="8" t="str">
        <f t="shared" si="40"/>
        <v/>
      </c>
      <c r="AG895" s="8" t="str">
        <f>IF(TRIM($E895)&lt;&gt;"Tax Paid","",IF(COUNTIFS(LISTS!$F$2:$F$26,$AE895,LISTS!$G$2:$G$26,$AF895)=0,"NOT ON LIST",""))</f>
        <v/>
      </c>
      <c r="AH895" s="8" t="str">
        <f t="shared" si="41"/>
        <v/>
      </c>
    </row>
    <row r="896" spans="31:34" x14ac:dyDescent="0.25">
      <c r="AE896" s="8" t="str">
        <f t="shared" si="39"/>
        <v/>
      </c>
      <c r="AF896" s="8" t="str">
        <f t="shared" si="40"/>
        <v/>
      </c>
      <c r="AG896" s="8" t="str">
        <f>IF(TRIM($E896)&lt;&gt;"Tax Paid","",IF(COUNTIFS(LISTS!$F$2:$F$26,$AE896,LISTS!$G$2:$G$26,$AF896)=0,"NOT ON LIST",""))</f>
        <v/>
      </c>
      <c r="AH896" s="8" t="str">
        <f t="shared" si="41"/>
        <v/>
      </c>
    </row>
    <row r="897" spans="31:34" x14ac:dyDescent="0.25">
      <c r="AE897" s="8" t="str">
        <f t="shared" si="39"/>
        <v/>
      </c>
      <c r="AF897" s="8" t="str">
        <f t="shared" si="40"/>
        <v/>
      </c>
      <c r="AG897" s="8" t="str">
        <f>IF(TRIM($E897)&lt;&gt;"Tax Paid","",IF(COUNTIFS(LISTS!$F$2:$F$26,$AE897,LISTS!$G$2:$G$26,$AF897)=0,"NOT ON LIST",""))</f>
        <v/>
      </c>
      <c r="AH897" s="8" t="str">
        <f t="shared" si="41"/>
        <v/>
      </c>
    </row>
    <row r="898" spans="31:34" x14ac:dyDescent="0.25">
      <c r="AE898" s="8" t="str">
        <f t="shared" ref="AE898:AE961" si="42">IF(TRIM($E898)="Tax Paid",TRIM($S898),"")</f>
        <v/>
      </c>
      <c r="AF898" s="8" t="str">
        <f t="shared" ref="AF898:AF961" si="43">IF(TRIM($E898)="Tax Paid",ROUND($Z898/100,5),"")</f>
        <v/>
      </c>
      <c r="AG898" s="8" t="str">
        <f>IF(TRIM($E898)&lt;&gt;"Tax Paid","",IF(COUNTIFS(LISTS!$F$2:$F$26,$AE898,LISTS!$G$2:$G$26,$AF898)=0,"NOT ON LIST",""))</f>
        <v/>
      </c>
      <c r="AH898" s="8" t="str">
        <f t="shared" ref="AH898:AH961" si="44">IF($AG898="","",IF($AE898="","(no county)",$AE898)&amp;" ("&amp;SUBSTITUTE(TEXT($AF898,"0.###%"),".%","%")&amp;")")</f>
        <v/>
      </c>
    </row>
    <row r="899" spans="31:34" x14ac:dyDescent="0.25">
      <c r="AE899" s="8" t="str">
        <f t="shared" si="42"/>
        <v/>
      </c>
      <c r="AF899" s="8" t="str">
        <f t="shared" si="43"/>
        <v/>
      </c>
      <c r="AG899" s="8" t="str">
        <f>IF(TRIM($E899)&lt;&gt;"Tax Paid","",IF(COUNTIFS(LISTS!$F$2:$F$26,$AE899,LISTS!$G$2:$G$26,$AF899)=0,"NOT ON LIST",""))</f>
        <v/>
      </c>
      <c r="AH899" s="8" t="str">
        <f t="shared" si="44"/>
        <v/>
      </c>
    </row>
    <row r="900" spans="31:34" x14ac:dyDescent="0.25">
      <c r="AE900" s="8" t="str">
        <f t="shared" si="42"/>
        <v/>
      </c>
      <c r="AF900" s="8" t="str">
        <f t="shared" si="43"/>
        <v/>
      </c>
      <c r="AG900" s="8" t="str">
        <f>IF(TRIM($E900)&lt;&gt;"Tax Paid","",IF(COUNTIFS(LISTS!$F$2:$F$26,$AE900,LISTS!$G$2:$G$26,$AF900)=0,"NOT ON LIST",""))</f>
        <v/>
      </c>
      <c r="AH900" s="8" t="str">
        <f t="shared" si="44"/>
        <v/>
      </c>
    </row>
    <row r="901" spans="31:34" x14ac:dyDescent="0.25">
      <c r="AE901" s="8" t="str">
        <f t="shared" si="42"/>
        <v/>
      </c>
      <c r="AF901" s="8" t="str">
        <f t="shared" si="43"/>
        <v/>
      </c>
      <c r="AG901" s="8" t="str">
        <f>IF(TRIM($E901)&lt;&gt;"Tax Paid","",IF(COUNTIFS(LISTS!$F$2:$F$26,$AE901,LISTS!$G$2:$G$26,$AF901)=0,"NOT ON LIST",""))</f>
        <v/>
      </c>
      <c r="AH901" s="8" t="str">
        <f t="shared" si="44"/>
        <v/>
      </c>
    </row>
    <row r="902" spans="31:34" x14ac:dyDescent="0.25">
      <c r="AE902" s="8" t="str">
        <f t="shared" si="42"/>
        <v/>
      </c>
      <c r="AF902" s="8" t="str">
        <f t="shared" si="43"/>
        <v/>
      </c>
      <c r="AG902" s="8" t="str">
        <f>IF(TRIM($E902)&lt;&gt;"Tax Paid","",IF(COUNTIFS(LISTS!$F$2:$F$26,$AE902,LISTS!$G$2:$G$26,$AF902)=0,"NOT ON LIST",""))</f>
        <v/>
      </c>
      <c r="AH902" s="8" t="str">
        <f t="shared" si="44"/>
        <v/>
      </c>
    </row>
    <row r="903" spans="31:34" x14ac:dyDescent="0.25">
      <c r="AE903" s="8" t="str">
        <f t="shared" si="42"/>
        <v/>
      </c>
      <c r="AF903" s="8" t="str">
        <f t="shared" si="43"/>
        <v/>
      </c>
      <c r="AG903" s="8" t="str">
        <f>IF(TRIM($E903)&lt;&gt;"Tax Paid","",IF(COUNTIFS(LISTS!$F$2:$F$26,$AE903,LISTS!$G$2:$G$26,$AF903)=0,"NOT ON LIST",""))</f>
        <v/>
      </c>
      <c r="AH903" s="8" t="str">
        <f t="shared" si="44"/>
        <v/>
      </c>
    </row>
    <row r="904" spans="31:34" x14ac:dyDescent="0.25">
      <c r="AE904" s="8" t="str">
        <f t="shared" si="42"/>
        <v/>
      </c>
      <c r="AF904" s="8" t="str">
        <f t="shared" si="43"/>
        <v/>
      </c>
      <c r="AG904" s="8" t="str">
        <f>IF(TRIM($E904)&lt;&gt;"Tax Paid","",IF(COUNTIFS(LISTS!$F$2:$F$26,$AE904,LISTS!$G$2:$G$26,$AF904)=0,"NOT ON LIST",""))</f>
        <v/>
      </c>
      <c r="AH904" s="8" t="str">
        <f t="shared" si="44"/>
        <v/>
      </c>
    </row>
    <row r="905" spans="31:34" x14ac:dyDescent="0.25">
      <c r="AE905" s="8" t="str">
        <f t="shared" si="42"/>
        <v/>
      </c>
      <c r="AF905" s="8" t="str">
        <f t="shared" si="43"/>
        <v/>
      </c>
      <c r="AG905" s="8" t="str">
        <f>IF(TRIM($E905)&lt;&gt;"Tax Paid","",IF(COUNTIFS(LISTS!$F$2:$F$26,$AE905,LISTS!$G$2:$G$26,$AF905)=0,"NOT ON LIST",""))</f>
        <v/>
      </c>
      <c r="AH905" s="8" t="str">
        <f t="shared" si="44"/>
        <v/>
      </c>
    </row>
    <row r="906" spans="31:34" x14ac:dyDescent="0.25">
      <c r="AE906" s="8" t="str">
        <f t="shared" si="42"/>
        <v/>
      </c>
      <c r="AF906" s="8" t="str">
        <f t="shared" si="43"/>
        <v/>
      </c>
      <c r="AG906" s="8" t="str">
        <f>IF(TRIM($E906)&lt;&gt;"Tax Paid","",IF(COUNTIFS(LISTS!$F$2:$F$26,$AE906,LISTS!$G$2:$G$26,$AF906)=0,"NOT ON LIST",""))</f>
        <v/>
      </c>
      <c r="AH906" s="8" t="str">
        <f t="shared" si="44"/>
        <v/>
      </c>
    </row>
    <row r="907" spans="31:34" x14ac:dyDescent="0.25">
      <c r="AE907" s="8" t="str">
        <f t="shared" si="42"/>
        <v/>
      </c>
      <c r="AF907" s="8" t="str">
        <f t="shared" si="43"/>
        <v/>
      </c>
      <c r="AG907" s="8" t="str">
        <f>IF(TRIM($E907)&lt;&gt;"Tax Paid","",IF(COUNTIFS(LISTS!$F$2:$F$26,$AE907,LISTS!$G$2:$G$26,$AF907)=0,"NOT ON LIST",""))</f>
        <v/>
      </c>
      <c r="AH907" s="8" t="str">
        <f t="shared" si="44"/>
        <v/>
      </c>
    </row>
    <row r="908" spans="31:34" x14ac:dyDescent="0.25">
      <c r="AE908" s="8" t="str">
        <f t="shared" si="42"/>
        <v/>
      </c>
      <c r="AF908" s="8" t="str">
        <f t="shared" si="43"/>
        <v/>
      </c>
      <c r="AG908" s="8" t="str">
        <f>IF(TRIM($E908)&lt;&gt;"Tax Paid","",IF(COUNTIFS(LISTS!$F$2:$F$26,$AE908,LISTS!$G$2:$G$26,$AF908)=0,"NOT ON LIST",""))</f>
        <v/>
      </c>
      <c r="AH908" s="8" t="str">
        <f t="shared" si="44"/>
        <v/>
      </c>
    </row>
    <row r="909" spans="31:34" x14ac:dyDescent="0.25">
      <c r="AE909" s="8" t="str">
        <f t="shared" si="42"/>
        <v/>
      </c>
      <c r="AF909" s="8" t="str">
        <f t="shared" si="43"/>
        <v/>
      </c>
      <c r="AG909" s="8" t="str">
        <f>IF(TRIM($E909)&lt;&gt;"Tax Paid","",IF(COUNTIFS(LISTS!$F$2:$F$26,$AE909,LISTS!$G$2:$G$26,$AF909)=0,"NOT ON LIST",""))</f>
        <v/>
      </c>
      <c r="AH909" s="8" t="str">
        <f t="shared" si="44"/>
        <v/>
      </c>
    </row>
    <row r="910" spans="31:34" x14ac:dyDescent="0.25">
      <c r="AE910" s="8" t="str">
        <f t="shared" si="42"/>
        <v/>
      </c>
      <c r="AF910" s="8" t="str">
        <f t="shared" si="43"/>
        <v/>
      </c>
      <c r="AG910" s="8" t="str">
        <f>IF(TRIM($E910)&lt;&gt;"Tax Paid","",IF(COUNTIFS(LISTS!$F$2:$F$26,$AE910,LISTS!$G$2:$G$26,$AF910)=0,"NOT ON LIST",""))</f>
        <v/>
      </c>
      <c r="AH910" s="8" t="str">
        <f t="shared" si="44"/>
        <v/>
      </c>
    </row>
    <row r="911" spans="31:34" x14ac:dyDescent="0.25">
      <c r="AE911" s="8" t="str">
        <f t="shared" si="42"/>
        <v/>
      </c>
      <c r="AF911" s="8" t="str">
        <f t="shared" si="43"/>
        <v/>
      </c>
      <c r="AG911" s="8" t="str">
        <f>IF(TRIM($E911)&lt;&gt;"Tax Paid","",IF(COUNTIFS(LISTS!$F$2:$F$26,$AE911,LISTS!$G$2:$G$26,$AF911)=0,"NOT ON LIST",""))</f>
        <v/>
      </c>
      <c r="AH911" s="8" t="str">
        <f t="shared" si="44"/>
        <v/>
      </c>
    </row>
    <row r="912" spans="31:34" x14ac:dyDescent="0.25">
      <c r="AE912" s="8" t="str">
        <f t="shared" si="42"/>
        <v/>
      </c>
      <c r="AF912" s="8" t="str">
        <f t="shared" si="43"/>
        <v/>
      </c>
      <c r="AG912" s="8" t="str">
        <f>IF(TRIM($E912)&lt;&gt;"Tax Paid","",IF(COUNTIFS(LISTS!$F$2:$F$26,$AE912,LISTS!$G$2:$G$26,$AF912)=0,"NOT ON LIST",""))</f>
        <v/>
      </c>
      <c r="AH912" s="8" t="str">
        <f t="shared" si="44"/>
        <v/>
      </c>
    </row>
    <row r="913" spans="31:34" x14ac:dyDescent="0.25">
      <c r="AE913" s="8" t="str">
        <f t="shared" si="42"/>
        <v/>
      </c>
      <c r="AF913" s="8" t="str">
        <f t="shared" si="43"/>
        <v/>
      </c>
      <c r="AG913" s="8" t="str">
        <f>IF(TRIM($E913)&lt;&gt;"Tax Paid","",IF(COUNTIFS(LISTS!$F$2:$F$26,$AE913,LISTS!$G$2:$G$26,$AF913)=0,"NOT ON LIST",""))</f>
        <v/>
      </c>
      <c r="AH913" s="8" t="str">
        <f t="shared" si="44"/>
        <v/>
      </c>
    </row>
    <row r="914" spans="31:34" x14ac:dyDescent="0.25">
      <c r="AE914" s="8" t="str">
        <f t="shared" si="42"/>
        <v/>
      </c>
      <c r="AF914" s="8" t="str">
        <f t="shared" si="43"/>
        <v/>
      </c>
      <c r="AG914" s="8" t="str">
        <f>IF(TRIM($E914)&lt;&gt;"Tax Paid","",IF(COUNTIFS(LISTS!$F$2:$F$26,$AE914,LISTS!$G$2:$G$26,$AF914)=0,"NOT ON LIST",""))</f>
        <v/>
      </c>
      <c r="AH914" s="8" t="str">
        <f t="shared" si="44"/>
        <v/>
      </c>
    </row>
    <row r="915" spans="31:34" x14ac:dyDescent="0.25">
      <c r="AE915" s="8" t="str">
        <f t="shared" si="42"/>
        <v/>
      </c>
      <c r="AF915" s="8" t="str">
        <f t="shared" si="43"/>
        <v/>
      </c>
      <c r="AG915" s="8" t="str">
        <f>IF(TRIM($E915)&lt;&gt;"Tax Paid","",IF(COUNTIFS(LISTS!$F$2:$F$26,$AE915,LISTS!$G$2:$G$26,$AF915)=0,"NOT ON LIST",""))</f>
        <v/>
      </c>
      <c r="AH915" s="8" t="str">
        <f t="shared" si="44"/>
        <v/>
      </c>
    </row>
    <row r="916" spans="31:34" x14ac:dyDescent="0.25">
      <c r="AE916" s="8" t="str">
        <f t="shared" si="42"/>
        <v/>
      </c>
      <c r="AF916" s="8" t="str">
        <f t="shared" si="43"/>
        <v/>
      </c>
      <c r="AG916" s="8" t="str">
        <f>IF(TRIM($E916)&lt;&gt;"Tax Paid","",IF(COUNTIFS(LISTS!$F$2:$F$26,$AE916,LISTS!$G$2:$G$26,$AF916)=0,"NOT ON LIST",""))</f>
        <v/>
      </c>
      <c r="AH916" s="8" t="str">
        <f t="shared" si="44"/>
        <v/>
      </c>
    </row>
    <row r="917" spans="31:34" x14ac:dyDescent="0.25">
      <c r="AE917" s="8" t="str">
        <f t="shared" si="42"/>
        <v/>
      </c>
      <c r="AF917" s="8" t="str">
        <f t="shared" si="43"/>
        <v/>
      </c>
      <c r="AG917" s="8" t="str">
        <f>IF(TRIM($E917)&lt;&gt;"Tax Paid","",IF(COUNTIFS(LISTS!$F$2:$F$26,$AE917,LISTS!$G$2:$G$26,$AF917)=0,"NOT ON LIST",""))</f>
        <v/>
      </c>
      <c r="AH917" s="8" t="str">
        <f t="shared" si="44"/>
        <v/>
      </c>
    </row>
    <row r="918" spans="31:34" x14ac:dyDescent="0.25">
      <c r="AE918" s="8" t="str">
        <f t="shared" si="42"/>
        <v/>
      </c>
      <c r="AF918" s="8" t="str">
        <f t="shared" si="43"/>
        <v/>
      </c>
      <c r="AG918" s="8" t="str">
        <f>IF(TRIM($E918)&lt;&gt;"Tax Paid","",IF(COUNTIFS(LISTS!$F$2:$F$26,$AE918,LISTS!$G$2:$G$26,$AF918)=0,"NOT ON LIST",""))</f>
        <v/>
      </c>
      <c r="AH918" s="8" t="str">
        <f t="shared" si="44"/>
        <v/>
      </c>
    </row>
    <row r="919" spans="31:34" x14ac:dyDescent="0.25">
      <c r="AE919" s="8" t="str">
        <f t="shared" si="42"/>
        <v/>
      </c>
      <c r="AF919" s="8" t="str">
        <f t="shared" si="43"/>
        <v/>
      </c>
      <c r="AG919" s="8" t="str">
        <f>IF(TRIM($E919)&lt;&gt;"Tax Paid","",IF(COUNTIFS(LISTS!$F$2:$F$26,$AE919,LISTS!$G$2:$G$26,$AF919)=0,"NOT ON LIST",""))</f>
        <v/>
      </c>
      <c r="AH919" s="8" t="str">
        <f t="shared" si="44"/>
        <v/>
      </c>
    </row>
    <row r="920" spans="31:34" x14ac:dyDescent="0.25">
      <c r="AE920" s="8" t="str">
        <f t="shared" si="42"/>
        <v/>
      </c>
      <c r="AF920" s="8" t="str">
        <f t="shared" si="43"/>
        <v/>
      </c>
      <c r="AG920" s="8" t="str">
        <f>IF(TRIM($E920)&lt;&gt;"Tax Paid","",IF(COUNTIFS(LISTS!$F$2:$F$26,$AE920,LISTS!$G$2:$G$26,$AF920)=0,"NOT ON LIST",""))</f>
        <v/>
      </c>
      <c r="AH920" s="8" t="str">
        <f t="shared" si="44"/>
        <v/>
      </c>
    </row>
    <row r="921" spans="31:34" x14ac:dyDescent="0.25">
      <c r="AE921" s="8" t="str">
        <f t="shared" si="42"/>
        <v/>
      </c>
      <c r="AF921" s="8" t="str">
        <f t="shared" si="43"/>
        <v/>
      </c>
      <c r="AG921" s="8" t="str">
        <f>IF(TRIM($E921)&lt;&gt;"Tax Paid","",IF(COUNTIFS(LISTS!$F$2:$F$26,$AE921,LISTS!$G$2:$G$26,$AF921)=0,"NOT ON LIST",""))</f>
        <v/>
      </c>
      <c r="AH921" s="8" t="str">
        <f t="shared" si="44"/>
        <v/>
      </c>
    </row>
    <row r="922" spans="31:34" x14ac:dyDescent="0.25">
      <c r="AE922" s="8" t="str">
        <f t="shared" si="42"/>
        <v/>
      </c>
      <c r="AF922" s="8" t="str">
        <f t="shared" si="43"/>
        <v/>
      </c>
      <c r="AG922" s="8" t="str">
        <f>IF(TRIM($E922)&lt;&gt;"Tax Paid","",IF(COUNTIFS(LISTS!$F$2:$F$26,$AE922,LISTS!$G$2:$G$26,$AF922)=0,"NOT ON LIST",""))</f>
        <v/>
      </c>
      <c r="AH922" s="8" t="str">
        <f t="shared" si="44"/>
        <v/>
      </c>
    </row>
    <row r="923" spans="31:34" x14ac:dyDescent="0.25">
      <c r="AE923" s="8" t="str">
        <f t="shared" si="42"/>
        <v/>
      </c>
      <c r="AF923" s="8" t="str">
        <f t="shared" si="43"/>
        <v/>
      </c>
      <c r="AG923" s="8" t="str">
        <f>IF(TRIM($E923)&lt;&gt;"Tax Paid","",IF(COUNTIFS(LISTS!$F$2:$F$26,$AE923,LISTS!$G$2:$G$26,$AF923)=0,"NOT ON LIST",""))</f>
        <v/>
      </c>
      <c r="AH923" s="8" t="str">
        <f t="shared" si="44"/>
        <v/>
      </c>
    </row>
    <row r="924" spans="31:34" x14ac:dyDescent="0.25">
      <c r="AE924" s="8" t="str">
        <f t="shared" si="42"/>
        <v/>
      </c>
      <c r="AF924" s="8" t="str">
        <f t="shared" si="43"/>
        <v/>
      </c>
      <c r="AG924" s="8" t="str">
        <f>IF(TRIM($E924)&lt;&gt;"Tax Paid","",IF(COUNTIFS(LISTS!$F$2:$F$26,$AE924,LISTS!$G$2:$G$26,$AF924)=0,"NOT ON LIST",""))</f>
        <v/>
      </c>
      <c r="AH924" s="8" t="str">
        <f t="shared" si="44"/>
        <v/>
      </c>
    </row>
    <row r="925" spans="31:34" x14ac:dyDescent="0.25">
      <c r="AE925" s="8" t="str">
        <f t="shared" si="42"/>
        <v/>
      </c>
      <c r="AF925" s="8" t="str">
        <f t="shared" si="43"/>
        <v/>
      </c>
      <c r="AG925" s="8" t="str">
        <f>IF(TRIM($E925)&lt;&gt;"Tax Paid","",IF(COUNTIFS(LISTS!$F$2:$F$26,$AE925,LISTS!$G$2:$G$26,$AF925)=0,"NOT ON LIST",""))</f>
        <v/>
      </c>
      <c r="AH925" s="8" t="str">
        <f t="shared" si="44"/>
        <v/>
      </c>
    </row>
    <row r="926" spans="31:34" x14ac:dyDescent="0.25">
      <c r="AE926" s="8" t="str">
        <f t="shared" si="42"/>
        <v/>
      </c>
      <c r="AF926" s="8" t="str">
        <f t="shared" si="43"/>
        <v/>
      </c>
      <c r="AG926" s="8" t="str">
        <f>IF(TRIM($E926)&lt;&gt;"Tax Paid","",IF(COUNTIFS(LISTS!$F$2:$F$26,$AE926,LISTS!$G$2:$G$26,$AF926)=0,"NOT ON LIST",""))</f>
        <v/>
      </c>
      <c r="AH926" s="8" t="str">
        <f t="shared" si="44"/>
        <v/>
      </c>
    </row>
    <row r="927" spans="31:34" x14ac:dyDescent="0.25">
      <c r="AE927" s="8" t="str">
        <f t="shared" si="42"/>
        <v/>
      </c>
      <c r="AF927" s="8" t="str">
        <f t="shared" si="43"/>
        <v/>
      </c>
      <c r="AG927" s="8" t="str">
        <f>IF(TRIM($E927)&lt;&gt;"Tax Paid","",IF(COUNTIFS(LISTS!$F$2:$F$26,$AE927,LISTS!$G$2:$G$26,$AF927)=0,"NOT ON LIST",""))</f>
        <v/>
      </c>
      <c r="AH927" s="8" t="str">
        <f t="shared" si="44"/>
        <v/>
      </c>
    </row>
    <row r="928" spans="31:34" x14ac:dyDescent="0.25">
      <c r="AE928" s="8" t="str">
        <f t="shared" si="42"/>
        <v/>
      </c>
      <c r="AF928" s="8" t="str">
        <f t="shared" si="43"/>
        <v/>
      </c>
      <c r="AG928" s="8" t="str">
        <f>IF(TRIM($E928)&lt;&gt;"Tax Paid","",IF(COUNTIFS(LISTS!$F$2:$F$26,$AE928,LISTS!$G$2:$G$26,$AF928)=0,"NOT ON LIST",""))</f>
        <v/>
      </c>
      <c r="AH928" s="8" t="str">
        <f t="shared" si="44"/>
        <v/>
      </c>
    </row>
    <row r="929" spans="31:34" x14ac:dyDescent="0.25">
      <c r="AE929" s="8" t="str">
        <f t="shared" si="42"/>
        <v/>
      </c>
      <c r="AF929" s="8" t="str">
        <f t="shared" si="43"/>
        <v/>
      </c>
      <c r="AG929" s="8" t="str">
        <f>IF(TRIM($E929)&lt;&gt;"Tax Paid","",IF(COUNTIFS(LISTS!$F$2:$F$26,$AE929,LISTS!$G$2:$G$26,$AF929)=0,"NOT ON LIST",""))</f>
        <v/>
      </c>
      <c r="AH929" s="8" t="str">
        <f t="shared" si="44"/>
        <v/>
      </c>
    </row>
    <row r="930" spans="31:34" x14ac:dyDescent="0.25">
      <c r="AE930" s="8" t="str">
        <f t="shared" si="42"/>
        <v/>
      </c>
      <c r="AF930" s="8" t="str">
        <f t="shared" si="43"/>
        <v/>
      </c>
      <c r="AG930" s="8" t="str">
        <f>IF(TRIM($E930)&lt;&gt;"Tax Paid","",IF(COUNTIFS(LISTS!$F$2:$F$26,$AE930,LISTS!$G$2:$G$26,$AF930)=0,"NOT ON LIST",""))</f>
        <v/>
      </c>
      <c r="AH930" s="8" t="str">
        <f t="shared" si="44"/>
        <v/>
      </c>
    </row>
    <row r="931" spans="31:34" x14ac:dyDescent="0.25">
      <c r="AE931" s="8" t="str">
        <f t="shared" si="42"/>
        <v/>
      </c>
      <c r="AF931" s="8" t="str">
        <f t="shared" si="43"/>
        <v/>
      </c>
      <c r="AG931" s="8" t="str">
        <f>IF(TRIM($E931)&lt;&gt;"Tax Paid","",IF(COUNTIFS(LISTS!$F$2:$F$26,$AE931,LISTS!$G$2:$G$26,$AF931)=0,"NOT ON LIST",""))</f>
        <v/>
      </c>
      <c r="AH931" s="8" t="str">
        <f t="shared" si="44"/>
        <v/>
      </c>
    </row>
    <row r="932" spans="31:34" x14ac:dyDescent="0.25">
      <c r="AE932" s="8" t="str">
        <f t="shared" si="42"/>
        <v/>
      </c>
      <c r="AF932" s="8" t="str">
        <f t="shared" si="43"/>
        <v/>
      </c>
      <c r="AG932" s="8" t="str">
        <f>IF(TRIM($E932)&lt;&gt;"Tax Paid","",IF(COUNTIFS(LISTS!$F$2:$F$26,$AE932,LISTS!$G$2:$G$26,$AF932)=0,"NOT ON LIST",""))</f>
        <v/>
      </c>
      <c r="AH932" s="8" t="str">
        <f t="shared" si="44"/>
        <v/>
      </c>
    </row>
    <row r="933" spans="31:34" x14ac:dyDescent="0.25">
      <c r="AE933" s="8" t="str">
        <f t="shared" si="42"/>
        <v/>
      </c>
      <c r="AF933" s="8" t="str">
        <f t="shared" si="43"/>
        <v/>
      </c>
      <c r="AG933" s="8" t="str">
        <f>IF(TRIM($E933)&lt;&gt;"Tax Paid","",IF(COUNTIFS(LISTS!$F$2:$F$26,$AE933,LISTS!$G$2:$G$26,$AF933)=0,"NOT ON LIST",""))</f>
        <v/>
      </c>
      <c r="AH933" s="8" t="str">
        <f t="shared" si="44"/>
        <v/>
      </c>
    </row>
    <row r="934" spans="31:34" x14ac:dyDescent="0.25">
      <c r="AE934" s="8" t="str">
        <f t="shared" si="42"/>
        <v/>
      </c>
      <c r="AF934" s="8" t="str">
        <f t="shared" si="43"/>
        <v/>
      </c>
      <c r="AG934" s="8" t="str">
        <f>IF(TRIM($E934)&lt;&gt;"Tax Paid","",IF(COUNTIFS(LISTS!$F$2:$F$26,$AE934,LISTS!$G$2:$G$26,$AF934)=0,"NOT ON LIST",""))</f>
        <v/>
      </c>
      <c r="AH934" s="8" t="str">
        <f t="shared" si="44"/>
        <v/>
      </c>
    </row>
    <row r="935" spans="31:34" x14ac:dyDescent="0.25">
      <c r="AE935" s="8" t="str">
        <f t="shared" si="42"/>
        <v/>
      </c>
      <c r="AF935" s="8" t="str">
        <f t="shared" si="43"/>
        <v/>
      </c>
      <c r="AG935" s="8" t="str">
        <f>IF(TRIM($E935)&lt;&gt;"Tax Paid","",IF(COUNTIFS(LISTS!$F$2:$F$26,$AE935,LISTS!$G$2:$G$26,$AF935)=0,"NOT ON LIST",""))</f>
        <v/>
      </c>
      <c r="AH935" s="8" t="str">
        <f t="shared" si="44"/>
        <v/>
      </c>
    </row>
    <row r="936" spans="31:34" x14ac:dyDescent="0.25">
      <c r="AE936" s="8" t="str">
        <f t="shared" si="42"/>
        <v/>
      </c>
      <c r="AF936" s="8" t="str">
        <f t="shared" si="43"/>
        <v/>
      </c>
      <c r="AG936" s="8" t="str">
        <f>IF(TRIM($E936)&lt;&gt;"Tax Paid","",IF(COUNTIFS(LISTS!$F$2:$F$26,$AE936,LISTS!$G$2:$G$26,$AF936)=0,"NOT ON LIST",""))</f>
        <v/>
      </c>
      <c r="AH936" s="8" t="str">
        <f t="shared" si="44"/>
        <v/>
      </c>
    </row>
    <row r="937" spans="31:34" x14ac:dyDescent="0.25">
      <c r="AE937" s="8" t="str">
        <f t="shared" si="42"/>
        <v/>
      </c>
      <c r="AF937" s="8" t="str">
        <f t="shared" si="43"/>
        <v/>
      </c>
      <c r="AG937" s="8" t="str">
        <f>IF(TRIM($E937)&lt;&gt;"Tax Paid","",IF(COUNTIFS(LISTS!$F$2:$F$26,$AE937,LISTS!$G$2:$G$26,$AF937)=0,"NOT ON LIST",""))</f>
        <v/>
      </c>
      <c r="AH937" s="8" t="str">
        <f t="shared" si="44"/>
        <v/>
      </c>
    </row>
    <row r="938" spans="31:34" x14ac:dyDescent="0.25">
      <c r="AE938" s="8" t="str">
        <f t="shared" si="42"/>
        <v/>
      </c>
      <c r="AF938" s="8" t="str">
        <f t="shared" si="43"/>
        <v/>
      </c>
      <c r="AG938" s="8" t="str">
        <f>IF(TRIM($E938)&lt;&gt;"Tax Paid","",IF(COUNTIFS(LISTS!$F$2:$F$26,$AE938,LISTS!$G$2:$G$26,$AF938)=0,"NOT ON LIST",""))</f>
        <v/>
      </c>
      <c r="AH938" s="8" t="str">
        <f t="shared" si="44"/>
        <v/>
      </c>
    </row>
    <row r="939" spans="31:34" x14ac:dyDescent="0.25">
      <c r="AE939" s="8" t="str">
        <f t="shared" si="42"/>
        <v/>
      </c>
      <c r="AF939" s="8" t="str">
        <f t="shared" si="43"/>
        <v/>
      </c>
      <c r="AG939" s="8" t="str">
        <f>IF(TRIM($E939)&lt;&gt;"Tax Paid","",IF(COUNTIFS(LISTS!$F$2:$F$26,$AE939,LISTS!$G$2:$G$26,$AF939)=0,"NOT ON LIST",""))</f>
        <v/>
      </c>
      <c r="AH939" s="8" t="str">
        <f t="shared" si="44"/>
        <v/>
      </c>
    </row>
    <row r="940" spans="31:34" x14ac:dyDescent="0.25">
      <c r="AE940" s="8" t="str">
        <f t="shared" si="42"/>
        <v/>
      </c>
      <c r="AF940" s="8" t="str">
        <f t="shared" si="43"/>
        <v/>
      </c>
      <c r="AG940" s="8" t="str">
        <f>IF(TRIM($E940)&lt;&gt;"Tax Paid","",IF(COUNTIFS(LISTS!$F$2:$F$26,$AE940,LISTS!$G$2:$G$26,$AF940)=0,"NOT ON LIST",""))</f>
        <v/>
      </c>
      <c r="AH940" s="8" t="str">
        <f t="shared" si="44"/>
        <v/>
      </c>
    </row>
    <row r="941" spans="31:34" x14ac:dyDescent="0.25">
      <c r="AE941" s="8" t="str">
        <f t="shared" si="42"/>
        <v/>
      </c>
      <c r="AF941" s="8" t="str">
        <f t="shared" si="43"/>
        <v/>
      </c>
      <c r="AG941" s="8" t="str">
        <f>IF(TRIM($E941)&lt;&gt;"Tax Paid","",IF(COUNTIFS(LISTS!$F$2:$F$26,$AE941,LISTS!$G$2:$G$26,$AF941)=0,"NOT ON LIST",""))</f>
        <v/>
      </c>
      <c r="AH941" s="8" t="str">
        <f t="shared" si="44"/>
        <v/>
      </c>
    </row>
    <row r="942" spans="31:34" x14ac:dyDescent="0.25">
      <c r="AE942" s="8" t="str">
        <f t="shared" si="42"/>
        <v/>
      </c>
      <c r="AF942" s="8" t="str">
        <f t="shared" si="43"/>
        <v/>
      </c>
      <c r="AG942" s="8" t="str">
        <f>IF(TRIM($E942)&lt;&gt;"Tax Paid","",IF(COUNTIFS(LISTS!$F$2:$F$26,$AE942,LISTS!$G$2:$G$26,$AF942)=0,"NOT ON LIST",""))</f>
        <v/>
      </c>
      <c r="AH942" s="8" t="str">
        <f t="shared" si="44"/>
        <v/>
      </c>
    </row>
    <row r="943" spans="31:34" x14ac:dyDescent="0.25">
      <c r="AE943" s="8" t="str">
        <f t="shared" si="42"/>
        <v/>
      </c>
      <c r="AF943" s="8" t="str">
        <f t="shared" si="43"/>
        <v/>
      </c>
      <c r="AG943" s="8" t="str">
        <f>IF(TRIM($E943)&lt;&gt;"Tax Paid","",IF(COUNTIFS(LISTS!$F$2:$F$26,$AE943,LISTS!$G$2:$G$26,$AF943)=0,"NOT ON LIST",""))</f>
        <v/>
      </c>
      <c r="AH943" s="8" t="str">
        <f t="shared" si="44"/>
        <v/>
      </c>
    </row>
    <row r="944" spans="31:34" x14ac:dyDescent="0.25">
      <c r="AE944" s="8" t="str">
        <f t="shared" si="42"/>
        <v/>
      </c>
      <c r="AF944" s="8" t="str">
        <f t="shared" si="43"/>
        <v/>
      </c>
      <c r="AG944" s="8" t="str">
        <f>IF(TRIM($E944)&lt;&gt;"Tax Paid","",IF(COUNTIFS(LISTS!$F$2:$F$26,$AE944,LISTS!$G$2:$G$26,$AF944)=0,"NOT ON LIST",""))</f>
        <v/>
      </c>
      <c r="AH944" s="8" t="str">
        <f t="shared" si="44"/>
        <v/>
      </c>
    </row>
    <row r="945" spans="31:34" x14ac:dyDescent="0.25">
      <c r="AE945" s="8" t="str">
        <f t="shared" si="42"/>
        <v/>
      </c>
      <c r="AF945" s="8" t="str">
        <f t="shared" si="43"/>
        <v/>
      </c>
      <c r="AG945" s="8" t="str">
        <f>IF(TRIM($E945)&lt;&gt;"Tax Paid","",IF(COUNTIFS(LISTS!$F$2:$F$26,$AE945,LISTS!$G$2:$G$26,$AF945)=0,"NOT ON LIST",""))</f>
        <v/>
      </c>
      <c r="AH945" s="8" t="str">
        <f t="shared" si="44"/>
        <v/>
      </c>
    </row>
    <row r="946" spans="31:34" x14ac:dyDescent="0.25">
      <c r="AE946" s="8" t="str">
        <f t="shared" si="42"/>
        <v/>
      </c>
      <c r="AF946" s="8" t="str">
        <f t="shared" si="43"/>
        <v/>
      </c>
      <c r="AG946" s="8" t="str">
        <f>IF(TRIM($E946)&lt;&gt;"Tax Paid","",IF(COUNTIFS(LISTS!$F$2:$F$26,$AE946,LISTS!$G$2:$G$26,$AF946)=0,"NOT ON LIST",""))</f>
        <v/>
      </c>
      <c r="AH946" s="8" t="str">
        <f t="shared" si="44"/>
        <v/>
      </c>
    </row>
    <row r="947" spans="31:34" x14ac:dyDescent="0.25">
      <c r="AE947" s="8" t="str">
        <f t="shared" si="42"/>
        <v/>
      </c>
      <c r="AF947" s="8" t="str">
        <f t="shared" si="43"/>
        <v/>
      </c>
      <c r="AG947" s="8" t="str">
        <f>IF(TRIM($E947)&lt;&gt;"Tax Paid","",IF(COUNTIFS(LISTS!$F$2:$F$26,$AE947,LISTS!$G$2:$G$26,$AF947)=0,"NOT ON LIST",""))</f>
        <v/>
      </c>
      <c r="AH947" s="8" t="str">
        <f t="shared" si="44"/>
        <v/>
      </c>
    </row>
    <row r="948" spans="31:34" x14ac:dyDescent="0.25">
      <c r="AE948" s="8" t="str">
        <f t="shared" si="42"/>
        <v/>
      </c>
      <c r="AF948" s="8" t="str">
        <f t="shared" si="43"/>
        <v/>
      </c>
      <c r="AG948" s="8" t="str">
        <f>IF(TRIM($E948)&lt;&gt;"Tax Paid","",IF(COUNTIFS(LISTS!$F$2:$F$26,$AE948,LISTS!$G$2:$G$26,$AF948)=0,"NOT ON LIST",""))</f>
        <v/>
      </c>
      <c r="AH948" s="8" t="str">
        <f t="shared" si="44"/>
        <v/>
      </c>
    </row>
    <row r="949" spans="31:34" x14ac:dyDescent="0.25">
      <c r="AE949" s="8" t="str">
        <f t="shared" si="42"/>
        <v/>
      </c>
      <c r="AF949" s="8" t="str">
        <f t="shared" si="43"/>
        <v/>
      </c>
      <c r="AG949" s="8" t="str">
        <f>IF(TRIM($E949)&lt;&gt;"Tax Paid","",IF(COUNTIFS(LISTS!$F$2:$F$26,$AE949,LISTS!$G$2:$G$26,$AF949)=0,"NOT ON LIST",""))</f>
        <v/>
      </c>
      <c r="AH949" s="8" t="str">
        <f t="shared" si="44"/>
        <v/>
      </c>
    </row>
    <row r="950" spans="31:34" x14ac:dyDescent="0.25">
      <c r="AE950" s="8" t="str">
        <f t="shared" si="42"/>
        <v/>
      </c>
      <c r="AF950" s="8" t="str">
        <f t="shared" si="43"/>
        <v/>
      </c>
      <c r="AG950" s="8" t="str">
        <f>IF(TRIM($E950)&lt;&gt;"Tax Paid","",IF(COUNTIFS(LISTS!$F$2:$F$26,$AE950,LISTS!$G$2:$G$26,$AF950)=0,"NOT ON LIST",""))</f>
        <v/>
      </c>
      <c r="AH950" s="8" t="str">
        <f t="shared" si="44"/>
        <v/>
      </c>
    </row>
    <row r="951" spans="31:34" x14ac:dyDescent="0.25">
      <c r="AE951" s="8" t="str">
        <f t="shared" si="42"/>
        <v/>
      </c>
      <c r="AF951" s="8" t="str">
        <f t="shared" si="43"/>
        <v/>
      </c>
      <c r="AG951" s="8" t="str">
        <f>IF(TRIM($E951)&lt;&gt;"Tax Paid","",IF(COUNTIFS(LISTS!$F$2:$F$26,$AE951,LISTS!$G$2:$G$26,$AF951)=0,"NOT ON LIST",""))</f>
        <v/>
      </c>
      <c r="AH951" s="8" t="str">
        <f t="shared" si="44"/>
        <v/>
      </c>
    </row>
    <row r="952" spans="31:34" x14ac:dyDescent="0.25">
      <c r="AE952" s="8" t="str">
        <f t="shared" si="42"/>
        <v/>
      </c>
      <c r="AF952" s="8" t="str">
        <f t="shared" si="43"/>
        <v/>
      </c>
      <c r="AG952" s="8" t="str">
        <f>IF(TRIM($E952)&lt;&gt;"Tax Paid","",IF(COUNTIFS(LISTS!$F$2:$F$26,$AE952,LISTS!$G$2:$G$26,$AF952)=0,"NOT ON LIST",""))</f>
        <v/>
      </c>
      <c r="AH952" s="8" t="str">
        <f t="shared" si="44"/>
        <v/>
      </c>
    </row>
    <row r="953" spans="31:34" x14ac:dyDescent="0.25">
      <c r="AE953" s="8" t="str">
        <f t="shared" si="42"/>
        <v/>
      </c>
      <c r="AF953" s="8" t="str">
        <f t="shared" si="43"/>
        <v/>
      </c>
      <c r="AG953" s="8" t="str">
        <f>IF(TRIM($E953)&lt;&gt;"Tax Paid","",IF(COUNTIFS(LISTS!$F$2:$F$26,$AE953,LISTS!$G$2:$G$26,$AF953)=0,"NOT ON LIST",""))</f>
        <v/>
      </c>
      <c r="AH953" s="8" t="str">
        <f t="shared" si="44"/>
        <v/>
      </c>
    </row>
    <row r="954" spans="31:34" x14ac:dyDescent="0.25">
      <c r="AE954" s="8" t="str">
        <f t="shared" si="42"/>
        <v/>
      </c>
      <c r="AF954" s="8" t="str">
        <f t="shared" si="43"/>
        <v/>
      </c>
      <c r="AG954" s="8" t="str">
        <f>IF(TRIM($E954)&lt;&gt;"Tax Paid","",IF(COUNTIFS(LISTS!$F$2:$F$26,$AE954,LISTS!$G$2:$G$26,$AF954)=0,"NOT ON LIST",""))</f>
        <v/>
      </c>
      <c r="AH954" s="8" t="str">
        <f t="shared" si="44"/>
        <v/>
      </c>
    </row>
    <row r="955" spans="31:34" x14ac:dyDescent="0.25">
      <c r="AE955" s="8" t="str">
        <f t="shared" si="42"/>
        <v/>
      </c>
      <c r="AF955" s="8" t="str">
        <f t="shared" si="43"/>
        <v/>
      </c>
      <c r="AG955" s="8" t="str">
        <f>IF(TRIM($E955)&lt;&gt;"Tax Paid","",IF(COUNTIFS(LISTS!$F$2:$F$26,$AE955,LISTS!$G$2:$G$26,$AF955)=0,"NOT ON LIST",""))</f>
        <v/>
      </c>
      <c r="AH955" s="8" t="str">
        <f t="shared" si="44"/>
        <v/>
      </c>
    </row>
    <row r="956" spans="31:34" x14ac:dyDescent="0.25">
      <c r="AE956" s="8" t="str">
        <f t="shared" si="42"/>
        <v/>
      </c>
      <c r="AF956" s="8" t="str">
        <f t="shared" si="43"/>
        <v/>
      </c>
      <c r="AG956" s="8" t="str">
        <f>IF(TRIM($E956)&lt;&gt;"Tax Paid","",IF(COUNTIFS(LISTS!$F$2:$F$26,$AE956,LISTS!$G$2:$G$26,$AF956)=0,"NOT ON LIST",""))</f>
        <v/>
      </c>
      <c r="AH956" s="8" t="str">
        <f t="shared" si="44"/>
        <v/>
      </c>
    </row>
    <row r="957" spans="31:34" x14ac:dyDescent="0.25">
      <c r="AE957" s="8" t="str">
        <f t="shared" si="42"/>
        <v/>
      </c>
      <c r="AF957" s="8" t="str">
        <f t="shared" si="43"/>
        <v/>
      </c>
      <c r="AG957" s="8" t="str">
        <f>IF(TRIM($E957)&lt;&gt;"Tax Paid","",IF(COUNTIFS(LISTS!$F$2:$F$26,$AE957,LISTS!$G$2:$G$26,$AF957)=0,"NOT ON LIST",""))</f>
        <v/>
      </c>
      <c r="AH957" s="8" t="str">
        <f t="shared" si="44"/>
        <v/>
      </c>
    </row>
    <row r="958" spans="31:34" x14ac:dyDescent="0.25">
      <c r="AE958" s="8" t="str">
        <f t="shared" si="42"/>
        <v/>
      </c>
      <c r="AF958" s="8" t="str">
        <f t="shared" si="43"/>
        <v/>
      </c>
      <c r="AG958" s="8" t="str">
        <f>IF(TRIM($E958)&lt;&gt;"Tax Paid","",IF(COUNTIFS(LISTS!$F$2:$F$26,$AE958,LISTS!$G$2:$G$26,$AF958)=0,"NOT ON LIST",""))</f>
        <v/>
      </c>
      <c r="AH958" s="8" t="str">
        <f t="shared" si="44"/>
        <v/>
      </c>
    </row>
    <row r="959" spans="31:34" x14ac:dyDescent="0.25">
      <c r="AE959" s="8" t="str">
        <f t="shared" si="42"/>
        <v/>
      </c>
      <c r="AF959" s="8" t="str">
        <f t="shared" si="43"/>
        <v/>
      </c>
      <c r="AG959" s="8" t="str">
        <f>IF(TRIM($E959)&lt;&gt;"Tax Paid","",IF(COUNTIFS(LISTS!$F$2:$F$26,$AE959,LISTS!$G$2:$G$26,$AF959)=0,"NOT ON LIST",""))</f>
        <v/>
      </c>
      <c r="AH959" s="8" t="str">
        <f t="shared" si="44"/>
        <v/>
      </c>
    </row>
    <row r="960" spans="31:34" x14ac:dyDescent="0.25">
      <c r="AE960" s="8" t="str">
        <f t="shared" si="42"/>
        <v/>
      </c>
      <c r="AF960" s="8" t="str">
        <f t="shared" si="43"/>
        <v/>
      </c>
      <c r="AG960" s="8" t="str">
        <f>IF(TRIM($E960)&lt;&gt;"Tax Paid","",IF(COUNTIFS(LISTS!$F$2:$F$26,$AE960,LISTS!$G$2:$G$26,$AF960)=0,"NOT ON LIST",""))</f>
        <v/>
      </c>
      <c r="AH960" s="8" t="str">
        <f t="shared" si="44"/>
        <v/>
      </c>
    </row>
    <row r="961" spans="31:34" x14ac:dyDescent="0.25">
      <c r="AE961" s="8" t="str">
        <f t="shared" si="42"/>
        <v/>
      </c>
      <c r="AF961" s="8" t="str">
        <f t="shared" si="43"/>
        <v/>
      </c>
      <c r="AG961" s="8" t="str">
        <f>IF(TRIM($E961)&lt;&gt;"Tax Paid","",IF(COUNTIFS(LISTS!$F$2:$F$26,$AE961,LISTS!$G$2:$G$26,$AF961)=0,"NOT ON LIST",""))</f>
        <v/>
      </c>
      <c r="AH961" s="8" t="str">
        <f t="shared" si="44"/>
        <v/>
      </c>
    </row>
    <row r="962" spans="31:34" x14ac:dyDescent="0.25">
      <c r="AE962" s="8" t="str">
        <f t="shared" ref="AE962:AE1025" si="45">IF(TRIM($E962)="Tax Paid",TRIM($S962),"")</f>
        <v/>
      </c>
      <c r="AF962" s="8" t="str">
        <f t="shared" ref="AF962:AF1025" si="46">IF(TRIM($E962)="Tax Paid",ROUND($Z962/100,5),"")</f>
        <v/>
      </c>
      <c r="AG962" s="8" t="str">
        <f>IF(TRIM($E962)&lt;&gt;"Tax Paid","",IF(COUNTIFS(LISTS!$F$2:$F$26,$AE962,LISTS!$G$2:$G$26,$AF962)=0,"NOT ON LIST",""))</f>
        <v/>
      </c>
      <c r="AH962" s="8" t="str">
        <f t="shared" ref="AH962:AH1025" si="47">IF($AG962="","",IF($AE962="","(no county)",$AE962)&amp;" ("&amp;SUBSTITUTE(TEXT($AF962,"0.###%"),".%","%")&amp;")")</f>
        <v/>
      </c>
    </row>
    <row r="963" spans="31:34" x14ac:dyDescent="0.25">
      <c r="AE963" s="8" t="str">
        <f t="shared" si="45"/>
        <v/>
      </c>
      <c r="AF963" s="8" t="str">
        <f t="shared" si="46"/>
        <v/>
      </c>
      <c r="AG963" s="8" t="str">
        <f>IF(TRIM($E963)&lt;&gt;"Tax Paid","",IF(COUNTIFS(LISTS!$F$2:$F$26,$AE963,LISTS!$G$2:$G$26,$AF963)=0,"NOT ON LIST",""))</f>
        <v/>
      </c>
      <c r="AH963" s="8" t="str">
        <f t="shared" si="47"/>
        <v/>
      </c>
    </row>
    <row r="964" spans="31:34" x14ac:dyDescent="0.25">
      <c r="AE964" s="8" t="str">
        <f t="shared" si="45"/>
        <v/>
      </c>
      <c r="AF964" s="8" t="str">
        <f t="shared" si="46"/>
        <v/>
      </c>
      <c r="AG964" s="8" t="str">
        <f>IF(TRIM($E964)&lt;&gt;"Tax Paid","",IF(COUNTIFS(LISTS!$F$2:$F$26,$AE964,LISTS!$G$2:$G$26,$AF964)=0,"NOT ON LIST",""))</f>
        <v/>
      </c>
      <c r="AH964" s="8" t="str">
        <f t="shared" si="47"/>
        <v/>
      </c>
    </row>
    <row r="965" spans="31:34" x14ac:dyDescent="0.25">
      <c r="AE965" s="8" t="str">
        <f t="shared" si="45"/>
        <v/>
      </c>
      <c r="AF965" s="8" t="str">
        <f t="shared" si="46"/>
        <v/>
      </c>
      <c r="AG965" s="8" t="str">
        <f>IF(TRIM($E965)&lt;&gt;"Tax Paid","",IF(COUNTIFS(LISTS!$F$2:$F$26,$AE965,LISTS!$G$2:$G$26,$AF965)=0,"NOT ON LIST",""))</f>
        <v/>
      </c>
      <c r="AH965" s="8" t="str">
        <f t="shared" si="47"/>
        <v/>
      </c>
    </row>
    <row r="966" spans="31:34" x14ac:dyDescent="0.25">
      <c r="AE966" s="8" t="str">
        <f t="shared" si="45"/>
        <v/>
      </c>
      <c r="AF966" s="8" t="str">
        <f t="shared" si="46"/>
        <v/>
      </c>
      <c r="AG966" s="8" t="str">
        <f>IF(TRIM($E966)&lt;&gt;"Tax Paid","",IF(COUNTIFS(LISTS!$F$2:$F$26,$AE966,LISTS!$G$2:$G$26,$AF966)=0,"NOT ON LIST",""))</f>
        <v/>
      </c>
      <c r="AH966" s="8" t="str">
        <f t="shared" si="47"/>
        <v/>
      </c>
    </row>
    <row r="967" spans="31:34" x14ac:dyDescent="0.25">
      <c r="AE967" s="8" t="str">
        <f t="shared" si="45"/>
        <v/>
      </c>
      <c r="AF967" s="8" t="str">
        <f t="shared" si="46"/>
        <v/>
      </c>
      <c r="AG967" s="8" t="str">
        <f>IF(TRIM($E967)&lt;&gt;"Tax Paid","",IF(COUNTIFS(LISTS!$F$2:$F$26,$AE967,LISTS!$G$2:$G$26,$AF967)=0,"NOT ON LIST",""))</f>
        <v/>
      </c>
      <c r="AH967" s="8" t="str">
        <f t="shared" si="47"/>
        <v/>
      </c>
    </row>
    <row r="968" spans="31:34" x14ac:dyDescent="0.25">
      <c r="AE968" s="8" t="str">
        <f t="shared" si="45"/>
        <v/>
      </c>
      <c r="AF968" s="8" t="str">
        <f t="shared" si="46"/>
        <v/>
      </c>
      <c r="AG968" s="8" t="str">
        <f>IF(TRIM($E968)&lt;&gt;"Tax Paid","",IF(COUNTIFS(LISTS!$F$2:$F$26,$AE968,LISTS!$G$2:$G$26,$AF968)=0,"NOT ON LIST",""))</f>
        <v/>
      </c>
      <c r="AH968" s="8" t="str">
        <f t="shared" si="47"/>
        <v/>
      </c>
    </row>
    <row r="969" spans="31:34" x14ac:dyDescent="0.25">
      <c r="AE969" s="8" t="str">
        <f t="shared" si="45"/>
        <v/>
      </c>
      <c r="AF969" s="8" t="str">
        <f t="shared" si="46"/>
        <v/>
      </c>
      <c r="AG969" s="8" t="str">
        <f>IF(TRIM($E969)&lt;&gt;"Tax Paid","",IF(COUNTIFS(LISTS!$F$2:$F$26,$AE969,LISTS!$G$2:$G$26,$AF969)=0,"NOT ON LIST",""))</f>
        <v/>
      </c>
      <c r="AH969" s="8" t="str">
        <f t="shared" si="47"/>
        <v/>
      </c>
    </row>
    <row r="970" spans="31:34" x14ac:dyDescent="0.25">
      <c r="AE970" s="8" t="str">
        <f t="shared" si="45"/>
        <v/>
      </c>
      <c r="AF970" s="8" t="str">
        <f t="shared" si="46"/>
        <v/>
      </c>
      <c r="AG970" s="8" t="str">
        <f>IF(TRIM($E970)&lt;&gt;"Tax Paid","",IF(COUNTIFS(LISTS!$F$2:$F$26,$AE970,LISTS!$G$2:$G$26,$AF970)=0,"NOT ON LIST",""))</f>
        <v/>
      </c>
      <c r="AH970" s="8" t="str">
        <f t="shared" si="47"/>
        <v/>
      </c>
    </row>
    <row r="971" spans="31:34" x14ac:dyDescent="0.25">
      <c r="AE971" s="8" t="str">
        <f t="shared" si="45"/>
        <v/>
      </c>
      <c r="AF971" s="8" t="str">
        <f t="shared" si="46"/>
        <v/>
      </c>
      <c r="AG971" s="8" t="str">
        <f>IF(TRIM($E971)&lt;&gt;"Tax Paid","",IF(COUNTIFS(LISTS!$F$2:$F$26,$AE971,LISTS!$G$2:$G$26,$AF971)=0,"NOT ON LIST",""))</f>
        <v/>
      </c>
      <c r="AH971" s="8" t="str">
        <f t="shared" si="47"/>
        <v/>
      </c>
    </row>
    <row r="972" spans="31:34" x14ac:dyDescent="0.25">
      <c r="AE972" s="8" t="str">
        <f t="shared" si="45"/>
        <v/>
      </c>
      <c r="AF972" s="8" t="str">
        <f t="shared" si="46"/>
        <v/>
      </c>
      <c r="AG972" s="8" t="str">
        <f>IF(TRIM($E972)&lt;&gt;"Tax Paid","",IF(COUNTIFS(LISTS!$F$2:$F$26,$AE972,LISTS!$G$2:$G$26,$AF972)=0,"NOT ON LIST",""))</f>
        <v/>
      </c>
      <c r="AH972" s="8" t="str">
        <f t="shared" si="47"/>
        <v/>
      </c>
    </row>
    <row r="973" spans="31:34" x14ac:dyDescent="0.25">
      <c r="AE973" s="8" t="str">
        <f t="shared" si="45"/>
        <v/>
      </c>
      <c r="AF973" s="8" t="str">
        <f t="shared" si="46"/>
        <v/>
      </c>
      <c r="AG973" s="8" t="str">
        <f>IF(TRIM($E973)&lt;&gt;"Tax Paid","",IF(COUNTIFS(LISTS!$F$2:$F$26,$AE973,LISTS!$G$2:$G$26,$AF973)=0,"NOT ON LIST",""))</f>
        <v/>
      </c>
      <c r="AH973" s="8" t="str">
        <f t="shared" si="47"/>
        <v/>
      </c>
    </row>
    <row r="974" spans="31:34" x14ac:dyDescent="0.25">
      <c r="AE974" s="8" t="str">
        <f t="shared" si="45"/>
        <v/>
      </c>
      <c r="AF974" s="8" t="str">
        <f t="shared" si="46"/>
        <v/>
      </c>
      <c r="AG974" s="8" t="str">
        <f>IF(TRIM($E974)&lt;&gt;"Tax Paid","",IF(COUNTIFS(LISTS!$F$2:$F$26,$AE974,LISTS!$G$2:$G$26,$AF974)=0,"NOT ON LIST",""))</f>
        <v/>
      </c>
      <c r="AH974" s="8" t="str">
        <f t="shared" si="47"/>
        <v/>
      </c>
    </row>
    <row r="975" spans="31:34" x14ac:dyDescent="0.25">
      <c r="AE975" s="8" t="str">
        <f t="shared" si="45"/>
        <v/>
      </c>
      <c r="AF975" s="8" t="str">
        <f t="shared" si="46"/>
        <v/>
      </c>
      <c r="AG975" s="8" t="str">
        <f>IF(TRIM($E975)&lt;&gt;"Tax Paid","",IF(COUNTIFS(LISTS!$F$2:$F$26,$AE975,LISTS!$G$2:$G$26,$AF975)=0,"NOT ON LIST",""))</f>
        <v/>
      </c>
      <c r="AH975" s="8" t="str">
        <f t="shared" si="47"/>
        <v/>
      </c>
    </row>
    <row r="976" spans="31:34" x14ac:dyDescent="0.25">
      <c r="AE976" s="8" t="str">
        <f t="shared" si="45"/>
        <v/>
      </c>
      <c r="AF976" s="8" t="str">
        <f t="shared" si="46"/>
        <v/>
      </c>
      <c r="AG976" s="8" t="str">
        <f>IF(TRIM($E976)&lt;&gt;"Tax Paid","",IF(COUNTIFS(LISTS!$F$2:$F$26,$AE976,LISTS!$G$2:$G$26,$AF976)=0,"NOT ON LIST",""))</f>
        <v/>
      </c>
      <c r="AH976" s="8" t="str">
        <f t="shared" si="47"/>
        <v/>
      </c>
    </row>
    <row r="977" spans="31:34" x14ac:dyDescent="0.25">
      <c r="AE977" s="8" t="str">
        <f t="shared" si="45"/>
        <v/>
      </c>
      <c r="AF977" s="8" t="str">
        <f t="shared" si="46"/>
        <v/>
      </c>
      <c r="AG977" s="8" t="str">
        <f>IF(TRIM($E977)&lt;&gt;"Tax Paid","",IF(COUNTIFS(LISTS!$F$2:$F$26,$AE977,LISTS!$G$2:$G$26,$AF977)=0,"NOT ON LIST",""))</f>
        <v/>
      </c>
      <c r="AH977" s="8" t="str">
        <f t="shared" si="47"/>
        <v/>
      </c>
    </row>
    <row r="978" spans="31:34" x14ac:dyDescent="0.25">
      <c r="AE978" s="8" t="str">
        <f t="shared" si="45"/>
        <v/>
      </c>
      <c r="AF978" s="8" t="str">
        <f t="shared" si="46"/>
        <v/>
      </c>
      <c r="AG978" s="8" t="str">
        <f>IF(TRIM($E978)&lt;&gt;"Tax Paid","",IF(COUNTIFS(LISTS!$F$2:$F$26,$AE978,LISTS!$G$2:$G$26,$AF978)=0,"NOT ON LIST",""))</f>
        <v/>
      </c>
      <c r="AH978" s="8" t="str">
        <f t="shared" si="47"/>
        <v/>
      </c>
    </row>
    <row r="979" spans="31:34" x14ac:dyDescent="0.25">
      <c r="AE979" s="8" t="str">
        <f t="shared" si="45"/>
        <v/>
      </c>
      <c r="AF979" s="8" t="str">
        <f t="shared" si="46"/>
        <v/>
      </c>
      <c r="AG979" s="8" t="str">
        <f>IF(TRIM($E979)&lt;&gt;"Tax Paid","",IF(COUNTIFS(LISTS!$F$2:$F$26,$AE979,LISTS!$G$2:$G$26,$AF979)=0,"NOT ON LIST",""))</f>
        <v/>
      </c>
      <c r="AH979" s="8" t="str">
        <f t="shared" si="47"/>
        <v/>
      </c>
    </row>
    <row r="980" spans="31:34" x14ac:dyDescent="0.25">
      <c r="AE980" s="8" t="str">
        <f t="shared" si="45"/>
        <v/>
      </c>
      <c r="AF980" s="8" t="str">
        <f t="shared" si="46"/>
        <v/>
      </c>
      <c r="AG980" s="8" t="str">
        <f>IF(TRIM($E980)&lt;&gt;"Tax Paid","",IF(COUNTIFS(LISTS!$F$2:$F$26,$AE980,LISTS!$G$2:$G$26,$AF980)=0,"NOT ON LIST",""))</f>
        <v/>
      </c>
      <c r="AH980" s="8" t="str">
        <f t="shared" si="47"/>
        <v/>
      </c>
    </row>
    <row r="981" spans="31:34" x14ac:dyDescent="0.25">
      <c r="AE981" s="8" t="str">
        <f t="shared" si="45"/>
        <v/>
      </c>
      <c r="AF981" s="8" t="str">
        <f t="shared" si="46"/>
        <v/>
      </c>
      <c r="AG981" s="8" t="str">
        <f>IF(TRIM($E981)&lt;&gt;"Tax Paid","",IF(COUNTIFS(LISTS!$F$2:$F$26,$AE981,LISTS!$G$2:$G$26,$AF981)=0,"NOT ON LIST",""))</f>
        <v/>
      </c>
      <c r="AH981" s="8" t="str">
        <f t="shared" si="47"/>
        <v/>
      </c>
    </row>
    <row r="982" spans="31:34" x14ac:dyDescent="0.25">
      <c r="AE982" s="8" t="str">
        <f t="shared" si="45"/>
        <v/>
      </c>
      <c r="AF982" s="8" t="str">
        <f t="shared" si="46"/>
        <v/>
      </c>
      <c r="AG982" s="8" t="str">
        <f>IF(TRIM($E982)&lt;&gt;"Tax Paid","",IF(COUNTIFS(LISTS!$F$2:$F$26,$AE982,LISTS!$G$2:$G$26,$AF982)=0,"NOT ON LIST",""))</f>
        <v/>
      </c>
      <c r="AH982" s="8" t="str">
        <f t="shared" si="47"/>
        <v/>
      </c>
    </row>
    <row r="983" spans="31:34" x14ac:dyDescent="0.25">
      <c r="AE983" s="8" t="str">
        <f t="shared" si="45"/>
        <v/>
      </c>
      <c r="AF983" s="8" t="str">
        <f t="shared" si="46"/>
        <v/>
      </c>
      <c r="AG983" s="8" t="str">
        <f>IF(TRIM($E983)&lt;&gt;"Tax Paid","",IF(COUNTIFS(LISTS!$F$2:$F$26,$AE983,LISTS!$G$2:$G$26,$AF983)=0,"NOT ON LIST",""))</f>
        <v/>
      </c>
      <c r="AH983" s="8" t="str">
        <f t="shared" si="47"/>
        <v/>
      </c>
    </row>
    <row r="984" spans="31:34" x14ac:dyDescent="0.25">
      <c r="AE984" s="8" t="str">
        <f t="shared" si="45"/>
        <v/>
      </c>
      <c r="AF984" s="8" t="str">
        <f t="shared" si="46"/>
        <v/>
      </c>
      <c r="AG984" s="8" t="str">
        <f>IF(TRIM($E984)&lt;&gt;"Tax Paid","",IF(COUNTIFS(LISTS!$F$2:$F$26,$AE984,LISTS!$G$2:$G$26,$AF984)=0,"NOT ON LIST",""))</f>
        <v/>
      </c>
      <c r="AH984" s="8" t="str">
        <f t="shared" si="47"/>
        <v/>
      </c>
    </row>
    <row r="985" spans="31:34" x14ac:dyDescent="0.25">
      <c r="AE985" s="8" t="str">
        <f t="shared" si="45"/>
        <v/>
      </c>
      <c r="AF985" s="8" t="str">
        <f t="shared" si="46"/>
        <v/>
      </c>
      <c r="AG985" s="8" t="str">
        <f>IF(TRIM($E985)&lt;&gt;"Tax Paid","",IF(COUNTIFS(LISTS!$F$2:$F$26,$AE985,LISTS!$G$2:$G$26,$AF985)=0,"NOT ON LIST",""))</f>
        <v/>
      </c>
      <c r="AH985" s="8" t="str">
        <f t="shared" si="47"/>
        <v/>
      </c>
    </row>
    <row r="986" spans="31:34" x14ac:dyDescent="0.25">
      <c r="AE986" s="8" t="str">
        <f t="shared" si="45"/>
        <v/>
      </c>
      <c r="AF986" s="8" t="str">
        <f t="shared" si="46"/>
        <v/>
      </c>
      <c r="AG986" s="8" t="str">
        <f>IF(TRIM($E986)&lt;&gt;"Tax Paid","",IF(COUNTIFS(LISTS!$F$2:$F$26,$AE986,LISTS!$G$2:$G$26,$AF986)=0,"NOT ON LIST",""))</f>
        <v/>
      </c>
      <c r="AH986" s="8" t="str">
        <f t="shared" si="47"/>
        <v/>
      </c>
    </row>
    <row r="987" spans="31:34" x14ac:dyDescent="0.25">
      <c r="AE987" s="8" t="str">
        <f t="shared" si="45"/>
        <v/>
      </c>
      <c r="AF987" s="8" t="str">
        <f t="shared" si="46"/>
        <v/>
      </c>
      <c r="AG987" s="8" t="str">
        <f>IF(TRIM($E987)&lt;&gt;"Tax Paid","",IF(COUNTIFS(LISTS!$F$2:$F$26,$AE987,LISTS!$G$2:$G$26,$AF987)=0,"NOT ON LIST",""))</f>
        <v/>
      </c>
      <c r="AH987" s="8" t="str">
        <f t="shared" si="47"/>
        <v/>
      </c>
    </row>
    <row r="988" spans="31:34" x14ac:dyDescent="0.25">
      <c r="AE988" s="8" t="str">
        <f t="shared" si="45"/>
        <v/>
      </c>
      <c r="AF988" s="8" t="str">
        <f t="shared" si="46"/>
        <v/>
      </c>
      <c r="AG988" s="8" t="str">
        <f>IF(TRIM($E988)&lt;&gt;"Tax Paid","",IF(COUNTIFS(LISTS!$F$2:$F$26,$AE988,LISTS!$G$2:$G$26,$AF988)=0,"NOT ON LIST",""))</f>
        <v/>
      </c>
      <c r="AH988" s="8" t="str">
        <f t="shared" si="47"/>
        <v/>
      </c>
    </row>
    <row r="989" spans="31:34" x14ac:dyDescent="0.25">
      <c r="AE989" s="8" t="str">
        <f t="shared" si="45"/>
        <v/>
      </c>
      <c r="AF989" s="8" t="str">
        <f t="shared" si="46"/>
        <v/>
      </c>
      <c r="AG989" s="8" t="str">
        <f>IF(TRIM($E989)&lt;&gt;"Tax Paid","",IF(COUNTIFS(LISTS!$F$2:$F$26,$AE989,LISTS!$G$2:$G$26,$AF989)=0,"NOT ON LIST",""))</f>
        <v/>
      </c>
      <c r="AH989" s="8" t="str">
        <f t="shared" si="47"/>
        <v/>
      </c>
    </row>
    <row r="990" spans="31:34" x14ac:dyDescent="0.25">
      <c r="AE990" s="8" t="str">
        <f t="shared" si="45"/>
        <v/>
      </c>
      <c r="AF990" s="8" t="str">
        <f t="shared" si="46"/>
        <v/>
      </c>
      <c r="AG990" s="8" t="str">
        <f>IF(TRIM($E990)&lt;&gt;"Tax Paid","",IF(COUNTIFS(LISTS!$F$2:$F$26,$AE990,LISTS!$G$2:$G$26,$AF990)=0,"NOT ON LIST",""))</f>
        <v/>
      </c>
      <c r="AH990" s="8" t="str">
        <f t="shared" si="47"/>
        <v/>
      </c>
    </row>
    <row r="991" spans="31:34" x14ac:dyDescent="0.25">
      <c r="AE991" s="8" t="str">
        <f t="shared" si="45"/>
        <v/>
      </c>
      <c r="AF991" s="8" t="str">
        <f t="shared" si="46"/>
        <v/>
      </c>
      <c r="AG991" s="8" t="str">
        <f>IF(TRIM($E991)&lt;&gt;"Tax Paid","",IF(COUNTIFS(LISTS!$F$2:$F$26,$AE991,LISTS!$G$2:$G$26,$AF991)=0,"NOT ON LIST",""))</f>
        <v/>
      </c>
      <c r="AH991" s="8" t="str">
        <f t="shared" si="47"/>
        <v/>
      </c>
    </row>
    <row r="992" spans="31:34" x14ac:dyDescent="0.25">
      <c r="AE992" s="8" t="str">
        <f t="shared" si="45"/>
        <v/>
      </c>
      <c r="AF992" s="8" t="str">
        <f t="shared" si="46"/>
        <v/>
      </c>
      <c r="AG992" s="8" t="str">
        <f>IF(TRIM($E992)&lt;&gt;"Tax Paid","",IF(COUNTIFS(LISTS!$F$2:$F$26,$AE992,LISTS!$G$2:$G$26,$AF992)=0,"NOT ON LIST",""))</f>
        <v/>
      </c>
      <c r="AH992" s="8" t="str">
        <f t="shared" si="47"/>
        <v/>
      </c>
    </row>
    <row r="993" spans="31:34" x14ac:dyDescent="0.25">
      <c r="AE993" s="8" t="str">
        <f t="shared" si="45"/>
        <v/>
      </c>
      <c r="AF993" s="8" t="str">
        <f t="shared" si="46"/>
        <v/>
      </c>
      <c r="AG993" s="8" t="str">
        <f>IF(TRIM($E993)&lt;&gt;"Tax Paid","",IF(COUNTIFS(LISTS!$F$2:$F$26,$AE993,LISTS!$G$2:$G$26,$AF993)=0,"NOT ON LIST",""))</f>
        <v/>
      </c>
      <c r="AH993" s="8" t="str">
        <f t="shared" si="47"/>
        <v/>
      </c>
    </row>
    <row r="994" spans="31:34" x14ac:dyDescent="0.25">
      <c r="AE994" s="8" t="str">
        <f t="shared" si="45"/>
        <v/>
      </c>
      <c r="AF994" s="8" t="str">
        <f t="shared" si="46"/>
        <v/>
      </c>
      <c r="AG994" s="8" t="str">
        <f>IF(TRIM($E994)&lt;&gt;"Tax Paid","",IF(COUNTIFS(LISTS!$F$2:$F$26,$AE994,LISTS!$G$2:$G$26,$AF994)=0,"NOT ON LIST",""))</f>
        <v/>
      </c>
      <c r="AH994" s="8" t="str">
        <f t="shared" si="47"/>
        <v/>
      </c>
    </row>
    <row r="995" spans="31:34" x14ac:dyDescent="0.25">
      <c r="AE995" s="8" t="str">
        <f t="shared" si="45"/>
        <v/>
      </c>
      <c r="AF995" s="8" t="str">
        <f t="shared" si="46"/>
        <v/>
      </c>
      <c r="AG995" s="8" t="str">
        <f>IF(TRIM($E995)&lt;&gt;"Tax Paid","",IF(COUNTIFS(LISTS!$F$2:$F$26,$AE995,LISTS!$G$2:$G$26,$AF995)=0,"NOT ON LIST",""))</f>
        <v/>
      </c>
      <c r="AH995" s="8" t="str">
        <f t="shared" si="47"/>
        <v/>
      </c>
    </row>
    <row r="996" spans="31:34" x14ac:dyDescent="0.25">
      <c r="AE996" s="8" t="str">
        <f t="shared" si="45"/>
        <v/>
      </c>
      <c r="AF996" s="8" t="str">
        <f t="shared" si="46"/>
        <v/>
      </c>
      <c r="AG996" s="8" t="str">
        <f>IF(TRIM($E996)&lt;&gt;"Tax Paid","",IF(COUNTIFS(LISTS!$F$2:$F$26,$AE996,LISTS!$G$2:$G$26,$AF996)=0,"NOT ON LIST",""))</f>
        <v/>
      </c>
      <c r="AH996" s="8" t="str">
        <f t="shared" si="47"/>
        <v/>
      </c>
    </row>
    <row r="997" spans="31:34" x14ac:dyDescent="0.25">
      <c r="AE997" s="8" t="str">
        <f t="shared" si="45"/>
        <v/>
      </c>
      <c r="AF997" s="8" t="str">
        <f t="shared" si="46"/>
        <v/>
      </c>
      <c r="AG997" s="8" t="str">
        <f>IF(TRIM($E997)&lt;&gt;"Tax Paid","",IF(COUNTIFS(LISTS!$F$2:$F$26,$AE997,LISTS!$G$2:$G$26,$AF997)=0,"NOT ON LIST",""))</f>
        <v/>
      </c>
      <c r="AH997" s="8" t="str">
        <f t="shared" si="47"/>
        <v/>
      </c>
    </row>
    <row r="998" spans="31:34" x14ac:dyDescent="0.25">
      <c r="AE998" s="8" t="str">
        <f t="shared" si="45"/>
        <v/>
      </c>
      <c r="AF998" s="8" t="str">
        <f t="shared" si="46"/>
        <v/>
      </c>
      <c r="AG998" s="8" t="str">
        <f>IF(TRIM($E998)&lt;&gt;"Tax Paid","",IF(COUNTIFS(LISTS!$F$2:$F$26,$AE998,LISTS!$G$2:$G$26,$AF998)=0,"NOT ON LIST",""))</f>
        <v/>
      </c>
      <c r="AH998" s="8" t="str">
        <f t="shared" si="47"/>
        <v/>
      </c>
    </row>
    <row r="999" spans="31:34" x14ac:dyDescent="0.25">
      <c r="AE999" s="8" t="str">
        <f t="shared" si="45"/>
        <v/>
      </c>
      <c r="AF999" s="8" t="str">
        <f t="shared" si="46"/>
        <v/>
      </c>
      <c r="AG999" s="8" t="str">
        <f>IF(TRIM($E999)&lt;&gt;"Tax Paid","",IF(COUNTIFS(LISTS!$F$2:$F$26,$AE999,LISTS!$G$2:$G$26,$AF999)=0,"NOT ON LIST",""))</f>
        <v/>
      </c>
      <c r="AH999" s="8" t="str">
        <f t="shared" si="47"/>
        <v/>
      </c>
    </row>
    <row r="1000" spans="31:34" x14ac:dyDescent="0.25">
      <c r="AE1000" s="8" t="str">
        <f t="shared" si="45"/>
        <v/>
      </c>
      <c r="AF1000" s="8" t="str">
        <f t="shared" si="46"/>
        <v/>
      </c>
      <c r="AG1000" s="8" t="str">
        <f>IF(TRIM($E1000)&lt;&gt;"Tax Paid","",IF(COUNTIFS(LISTS!$F$2:$F$26,$AE1000,LISTS!$G$2:$G$26,$AF1000)=0,"NOT ON LIST",""))</f>
        <v/>
      </c>
      <c r="AH1000" s="8" t="str">
        <f t="shared" si="47"/>
        <v/>
      </c>
    </row>
    <row r="1001" spans="31:34" x14ac:dyDescent="0.25">
      <c r="AE1001" s="8" t="str">
        <f t="shared" si="45"/>
        <v/>
      </c>
      <c r="AF1001" s="8" t="str">
        <f t="shared" si="46"/>
        <v/>
      </c>
      <c r="AG1001" s="8" t="str">
        <f>IF(TRIM($E1001)&lt;&gt;"Tax Paid","",IF(COUNTIFS(LISTS!$F$2:$F$26,$AE1001,LISTS!$G$2:$G$26,$AF1001)=0,"NOT ON LIST",""))</f>
        <v/>
      </c>
      <c r="AH1001" s="8" t="str">
        <f t="shared" si="47"/>
        <v/>
      </c>
    </row>
    <row r="1002" spans="31:34" x14ac:dyDescent="0.25">
      <c r="AE1002" s="8" t="str">
        <f t="shared" si="45"/>
        <v/>
      </c>
      <c r="AF1002" s="8" t="str">
        <f t="shared" si="46"/>
        <v/>
      </c>
      <c r="AG1002" s="8" t="str">
        <f>IF(TRIM($E1002)&lt;&gt;"Tax Paid","",IF(COUNTIFS(LISTS!$F$2:$F$26,$AE1002,LISTS!$G$2:$G$26,$AF1002)=0,"NOT ON LIST",""))</f>
        <v/>
      </c>
      <c r="AH1002" s="8" t="str">
        <f t="shared" si="47"/>
        <v/>
      </c>
    </row>
    <row r="1003" spans="31:34" x14ac:dyDescent="0.25">
      <c r="AE1003" s="8" t="str">
        <f t="shared" si="45"/>
        <v/>
      </c>
      <c r="AF1003" s="8" t="str">
        <f t="shared" si="46"/>
        <v/>
      </c>
      <c r="AG1003" s="8" t="str">
        <f>IF(TRIM($E1003)&lt;&gt;"Tax Paid","",IF(COUNTIFS(LISTS!$F$2:$F$26,$AE1003,LISTS!$G$2:$G$26,$AF1003)=0,"NOT ON LIST",""))</f>
        <v/>
      </c>
      <c r="AH1003" s="8" t="str">
        <f t="shared" si="47"/>
        <v/>
      </c>
    </row>
    <row r="1004" spans="31:34" x14ac:dyDescent="0.25">
      <c r="AE1004" s="8" t="str">
        <f t="shared" si="45"/>
        <v/>
      </c>
      <c r="AF1004" s="8" t="str">
        <f t="shared" si="46"/>
        <v/>
      </c>
      <c r="AG1004" s="8" t="str">
        <f>IF(TRIM($E1004)&lt;&gt;"Tax Paid","",IF(COUNTIFS(LISTS!$F$2:$F$26,$AE1004,LISTS!$G$2:$G$26,$AF1004)=0,"NOT ON LIST",""))</f>
        <v/>
      </c>
      <c r="AH1004" s="8" t="str">
        <f t="shared" si="47"/>
        <v/>
      </c>
    </row>
    <row r="1005" spans="31:34" x14ac:dyDescent="0.25">
      <c r="AE1005" s="8" t="str">
        <f t="shared" si="45"/>
        <v/>
      </c>
      <c r="AF1005" s="8" t="str">
        <f t="shared" si="46"/>
        <v/>
      </c>
      <c r="AG1005" s="8" t="str">
        <f>IF(TRIM($E1005)&lt;&gt;"Tax Paid","",IF(COUNTIFS(LISTS!$F$2:$F$26,$AE1005,LISTS!$G$2:$G$26,$AF1005)=0,"NOT ON LIST",""))</f>
        <v/>
      </c>
      <c r="AH1005" s="8" t="str">
        <f t="shared" si="47"/>
        <v/>
      </c>
    </row>
    <row r="1006" spans="31:34" x14ac:dyDescent="0.25">
      <c r="AE1006" s="8" t="str">
        <f t="shared" si="45"/>
        <v/>
      </c>
      <c r="AF1006" s="8" t="str">
        <f t="shared" si="46"/>
        <v/>
      </c>
      <c r="AG1006" s="8" t="str">
        <f>IF(TRIM($E1006)&lt;&gt;"Tax Paid","",IF(COUNTIFS(LISTS!$F$2:$F$26,$AE1006,LISTS!$G$2:$G$26,$AF1006)=0,"NOT ON LIST",""))</f>
        <v/>
      </c>
      <c r="AH1006" s="8" t="str">
        <f t="shared" si="47"/>
        <v/>
      </c>
    </row>
    <row r="1007" spans="31:34" x14ac:dyDescent="0.25">
      <c r="AE1007" s="8" t="str">
        <f t="shared" si="45"/>
        <v/>
      </c>
      <c r="AF1007" s="8" t="str">
        <f t="shared" si="46"/>
        <v/>
      </c>
      <c r="AG1007" s="8" t="str">
        <f>IF(TRIM($E1007)&lt;&gt;"Tax Paid","",IF(COUNTIFS(LISTS!$F$2:$F$26,$AE1007,LISTS!$G$2:$G$26,$AF1007)=0,"NOT ON LIST",""))</f>
        <v/>
      </c>
      <c r="AH1007" s="8" t="str">
        <f t="shared" si="47"/>
        <v/>
      </c>
    </row>
    <row r="1008" spans="31:34" x14ac:dyDescent="0.25">
      <c r="AE1008" s="8" t="str">
        <f t="shared" si="45"/>
        <v/>
      </c>
      <c r="AF1008" s="8" t="str">
        <f t="shared" si="46"/>
        <v/>
      </c>
      <c r="AG1008" s="8" t="str">
        <f>IF(TRIM($E1008)&lt;&gt;"Tax Paid","",IF(COUNTIFS(LISTS!$F$2:$F$26,$AE1008,LISTS!$G$2:$G$26,$AF1008)=0,"NOT ON LIST",""))</f>
        <v/>
      </c>
      <c r="AH1008" s="8" t="str">
        <f t="shared" si="47"/>
        <v/>
      </c>
    </row>
    <row r="1009" spans="31:34" x14ac:dyDescent="0.25">
      <c r="AE1009" s="8" t="str">
        <f t="shared" si="45"/>
        <v/>
      </c>
      <c r="AF1009" s="8" t="str">
        <f t="shared" si="46"/>
        <v/>
      </c>
      <c r="AG1009" s="8" t="str">
        <f>IF(TRIM($E1009)&lt;&gt;"Tax Paid","",IF(COUNTIFS(LISTS!$F$2:$F$26,$AE1009,LISTS!$G$2:$G$26,$AF1009)=0,"NOT ON LIST",""))</f>
        <v/>
      </c>
      <c r="AH1009" s="8" t="str">
        <f t="shared" si="47"/>
        <v/>
      </c>
    </row>
    <row r="1010" spans="31:34" x14ac:dyDescent="0.25">
      <c r="AE1010" s="8" t="str">
        <f t="shared" si="45"/>
        <v/>
      </c>
      <c r="AF1010" s="8" t="str">
        <f t="shared" si="46"/>
        <v/>
      </c>
      <c r="AG1010" s="8" t="str">
        <f>IF(TRIM($E1010)&lt;&gt;"Tax Paid","",IF(COUNTIFS(LISTS!$F$2:$F$26,$AE1010,LISTS!$G$2:$G$26,$AF1010)=0,"NOT ON LIST",""))</f>
        <v/>
      </c>
      <c r="AH1010" s="8" t="str">
        <f t="shared" si="47"/>
        <v/>
      </c>
    </row>
    <row r="1011" spans="31:34" x14ac:dyDescent="0.25">
      <c r="AE1011" s="8" t="str">
        <f t="shared" si="45"/>
        <v/>
      </c>
      <c r="AF1011" s="8" t="str">
        <f t="shared" si="46"/>
        <v/>
      </c>
      <c r="AG1011" s="8" t="str">
        <f>IF(TRIM($E1011)&lt;&gt;"Tax Paid","",IF(COUNTIFS(LISTS!$F$2:$F$26,$AE1011,LISTS!$G$2:$G$26,$AF1011)=0,"NOT ON LIST",""))</f>
        <v/>
      </c>
      <c r="AH1011" s="8" t="str">
        <f t="shared" si="47"/>
        <v/>
      </c>
    </row>
    <row r="1012" spans="31:34" x14ac:dyDescent="0.25">
      <c r="AE1012" s="8" t="str">
        <f t="shared" si="45"/>
        <v/>
      </c>
      <c r="AF1012" s="8" t="str">
        <f t="shared" si="46"/>
        <v/>
      </c>
      <c r="AG1012" s="8" t="str">
        <f>IF(TRIM($E1012)&lt;&gt;"Tax Paid","",IF(COUNTIFS(LISTS!$F$2:$F$26,$AE1012,LISTS!$G$2:$G$26,$AF1012)=0,"NOT ON LIST",""))</f>
        <v/>
      </c>
      <c r="AH1012" s="8" t="str">
        <f t="shared" si="47"/>
        <v/>
      </c>
    </row>
    <row r="1013" spans="31:34" x14ac:dyDescent="0.25">
      <c r="AE1013" s="8" t="str">
        <f t="shared" si="45"/>
        <v/>
      </c>
      <c r="AF1013" s="8" t="str">
        <f t="shared" si="46"/>
        <v/>
      </c>
      <c r="AG1013" s="8" t="str">
        <f>IF(TRIM($E1013)&lt;&gt;"Tax Paid","",IF(COUNTIFS(LISTS!$F$2:$F$26,$AE1013,LISTS!$G$2:$G$26,$AF1013)=0,"NOT ON LIST",""))</f>
        <v/>
      </c>
      <c r="AH1013" s="8" t="str">
        <f t="shared" si="47"/>
        <v/>
      </c>
    </row>
    <row r="1014" spans="31:34" x14ac:dyDescent="0.25">
      <c r="AE1014" s="8" t="str">
        <f t="shared" si="45"/>
        <v/>
      </c>
      <c r="AF1014" s="8" t="str">
        <f t="shared" si="46"/>
        <v/>
      </c>
      <c r="AG1014" s="8" t="str">
        <f>IF(TRIM($E1014)&lt;&gt;"Tax Paid","",IF(COUNTIFS(LISTS!$F$2:$F$26,$AE1014,LISTS!$G$2:$G$26,$AF1014)=0,"NOT ON LIST",""))</f>
        <v/>
      </c>
      <c r="AH1014" s="8" t="str">
        <f t="shared" si="47"/>
        <v/>
      </c>
    </row>
    <row r="1015" spans="31:34" x14ac:dyDescent="0.25">
      <c r="AE1015" s="8" t="str">
        <f t="shared" si="45"/>
        <v/>
      </c>
      <c r="AF1015" s="8" t="str">
        <f t="shared" si="46"/>
        <v/>
      </c>
      <c r="AG1015" s="8" t="str">
        <f>IF(TRIM($E1015)&lt;&gt;"Tax Paid","",IF(COUNTIFS(LISTS!$F$2:$F$26,$AE1015,LISTS!$G$2:$G$26,$AF1015)=0,"NOT ON LIST",""))</f>
        <v/>
      </c>
      <c r="AH1015" s="8" t="str">
        <f t="shared" si="47"/>
        <v/>
      </c>
    </row>
    <row r="1016" spans="31:34" x14ac:dyDescent="0.25">
      <c r="AE1016" s="8" t="str">
        <f t="shared" si="45"/>
        <v/>
      </c>
      <c r="AF1016" s="8" t="str">
        <f t="shared" si="46"/>
        <v/>
      </c>
      <c r="AG1016" s="8" t="str">
        <f>IF(TRIM($E1016)&lt;&gt;"Tax Paid","",IF(COUNTIFS(LISTS!$F$2:$F$26,$AE1016,LISTS!$G$2:$G$26,$AF1016)=0,"NOT ON LIST",""))</f>
        <v/>
      </c>
      <c r="AH1016" s="8" t="str">
        <f t="shared" si="47"/>
        <v/>
      </c>
    </row>
    <row r="1017" spans="31:34" x14ac:dyDescent="0.25">
      <c r="AE1017" s="8" t="str">
        <f t="shared" si="45"/>
        <v/>
      </c>
      <c r="AF1017" s="8" t="str">
        <f t="shared" si="46"/>
        <v/>
      </c>
      <c r="AG1017" s="8" t="str">
        <f>IF(TRIM($E1017)&lt;&gt;"Tax Paid","",IF(COUNTIFS(LISTS!$F$2:$F$26,$AE1017,LISTS!$G$2:$G$26,$AF1017)=0,"NOT ON LIST",""))</f>
        <v/>
      </c>
      <c r="AH1017" s="8" t="str">
        <f t="shared" si="47"/>
        <v/>
      </c>
    </row>
    <row r="1018" spans="31:34" x14ac:dyDescent="0.25">
      <c r="AE1018" s="8" t="str">
        <f t="shared" si="45"/>
        <v/>
      </c>
      <c r="AF1018" s="8" t="str">
        <f t="shared" si="46"/>
        <v/>
      </c>
      <c r="AG1018" s="8" t="str">
        <f>IF(TRIM($E1018)&lt;&gt;"Tax Paid","",IF(COUNTIFS(LISTS!$F$2:$F$26,$AE1018,LISTS!$G$2:$G$26,$AF1018)=0,"NOT ON LIST",""))</f>
        <v/>
      </c>
      <c r="AH1018" s="8" t="str">
        <f t="shared" si="47"/>
        <v/>
      </c>
    </row>
    <row r="1019" spans="31:34" x14ac:dyDescent="0.25">
      <c r="AE1019" s="8" t="str">
        <f t="shared" si="45"/>
        <v/>
      </c>
      <c r="AF1019" s="8" t="str">
        <f t="shared" si="46"/>
        <v/>
      </c>
      <c r="AG1019" s="8" t="str">
        <f>IF(TRIM($E1019)&lt;&gt;"Tax Paid","",IF(COUNTIFS(LISTS!$F$2:$F$26,$AE1019,LISTS!$G$2:$G$26,$AF1019)=0,"NOT ON LIST",""))</f>
        <v/>
      </c>
      <c r="AH1019" s="8" t="str">
        <f t="shared" si="47"/>
        <v/>
      </c>
    </row>
    <row r="1020" spans="31:34" x14ac:dyDescent="0.25">
      <c r="AE1020" s="8" t="str">
        <f t="shared" si="45"/>
        <v/>
      </c>
      <c r="AF1020" s="8" t="str">
        <f t="shared" si="46"/>
        <v/>
      </c>
      <c r="AG1020" s="8" t="str">
        <f>IF(TRIM($E1020)&lt;&gt;"Tax Paid","",IF(COUNTIFS(LISTS!$F$2:$F$26,$AE1020,LISTS!$G$2:$G$26,$AF1020)=0,"NOT ON LIST",""))</f>
        <v/>
      </c>
      <c r="AH1020" s="8" t="str">
        <f t="shared" si="47"/>
        <v/>
      </c>
    </row>
    <row r="1021" spans="31:34" x14ac:dyDescent="0.25">
      <c r="AE1021" s="8" t="str">
        <f t="shared" si="45"/>
        <v/>
      </c>
      <c r="AF1021" s="8" t="str">
        <f t="shared" si="46"/>
        <v/>
      </c>
      <c r="AG1021" s="8" t="str">
        <f>IF(TRIM($E1021)&lt;&gt;"Tax Paid","",IF(COUNTIFS(LISTS!$F$2:$F$26,$AE1021,LISTS!$G$2:$G$26,$AF1021)=0,"NOT ON LIST",""))</f>
        <v/>
      </c>
      <c r="AH1021" s="8" t="str">
        <f t="shared" si="47"/>
        <v/>
      </c>
    </row>
    <row r="1022" spans="31:34" x14ac:dyDescent="0.25">
      <c r="AE1022" s="8" t="str">
        <f t="shared" si="45"/>
        <v/>
      </c>
      <c r="AF1022" s="8" t="str">
        <f t="shared" si="46"/>
        <v/>
      </c>
      <c r="AG1022" s="8" t="str">
        <f>IF(TRIM($E1022)&lt;&gt;"Tax Paid","",IF(COUNTIFS(LISTS!$F$2:$F$26,$AE1022,LISTS!$G$2:$G$26,$AF1022)=0,"NOT ON LIST",""))</f>
        <v/>
      </c>
      <c r="AH1022" s="8" t="str">
        <f t="shared" si="47"/>
        <v/>
      </c>
    </row>
    <row r="1023" spans="31:34" x14ac:dyDescent="0.25">
      <c r="AE1023" s="8" t="str">
        <f t="shared" si="45"/>
        <v/>
      </c>
      <c r="AF1023" s="8" t="str">
        <f t="shared" si="46"/>
        <v/>
      </c>
      <c r="AG1023" s="8" t="str">
        <f>IF(TRIM($E1023)&lt;&gt;"Tax Paid","",IF(COUNTIFS(LISTS!$F$2:$F$26,$AE1023,LISTS!$G$2:$G$26,$AF1023)=0,"NOT ON LIST",""))</f>
        <v/>
      </c>
      <c r="AH1023" s="8" t="str">
        <f t="shared" si="47"/>
        <v/>
      </c>
    </row>
    <row r="1024" spans="31:34" x14ac:dyDescent="0.25">
      <c r="AE1024" s="8" t="str">
        <f t="shared" si="45"/>
        <v/>
      </c>
      <c r="AF1024" s="8" t="str">
        <f t="shared" si="46"/>
        <v/>
      </c>
      <c r="AG1024" s="8" t="str">
        <f>IF(TRIM($E1024)&lt;&gt;"Tax Paid","",IF(COUNTIFS(LISTS!$F$2:$F$26,$AE1024,LISTS!$G$2:$G$26,$AF1024)=0,"NOT ON LIST",""))</f>
        <v/>
      </c>
      <c r="AH1024" s="8" t="str">
        <f t="shared" si="47"/>
        <v/>
      </c>
    </row>
    <row r="1025" spans="31:34" x14ac:dyDescent="0.25">
      <c r="AE1025" s="8" t="str">
        <f t="shared" si="45"/>
        <v/>
      </c>
      <c r="AF1025" s="8" t="str">
        <f t="shared" si="46"/>
        <v/>
      </c>
      <c r="AG1025" s="8" t="str">
        <f>IF(TRIM($E1025)&lt;&gt;"Tax Paid","",IF(COUNTIFS(LISTS!$F$2:$F$26,$AE1025,LISTS!$G$2:$G$26,$AF1025)=0,"NOT ON LIST",""))</f>
        <v/>
      </c>
      <c r="AH1025" s="8" t="str">
        <f t="shared" si="47"/>
        <v/>
      </c>
    </row>
    <row r="1026" spans="31:34" x14ac:dyDescent="0.25">
      <c r="AE1026" s="8" t="str">
        <f t="shared" ref="AE1026:AE1089" si="48">IF(TRIM($E1026)="Tax Paid",TRIM($S1026),"")</f>
        <v/>
      </c>
      <c r="AF1026" s="8" t="str">
        <f t="shared" ref="AF1026:AF1089" si="49">IF(TRIM($E1026)="Tax Paid",ROUND($Z1026/100,5),"")</f>
        <v/>
      </c>
      <c r="AG1026" s="8" t="str">
        <f>IF(TRIM($E1026)&lt;&gt;"Tax Paid","",IF(COUNTIFS(LISTS!$F$2:$F$26,$AE1026,LISTS!$G$2:$G$26,$AF1026)=0,"NOT ON LIST",""))</f>
        <v/>
      </c>
      <c r="AH1026" s="8" t="str">
        <f t="shared" ref="AH1026:AH1089" si="50">IF($AG1026="","",IF($AE1026="","(no county)",$AE1026)&amp;" ("&amp;SUBSTITUTE(TEXT($AF1026,"0.###%"),".%","%")&amp;")")</f>
        <v/>
      </c>
    </row>
    <row r="1027" spans="31:34" x14ac:dyDescent="0.25">
      <c r="AE1027" s="8" t="str">
        <f t="shared" si="48"/>
        <v/>
      </c>
      <c r="AF1027" s="8" t="str">
        <f t="shared" si="49"/>
        <v/>
      </c>
      <c r="AG1027" s="8" t="str">
        <f>IF(TRIM($E1027)&lt;&gt;"Tax Paid","",IF(COUNTIFS(LISTS!$F$2:$F$26,$AE1027,LISTS!$G$2:$G$26,$AF1027)=0,"NOT ON LIST",""))</f>
        <v/>
      </c>
      <c r="AH1027" s="8" t="str">
        <f t="shared" si="50"/>
        <v/>
      </c>
    </row>
    <row r="1028" spans="31:34" x14ac:dyDescent="0.25">
      <c r="AE1028" s="8" t="str">
        <f t="shared" si="48"/>
        <v/>
      </c>
      <c r="AF1028" s="8" t="str">
        <f t="shared" si="49"/>
        <v/>
      </c>
      <c r="AG1028" s="8" t="str">
        <f>IF(TRIM($E1028)&lt;&gt;"Tax Paid","",IF(COUNTIFS(LISTS!$F$2:$F$26,$AE1028,LISTS!$G$2:$G$26,$AF1028)=0,"NOT ON LIST",""))</f>
        <v/>
      </c>
      <c r="AH1028" s="8" t="str">
        <f t="shared" si="50"/>
        <v/>
      </c>
    </row>
    <row r="1029" spans="31:34" x14ac:dyDescent="0.25">
      <c r="AE1029" s="8" t="str">
        <f t="shared" si="48"/>
        <v/>
      </c>
      <c r="AF1029" s="8" t="str">
        <f t="shared" si="49"/>
        <v/>
      </c>
      <c r="AG1029" s="8" t="str">
        <f>IF(TRIM($E1029)&lt;&gt;"Tax Paid","",IF(COUNTIFS(LISTS!$F$2:$F$26,$AE1029,LISTS!$G$2:$G$26,$AF1029)=0,"NOT ON LIST",""))</f>
        <v/>
      </c>
      <c r="AH1029" s="8" t="str">
        <f t="shared" si="50"/>
        <v/>
      </c>
    </row>
    <row r="1030" spans="31:34" x14ac:dyDescent="0.25">
      <c r="AE1030" s="8" t="str">
        <f t="shared" si="48"/>
        <v/>
      </c>
      <c r="AF1030" s="8" t="str">
        <f t="shared" si="49"/>
        <v/>
      </c>
      <c r="AG1030" s="8" t="str">
        <f>IF(TRIM($E1030)&lt;&gt;"Tax Paid","",IF(COUNTIFS(LISTS!$F$2:$F$26,$AE1030,LISTS!$G$2:$G$26,$AF1030)=0,"NOT ON LIST",""))</f>
        <v/>
      </c>
      <c r="AH1030" s="8" t="str">
        <f t="shared" si="50"/>
        <v/>
      </c>
    </row>
    <row r="1031" spans="31:34" x14ac:dyDescent="0.25">
      <c r="AE1031" s="8" t="str">
        <f t="shared" si="48"/>
        <v/>
      </c>
      <c r="AF1031" s="8" t="str">
        <f t="shared" si="49"/>
        <v/>
      </c>
      <c r="AG1031" s="8" t="str">
        <f>IF(TRIM($E1031)&lt;&gt;"Tax Paid","",IF(COUNTIFS(LISTS!$F$2:$F$26,$AE1031,LISTS!$G$2:$G$26,$AF1031)=0,"NOT ON LIST",""))</f>
        <v/>
      </c>
      <c r="AH1031" s="8" t="str">
        <f t="shared" si="50"/>
        <v/>
      </c>
    </row>
    <row r="1032" spans="31:34" x14ac:dyDescent="0.25">
      <c r="AE1032" s="8" t="str">
        <f t="shared" si="48"/>
        <v/>
      </c>
      <c r="AF1032" s="8" t="str">
        <f t="shared" si="49"/>
        <v/>
      </c>
      <c r="AG1032" s="8" t="str">
        <f>IF(TRIM($E1032)&lt;&gt;"Tax Paid","",IF(COUNTIFS(LISTS!$F$2:$F$26,$AE1032,LISTS!$G$2:$G$26,$AF1032)=0,"NOT ON LIST",""))</f>
        <v/>
      </c>
      <c r="AH1032" s="8" t="str">
        <f t="shared" si="50"/>
        <v/>
      </c>
    </row>
    <row r="1033" spans="31:34" x14ac:dyDescent="0.25">
      <c r="AE1033" s="8" t="str">
        <f t="shared" si="48"/>
        <v/>
      </c>
      <c r="AF1033" s="8" t="str">
        <f t="shared" si="49"/>
        <v/>
      </c>
      <c r="AG1033" s="8" t="str">
        <f>IF(TRIM($E1033)&lt;&gt;"Tax Paid","",IF(COUNTIFS(LISTS!$F$2:$F$26,$AE1033,LISTS!$G$2:$G$26,$AF1033)=0,"NOT ON LIST",""))</f>
        <v/>
      </c>
      <c r="AH1033" s="8" t="str">
        <f t="shared" si="50"/>
        <v/>
      </c>
    </row>
    <row r="1034" spans="31:34" x14ac:dyDescent="0.25">
      <c r="AE1034" s="8" t="str">
        <f t="shared" si="48"/>
        <v/>
      </c>
      <c r="AF1034" s="8" t="str">
        <f t="shared" si="49"/>
        <v/>
      </c>
      <c r="AG1034" s="8" t="str">
        <f>IF(TRIM($E1034)&lt;&gt;"Tax Paid","",IF(COUNTIFS(LISTS!$F$2:$F$26,$AE1034,LISTS!$G$2:$G$26,$AF1034)=0,"NOT ON LIST",""))</f>
        <v/>
      </c>
      <c r="AH1034" s="8" t="str">
        <f t="shared" si="50"/>
        <v/>
      </c>
    </row>
    <row r="1035" spans="31:34" x14ac:dyDescent="0.25">
      <c r="AE1035" s="8" t="str">
        <f t="shared" si="48"/>
        <v/>
      </c>
      <c r="AF1035" s="8" t="str">
        <f t="shared" si="49"/>
        <v/>
      </c>
      <c r="AG1035" s="8" t="str">
        <f>IF(TRIM($E1035)&lt;&gt;"Tax Paid","",IF(COUNTIFS(LISTS!$F$2:$F$26,$AE1035,LISTS!$G$2:$G$26,$AF1035)=0,"NOT ON LIST",""))</f>
        <v/>
      </c>
      <c r="AH1035" s="8" t="str">
        <f t="shared" si="50"/>
        <v/>
      </c>
    </row>
    <row r="1036" spans="31:34" x14ac:dyDescent="0.25">
      <c r="AE1036" s="8" t="str">
        <f t="shared" si="48"/>
        <v/>
      </c>
      <c r="AF1036" s="8" t="str">
        <f t="shared" si="49"/>
        <v/>
      </c>
      <c r="AG1036" s="8" t="str">
        <f>IF(TRIM($E1036)&lt;&gt;"Tax Paid","",IF(COUNTIFS(LISTS!$F$2:$F$26,$AE1036,LISTS!$G$2:$G$26,$AF1036)=0,"NOT ON LIST",""))</f>
        <v/>
      </c>
      <c r="AH1036" s="8" t="str">
        <f t="shared" si="50"/>
        <v/>
      </c>
    </row>
    <row r="1037" spans="31:34" x14ac:dyDescent="0.25">
      <c r="AE1037" s="8" t="str">
        <f t="shared" si="48"/>
        <v/>
      </c>
      <c r="AF1037" s="8" t="str">
        <f t="shared" si="49"/>
        <v/>
      </c>
      <c r="AG1037" s="8" t="str">
        <f>IF(TRIM($E1037)&lt;&gt;"Tax Paid","",IF(COUNTIFS(LISTS!$F$2:$F$26,$AE1037,LISTS!$G$2:$G$26,$AF1037)=0,"NOT ON LIST",""))</f>
        <v/>
      </c>
      <c r="AH1037" s="8" t="str">
        <f t="shared" si="50"/>
        <v/>
      </c>
    </row>
    <row r="1038" spans="31:34" x14ac:dyDescent="0.25">
      <c r="AE1038" s="8" t="str">
        <f t="shared" si="48"/>
        <v/>
      </c>
      <c r="AF1038" s="8" t="str">
        <f t="shared" si="49"/>
        <v/>
      </c>
      <c r="AG1038" s="8" t="str">
        <f>IF(TRIM($E1038)&lt;&gt;"Tax Paid","",IF(COUNTIFS(LISTS!$F$2:$F$26,$AE1038,LISTS!$G$2:$G$26,$AF1038)=0,"NOT ON LIST",""))</f>
        <v/>
      </c>
      <c r="AH1038" s="8" t="str">
        <f t="shared" si="50"/>
        <v/>
      </c>
    </row>
    <row r="1039" spans="31:34" x14ac:dyDescent="0.25">
      <c r="AE1039" s="8" t="str">
        <f t="shared" si="48"/>
        <v/>
      </c>
      <c r="AF1039" s="8" t="str">
        <f t="shared" si="49"/>
        <v/>
      </c>
      <c r="AG1039" s="8" t="str">
        <f>IF(TRIM($E1039)&lt;&gt;"Tax Paid","",IF(COUNTIFS(LISTS!$F$2:$F$26,$AE1039,LISTS!$G$2:$G$26,$AF1039)=0,"NOT ON LIST",""))</f>
        <v/>
      </c>
      <c r="AH1039" s="8" t="str">
        <f t="shared" si="50"/>
        <v/>
      </c>
    </row>
    <row r="1040" spans="31:34" x14ac:dyDescent="0.25">
      <c r="AE1040" s="8" t="str">
        <f t="shared" si="48"/>
        <v/>
      </c>
      <c r="AF1040" s="8" t="str">
        <f t="shared" si="49"/>
        <v/>
      </c>
      <c r="AG1040" s="8" t="str">
        <f>IF(TRIM($E1040)&lt;&gt;"Tax Paid","",IF(COUNTIFS(LISTS!$F$2:$F$26,$AE1040,LISTS!$G$2:$G$26,$AF1040)=0,"NOT ON LIST",""))</f>
        <v/>
      </c>
      <c r="AH1040" s="8" t="str">
        <f t="shared" si="50"/>
        <v/>
      </c>
    </row>
    <row r="1041" spans="31:34" x14ac:dyDescent="0.25">
      <c r="AE1041" s="8" t="str">
        <f t="shared" si="48"/>
        <v/>
      </c>
      <c r="AF1041" s="8" t="str">
        <f t="shared" si="49"/>
        <v/>
      </c>
      <c r="AG1041" s="8" t="str">
        <f>IF(TRIM($E1041)&lt;&gt;"Tax Paid","",IF(COUNTIFS(LISTS!$F$2:$F$26,$AE1041,LISTS!$G$2:$G$26,$AF1041)=0,"NOT ON LIST",""))</f>
        <v/>
      </c>
      <c r="AH1041" s="8" t="str">
        <f t="shared" si="50"/>
        <v/>
      </c>
    </row>
    <row r="1042" spans="31:34" x14ac:dyDescent="0.25">
      <c r="AE1042" s="8" t="str">
        <f t="shared" si="48"/>
        <v/>
      </c>
      <c r="AF1042" s="8" t="str">
        <f t="shared" si="49"/>
        <v/>
      </c>
      <c r="AG1042" s="8" t="str">
        <f>IF(TRIM($E1042)&lt;&gt;"Tax Paid","",IF(COUNTIFS(LISTS!$F$2:$F$26,$AE1042,LISTS!$G$2:$G$26,$AF1042)=0,"NOT ON LIST",""))</f>
        <v/>
      </c>
      <c r="AH1042" s="8" t="str">
        <f t="shared" si="50"/>
        <v/>
      </c>
    </row>
    <row r="1043" spans="31:34" x14ac:dyDescent="0.25">
      <c r="AE1043" s="8" t="str">
        <f t="shared" si="48"/>
        <v/>
      </c>
      <c r="AF1043" s="8" t="str">
        <f t="shared" si="49"/>
        <v/>
      </c>
      <c r="AG1043" s="8" t="str">
        <f>IF(TRIM($E1043)&lt;&gt;"Tax Paid","",IF(COUNTIFS(LISTS!$F$2:$F$26,$AE1043,LISTS!$G$2:$G$26,$AF1043)=0,"NOT ON LIST",""))</f>
        <v/>
      </c>
      <c r="AH1043" s="8" t="str">
        <f t="shared" si="50"/>
        <v/>
      </c>
    </row>
    <row r="1044" spans="31:34" x14ac:dyDescent="0.25">
      <c r="AE1044" s="8" t="str">
        <f t="shared" si="48"/>
        <v/>
      </c>
      <c r="AF1044" s="8" t="str">
        <f t="shared" si="49"/>
        <v/>
      </c>
      <c r="AG1044" s="8" t="str">
        <f>IF(TRIM($E1044)&lt;&gt;"Tax Paid","",IF(COUNTIFS(LISTS!$F$2:$F$26,$AE1044,LISTS!$G$2:$G$26,$AF1044)=0,"NOT ON LIST",""))</f>
        <v/>
      </c>
      <c r="AH1044" s="8" t="str">
        <f t="shared" si="50"/>
        <v/>
      </c>
    </row>
    <row r="1045" spans="31:34" x14ac:dyDescent="0.25">
      <c r="AE1045" s="8" t="str">
        <f t="shared" si="48"/>
        <v/>
      </c>
      <c r="AF1045" s="8" t="str">
        <f t="shared" si="49"/>
        <v/>
      </c>
      <c r="AG1045" s="8" t="str">
        <f>IF(TRIM($E1045)&lt;&gt;"Tax Paid","",IF(COUNTIFS(LISTS!$F$2:$F$26,$AE1045,LISTS!$G$2:$G$26,$AF1045)=0,"NOT ON LIST",""))</f>
        <v/>
      </c>
      <c r="AH1045" s="8" t="str">
        <f t="shared" si="50"/>
        <v/>
      </c>
    </row>
    <row r="1046" spans="31:34" x14ac:dyDescent="0.25">
      <c r="AE1046" s="8" t="str">
        <f t="shared" si="48"/>
        <v/>
      </c>
      <c r="AF1046" s="8" t="str">
        <f t="shared" si="49"/>
        <v/>
      </c>
      <c r="AG1046" s="8" t="str">
        <f>IF(TRIM($E1046)&lt;&gt;"Tax Paid","",IF(COUNTIFS(LISTS!$F$2:$F$26,$AE1046,LISTS!$G$2:$G$26,$AF1046)=0,"NOT ON LIST",""))</f>
        <v/>
      </c>
      <c r="AH1046" s="8" t="str">
        <f t="shared" si="50"/>
        <v/>
      </c>
    </row>
    <row r="1047" spans="31:34" x14ac:dyDescent="0.25">
      <c r="AE1047" s="8" t="str">
        <f t="shared" si="48"/>
        <v/>
      </c>
      <c r="AF1047" s="8" t="str">
        <f t="shared" si="49"/>
        <v/>
      </c>
      <c r="AG1047" s="8" t="str">
        <f>IF(TRIM($E1047)&lt;&gt;"Tax Paid","",IF(COUNTIFS(LISTS!$F$2:$F$26,$AE1047,LISTS!$G$2:$G$26,$AF1047)=0,"NOT ON LIST",""))</f>
        <v/>
      </c>
      <c r="AH1047" s="8" t="str">
        <f t="shared" si="50"/>
        <v/>
      </c>
    </row>
    <row r="1048" spans="31:34" x14ac:dyDescent="0.25">
      <c r="AE1048" s="8" t="str">
        <f t="shared" si="48"/>
        <v/>
      </c>
      <c r="AF1048" s="8" t="str">
        <f t="shared" si="49"/>
        <v/>
      </c>
      <c r="AG1048" s="8" t="str">
        <f>IF(TRIM($E1048)&lt;&gt;"Tax Paid","",IF(COUNTIFS(LISTS!$F$2:$F$26,$AE1048,LISTS!$G$2:$G$26,$AF1048)=0,"NOT ON LIST",""))</f>
        <v/>
      </c>
      <c r="AH1048" s="8" t="str">
        <f t="shared" si="50"/>
        <v/>
      </c>
    </row>
    <row r="1049" spans="31:34" x14ac:dyDescent="0.25">
      <c r="AE1049" s="8" t="str">
        <f t="shared" si="48"/>
        <v/>
      </c>
      <c r="AF1049" s="8" t="str">
        <f t="shared" si="49"/>
        <v/>
      </c>
      <c r="AG1049" s="8" t="str">
        <f>IF(TRIM($E1049)&lt;&gt;"Tax Paid","",IF(COUNTIFS(LISTS!$F$2:$F$26,$AE1049,LISTS!$G$2:$G$26,$AF1049)=0,"NOT ON LIST",""))</f>
        <v/>
      </c>
      <c r="AH1049" s="8" t="str">
        <f t="shared" si="50"/>
        <v/>
      </c>
    </row>
    <row r="1050" spans="31:34" x14ac:dyDescent="0.25">
      <c r="AE1050" s="8" t="str">
        <f t="shared" si="48"/>
        <v/>
      </c>
      <c r="AF1050" s="8" t="str">
        <f t="shared" si="49"/>
        <v/>
      </c>
      <c r="AG1050" s="8" t="str">
        <f>IF(TRIM($E1050)&lt;&gt;"Tax Paid","",IF(COUNTIFS(LISTS!$F$2:$F$26,$AE1050,LISTS!$G$2:$G$26,$AF1050)=0,"NOT ON LIST",""))</f>
        <v/>
      </c>
      <c r="AH1050" s="8" t="str">
        <f t="shared" si="50"/>
        <v/>
      </c>
    </row>
    <row r="1051" spans="31:34" x14ac:dyDescent="0.25">
      <c r="AE1051" s="8" t="str">
        <f t="shared" si="48"/>
        <v/>
      </c>
      <c r="AF1051" s="8" t="str">
        <f t="shared" si="49"/>
        <v/>
      </c>
      <c r="AG1051" s="8" t="str">
        <f>IF(TRIM($E1051)&lt;&gt;"Tax Paid","",IF(COUNTIFS(LISTS!$F$2:$F$26,$AE1051,LISTS!$G$2:$G$26,$AF1051)=0,"NOT ON LIST",""))</f>
        <v/>
      </c>
      <c r="AH1051" s="8" t="str">
        <f t="shared" si="50"/>
        <v/>
      </c>
    </row>
    <row r="1052" spans="31:34" x14ac:dyDescent="0.25">
      <c r="AE1052" s="8" t="str">
        <f t="shared" si="48"/>
        <v/>
      </c>
      <c r="AF1052" s="8" t="str">
        <f t="shared" si="49"/>
        <v/>
      </c>
      <c r="AG1052" s="8" t="str">
        <f>IF(TRIM($E1052)&lt;&gt;"Tax Paid","",IF(COUNTIFS(LISTS!$F$2:$F$26,$AE1052,LISTS!$G$2:$G$26,$AF1052)=0,"NOT ON LIST",""))</f>
        <v/>
      </c>
      <c r="AH1052" s="8" t="str">
        <f t="shared" si="50"/>
        <v/>
      </c>
    </row>
    <row r="1053" spans="31:34" x14ac:dyDescent="0.25">
      <c r="AE1053" s="8" t="str">
        <f t="shared" si="48"/>
        <v/>
      </c>
      <c r="AF1053" s="8" t="str">
        <f t="shared" si="49"/>
        <v/>
      </c>
      <c r="AG1053" s="8" t="str">
        <f>IF(TRIM($E1053)&lt;&gt;"Tax Paid","",IF(COUNTIFS(LISTS!$F$2:$F$26,$AE1053,LISTS!$G$2:$G$26,$AF1053)=0,"NOT ON LIST",""))</f>
        <v/>
      </c>
      <c r="AH1053" s="8" t="str">
        <f t="shared" si="50"/>
        <v/>
      </c>
    </row>
    <row r="1054" spans="31:34" x14ac:dyDescent="0.25">
      <c r="AE1054" s="8" t="str">
        <f t="shared" si="48"/>
        <v/>
      </c>
      <c r="AF1054" s="8" t="str">
        <f t="shared" si="49"/>
        <v/>
      </c>
      <c r="AG1054" s="8" t="str">
        <f>IF(TRIM($E1054)&lt;&gt;"Tax Paid","",IF(COUNTIFS(LISTS!$F$2:$F$26,$AE1054,LISTS!$G$2:$G$26,$AF1054)=0,"NOT ON LIST",""))</f>
        <v/>
      </c>
      <c r="AH1054" s="8" t="str">
        <f t="shared" si="50"/>
        <v/>
      </c>
    </row>
    <row r="1055" spans="31:34" x14ac:dyDescent="0.25">
      <c r="AE1055" s="8" t="str">
        <f t="shared" si="48"/>
        <v/>
      </c>
      <c r="AF1055" s="8" t="str">
        <f t="shared" si="49"/>
        <v/>
      </c>
      <c r="AG1055" s="8" t="str">
        <f>IF(TRIM($E1055)&lt;&gt;"Tax Paid","",IF(COUNTIFS(LISTS!$F$2:$F$26,$AE1055,LISTS!$G$2:$G$26,$AF1055)=0,"NOT ON LIST",""))</f>
        <v/>
      </c>
      <c r="AH1055" s="8" t="str">
        <f t="shared" si="50"/>
        <v/>
      </c>
    </row>
    <row r="1056" spans="31:34" x14ac:dyDescent="0.25">
      <c r="AE1056" s="8" t="str">
        <f t="shared" si="48"/>
        <v/>
      </c>
      <c r="AF1056" s="8" t="str">
        <f t="shared" si="49"/>
        <v/>
      </c>
      <c r="AG1056" s="8" t="str">
        <f>IF(TRIM($E1056)&lt;&gt;"Tax Paid","",IF(COUNTIFS(LISTS!$F$2:$F$26,$AE1056,LISTS!$G$2:$G$26,$AF1056)=0,"NOT ON LIST",""))</f>
        <v/>
      </c>
      <c r="AH1056" s="8" t="str">
        <f t="shared" si="50"/>
        <v/>
      </c>
    </row>
    <row r="1057" spans="31:34" x14ac:dyDescent="0.25">
      <c r="AE1057" s="8" t="str">
        <f t="shared" si="48"/>
        <v/>
      </c>
      <c r="AF1057" s="8" t="str">
        <f t="shared" si="49"/>
        <v/>
      </c>
      <c r="AG1057" s="8" t="str">
        <f>IF(TRIM($E1057)&lt;&gt;"Tax Paid","",IF(COUNTIFS(LISTS!$F$2:$F$26,$AE1057,LISTS!$G$2:$G$26,$AF1057)=0,"NOT ON LIST",""))</f>
        <v/>
      </c>
      <c r="AH1057" s="8" t="str">
        <f t="shared" si="50"/>
        <v/>
      </c>
    </row>
    <row r="1058" spans="31:34" x14ac:dyDescent="0.25">
      <c r="AE1058" s="8" t="str">
        <f t="shared" si="48"/>
        <v/>
      </c>
      <c r="AF1058" s="8" t="str">
        <f t="shared" si="49"/>
        <v/>
      </c>
      <c r="AG1058" s="8" t="str">
        <f>IF(TRIM($E1058)&lt;&gt;"Tax Paid","",IF(COUNTIFS(LISTS!$F$2:$F$26,$AE1058,LISTS!$G$2:$G$26,$AF1058)=0,"NOT ON LIST",""))</f>
        <v/>
      </c>
      <c r="AH1058" s="8" t="str">
        <f t="shared" si="50"/>
        <v/>
      </c>
    </row>
    <row r="1059" spans="31:34" x14ac:dyDescent="0.25">
      <c r="AE1059" s="8" t="str">
        <f t="shared" si="48"/>
        <v/>
      </c>
      <c r="AF1059" s="8" t="str">
        <f t="shared" si="49"/>
        <v/>
      </c>
      <c r="AG1059" s="8" t="str">
        <f>IF(TRIM($E1059)&lt;&gt;"Tax Paid","",IF(COUNTIFS(LISTS!$F$2:$F$26,$AE1059,LISTS!$G$2:$G$26,$AF1059)=0,"NOT ON LIST",""))</f>
        <v/>
      </c>
      <c r="AH1059" s="8" t="str">
        <f t="shared" si="50"/>
        <v/>
      </c>
    </row>
    <row r="1060" spans="31:34" x14ac:dyDescent="0.25">
      <c r="AE1060" s="8" t="str">
        <f t="shared" si="48"/>
        <v/>
      </c>
      <c r="AF1060" s="8" t="str">
        <f t="shared" si="49"/>
        <v/>
      </c>
      <c r="AG1060" s="8" t="str">
        <f>IF(TRIM($E1060)&lt;&gt;"Tax Paid","",IF(COUNTIFS(LISTS!$F$2:$F$26,$AE1060,LISTS!$G$2:$G$26,$AF1060)=0,"NOT ON LIST",""))</f>
        <v/>
      </c>
      <c r="AH1060" s="8" t="str">
        <f t="shared" si="50"/>
        <v/>
      </c>
    </row>
    <row r="1061" spans="31:34" x14ac:dyDescent="0.25">
      <c r="AE1061" s="8" t="str">
        <f t="shared" si="48"/>
        <v/>
      </c>
      <c r="AF1061" s="8" t="str">
        <f t="shared" si="49"/>
        <v/>
      </c>
      <c r="AG1061" s="8" t="str">
        <f>IF(TRIM($E1061)&lt;&gt;"Tax Paid","",IF(COUNTIFS(LISTS!$F$2:$F$26,$AE1061,LISTS!$G$2:$G$26,$AF1061)=0,"NOT ON LIST",""))</f>
        <v/>
      </c>
      <c r="AH1061" s="8" t="str">
        <f t="shared" si="50"/>
        <v/>
      </c>
    </row>
    <row r="1062" spans="31:34" x14ac:dyDescent="0.25">
      <c r="AE1062" s="8" t="str">
        <f t="shared" si="48"/>
        <v/>
      </c>
      <c r="AF1062" s="8" t="str">
        <f t="shared" si="49"/>
        <v/>
      </c>
      <c r="AG1062" s="8" t="str">
        <f>IF(TRIM($E1062)&lt;&gt;"Tax Paid","",IF(COUNTIFS(LISTS!$F$2:$F$26,$AE1062,LISTS!$G$2:$G$26,$AF1062)=0,"NOT ON LIST",""))</f>
        <v/>
      </c>
      <c r="AH1062" s="8" t="str">
        <f t="shared" si="50"/>
        <v/>
      </c>
    </row>
    <row r="1063" spans="31:34" x14ac:dyDescent="0.25">
      <c r="AE1063" s="8" t="str">
        <f t="shared" si="48"/>
        <v/>
      </c>
      <c r="AF1063" s="8" t="str">
        <f t="shared" si="49"/>
        <v/>
      </c>
      <c r="AG1063" s="8" t="str">
        <f>IF(TRIM($E1063)&lt;&gt;"Tax Paid","",IF(COUNTIFS(LISTS!$F$2:$F$26,$AE1063,LISTS!$G$2:$G$26,$AF1063)=0,"NOT ON LIST",""))</f>
        <v/>
      </c>
      <c r="AH1063" s="8" t="str">
        <f t="shared" si="50"/>
        <v/>
      </c>
    </row>
    <row r="1064" spans="31:34" x14ac:dyDescent="0.25">
      <c r="AE1064" s="8" t="str">
        <f t="shared" si="48"/>
        <v/>
      </c>
      <c r="AF1064" s="8" t="str">
        <f t="shared" si="49"/>
        <v/>
      </c>
      <c r="AG1064" s="8" t="str">
        <f>IF(TRIM($E1064)&lt;&gt;"Tax Paid","",IF(COUNTIFS(LISTS!$F$2:$F$26,$AE1064,LISTS!$G$2:$G$26,$AF1064)=0,"NOT ON LIST",""))</f>
        <v/>
      </c>
      <c r="AH1064" s="8" t="str">
        <f t="shared" si="50"/>
        <v/>
      </c>
    </row>
    <row r="1065" spans="31:34" x14ac:dyDescent="0.25">
      <c r="AE1065" s="8" t="str">
        <f t="shared" si="48"/>
        <v/>
      </c>
      <c r="AF1065" s="8" t="str">
        <f t="shared" si="49"/>
        <v/>
      </c>
      <c r="AG1065" s="8" t="str">
        <f>IF(TRIM($E1065)&lt;&gt;"Tax Paid","",IF(COUNTIFS(LISTS!$F$2:$F$26,$AE1065,LISTS!$G$2:$G$26,$AF1065)=0,"NOT ON LIST",""))</f>
        <v/>
      </c>
      <c r="AH1065" s="8" t="str">
        <f t="shared" si="50"/>
        <v/>
      </c>
    </row>
    <row r="1066" spans="31:34" x14ac:dyDescent="0.25">
      <c r="AE1066" s="8" t="str">
        <f t="shared" si="48"/>
        <v/>
      </c>
      <c r="AF1066" s="8" t="str">
        <f t="shared" si="49"/>
        <v/>
      </c>
      <c r="AG1066" s="8" t="str">
        <f>IF(TRIM($E1066)&lt;&gt;"Tax Paid","",IF(COUNTIFS(LISTS!$F$2:$F$26,$AE1066,LISTS!$G$2:$G$26,$AF1066)=0,"NOT ON LIST",""))</f>
        <v/>
      </c>
      <c r="AH1066" s="8" t="str">
        <f t="shared" si="50"/>
        <v/>
      </c>
    </row>
    <row r="1067" spans="31:34" x14ac:dyDescent="0.25">
      <c r="AE1067" s="8" t="str">
        <f t="shared" si="48"/>
        <v/>
      </c>
      <c r="AF1067" s="8" t="str">
        <f t="shared" si="49"/>
        <v/>
      </c>
      <c r="AG1067" s="8" t="str">
        <f>IF(TRIM($E1067)&lt;&gt;"Tax Paid","",IF(COUNTIFS(LISTS!$F$2:$F$26,$AE1067,LISTS!$G$2:$G$26,$AF1067)=0,"NOT ON LIST",""))</f>
        <v/>
      </c>
      <c r="AH1067" s="8" t="str">
        <f t="shared" si="50"/>
        <v/>
      </c>
    </row>
    <row r="1068" spans="31:34" x14ac:dyDescent="0.25">
      <c r="AE1068" s="8" t="str">
        <f t="shared" si="48"/>
        <v/>
      </c>
      <c r="AF1068" s="8" t="str">
        <f t="shared" si="49"/>
        <v/>
      </c>
      <c r="AG1068" s="8" t="str">
        <f>IF(TRIM($E1068)&lt;&gt;"Tax Paid","",IF(COUNTIFS(LISTS!$F$2:$F$26,$AE1068,LISTS!$G$2:$G$26,$AF1068)=0,"NOT ON LIST",""))</f>
        <v/>
      </c>
      <c r="AH1068" s="8" t="str">
        <f t="shared" si="50"/>
        <v/>
      </c>
    </row>
    <row r="1069" spans="31:34" x14ac:dyDescent="0.25">
      <c r="AE1069" s="8" t="str">
        <f t="shared" si="48"/>
        <v/>
      </c>
      <c r="AF1069" s="8" t="str">
        <f t="shared" si="49"/>
        <v/>
      </c>
      <c r="AG1069" s="8" t="str">
        <f>IF(TRIM($E1069)&lt;&gt;"Tax Paid","",IF(COUNTIFS(LISTS!$F$2:$F$26,$AE1069,LISTS!$G$2:$G$26,$AF1069)=0,"NOT ON LIST",""))</f>
        <v/>
      </c>
      <c r="AH1069" s="8" t="str">
        <f t="shared" si="50"/>
        <v/>
      </c>
    </row>
    <row r="1070" spans="31:34" x14ac:dyDescent="0.25">
      <c r="AE1070" s="8" t="str">
        <f t="shared" si="48"/>
        <v/>
      </c>
      <c r="AF1070" s="8" t="str">
        <f t="shared" si="49"/>
        <v/>
      </c>
      <c r="AG1070" s="8" t="str">
        <f>IF(TRIM($E1070)&lt;&gt;"Tax Paid","",IF(COUNTIFS(LISTS!$F$2:$F$26,$AE1070,LISTS!$G$2:$G$26,$AF1070)=0,"NOT ON LIST",""))</f>
        <v/>
      </c>
      <c r="AH1070" s="8" t="str">
        <f t="shared" si="50"/>
        <v/>
      </c>
    </row>
    <row r="1071" spans="31:34" x14ac:dyDescent="0.25">
      <c r="AE1071" s="8" t="str">
        <f t="shared" si="48"/>
        <v/>
      </c>
      <c r="AF1071" s="8" t="str">
        <f t="shared" si="49"/>
        <v/>
      </c>
      <c r="AG1071" s="8" t="str">
        <f>IF(TRIM($E1071)&lt;&gt;"Tax Paid","",IF(COUNTIFS(LISTS!$F$2:$F$26,$AE1071,LISTS!$G$2:$G$26,$AF1071)=0,"NOT ON LIST",""))</f>
        <v/>
      </c>
      <c r="AH1071" s="8" t="str">
        <f t="shared" si="50"/>
        <v/>
      </c>
    </row>
    <row r="1072" spans="31:34" x14ac:dyDescent="0.25">
      <c r="AE1072" s="8" t="str">
        <f t="shared" si="48"/>
        <v/>
      </c>
      <c r="AF1072" s="8" t="str">
        <f t="shared" si="49"/>
        <v/>
      </c>
      <c r="AG1072" s="8" t="str">
        <f>IF(TRIM($E1072)&lt;&gt;"Tax Paid","",IF(COUNTIFS(LISTS!$F$2:$F$26,$AE1072,LISTS!$G$2:$G$26,$AF1072)=0,"NOT ON LIST",""))</f>
        <v/>
      </c>
      <c r="AH1072" s="8" t="str">
        <f t="shared" si="50"/>
        <v/>
      </c>
    </row>
    <row r="1073" spans="31:34" x14ac:dyDescent="0.25">
      <c r="AE1073" s="8" t="str">
        <f t="shared" si="48"/>
        <v/>
      </c>
      <c r="AF1073" s="8" t="str">
        <f t="shared" si="49"/>
        <v/>
      </c>
      <c r="AG1073" s="8" t="str">
        <f>IF(TRIM($E1073)&lt;&gt;"Tax Paid","",IF(COUNTIFS(LISTS!$F$2:$F$26,$AE1073,LISTS!$G$2:$G$26,$AF1073)=0,"NOT ON LIST",""))</f>
        <v/>
      </c>
      <c r="AH1073" s="8" t="str">
        <f t="shared" si="50"/>
        <v/>
      </c>
    </row>
    <row r="1074" spans="31:34" x14ac:dyDescent="0.25">
      <c r="AE1074" s="8" t="str">
        <f t="shared" si="48"/>
        <v/>
      </c>
      <c r="AF1074" s="8" t="str">
        <f t="shared" si="49"/>
        <v/>
      </c>
      <c r="AG1074" s="8" t="str">
        <f>IF(TRIM($E1074)&lt;&gt;"Tax Paid","",IF(COUNTIFS(LISTS!$F$2:$F$26,$AE1074,LISTS!$G$2:$G$26,$AF1074)=0,"NOT ON LIST",""))</f>
        <v/>
      </c>
      <c r="AH1074" s="8" t="str">
        <f t="shared" si="50"/>
        <v/>
      </c>
    </row>
    <row r="1075" spans="31:34" x14ac:dyDescent="0.25">
      <c r="AE1075" s="8" t="str">
        <f t="shared" si="48"/>
        <v/>
      </c>
      <c r="AF1075" s="8" t="str">
        <f t="shared" si="49"/>
        <v/>
      </c>
      <c r="AG1075" s="8" t="str">
        <f>IF(TRIM($E1075)&lt;&gt;"Tax Paid","",IF(COUNTIFS(LISTS!$F$2:$F$26,$AE1075,LISTS!$G$2:$G$26,$AF1075)=0,"NOT ON LIST",""))</f>
        <v/>
      </c>
      <c r="AH1075" s="8" t="str">
        <f t="shared" si="50"/>
        <v/>
      </c>
    </row>
    <row r="1076" spans="31:34" x14ac:dyDescent="0.25">
      <c r="AE1076" s="8" t="str">
        <f t="shared" si="48"/>
        <v/>
      </c>
      <c r="AF1076" s="8" t="str">
        <f t="shared" si="49"/>
        <v/>
      </c>
      <c r="AG1076" s="8" t="str">
        <f>IF(TRIM($E1076)&lt;&gt;"Tax Paid","",IF(COUNTIFS(LISTS!$F$2:$F$26,$AE1076,LISTS!$G$2:$G$26,$AF1076)=0,"NOT ON LIST",""))</f>
        <v/>
      </c>
      <c r="AH1076" s="8" t="str">
        <f t="shared" si="50"/>
        <v/>
      </c>
    </row>
    <row r="1077" spans="31:34" x14ac:dyDescent="0.25">
      <c r="AE1077" s="8" t="str">
        <f t="shared" si="48"/>
        <v/>
      </c>
      <c r="AF1077" s="8" t="str">
        <f t="shared" si="49"/>
        <v/>
      </c>
      <c r="AG1077" s="8" t="str">
        <f>IF(TRIM($E1077)&lt;&gt;"Tax Paid","",IF(COUNTIFS(LISTS!$F$2:$F$26,$AE1077,LISTS!$G$2:$G$26,$AF1077)=0,"NOT ON LIST",""))</f>
        <v/>
      </c>
      <c r="AH1077" s="8" t="str">
        <f t="shared" si="50"/>
        <v/>
      </c>
    </row>
    <row r="1078" spans="31:34" x14ac:dyDescent="0.25">
      <c r="AE1078" s="8" t="str">
        <f t="shared" si="48"/>
        <v/>
      </c>
      <c r="AF1078" s="8" t="str">
        <f t="shared" si="49"/>
        <v/>
      </c>
      <c r="AG1078" s="8" t="str">
        <f>IF(TRIM($E1078)&lt;&gt;"Tax Paid","",IF(COUNTIFS(LISTS!$F$2:$F$26,$AE1078,LISTS!$G$2:$G$26,$AF1078)=0,"NOT ON LIST",""))</f>
        <v/>
      </c>
      <c r="AH1078" s="8" t="str">
        <f t="shared" si="50"/>
        <v/>
      </c>
    </row>
    <row r="1079" spans="31:34" x14ac:dyDescent="0.25">
      <c r="AE1079" s="8" t="str">
        <f t="shared" si="48"/>
        <v/>
      </c>
      <c r="AF1079" s="8" t="str">
        <f t="shared" si="49"/>
        <v/>
      </c>
      <c r="AG1079" s="8" t="str">
        <f>IF(TRIM($E1079)&lt;&gt;"Tax Paid","",IF(COUNTIFS(LISTS!$F$2:$F$26,$AE1079,LISTS!$G$2:$G$26,$AF1079)=0,"NOT ON LIST",""))</f>
        <v/>
      </c>
      <c r="AH1079" s="8" t="str">
        <f t="shared" si="50"/>
        <v/>
      </c>
    </row>
    <row r="1080" spans="31:34" x14ac:dyDescent="0.25">
      <c r="AE1080" s="8" t="str">
        <f t="shared" si="48"/>
        <v/>
      </c>
      <c r="AF1080" s="8" t="str">
        <f t="shared" si="49"/>
        <v/>
      </c>
      <c r="AG1080" s="8" t="str">
        <f>IF(TRIM($E1080)&lt;&gt;"Tax Paid","",IF(COUNTIFS(LISTS!$F$2:$F$26,$AE1080,LISTS!$G$2:$G$26,$AF1080)=0,"NOT ON LIST",""))</f>
        <v/>
      </c>
      <c r="AH1080" s="8" t="str">
        <f t="shared" si="50"/>
        <v/>
      </c>
    </row>
    <row r="1081" spans="31:34" x14ac:dyDescent="0.25">
      <c r="AE1081" s="8" t="str">
        <f t="shared" si="48"/>
        <v/>
      </c>
      <c r="AF1081" s="8" t="str">
        <f t="shared" si="49"/>
        <v/>
      </c>
      <c r="AG1081" s="8" t="str">
        <f>IF(TRIM($E1081)&lt;&gt;"Tax Paid","",IF(COUNTIFS(LISTS!$F$2:$F$26,$AE1081,LISTS!$G$2:$G$26,$AF1081)=0,"NOT ON LIST",""))</f>
        <v/>
      </c>
      <c r="AH1081" s="8" t="str">
        <f t="shared" si="50"/>
        <v/>
      </c>
    </row>
    <row r="1082" spans="31:34" x14ac:dyDescent="0.25">
      <c r="AE1082" s="8" t="str">
        <f t="shared" si="48"/>
        <v/>
      </c>
      <c r="AF1082" s="8" t="str">
        <f t="shared" si="49"/>
        <v/>
      </c>
      <c r="AG1082" s="8" t="str">
        <f>IF(TRIM($E1082)&lt;&gt;"Tax Paid","",IF(COUNTIFS(LISTS!$F$2:$F$26,$AE1082,LISTS!$G$2:$G$26,$AF1082)=0,"NOT ON LIST",""))</f>
        <v/>
      </c>
      <c r="AH1082" s="8" t="str">
        <f t="shared" si="50"/>
        <v/>
      </c>
    </row>
    <row r="1083" spans="31:34" x14ac:dyDescent="0.25">
      <c r="AE1083" s="8" t="str">
        <f t="shared" si="48"/>
        <v/>
      </c>
      <c r="AF1083" s="8" t="str">
        <f t="shared" si="49"/>
        <v/>
      </c>
      <c r="AG1083" s="8" t="str">
        <f>IF(TRIM($E1083)&lt;&gt;"Tax Paid","",IF(COUNTIFS(LISTS!$F$2:$F$26,$AE1083,LISTS!$G$2:$G$26,$AF1083)=0,"NOT ON LIST",""))</f>
        <v/>
      </c>
      <c r="AH1083" s="8" t="str">
        <f t="shared" si="50"/>
        <v/>
      </c>
    </row>
    <row r="1084" spans="31:34" x14ac:dyDescent="0.25">
      <c r="AE1084" s="8" t="str">
        <f t="shared" si="48"/>
        <v/>
      </c>
      <c r="AF1084" s="8" t="str">
        <f t="shared" si="49"/>
        <v/>
      </c>
      <c r="AG1084" s="8" t="str">
        <f>IF(TRIM($E1084)&lt;&gt;"Tax Paid","",IF(COUNTIFS(LISTS!$F$2:$F$26,$AE1084,LISTS!$G$2:$G$26,$AF1084)=0,"NOT ON LIST",""))</f>
        <v/>
      </c>
      <c r="AH1084" s="8" t="str">
        <f t="shared" si="50"/>
        <v/>
      </c>
    </row>
    <row r="1085" spans="31:34" x14ac:dyDescent="0.25">
      <c r="AE1085" s="8" t="str">
        <f t="shared" si="48"/>
        <v/>
      </c>
      <c r="AF1085" s="8" t="str">
        <f t="shared" si="49"/>
        <v/>
      </c>
      <c r="AG1085" s="8" t="str">
        <f>IF(TRIM($E1085)&lt;&gt;"Tax Paid","",IF(COUNTIFS(LISTS!$F$2:$F$26,$AE1085,LISTS!$G$2:$G$26,$AF1085)=0,"NOT ON LIST",""))</f>
        <v/>
      </c>
      <c r="AH1085" s="8" t="str">
        <f t="shared" si="50"/>
        <v/>
      </c>
    </row>
    <row r="1086" spans="31:34" x14ac:dyDescent="0.25">
      <c r="AE1086" s="8" t="str">
        <f t="shared" si="48"/>
        <v/>
      </c>
      <c r="AF1086" s="8" t="str">
        <f t="shared" si="49"/>
        <v/>
      </c>
      <c r="AG1086" s="8" t="str">
        <f>IF(TRIM($E1086)&lt;&gt;"Tax Paid","",IF(COUNTIFS(LISTS!$F$2:$F$26,$AE1086,LISTS!$G$2:$G$26,$AF1086)=0,"NOT ON LIST",""))</f>
        <v/>
      </c>
      <c r="AH1086" s="8" t="str">
        <f t="shared" si="50"/>
        <v/>
      </c>
    </row>
    <row r="1087" spans="31:34" x14ac:dyDescent="0.25">
      <c r="AE1087" s="8" t="str">
        <f t="shared" si="48"/>
        <v/>
      </c>
      <c r="AF1087" s="8" t="str">
        <f t="shared" si="49"/>
        <v/>
      </c>
      <c r="AG1087" s="8" t="str">
        <f>IF(TRIM($E1087)&lt;&gt;"Tax Paid","",IF(COUNTIFS(LISTS!$F$2:$F$26,$AE1087,LISTS!$G$2:$G$26,$AF1087)=0,"NOT ON LIST",""))</f>
        <v/>
      </c>
      <c r="AH1087" s="8" t="str">
        <f t="shared" si="50"/>
        <v/>
      </c>
    </row>
    <row r="1088" spans="31:34" x14ac:dyDescent="0.25">
      <c r="AE1088" s="8" t="str">
        <f t="shared" si="48"/>
        <v/>
      </c>
      <c r="AF1088" s="8" t="str">
        <f t="shared" si="49"/>
        <v/>
      </c>
      <c r="AG1088" s="8" t="str">
        <f>IF(TRIM($E1088)&lt;&gt;"Tax Paid","",IF(COUNTIFS(LISTS!$F$2:$F$26,$AE1088,LISTS!$G$2:$G$26,$AF1088)=0,"NOT ON LIST",""))</f>
        <v/>
      </c>
      <c r="AH1088" s="8" t="str">
        <f t="shared" si="50"/>
        <v/>
      </c>
    </row>
    <row r="1089" spans="31:34" x14ac:dyDescent="0.25">
      <c r="AE1089" s="8" t="str">
        <f t="shared" si="48"/>
        <v/>
      </c>
      <c r="AF1089" s="8" t="str">
        <f t="shared" si="49"/>
        <v/>
      </c>
      <c r="AG1089" s="8" t="str">
        <f>IF(TRIM($E1089)&lt;&gt;"Tax Paid","",IF(COUNTIFS(LISTS!$F$2:$F$26,$AE1089,LISTS!$G$2:$G$26,$AF1089)=0,"NOT ON LIST",""))</f>
        <v/>
      </c>
      <c r="AH1089" s="8" t="str">
        <f t="shared" si="50"/>
        <v/>
      </c>
    </row>
    <row r="1090" spans="31:34" x14ac:dyDescent="0.25">
      <c r="AE1090" s="8" t="str">
        <f t="shared" ref="AE1090:AE1153" si="51">IF(TRIM($E1090)="Tax Paid",TRIM($S1090),"")</f>
        <v/>
      </c>
      <c r="AF1090" s="8" t="str">
        <f t="shared" ref="AF1090:AF1153" si="52">IF(TRIM($E1090)="Tax Paid",ROUND($Z1090/100,5),"")</f>
        <v/>
      </c>
      <c r="AG1090" s="8" t="str">
        <f>IF(TRIM($E1090)&lt;&gt;"Tax Paid","",IF(COUNTIFS(LISTS!$F$2:$F$26,$AE1090,LISTS!$G$2:$G$26,$AF1090)=0,"NOT ON LIST",""))</f>
        <v/>
      </c>
      <c r="AH1090" s="8" t="str">
        <f t="shared" ref="AH1090:AH1153" si="53">IF($AG1090="","",IF($AE1090="","(no county)",$AE1090)&amp;" ("&amp;SUBSTITUTE(TEXT($AF1090,"0.###%"),".%","%")&amp;")")</f>
        <v/>
      </c>
    </row>
    <row r="1091" spans="31:34" x14ac:dyDescent="0.25">
      <c r="AE1091" s="8" t="str">
        <f t="shared" si="51"/>
        <v/>
      </c>
      <c r="AF1091" s="8" t="str">
        <f t="shared" si="52"/>
        <v/>
      </c>
      <c r="AG1091" s="8" t="str">
        <f>IF(TRIM($E1091)&lt;&gt;"Tax Paid","",IF(COUNTIFS(LISTS!$F$2:$F$26,$AE1091,LISTS!$G$2:$G$26,$AF1091)=0,"NOT ON LIST",""))</f>
        <v/>
      </c>
      <c r="AH1091" s="8" t="str">
        <f t="shared" si="53"/>
        <v/>
      </c>
    </row>
    <row r="1092" spans="31:34" x14ac:dyDescent="0.25">
      <c r="AE1092" s="8" t="str">
        <f t="shared" si="51"/>
        <v/>
      </c>
      <c r="AF1092" s="8" t="str">
        <f t="shared" si="52"/>
        <v/>
      </c>
      <c r="AG1092" s="8" t="str">
        <f>IF(TRIM($E1092)&lt;&gt;"Tax Paid","",IF(COUNTIFS(LISTS!$F$2:$F$26,$AE1092,LISTS!$G$2:$G$26,$AF1092)=0,"NOT ON LIST",""))</f>
        <v/>
      </c>
      <c r="AH1092" s="8" t="str">
        <f t="shared" si="53"/>
        <v/>
      </c>
    </row>
    <row r="1093" spans="31:34" x14ac:dyDescent="0.25">
      <c r="AE1093" s="8" t="str">
        <f t="shared" si="51"/>
        <v/>
      </c>
      <c r="AF1093" s="8" t="str">
        <f t="shared" si="52"/>
        <v/>
      </c>
      <c r="AG1093" s="8" t="str">
        <f>IF(TRIM($E1093)&lt;&gt;"Tax Paid","",IF(COUNTIFS(LISTS!$F$2:$F$26,$AE1093,LISTS!$G$2:$G$26,$AF1093)=0,"NOT ON LIST",""))</f>
        <v/>
      </c>
      <c r="AH1093" s="8" t="str">
        <f t="shared" si="53"/>
        <v/>
      </c>
    </row>
    <row r="1094" spans="31:34" x14ac:dyDescent="0.25">
      <c r="AE1094" s="8" t="str">
        <f t="shared" si="51"/>
        <v/>
      </c>
      <c r="AF1094" s="8" t="str">
        <f t="shared" si="52"/>
        <v/>
      </c>
      <c r="AG1094" s="8" t="str">
        <f>IF(TRIM($E1094)&lt;&gt;"Tax Paid","",IF(COUNTIFS(LISTS!$F$2:$F$26,$AE1094,LISTS!$G$2:$G$26,$AF1094)=0,"NOT ON LIST",""))</f>
        <v/>
      </c>
      <c r="AH1094" s="8" t="str">
        <f t="shared" si="53"/>
        <v/>
      </c>
    </row>
    <row r="1095" spans="31:34" x14ac:dyDescent="0.25">
      <c r="AE1095" s="8" t="str">
        <f t="shared" si="51"/>
        <v/>
      </c>
      <c r="AF1095" s="8" t="str">
        <f t="shared" si="52"/>
        <v/>
      </c>
      <c r="AG1095" s="8" t="str">
        <f>IF(TRIM($E1095)&lt;&gt;"Tax Paid","",IF(COUNTIFS(LISTS!$F$2:$F$26,$AE1095,LISTS!$G$2:$G$26,$AF1095)=0,"NOT ON LIST",""))</f>
        <v/>
      </c>
      <c r="AH1095" s="8" t="str">
        <f t="shared" si="53"/>
        <v/>
      </c>
    </row>
    <row r="1096" spans="31:34" x14ac:dyDescent="0.25">
      <c r="AE1096" s="8" t="str">
        <f t="shared" si="51"/>
        <v/>
      </c>
      <c r="AF1096" s="8" t="str">
        <f t="shared" si="52"/>
        <v/>
      </c>
      <c r="AG1096" s="8" t="str">
        <f>IF(TRIM($E1096)&lt;&gt;"Tax Paid","",IF(COUNTIFS(LISTS!$F$2:$F$26,$AE1096,LISTS!$G$2:$G$26,$AF1096)=0,"NOT ON LIST",""))</f>
        <v/>
      </c>
      <c r="AH1096" s="8" t="str">
        <f t="shared" si="53"/>
        <v/>
      </c>
    </row>
    <row r="1097" spans="31:34" x14ac:dyDescent="0.25">
      <c r="AE1097" s="8" t="str">
        <f t="shared" si="51"/>
        <v/>
      </c>
      <c r="AF1097" s="8" t="str">
        <f t="shared" si="52"/>
        <v/>
      </c>
      <c r="AG1097" s="8" t="str">
        <f>IF(TRIM($E1097)&lt;&gt;"Tax Paid","",IF(COUNTIFS(LISTS!$F$2:$F$26,$AE1097,LISTS!$G$2:$G$26,$AF1097)=0,"NOT ON LIST",""))</f>
        <v/>
      </c>
      <c r="AH1097" s="8" t="str">
        <f t="shared" si="53"/>
        <v/>
      </c>
    </row>
    <row r="1098" spans="31:34" x14ac:dyDescent="0.25">
      <c r="AE1098" s="8" t="str">
        <f t="shared" si="51"/>
        <v/>
      </c>
      <c r="AF1098" s="8" t="str">
        <f t="shared" si="52"/>
        <v/>
      </c>
      <c r="AG1098" s="8" t="str">
        <f>IF(TRIM($E1098)&lt;&gt;"Tax Paid","",IF(COUNTIFS(LISTS!$F$2:$F$26,$AE1098,LISTS!$G$2:$G$26,$AF1098)=0,"NOT ON LIST",""))</f>
        <v/>
      </c>
      <c r="AH1098" s="8" t="str">
        <f t="shared" si="53"/>
        <v/>
      </c>
    </row>
    <row r="1099" spans="31:34" x14ac:dyDescent="0.25">
      <c r="AE1099" s="8" t="str">
        <f t="shared" si="51"/>
        <v/>
      </c>
      <c r="AF1099" s="8" t="str">
        <f t="shared" si="52"/>
        <v/>
      </c>
      <c r="AG1099" s="8" t="str">
        <f>IF(TRIM($E1099)&lt;&gt;"Tax Paid","",IF(COUNTIFS(LISTS!$F$2:$F$26,$AE1099,LISTS!$G$2:$G$26,$AF1099)=0,"NOT ON LIST",""))</f>
        <v/>
      </c>
      <c r="AH1099" s="8" t="str">
        <f t="shared" si="53"/>
        <v/>
      </c>
    </row>
    <row r="1100" spans="31:34" x14ac:dyDescent="0.25">
      <c r="AE1100" s="8" t="str">
        <f t="shared" si="51"/>
        <v/>
      </c>
      <c r="AF1100" s="8" t="str">
        <f t="shared" si="52"/>
        <v/>
      </c>
      <c r="AG1100" s="8" t="str">
        <f>IF(TRIM($E1100)&lt;&gt;"Tax Paid","",IF(COUNTIFS(LISTS!$F$2:$F$26,$AE1100,LISTS!$G$2:$G$26,$AF1100)=0,"NOT ON LIST",""))</f>
        <v/>
      </c>
      <c r="AH1100" s="8" t="str">
        <f t="shared" si="53"/>
        <v/>
      </c>
    </row>
    <row r="1101" spans="31:34" x14ac:dyDescent="0.25">
      <c r="AE1101" s="8" t="str">
        <f t="shared" si="51"/>
        <v/>
      </c>
      <c r="AF1101" s="8" t="str">
        <f t="shared" si="52"/>
        <v/>
      </c>
      <c r="AG1101" s="8" t="str">
        <f>IF(TRIM($E1101)&lt;&gt;"Tax Paid","",IF(COUNTIFS(LISTS!$F$2:$F$26,$AE1101,LISTS!$G$2:$G$26,$AF1101)=0,"NOT ON LIST",""))</f>
        <v/>
      </c>
      <c r="AH1101" s="8" t="str">
        <f t="shared" si="53"/>
        <v/>
      </c>
    </row>
    <row r="1102" spans="31:34" x14ac:dyDescent="0.25">
      <c r="AE1102" s="8" t="str">
        <f t="shared" si="51"/>
        <v/>
      </c>
      <c r="AF1102" s="8" t="str">
        <f t="shared" si="52"/>
        <v/>
      </c>
      <c r="AG1102" s="8" t="str">
        <f>IF(TRIM($E1102)&lt;&gt;"Tax Paid","",IF(COUNTIFS(LISTS!$F$2:$F$26,$AE1102,LISTS!$G$2:$G$26,$AF1102)=0,"NOT ON LIST",""))</f>
        <v/>
      </c>
      <c r="AH1102" s="8" t="str">
        <f t="shared" si="53"/>
        <v/>
      </c>
    </row>
    <row r="1103" spans="31:34" x14ac:dyDescent="0.25">
      <c r="AE1103" s="8" t="str">
        <f t="shared" si="51"/>
        <v/>
      </c>
      <c r="AF1103" s="8" t="str">
        <f t="shared" si="52"/>
        <v/>
      </c>
      <c r="AG1103" s="8" t="str">
        <f>IF(TRIM($E1103)&lt;&gt;"Tax Paid","",IF(COUNTIFS(LISTS!$F$2:$F$26,$AE1103,LISTS!$G$2:$G$26,$AF1103)=0,"NOT ON LIST",""))</f>
        <v/>
      </c>
      <c r="AH1103" s="8" t="str">
        <f t="shared" si="53"/>
        <v/>
      </c>
    </row>
    <row r="1104" spans="31:34" x14ac:dyDescent="0.25">
      <c r="AE1104" s="8" t="str">
        <f t="shared" si="51"/>
        <v/>
      </c>
      <c r="AF1104" s="8" t="str">
        <f t="shared" si="52"/>
        <v/>
      </c>
      <c r="AG1104" s="8" t="str">
        <f>IF(TRIM($E1104)&lt;&gt;"Tax Paid","",IF(COUNTIFS(LISTS!$F$2:$F$26,$AE1104,LISTS!$G$2:$G$26,$AF1104)=0,"NOT ON LIST",""))</f>
        <v/>
      </c>
      <c r="AH1104" s="8" t="str">
        <f t="shared" si="53"/>
        <v/>
      </c>
    </row>
    <row r="1105" spans="31:34" x14ac:dyDescent="0.25">
      <c r="AE1105" s="8" t="str">
        <f t="shared" si="51"/>
        <v/>
      </c>
      <c r="AF1105" s="8" t="str">
        <f t="shared" si="52"/>
        <v/>
      </c>
      <c r="AG1105" s="8" t="str">
        <f>IF(TRIM($E1105)&lt;&gt;"Tax Paid","",IF(COUNTIFS(LISTS!$F$2:$F$26,$AE1105,LISTS!$G$2:$G$26,$AF1105)=0,"NOT ON LIST",""))</f>
        <v/>
      </c>
      <c r="AH1105" s="8" t="str">
        <f t="shared" si="53"/>
        <v/>
      </c>
    </row>
    <row r="1106" spans="31:34" x14ac:dyDescent="0.25">
      <c r="AE1106" s="8" t="str">
        <f t="shared" si="51"/>
        <v/>
      </c>
      <c r="AF1106" s="8" t="str">
        <f t="shared" si="52"/>
        <v/>
      </c>
      <c r="AG1106" s="8" t="str">
        <f>IF(TRIM($E1106)&lt;&gt;"Tax Paid","",IF(COUNTIFS(LISTS!$F$2:$F$26,$AE1106,LISTS!$G$2:$G$26,$AF1106)=0,"NOT ON LIST",""))</f>
        <v/>
      </c>
      <c r="AH1106" s="8" t="str">
        <f t="shared" si="53"/>
        <v/>
      </c>
    </row>
    <row r="1107" spans="31:34" x14ac:dyDescent="0.25">
      <c r="AE1107" s="8" t="str">
        <f t="shared" si="51"/>
        <v/>
      </c>
      <c r="AF1107" s="8" t="str">
        <f t="shared" si="52"/>
        <v/>
      </c>
      <c r="AG1107" s="8" t="str">
        <f>IF(TRIM($E1107)&lt;&gt;"Tax Paid","",IF(COUNTIFS(LISTS!$F$2:$F$26,$AE1107,LISTS!$G$2:$G$26,$AF1107)=0,"NOT ON LIST",""))</f>
        <v/>
      </c>
      <c r="AH1107" s="8" t="str">
        <f t="shared" si="53"/>
        <v/>
      </c>
    </row>
    <row r="1108" spans="31:34" x14ac:dyDescent="0.25">
      <c r="AE1108" s="8" t="str">
        <f t="shared" si="51"/>
        <v/>
      </c>
      <c r="AF1108" s="8" t="str">
        <f t="shared" si="52"/>
        <v/>
      </c>
      <c r="AG1108" s="8" t="str">
        <f>IF(TRIM($E1108)&lt;&gt;"Tax Paid","",IF(COUNTIFS(LISTS!$F$2:$F$26,$AE1108,LISTS!$G$2:$G$26,$AF1108)=0,"NOT ON LIST",""))</f>
        <v/>
      </c>
      <c r="AH1108" s="8" t="str">
        <f t="shared" si="53"/>
        <v/>
      </c>
    </row>
    <row r="1109" spans="31:34" x14ac:dyDescent="0.25">
      <c r="AE1109" s="8" t="str">
        <f t="shared" si="51"/>
        <v/>
      </c>
      <c r="AF1109" s="8" t="str">
        <f t="shared" si="52"/>
        <v/>
      </c>
      <c r="AG1109" s="8" t="str">
        <f>IF(TRIM($E1109)&lt;&gt;"Tax Paid","",IF(COUNTIFS(LISTS!$F$2:$F$26,$AE1109,LISTS!$G$2:$G$26,$AF1109)=0,"NOT ON LIST",""))</f>
        <v/>
      </c>
      <c r="AH1109" s="8" t="str">
        <f t="shared" si="53"/>
        <v/>
      </c>
    </row>
    <row r="1110" spans="31:34" x14ac:dyDescent="0.25">
      <c r="AE1110" s="8" t="str">
        <f t="shared" si="51"/>
        <v/>
      </c>
      <c r="AF1110" s="8" t="str">
        <f t="shared" si="52"/>
        <v/>
      </c>
      <c r="AG1110" s="8" t="str">
        <f>IF(TRIM($E1110)&lt;&gt;"Tax Paid","",IF(COUNTIFS(LISTS!$F$2:$F$26,$AE1110,LISTS!$G$2:$G$26,$AF1110)=0,"NOT ON LIST",""))</f>
        <v/>
      </c>
      <c r="AH1110" s="8" t="str">
        <f t="shared" si="53"/>
        <v/>
      </c>
    </row>
    <row r="1111" spans="31:34" x14ac:dyDescent="0.25">
      <c r="AE1111" s="8" t="str">
        <f t="shared" si="51"/>
        <v/>
      </c>
      <c r="AF1111" s="8" t="str">
        <f t="shared" si="52"/>
        <v/>
      </c>
      <c r="AG1111" s="8" t="str">
        <f>IF(TRIM($E1111)&lt;&gt;"Tax Paid","",IF(COUNTIFS(LISTS!$F$2:$F$26,$AE1111,LISTS!$G$2:$G$26,$AF1111)=0,"NOT ON LIST",""))</f>
        <v/>
      </c>
      <c r="AH1111" s="8" t="str">
        <f t="shared" si="53"/>
        <v/>
      </c>
    </row>
    <row r="1112" spans="31:34" x14ac:dyDescent="0.25">
      <c r="AE1112" s="8" t="str">
        <f t="shared" si="51"/>
        <v/>
      </c>
      <c r="AF1112" s="8" t="str">
        <f t="shared" si="52"/>
        <v/>
      </c>
      <c r="AG1112" s="8" t="str">
        <f>IF(TRIM($E1112)&lt;&gt;"Tax Paid","",IF(COUNTIFS(LISTS!$F$2:$F$26,$AE1112,LISTS!$G$2:$G$26,$AF1112)=0,"NOT ON LIST",""))</f>
        <v/>
      </c>
      <c r="AH1112" s="8" t="str">
        <f t="shared" si="53"/>
        <v/>
      </c>
    </row>
    <row r="1113" spans="31:34" x14ac:dyDescent="0.25">
      <c r="AE1113" s="8" t="str">
        <f t="shared" si="51"/>
        <v/>
      </c>
      <c r="AF1113" s="8" t="str">
        <f t="shared" si="52"/>
        <v/>
      </c>
      <c r="AG1113" s="8" t="str">
        <f>IF(TRIM($E1113)&lt;&gt;"Tax Paid","",IF(COUNTIFS(LISTS!$F$2:$F$26,$AE1113,LISTS!$G$2:$G$26,$AF1113)=0,"NOT ON LIST",""))</f>
        <v/>
      </c>
      <c r="AH1113" s="8" t="str">
        <f t="shared" si="53"/>
        <v/>
      </c>
    </row>
    <row r="1114" spans="31:34" x14ac:dyDescent="0.25">
      <c r="AE1114" s="8" t="str">
        <f t="shared" si="51"/>
        <v/>
      </c>
      <c r="AF1114" s="8" t="str">
        <f t="shared" si="52"/>
        <v/>
      </c>
      <c r="AG1114" s="8" t="str">
        <f>IF(TRIM($E1114)&lt;&gt;"Tax Paid","",IF(COUNTIFS(LISTS!$F$2:$F$26,$AE1114,LISTS!$G$2:$G$26,$AF1114)=0,"NOT ON LIST",""))</f>
        <v/>
      </c>
      <c r="AH1114" s="8" t="str">
        <f t="shared" si="53"/>
        <v/>
      </c>
    </row>
    <row r="1115" spans="31:34" x14ac:dyDescent="0.25">
      <c r="AE1115" s="8" t="str">
        <f t="shared" si="51"/>
        <v/>
      </c>
      <c r="AF1115" s="8" t="str">
        <f t="shared" si="52"/>
        <v/>
      </c>
      <c r="AG1115" s="8" t="str">
        <f>IF(TRIM($E1115)&lt;&gt;"Tax Paid","",IF(COUNTIFS(LISTS!$F$2:$F$26,$AE1115,LISTS!$G$2:$G$26,$AF1115)=0,"NOT ON LIST",""))</f>
        <v/>
      </c>
      <c r="AH1115" s="8" t="str">
        <f t="shared" si="53"/>
        <v/>
      </c>
    </row>
    <row r="1116" spans="31:34" x14ac:dyDescent="0.25">
      <c r="AE1116" s="8" t="str">
        <f t="shared" si="51"/>
        <v/>
      </c>
      <c r="AF1116" s="8" t="str">
        <f t="shared" si="52"/>
        <v/>
      </c>
      <c r="AG1116" s="8" t="str">
        <f>IF(TRIM($E1116)&lt;&gt;"Tax Paid","",IF(COUNTIFS(LISTS!$F$2:$F$26,$AE1116,LISTS!$G$2:$G$26,$AF1116)=0,"NOT ON LIST",""))</f>
        <v/>
      </c>
      <c r="AH1116" s="8" t="str">
        <f t="shared" si="53"/>
        <v/>
      </c>
    </row>
    <row r="1117" spans="31:34" x14ac:dyDescent="0.25">
      <c r="AE1117" s="8" t="str">
        <f t="shared" si="51"/>
        <v/>
      </c>
      <c r="AF1117" s="8" t="str">
        <f t="shared" si="52"/>
        <v/>
      </c>
      <c r="AG1117" s="8" t="str">
        <f>IF(TRIM($E1117)&lt;&gt;"Tax Paid","",IF(COUNTIFS(LISTS!$F$2:$F$26,$AE1117,LISTS!$G$2:$G$26,$AF1117)=0,"NOT ON LIST",""))</f>
        <v/>
      </c>
      <c r="AH1117" s="8" t="str">
        <f t="shared" si="53"/>
        <v/>
      </c>
    </row>
    <row r="1118" spans="31:34" x14ac:dyDescent="0.25">
      <c r="AE1118" s="8" t="str">
        <f t="shared" si="51"/>
        <v/>
      </c>
      <c r="AF1118" s="8" t="str">
        <f t="shared" si="52"/>
        <v/>
      </c>
      <c r="AG1118" s="8" t="str">
        <f>IF(TRIM($E1118)&lt;&gt;"Tax Paid","",IF(COUNTIFS(LISTS!$F$2:$F$26,$AE1118,LISTS!$G$2:$G$26,$AF1118)=0,"NOT ON LIST",""))</f>
        <v/>
      </c>
      <c r="AH1118" s="8" t="str">
        <f t="shared" si="53"/>
        <v/>
      </c>
    </row>
    <row r="1119" spans="31:34" x14ac:dyDescent="0.25">
      <c r="AE1119" s="8" t="str">
        <f t="shared" si="51"/>
        <v/>
      </c>
      <c r="AF1119" s="8" t="str">
        <f t="shared" si="52"/>
        <v/>
      </c>
      <c r="AG1119" s="8" t="str">
        <f>IF(TRIM($E1119)&lt;&gt;"Tax Paid","",IF(COUNTIFS(LISTS!$F$2:$F$26,$AE1119,LISTS!$G$2:$G$26,$AF1119)=0,"NOT ON LIST",""))</f>
        <v/>
      </c>
      <c r="AH1119" s="8" t="str">
        <f t="shared" si="53"/>
        <v/>
      </c>
    </row>
    <row r="1120" spans="31:34" x14ac:dyDescent="0.25">
      <c r="AE1120" s="8" t="str">
        <f t="shared" si="51"/>
        <v/>
      </c>
      <c r="AF1120" s="8" t="str">
        <f t="shared" si="52"/>
        <v/>
      </c>
      <c r="AG1120" s="8" t="str">
        <f>IF(TRIM($E1120)&lt;&gt;"Tax Paid","",IF(COUNTIFS(LISTS!$F$2:$F$26,$AE1120,LISTS!$G$2:$G$26,$AF1120)=0,"NOT ON LIST",""))</f>
        <v/>
      </c>
      <c r="AH1120" s="8" t="str">
        <f t="shared" si="53"/>
        <v/>
      </c>
    </row>
    <row r="1121" spans="31:34" x14ac:dyDescent="0.25">
      <c r="AE1121" s="8" t="str">
        <f t="shared" si="51"/>
        <v/>
      </c>
      <c r="AF1121" s="8" t="str">
        <f t="shared" si="52"/>
        <v/>
      </c>
      <c r="AG1121" s="8" t="str">
        <f>IF(TRIM($E1121)&lt;&gt;"Tax Paid","",IF(COUNTIFS(LISTS!$F$2:$F$26,$AE1121,LISTS!$G$2:$G$26,$AF1121)=0,"NOT ON LIST",""))</f>
        <v/>
      </c>
      <c r="AH1121" s="8" t="str">
        <f t="shared" si="53"/>
        <v/>
      </c>
    </row>
    <row r="1122" spans="31:34" x14ac:dyDescent="0.25">
      <c r="AE1122" s="8" t="str">
        <f t="shared" si="51"/>
        <v/>
      </c>
      <c r="AF1122" s="8" t="str">
        <f t="shared" si="52"/>
        <v/>
      </c>
      <c r="AG1122" s="8" t="str">
        <f>IF(TRIM($E1122)&lt;&gt;"Tax Paid","",IF(COUNTIFS(LISTS!$F$2:$F$26,$AE1122,LISTS!$G$2:$G$26,$AF1122)=0,"NOT ON LIST",""))</f>
        <v/>
      </c>
      <c r="AH1122" s="8" t="str">
        <f t="shared" si="53"/>
        <v/>
      </c>
    </row>
    <row r="1123" spans="31:34" x14ac:dyDescent="0.25">
      <c r="AE1123" s="8" t="str">
        <f t="shared" si="51"/>
        <v/>
      </c>
      <c r="AF1123" s="8" t="str">
        <f t="shared" si="52"/>
        <v/>
      </c>
      <c r="AG1123" s="8" t="str">
        <f>IF(TRIM($E1123)&lt;&gt;"Tax Paid","",IF(COUNTIFS(LISTS!$F$2:$F$26,$AE1123,LISTS!$G$2:$G$26,$AF1123)=0,"NOT ON LIST",""))</f>
        <v/>
      </c>
      <c r="AH1123" s="8" t="str">
        <f t="shared" si="53"/>
        <v/>
      </c>
    </row>
    <row r="1124" spans="31:34" x14ac:dyDescent="0.25">
      <c r="AE1124" s="8" t="str">
        <f t="shared" si="51"/>
        <v/>
      </c>
      <c r="AF1124" s="8" t="str">
        <f t="shared" si="52"/>
        <v/>
      </c>
      <c r="AG1124" s="8" t="str">
        <f>IF(TRIM($E1124)&lt;&gt;"Tax Paid","",IF(COUNTIFS(LISTS!$F$2:$F$26,$AE1124,LISTS!$G$2:$G$26,$AF1124)=0,"NOT ON LIST",""))</f>
        <v/>
      </c>
      <c r="AH1124" s="8" t="str">
        <f t="shared" si="53"/>
        <v/>
      </c>
    </row>
    <row r="1125" spans="31:34" x14ac:dyDescent="0.25">
      <c r="AE1125" s="8" t="str">
        <f t="shared" si="51"/>
        <v/>
      </c>
      <c r="AF1125" s="8" t="str">
        <f t="shared" si="52"/>
        <v/>
      </c>
      <c r="AG1125" s="8" t="str">
        <f>IF(TRIM($E1125)&lt;&gt;"Tax Paid","",IF(COUNTIFS(LISTS!$F$2:$F$26,$AE1125,LISTS!$G$2:$G$26,$AF1125)=0,"NOT ON LIST",""))</f>
        <v/>
      </c>
      <c r="AH1125" s="8" t="str">
        <f t="shared" si="53"/>
        <v/>
      </c>
    </row>
    <row r="1126" spans="31:34" x14ac:dyDescent="0.25">
      <c r="AE1126" s="8" t="str">
        <f t="shared" si="51"/>
        <v/>
      </c>
      <c r="AF1126" s="8" t="str">
        <f t="shared" si="52"/>
        <v/>
      </c>
      <c r="AG1126" s="8" t="str">
        <f>IF(TRIM($E1126)&lt;&gt;"Tax Paid","",IF(COUNTIFS(LISTS!$F$2:$F$26,$AE1126,LISTS!$G$2:$G$26,$AF1126)=0,"NOT ON LIST",""))</f>
        <v/>
      </c>
      <c r="AH1126" s="8" t="str">
        <f t="shared" si="53"/>
        <v/>
      </c>
    </row>
    <row r="1127" spans="31:34" x14ac:dyDescent="0.25">
      <c r="AE1127" s="8" t="str">
        <f t="shared" si="51"/>
        <v/>
      </c>
      <c r="AF1127" s="8" t="str">
        <f t="shared" si="52"/>
        <v/>
      </c>
      <c r="AG1127" s="8" t="str">
        <f>IF(TRIM($E1127)&lt;&gt;"Tax Paid","",IF(COUNTIFS(LISTS!$F$2:$F$26,$AE1127,LISTS!$G$2:$G$26,$AF1127)=0,"NOT ON LIST",""))</f>
        <v/>
      </c>
      <c r="AH1127" s="8" t="str">
        <f t="shared" si="53"/>
        <v/>
      </c>
    </row>
    <row r="1128" spans="31:34" x14ac:dyDescent="0.25">
      <c r="AE1128" s="8" t="str">
        <f t="shared" si="51"/>
        <v/>
      </c>
      <c r="AF1128" s="8" t="str">
        <f t="shared" si="52"/>
        <v/>
      </c>
      <c r="AG1128" s="8" t="str">
        <f>IF(TRIM($E1128)&lt;&gt;"Tax Paid","",IF(COUNTIFS(LISTS!$F$2:$F$26,$AE1128,LISTS!$G$2:$G$26,$AF1128)=0,"NOT ON LIST",""))</f>
        <v/>
      </c>
      <c r="AH1128" s="8" t="str">
        <f t="shared" si="53"/>
        <v/>
      </c>
    </row>
    <row r="1129" spans="31:34" x14ac:dyDescent="0.25">
      <c r="AE1129" s="8" t="str">
        <f t="shared" si="51"/>
        <v/>
      </c>
      <c r="AF1129" s="8" t="str">
        <f t="shared" si="52"/>
        <v/>
      </c>
      <c r="AG1129" s="8" t="str">
        <f>IF(TRIM($E1129)&lt;&gt;"Tax Paid","",IF(COUNTIFS(LISTS!$F$2:$F$26,$AE1129,LISTS!$G$2:$G$26,$AF1129)=0,"NOT ON LIST",""))</f>
        <v/>
      </c>
      <c r="AH1129" s="8" t="str">
        <f t="shared" si="53"/>
        <v/>
      </c>
    </row>
    <row r="1130" spans="31:34" x14ac:dyDescent="0.25">
      <c r="AE1130" s="8" t="str">
        <f t="shared" si="51"/>
        <v/>
      </c>
      <c r="AF1130" s="8" t="str">
        <f t="shared" si="52"/>
        <v/>
      </c>
      <c r="AG1130" s="8" t="str">
        <f>IF(TRIM($E1130)&lt;&gt;"Tax Paid","",IF(COUNTIFS(LISTS!$F$2:$F$26,$AE1130,LISTS!$G$2:$G$26,$AF1130)=0,"NOT ON LIST",""))</f>
        <v/>
      </c>
      <c r="AH1130" s="8" t="str">
        <f t="shared" si="53"/>
        <v/>
      </c>
    </row>
    <row r="1131" spans="31:34" x14ac:dyDescent="0.25">
      <c r="AE1131" s="8" t="str">
        <f t="shared" si="51"/>
        <v/>
      </c>
      <c r="AF1131" s="8" t="str">
        <f t="shared" si="52"/>
        <v/>
      </c>
      <c r="AG1131" s="8" t="str">
        <f>IF(TRIM($E1131)&lt;&gt;"Tax Paid","",IF(COUNTIFS(LISTS!$F$2:$F$26,$AE1131,LISTS!$G$2:$G$26,$AF1131)=0,"NOT ON LIST",""))</f>
        <v/>
      </c>
      <c r="AH1131" s="8" t="str">
        <f t="shared" si="53"/>
        <v/>
      </c>
    </row>
    <row r="1132" spans="31:34" x14ac:dyDescent="0.25">
      <c r="AE1132" s="8" t="str">
        <f t="shared" si="51"/>
        <v/>
      </c>
      <c r="AF1132" s="8" t="str">
        <f t="shared" si="52"/>
        <v/>
      </c>
      <c r="AG1132" s="8" t="str">
        <f>IF(TRIM($E1132)&lt;&gt;"Tax Paid","",IF(COUNTIFS(LISTS!$F$2:$F$26,$AE1132,LISTS!$G$2:$G$26,$AF1132)=0,"NOT ON LIST",""))</f>
        <v/>
      </c>
      <c r="AH1132" s="8" t="str">
        <f t="shared" si="53"/>
        <v/>
      </c>
    </row>
    <row r="1133" spans="31:34" x14ac:dyDescent="0.25">
      <c r="AE1133" s="8" t="str">
        <f t="shared" si="51"/>
        <v/>
      </c>
      <c r="AF1133" s="8" t="str">
        <f t="shared" si="52"/>
        <v/>
      </c>
      <c r="AG1133" s="8" t="str">
        <f>IF(TRIM($E1133)&lt;&gt;"Tax Paid","",IF(COUNTIFS(LISTS!$F$2:$F$26,$AE1133,LISTS!$G$2:$G$26,$AF1133)=0,"NOT ON LIST",""))</f>
        <v/>
      </c>
      <c r="AH1133" s="8" t="str">
        <f t="shared" si="53"/>
        <v/>
      </c>
    </row>
    <row r="1134" spans="31:34" x14ac:dyDescent="0.25">
      <c r="AE1134" s="8" t="str">
        <f t="shared" si="51"/>
        <v/>
      </c>
      <c r="AF1134" s="8" t="str">
        <f t="shared" si="52"/>
        <v/>
      </c>
      <c r="AG1134" s="8" t="str">
        <f>IF(TRIM($E1134)&lt;&gt;"Tax Paid","",IF(COUNTIFS(LISTS!$F$2:$F$26,$AE1134,LISTS!$G$2:$G$26,$AF1134)=0,"NOT ON LIST",""))</f>
        <v/>
      </c>
      <c r="AH1134" s="8" t="str">
        <f t="shared" si="53"/>
        <v/>
      </c>
    </row>
    <row r="1135" spans="31:34" x14ac:dyDescent="0.25">
      <c r="AE1135" s="8" t="str">
        <f t="shared" si="51"/>
        <v/>
      </c>
      <c r="AF1135" s="8" t="str">
        <f t="shared" si="52"/>
        <v/>
      </c>
      <c r="AG1135" s="8" t="str">
        <f>IF(TRIM($E1135)&lt;&gt;"Tax Paid","",IF(COUNTIFS(LISTS!$F$2:$F$26,$AE1135,LISTS!$G$2:$G$26,$AF1135)=0,"NOT ON LIST",""))</f>
        <v/>
      </c>
      <c r="AH1135" s="8" t="str">
        <f t="shared" si="53"/>
        <v/>
      </c>
    </row>
    <row r="1136" spans="31:34" x14ac:dyDescent="0.25">
      <c r="AE1136" s="8" t="str">
        <f t="shared" si="51"/>
        <v/>
      </c>
      <c r="AF1136" s="8" t="str">
        <f t="shared" si="52"/>
        <v/>
      </c>
      <c r="AG1136" s="8" t="str">
        <f>IF(TRIM($E1136)&lt;&gt;"Tax Paid","",IF(COUNTIFS(LISTS!$F$2:$F$26,$AE1136,LISTS!$G$2:$G$26,$AF1136)=0,"NOT ON LIST",""))</f>
        <v/>
      </c>
      <c r="AH1136" s="8" t="str">
        <f t="shared" si="53"/>
        <v/>
      </c>
    </row>
    <row r="1137" spans="31:34" x14ac:dyDescent="0.25">
      <c r="AE1137" s="8" t="str">
        <f t="shared" si="51"/>
        <v/>
      </c>
      <c r="AF1137" s="8" t="str">
        <f t="shared" si="52"/>
        <v/>
      </c>
      <c r="AG1137" s="8" t="str">
        <f>IF(TRIM($E1137)&lt;&gt;"Tax Paid","",IF(COUNTIFS(LISTS!$F$2:$F$26,$AE1137,LISTS!$G$2:$G$26,$AF1137)=0,"NOT ON LIST",""))</f>
        <v/>
      </c>
      <c r="AH1137" s="8" t="str">
        <f t="shared" si="53"/>
        <v/>
      </c>
    </row>
    <row r="1138" spans="31:34" x14ac:dyDescent="0.25">
      <c r="AE1138" s="8" t="str">
        <f t="shared" si="51"/>
        <v/>
      </c>
      <c r="AF1138" s="8" t="str">
        <f t="shared" si="52"/>
        <v/>
      </c>
      <c r="AG1138" s="8" t="str">
        <f>IF(TRIM($E1138)&lt;&gt;"Tax Paid","",IF(COUNTIFS(LISTS!$F$2:$F$26,$AE1138,LISTS!$G$2:$G$26,$AF1138)=0,"NOT ON LIST",""))</f>
        <v/>
      </c>
      <c r="AH1138" s="8" t="str">
        <f t="shared" si="53"/>
        <v/>
      </c>
    </row>
    <row r="1139" spans="31:34" x14ac:dyDescent="0.25">
      <c r="AE1139" s="8" t="str">
        <f t="shared" si="51"/>
        <v/>
      </c>
      <c r="AF1139" s="8" t="str">
        <f t="shared" si="52"/>
        <v/>
      </c>
      <c r="AG1139" s="8" t="str">
        <f>IF(TRIM($E1139)&lt;&gt;"Tax Paid","",IF(COUNTIFS(LISTS!$F$2:$F$26,$AE1139,LISTS!$G$2:$G$26,$AF1139)=0,"NOT ON LIST",""))</f>
        <v/>
      </c>
      <c r="AH1139" s="8" t="str">
        <f t="shared" si="53"/>
        <v/>
      </c>
    </row>
    <row r="1140" spans="31:34" x14ac:dyDescent="0.25">
      <c r="AE1140" s="8" t="str">
        <f t="shared" si="51"/>
        <v/>
      </c>
      <c r="AF1140" s="8" t="str">
        <f t="shared" si="52"/>
        <v/>
      </c>
      <c r="AG1140" s="8" t="str">
        <f>IF(TRIM($E1140)&lt;&gt;"Tax Paid","",IF(COUNTIFS(LISTS!$F$2:$F$26,$AE1140,LISTS!$G$2:$G$26,$AF1140)=0,"NOT ON LIST",""))</f>
        <v/>
      </c>
      <c r="AH1140" s="8" t="str">
        <f t="shared" si="53"/>
        <v/>
      </c>
    </row>
    <row r="1141" spans="31:34" x14ac:dyDescent="0.25">
      <c r="AE1141" s="8" t="str">
        <f t="shared" si="51"/>
        <v/>
      </c>
      <c r="AF1141" s="8" t="str">
        <f t="shared" si="52"/>
        <v/>
      </c>
      <c r="AG1141" s="8" t="str">
        <f>IF(TRIM($E1141)&lt;&gt;"Tax Paid","",IF(COUNTIFS(LISTS!$F$2:$F$26,$AE1141,LISTS!$G$2:$G$26,$AF1141)=0,"NOT ON LIST",""))</f>
        <v/>
      </c>
      <c r="AH1141" s="8" t="str">
        <f t="shared" si="53"/>
        <v/>
      </c>
    </row>
    <row r="1142" spans="31:34" x14ac:dyDescent="0.25">
      <c r="AE1142" s="8" t="str">
        <f t="shared" si="51"/>
        <v/>
      </c>
      <c r="AF1142" s="8" t="str">
        <f t="shared" si="52"/>
        <v/>
      </c>
      <c r="AG1142" s="8" t="str">
        <f>IF(TRIM($E1142)&lt;&gt;"Tax Paid","",IF(COUNTIFS(LISTS!$F$2:$F$26,$AE1142,LISTS!$G$2:$G$26,$AF1142)=0,"NOT ON LIST",""))</f>
        <v/>
      </c>
      <c r="AH1142" s="8" t="str">
        <f t="shared" si="53"/>
        <v/>
      </c>
    </row>
    <row r="1143" spans="31:34" x14ac:dyDescent="0.25">
      <c r="AE1143" s="8" t="str">
        <f t="shared" si="51"/>
        <v/>
      </c>
      <c r="AF1143" s="8" t="str">
        <f t="shared" si="52"/>
        <v/>
      </c>
      <c r="AG1143" s="8" t="str">
        <f>IF(TRIM($E1143)&lt;&gt;"Tax Paid","",IF(COUNTIFS(LISTS!$F$2:$F$26,$AE1143,LISTS!$G$2:$G$26,$AF1143)=0,"NOT ON LIST",""))</f>
        <v/>
      </c>
      <c r="AH1143" s="8" t="str">
        <f t="shared" si="53"/>
        <v/>
      </c>
    </row>
    <row r="1144" spans="31:34" x14ac:dyDescent="0.25">
      <c r="AE1144" s="8" t="str">
        <f t="shared" si="51"/>
        <v/>
      </c>
      <c r="AF1144" s="8" t="str">
        <f t="shared" si="52"/>
        <v/>
      </c>
      <c r="AG1144" s="8" t="str">
        <f>IF(TRIM($E1144)&lt;&gt;"Tax Paid","",IF(COUNTIFS(LISTS!$F$2:$F$26,$AE1144,LISTS!$G$2:$G$26,$AF1144)=0,"NOT ON LIST",""))</f>
        <v/>
      </c>
      <c r="AH1144" s="8" t="str">
        <f t="shared" si="53"/>
        <v/>
      </c>
    </row>
    <row r="1145" spans="31:34" x14ac:dyDescent="0.25">
      <c r="AE1145" s="8" t="str">
        <f t="shared" si="51"/>
        <v/>
      </c>
      <c r="AF1145" s="8" t="str">
        <f t="shared" si="52"/>
        <v/>
      </c>
      <c r="AG1145" s="8" t="str">
        <f>IF(TRIM($E1145)&lt;&gt;"Tax Paid","",IF(COUNTIFS(LISTS!$F$2:$F$26,$AE1145,LISTS!$G$2:$G$26,$AF1145)=0,"NOT ON LIST",""))</f>
        <v/>
      </c>
      <c r="AH1145" s="8" t="str">
        <f t="shared" si="53"/>
        <v/>
      </c>
    </row>
    <row r="1146" spans="31:34" x14ac:dyDescent="0.25">
      <c r="AE1146" s="8" t="str">
        <f t="shared" si="51"/>
        <v/>
      </c>
      <c r="AF1146" s="8" t="str">
        <f t="shared" si="52"/>
        <v/>
      </c>
      <c r="AG1146" s="8" t="str">
        <f>IF(TRIM($E1146)&lt;&gt;"Tax Paid","",IF(COUNTIFS(LISTS!$F$2:$F$26,$AE1146,LISTS!$G$2:$G$26,$AF1146)=0,"NOT ON LIST",""))</f>
        <v/>
      </c>
      <c r="AH1146" s="8" t="str">
        <f t="shared" si="53"/>
        <v/>
      </c>
    </row>
    <row r="1147" spans="31:34" x14ac:dyDescent="0.25">
      <c r="AE1147" s="8" t="str">
        <f t="shared" si="51"/>
        <v/>
      </c>
      <c r="AF1147" s="8" t="str">
        <f t="shared" si="52"/>
        <v/>
      </c>
      <c r="AG1147" s="8" t="str">
        <f>IF(TRIM($E1147)&lt;&gt;"Tax Paid","",IF(COUNTIFS(LISTS!$F$2:$F$26,$AE1147,LISTS!$G$2:$G$26,$AF1147)=0,"NOT ON LIST",""))</f>
        <v/>
      </c>
      <c r="AH1147" s="8" t="str">
        <f t="shared" si="53"/>
        <v/>
      </c>
    </row>
    <row r="1148" spans="31:34" x14ac:dyDescent="0.25">
      <c r="AE1148" s="8" t="str">
        <f t="shared" si="51"/>
        <v/>
      </c>
      <c r="AF1148" s="8" t="str">
        <f t="shared" si="52"/>
        <v/>
      </c>
      <c r="AG1148" s="8" t="str">
        <f>IF(TRIM($E1148)&lt;&gt;"Tax Paid","",IF(COUNTIFS(LISTS!$F$2:$F$26,$AE1148,LISTS!$G$2:$G$26,$AF1148)=0,"NOT ON LIST",""))</f>
        <v/>
      </c>
      <c r="AH1148" s="8" t="str">
        <f t="shared" si="53"/>
        <v/>
      </c>
    </row>
    <row r="1149" spans="31:34" x14ac:dyDescent="0.25">
      <c r="AE1149" s="8" t="str">
        <f t="shared" si="51"/>
        <v/>
      </c>
      <c r="AF1149" s="8" t="str">
        <f t="shared" si="52"/>
        <v/>
      </c>
      <c r="AG1149" s="8" t="str">
        <f>IF(TRIM($E1149)&lt;&gt;"Tax Paid","",IF(COUNTIFS(LISTS!$F$2:$F$26,$AE1149,LISTS!$G$2:$G$26,$AF1149)=0,"NOT ON LIST",""))</f>
        <v/>
      </c>
      <c r="AH1149" s="8" t="str">
        <f t="shared" si="53"/>
        <v/>
      </c>
    </row>
    <row r="1150" spans="31:34" x14ac:dyDescent="0.25">
      <c r="AE1150" s="8" t="str">
        <f t="shared" si="51"/>
        <v/>
      </c>
      <c r="AF1150" s="8" t="str">
        <f t="shared" si="52"/>
        <v/>
      </c>
      <c r="AG1150" s="8" t="str">
        <f>IF(TRIM($E1150)&lt;&gt;"Tax Paid","",IF(COUNTIFS(LISTS!$F$2:$F$26,$AE1150,LISTS!$G$2:$G$26,$AF1150)=0,"NOT ON LIST",""))</f>
        <v/>
      </c>
      <c r="AH1150" s="8" t="str">
        <f t="shared" si="53"/>
        <v/>
      </c>
    </row>
    <row r="1151" spans="31:34" x14ac:dyDescent="0.25">
      <c r="AE1151" s="8" t="str">
        <f t="shared" si="51"/>
        <v/>
      </c>
      <c r="AF1151" s="8" t="str">
        <f t="shared" si="52"/>
        <v/>
      </c>
      <c r="AG1151" s="8" t="str">
        <f>IF(TRIM($E1151)&lt;&gt;"Tax Paid","",IF(COUNTIFS(LISTS!$F$2:$F$26,$AE1151,LISTS!$G$2:$G$26,$AF1151)=0,"NOT ON LIST",""))</f>
        <v/>
      </c>
      <c r="AH1151" s="8" t="str">
        <f t="shared" si="53"/>
        <v/>
      </c>
    </row>
    <row r="1152" spans="31:34" x14ac:dyDescent="0.25">
      <c r="AE1152" s="8" t="str">
        <f t="shared" si="51"/>
        <v/>
      </c>
      <c r="AF1152" s="8" t="str">
        <f t="shared" si="52"/>
        <v/>
      </c>
      <c r="AG1152" s="8" t="str">
        <f>IF(TRIM($E1152)&lt;&gt;"Tax Paid","",IF(COUNTIFS(LISTS!$F$2:$F$26,$AE1152,LISTS!$G$2:$G$26,$AF1152)=0,"NOT ON LIST",""))</f>
        <v/>
      </c>
      <c r="AH1152" s="8" t="str">
        <f t="shared" si="53"/>
        <v/>
      </c>
    </row>
    <row r="1153" spans="31:34" x14ac:dyDescent="0.25">
      <c r="AE1153" s="8" t="str">
        <f t="shared" si="51"/>
        <v/>
      </c>
      <c r="AF1153" s="8" t="str">
        <f t="shared" si="52"/>
        <v/>
      </c>
      <c r="AG1153" s="8" t="str">
        <f>IF(TRIM($E1153)&lt;&gt;"Tax Paid","",IF(COUNTIFS(LISTS!$F$2:$F$26,$AE1153,LISTS!$G$2:$G$26,$AF1153)=0,"NOT ON LIST",""))</f>
        <v/>
      </c>
      <c r="AH1153" s="8" t="str">
        <f t="shared" si="53"/>
        <v/>
      </c>
    </row>
    <row r="1154" spans="31:34" x14ac:dyDescent="0.25">
      <c r="AE1154" s="8" t="str">
        <f t="shared" ref="AE1154:AE1217" si="54">IF(TRIM($E1154)="Tax Paid",TRIM($S1154),"")</f>
        <v/>
      </c>
      <c r="AF1154" s="8" t="str">
        <f t="shared" ref="AF1154:AF1217" si="55">IF(TRIM($E1154)="Tax Paid",ROUND($Z1154/100,5),"")</f>
        <v/>
      </c>
      <c r="AG1154" s="8" t="str">
        <f>IF(TRIM($E1154)&lt;&gt;"Tax Paid","",IF(COUNTIFS(LISTS!$F$2:$F$26,$AE1154,LISTS!$G$2:$G$26,$AF1154)=0,"NOT ON LIST",""))</f>
        <v/>
      </c>
      <c r="AH1154" s="8" t="str">
        <f t="shared" ref="AH1154:AH1217" si="56">IF($AG1154="","",IF($AE1154="","(no county)",$AE1154)&amp;" ("&amp;SUBSTITUTE(TEXT($AF1154,"0.###%"),".%","%")&amp;")")</f>
        <v/>
      </c>
    </row>
    <row r="1155" spans="31:34" x14ac:dyDescent="0.25">
      <c r="AE1155" s="8" t="str">
        <f t="shared" si="54"/>
        <v/>
      </c>
      <c r="AF1155" s="8" t="str">
        <f t="shared" si="55"/>
        <v/>
      </c>
      <c r="AG1155" s="8" t="str">
        <f>IF(TRIM($E1155)&lt;&gt;"Tax Paid","",IF(COUNTIFS(LISTS!$F$2:$F$26,$AE1155,LISTS!$G$2:$G$26,$AF1155)=0,"NOT ON LIST",""))</f>
        <v/>
      </c>
      <c r="AH1155" s="8" t="str">
        <f t="shared" si="56"/>
        <v/>
      </c>
    </row>
    <row r="1156" spans="31:34" x14ac:dyDescent="0.25">
      <c r="AE1156" s="8" t="str">
        <f t="shared" si="54"/>
        <v/>
      </c>
      <c r="AF1156" s="8" t="str">
        <f t="shared" si="55"/>
        <v/>
      </c>
      <c r="AG1156" s="8" t="str">
        <f>IF(TRIM($E1156)&lt;&gt;"Tax Paid","",IF(COUNTIFS(LISTS!$F$2:$F$26,$AE1156,LISTS!$G$2:$G$26,$AF1156)=0,"NOT ON LIST",""))</f>
        <v/>
      </c>
      <c r="AH1156" s="8" t="str">
        <f t="shared" si="56"/>
        <v/>
      </c>
    </row>
    <row r="1157" spans="31:34" x14ac:dyDescent="0.25">
      <c r="AE1157" s="8" t="str">
        <f t="shared" si="54"/>
        <v/>
      </c>
      <c r="AF1157" s="8" t="str">
        <f t="shared" si="55"/>
        <v/>
      </c>
      <c r="AG1157" s="8" t="str">
        <f>IF(TRIM($E1157)&lt;&gt;"Tax Paid","",IF(COUNTIFS(LISTS!$F$2:$F$26,$AE1157,LISTS!$G$2:$G$26,$AF1157)=0,"NOT ON LIST",""))</f>
        <v/>
      </c>
      <c r="AH1157" s="8" t="str">
        <f t="shared" si="56"/>
        <v/>
      </c>
    </row>
    <row r="1158" spans="31:34" x14ac:dyDescent="0.25">
      <c r="AE1158" s="8" t="str">
        <f t="shared" si="54"/>
        <v/>
      </c>
      <c r="AF1158" s="8" t="str">
        <f t="shared" si="55"/>
        <v/>
      </c>
      <c r="AG1158" s="8" t="str">
        <f>IF(TRIM($E1158)&lt;&gt;"Tax Paid","",IF(COUNTIFS(LISTS!$F$2:$F$26,$AE1158,LISTS!$G$2:$G$26,$AF1158)=0,"NOT ON LIST",""))</f>
        <v/>
      </c>
      <c r="AH1158" s="8" t="str">
        <f t="shared" si="56"/>
        <v/>
      </c>
    </row>
    <row r="1159" spans="31:34" x14ac:dyDescent="0.25">
      <c r="AE1159" s="8" t="str">
        <f t="shared" si="54"/>
        <v/>
      </c>
      <c r="AF1159" s="8" t="str">
        <f t="shared" si="55"/>
        <v/>
      </c>
      <c r="AG1159" s="8" t="str">
        <f>IF(TRIM($E1159)&lt;&gt;"Tax Paid","",IF(COUNTIFS(LISTS!$F$2:$F$26,$AE1159,LISTS!$G$2:$G$26,$AF1159)=0,"NOT ON LIST",""))</f>
        <v/>
      </c>
      <c r="AH1159" s="8" t="str">
        <f t="shared" si="56"/>
        <v/>
      </c>
    </row>
    <row r="1160" spans="31:34" x14ac:dyDescent="0.25">
      <c r="AE1160" s="8" t="str">
        <f t="shared" si="54"/>
        <v/>
      </c>
      <c r="AF1160" s="8" t="str">
        <f t="shared" si="55"/>
        <v/>
      </c>
      <c r="AG1160" s="8" t="str">
        <f>IF(TRIM($E1160)&lt;&gt;"Tax Paid","",IF(COUNTIFS(LISTS!$F$2:$F$26,$AE1160,LISTS!$G$2:$G$26,$AF1160)=0,"NOT ON LIST",""))</f>
        <v/>
      </c>
      <c r="AH1160" s="8" t="str">
        <f t="shared" si="56"/>
        <v/>
      </c>
    </row>
    <row r="1161" spans="31:34" x14ac:dyDescent="0.25">
      <c r="AE1161" s="8" t="str">
        <f t="shared" si="54"/>
        <v/>
      </c>
      <c r="AF1161" s="8" t="str">
        <f t="shared" si="55"/>
        <v/>
      </c>
      <c r="AG1161" s="8" t="str">
        <f>IF(TRIM($E1161)&lt;&gt;"Tax Paid","",IF(COUNTIFS(LISTS!$F$2:$F$26,$AE1161,LISTS!$G$2:$G$26,$AF1161)=0,"NOT ON LIST",""))</f>
        <v/>
      </c>
      <c r="AH1161" s="8" t="str">
        <f t="shared" si="56"/>
        <v/>
      </c>
    </row>
    <row r="1162" spans="31:34" x14ac:dyDescent="0.25">
      <c r="AE1162" s="8" t="str">
        <f t="shared" si="54"/>
        <v/>
      </c>
      <c r="AF1162" s="8" t="str">
        <f t="shared" si="55"/>
        <v/>
      </c>
      <c r="AG1162" s="8" t="str">
        <f>IF(TRIM($E1162)&lt;&gt;"Tax Paid","",IF(COUNTIFS(LISTS!$F$2:$F$26,$AE1162,LISTS!$G$2:$G$26,$AF1162)=0,"NOT ON LIST",""))</f>
        <v/>
      </c>
      <c r="AH1162" s="8" t="str">
        <f t="shared" si="56"/>
        <v/>
      </c>
    </row>
    <row r="1163" spans="31:34" x14ac:dyDescent="0.25">
      <c r="AE1163" s="8" t="str">
        <f t="shared" si="54"/>
        <v/>
      </c>
      <c r="AF1163" s="8" t="str">
        <f t="shared" si="55"/>
        <v/>
      </c>
      <c r="AG1163" s="8" t="str">
        <f>IF(TRIM($E1163)&lt;&gt;"Tax Paid","",IF(COUNTIFS(LISTS!$F$2:$F$26,$AE1163,LISTS!$G$2:$G$26,$AF1163)=0,"NOT ON LIST",""))</f>
        <v/>
      </c>
      <c r="AH1163" s="8" t="str">
        <f t="shared" si="56"/>
        <v/>
      </c>
    </row>
    <row r="1164" spans="31:34" x14ac:dyDescent="0.25">
      <c r="AE1164" s="8" t="str">
        <f t="shared" si="54"/>
        <v/>
      </c>
      <c r="AF1164" s="8" t="str">
        <f t="shared" si="55"/>
        <v/>
      </c>
      <c r="AG1164" s="8" t="str">
        <f>IF(TRIM($E1164)&lt;&gt;"Tax Paid","",IF(COUNTIFS(LISTS!$F$2:$F$26,$AE1164,LISTS!$G$2:$G$26,$AF1164)=0,"NOT ON LIST",""))</f>
        <v/>
      </c>
      <c r="AH1164" s="8" t="str">
        <f t="shared" si="56"/>
        <v/>
      </c>
    </row>
    <row r="1165" spans="31:34" x14ac:dyDescent="0.25">
      <c r="AE1165" s="8" t="str">
        <f t="shared" si="54"/>
        <v/>
      </c>
      <c r="AF1165" s="8" t="str">
        <f t="shared" si="55"/>
        <v/>
      </c>
      <c r="AG1165" s="8" t="str">
        <f>IF(TRIM($E1165)&lt;&gt;"Tax Paid","",IF(COUNTIFS(LISTS!$F$2:$F$26,$AE1165,LISTS!$G$2:$G$26,$AF1165)=0,"NOT ON LIST",""))</f>
        <v/>
      </c>
      <c r="AH1165" s="8" t="str">
        <f t="shared" si="56"/>
        <v/>
      </c>
    </row>
    <row r="1166" spans="31:34" x14ac:dyDescent="0.25">
      <c r="AE1166" s="8" t="str">
        <f t="shared" si="54"/>
        <v/>
      </c>
      <c r="AF1166" s="8" t="str">
        <f t="shared" si="55"/>
        <v/>
      </c>
      <c r="AG1166" s="8" t="str">
        <f>IF(TRIM($E1166)&lt;&gt;"Tax Paid","",IF(COUNTIFS(LISTS!$F$2:$F$26,$AE1166,LISTS!$G$2:$G$26,$AF1166)=0,"NOT ON LIST",""))</f>
        <v/>
      </c>
      <c r="AH1166" s="8" t="str">
        <f t="shared" si="56"/>
        <v/>
      </c>
    </row>
    <row r="1167" spans="31:34" x14ac:dyDescent="0.25">
      <c r="AE1167" s="8" t="str">
        <f t="shared" si="54"/>
        <v/>
      </c>
      <c r="AF1167" s="8" t="str">
        <f t="shared" si="55"/>
        <v/>
      </c>
      <c r="AG1167" s="8" t="str">
        <f>IF(TRIM($E1167)&lt;&gt;"Tax Paid","",IF(COUNTIFS(LISTS!$F$2:$F$26,$AE1167,LISTS!$G$2:$G$26,$AF1167)=0,"NOT ON LIST",""))</f>
        <v/>
      </c>
      <c r="AH1167" s="8" t="str">
        <f t="shared" si="56"/>
        <v/>
      </c>
    </row>
    <row r="1168" spans="31:34" x14ac:dyDescent="0.25">
      <c r="AE1168" s="8" t="str">
        <f t="shared" si="54"/>
        <v/>
      </c>
      <c r="AF1168" s="8" t="str">
        <f t="shared" si="55"/>
        <v/>
      </c>
      <c r="AG1168" s="8" t="str">
        <f>IF(TRIM($E1168)&lt;&gt;"Tax Paid","",IF(COUNTIFS(LISTS!$F$2:$F$26,$AE1168,LISTS!$G$2:$G$26,$AF1168)=0,"NOT ON LIST",""))</f>
        <v/>
      </c>
      <c r="AH1168" s="8" t="str">
        <f t="shared" si="56"/>
        <v/>
      </c>
    </row>
    <row r="1169" spans="31:34" x14ac:dyDescent="0.25">
      <c r="AE1169" s="8" t="str">
        <f t="shared" si="54"/>
        <v/>
      </c>
      <c r="AF1169" s="8" t="str">
        <f t="shared" si="55"/>
        <v/>
      </c>
      <c r="AG1169" s="8" t="str">
        <f>IF(TRIM($E1169)&lt;&gt;"Tax Paid","",IF(COUNTIFS(LISTS!$F$2:$F$26,$AE1169,LISTS!$G$2:$G$26,$AF1169)=0,"NOT ON LIST",""))</f>
        <v/>
      </c>
      <c r="AH1169" s="8" t="str">
        <f t="shared" si="56"/>
        <v/>
      </c>
    </row>
    <row r="1170" spans="31:34" x14ac:dyDescent="0.25">
      <c r="AE1170" s="8" t="str">
        <f t="shared" si="54"/>
        <v/>
      </c>
      <c r="AF1170" s="8" t="str">
        <f t="shared" si="55"/>
        <v/>
      </c>
      <c r="AG1170" s="8" t="str">
        <f>IF(TRIM($E1170)&lt;&gt;"Tax Paid","",IF(COUNTIFS(LISTS!$F$2:$F$26,$AE1170,LISTS!$G$2:$G$26,$AF1170)=0,"NOT ON LIST",""))</f>
        <v/>
      </c>
      <c r="AH1170" s="8" t="str">
        <f t="shared" si="56"/>
        <v/>
      </c>
    </row>
    <row r="1171" spans="31:34" x14ac:dyDescent="0.25">
      <c r="AE1171" s="8" t="str">
        <f t="shared" si="54"/>
        <v/>
      </c>
      <c r="AF1171" s="8" t="str">
        <f t="shared" si="55"/>
        <v/>
      </c>
      <c r="AG1171" s="8" t="str">
        <f>IF(TRIM($E1171)&lt;&gt;"Tax Paid","",IF(COUNTIFS(LISTS!$F$2:$F$26,$AE1171,LISTS!$G$2:$G$26,$AF1171)=0,"NOT ON LIST",""))</f>
        <v/>
      </c>
      <c r="AH1171" s="8" t="str">
        <f t="shared" si="56"/>
        <v/>
      </c>
    </row>
    <row r="1172" spans="31:34" x14ac:dyDescent="0.25">
      <c r="AE1172" s="8" t="str">
        <f t="shared" si="54"/>
        <v/>
      </c>
      <c r="AF1172" s="8" t="str">
        <f t="shared" si="55"/>
        <v/>
      </c>
      <c r="AG1172" s="8" t="str">
        <f>IF(TRIM($E1172)&lt;&gt;"Tax Paid","",IF(COUNTIFS(LISTS!$F$2:$F$26,$AE1172,LISTS!$G$2:$G$26,$AF1172)=0,"NOT ON LIST",""))</f>
        <v/>
      </c>
      <c r="AH1172" s="8" t="str">
        <f t="shared" si="56"/>
        <v/>
      </c>
    </row>
    <row r="1173" spans="31:34" x14ac:dyDescent="0.25">
      <c r="AE1173" s="8" t="str">
        <f t="shared" si="54"/>
        <v/>
      </c>
      <c r="AF1173" s="8" t="str">
        <f t="shared" si="55"/>
        <v/>
      </c>
      <c r="AG1173" s="8" t="str">
        <f>IF(TRIM($E1173)&lt;&gt;"Tax Paid","",IF(COUNTIFS(LISTS!$F$2:$F$26,$AE1173,LISTS!$G$2:$G$26,$AF1173)=0,"NOT ON LIST",""))</f>
        <v/>
      </c>
      <c r="AH1173" s="8" t="str">
        <f t="shared" si="56"/>
        <v/>
      </c>
    </row>
    <row r="1174" spans="31:34" x14ac:dyDescent="0.25">
      <c r="AE1174" s="8" t="str">
        <f t="shared" si="54"/>
        <v/>
      </c>
      <c r="AF1174" s="8" t="str">
        <f t="shared" si="55"/>
        <v/>
      </c>
      <c r="AG1174" s="8" t="str">
        <f>IF(TRIM($E1174)&lt;&gt;"Tax Paid","",IF(COUNTIFS(LISTS!$F$2:$F$26,$AE1174,LISTS!$G$2:$G$26,$AF1174)=0,"NOT ON LIST",""))</f>
        <v/>
      </c>
      <c r="AH1174" s="8" t="str">
        <f t="shared" si="56"/>
        <v/>
      </c>
    </row>
    <row r="1175" spans="31:34" x14ac:dyDescent="0.25">
      <c r="AE1175" s="8" t="str">
        <f t="shared" si="54"/>
        <v/>
      </c>
      <c r="AF1175" s="8" t="str">
        <f t="shared" si="55"/>
        <v/>
      </c>
      <c r="AG1175" s="8" t="str">
        <f>IF(TRIM($E1175)&lt;&gt;"Tax Paid","",IF(COUNTIFS(LISTS!$F$2:$F$26,$AE1175,LISTS!$G$2:$G$26,$AF1175)=0,"NOT ON LIST",""))</f>
        <v/>
      </c>
      <c r="AH1175" s="8" t="str">
        <f t="shared" si="56"/>
        <v/>
      </c>
    </row>
    <row r="1176" spans="31:34" x14ac:dyDescent="0.25">
      <c r="AE1176" s="8" t="str">
        <f t="shared" si="54"/>
        <v/>
      </c>
      <c r="AF1176" s="8" t="str">
        <f t="shared" si="55"/>
        <v/>
      </c>
      <c r="AG1176" s="8" t="str">
        <f>IF(TRIM($E1176)&lt;&gt;"Tax Paid","",IF(COUNTIFS(LISTS!$F$2:$F$26,$AE1176,LISTS!$G$2:$G$26,$AF1176)=0,"NOT ON LIST",""))</f>
        <v/>
      </c>
      <c r="AH1176" s="8" t="str">
        <f t="shared" si="56"/>
        <v/>
      </c>
    </row>
    <row r="1177" spans="31:34" x14ac:dyDescent="0.25">
      <c r="AE1177" s="8" t="str">
        <f t="shared" si="54"/>
        <v/>
      </c>
      <c r="AF1177" s="8" t="str">
        <f t="shared" si="55"/>
        <v/>
      </c>
      <c r="AG1177" s="8" t="str">
        <f>IF(TRIM($E1177)&lt;&gt;"Tax Paid","",IF(COUNTIFS(LISTS!$F$2:$F$26,$AE1177,LISTS!$G$2:$G$26,$AF1177)=0,"NOT ON LIST",""))</f>
        <v/>
      </c>
      <c r="AH1177" s="8" t="str">
        <f t="shared" si="56"/>
        <v/>
      </c>
    </row>
    <row r="1178" spans="31:34" x14ac:dyDescent="0.25">
      <c r="AE1178" s="8" t="str">
        <f t="shared" si="54"/>
        <v/>
      </c>
      <c r="AF1178" s="8" t="str">
        <f t="shared" si="55"/>
        <v/>
      </c>
      <c r="AG1178" s="8" t="str">
        <f>IF(TRIM($E1178)&lt;&gt;"Tax Paid","",IF(COUNTIFS(LISTS!$F$2:$F$26,$AE1178,LISTS!$G$2:$G$26,$AF1178)=0,"NOT ON LIST",""))</f>
        <v/>
      </c>
      <c r="AH1178" s="8" t="str">
        <f t="shared" si="56"/>
        <v/>
      </c>
    </row>
    <row r="1179" spans="31:34" x14ac:dyDescent="0.25">
      <c r="AE1179" s="8" t="str">
        <f t="shared" si="54"/>
        <v/>
      </c>
      <c r="AF1179" s="8" t="str">
        <f t="shared" si="55"/>
        <v/>
      </c>
      <c r="AG1179" s="8" t="str">
        <f>IF(TRIM($E1179)&lt;&gt;"Tax Paid","",IF(COUNTIFS(LISTS!$F$2:$F$26,$AE1179,LISTS!$G$2:$G$26,$AF1179)=0,"NOT ON LIST",""))</f>
        <v/>
      </c>
      <c r="AH1179" s="8" t="str">
        <f t="shared" si="56"/>
        <v/>
      </c>
    </row>
    <row r="1180" spans="31:34" x14ac:dyDescent="0.25">
      <c r="AE1180" s="8" t="str">
        <f t="shared" si="54"/>
        <v/>
      </c>
      <c r="AF1180" s="8" t="str">
        <f t="shared" si="55"/>
        <v/>
      </c>
      <c r="AG1180" s="8" t="str">
        <f>IF(TRIM($E1180)&lt;&gt;"Tax Paid","",IF(COUNTIFS(LISTS!$F$2:$F$26,$AE1180,LISTS!$G$2:$G$26,$AF1180)=0,"NOT ON LIST",""))</f>
        <v/>
      </c>
      <c r="AH1180" s="8" t="str">
        <f t="shared" si="56"/>
        <v/>
      </c>
    </row>
    <row r="1181" spans="31:34" x14ac:dyDescent="0.25">
      <c r="AE1181" s="8" t="str">
        <f t="shared" si="54"/>
        <v/>
      </c>
      <c r="AF1181" s="8" t="str">
        <f t="shared" si="55"/>
        <v/>
      </c>
      <c r="AG1181" s="8" t="str">
        <f>IF(TRIM($E1181)&lt;&gt;"Tax Paid","",IF(COUNTIFS(LISTS!$F$2:$F$26,$AE1181,LISTS!$G$2:$G$26,$AF1181)=0,"NOT ON LIST",""))</f>
        <v/>
      </c>
      <c r="AH1181" s="8" t="str">
        <f t="shared" si="56"/>
        <v/>
      </c>
    </row>
    <row r="1182" spans="31:34" x14ac:dyDescent="0.25">
      <c r="AE1182" s="8" t="str">
        <f t="shared" si="54"/>
        <v/>
      </c>
      <c r="AF1182" s="8" t="str">
        <f t="shared" si="55"/>
        <v/>
      </c>
      <c r="AG1182" s="8" t="str">
        <f>IF(TRIM($E1182)&lt;&gt;"Tax Paid","",IF(COUNTIFS(LISTS!$F$2:$F$26,$AE1182,LISTS!$G$2:$G$26,$AF1182)=0,"NOT ON LIST",""))</f>
        <v/>
      </c>
      <c r="AH1182" s="8" t="str">
        <f t="shared" si="56"/>
        <v/>
      </c>
    </row>
    <row r="1183" spans="31:34" x14ac:dyDescent="0.25">
      <c r="AE1183" s="8" t="str">
        <f t="shared" si="54"/>
        <v/>
      </c>
      <c r="AF1183" s="8" t="str">
        <f t="shared" si="55"/>
        <v/>
      </c>
      <c r="AG1183" s="8" t="str">
        <f>IF(TRIM($E1183)&lt;&gt;"Tax Paid","",IF(COUNTIFS(LISTS!$F$2:$F$26,$AE1183,LISTS!$G$2:$G$26,$AF1183)=0,"NOT ON LIST",""))</f>
        <v/>
      </c>
      <c r="AH1183" s="8" t="str">
        <f t="shared" si="56"/>
        <v/>
      </c>
    </row>
    <row r="1184" spans="31:34" x14ac:dyDescent="0.25">
      <c r="AE1184" s="8" t="str">
        <f t="shared" si="54"/>
        <v/>
      </c>
      <c r="AF1184" s="8" t="str">
        <f t="shared" si="55"/>
        <v/>
      </c>
      <c r="AG1184" s="8" t="str">
        <f>IF(TRIM($E1184)&lt;&gt;"Tax Paid","",IF(COUNTIFS(LISTS!$F$2:$F$26,$AE1184,LISTS!$G$2:$G$26,$AF1184)=0,"NOT ON LIST",""))</f>
        <v/>
      </c>
      <c r="AH1184" s="8" t="str">
        <f t="shared" si="56"/>
        <v/>
      </c>
    </row>
    <row r="1185" spans="31:34" x14ac:dyDescent="0.25">
      <c r="AE1185" s="8" t="str">
        <f t="shared" si="54"/>
        <v/>
      </c>
      <c r="AF1185" s="8" t="str">
        <f t="shared" si="55"/>
        <v/>
      </c>
      <c r="AG1185" s="8" t="str">
        <f>IF(TRIM($E1185)&lt;&gt;"Tax Paid","",IF(COUNTIFS(LISTS!$F$2:$F$26,$AE1185,LISTS!$G$2:$G$26,$AF1185)=0,"NOT ON LIST",""))</f>
        <v/>
      </c>
      <c r="AH1185" s="8" t="str">
        <f t="shared" si="56"/>
        <v/>
      </c>
    </row>
    <row r="1186" spans="31:34" x14ac:dyDescent="0.25">
      <c r="AE1186" s="8" t="str">
        <f t="shared" si="54"/>
        <v/>
      </c>
      <c r="AF1186" s="8" t="str">
        <f t="shared" si="55"/>
        <v/>
      </c>
      <c r="AG1186" s="8" t="str">
        <f>IF(TRIM($E1186)&lt;&gt;"Tax Paid","",IF(COUNTIFS(LISTS!$F$2:$F$26,$AE1186,LISTS!$G$2:$G$26,$AF1186)=0,"NOT ON LIST",""))</f>
        <v/>
      </c>
      <c r="AH1186" s="8" t="str">
        <f t="shared" si="56"/>
        <v/>
      </c>
    </row>
    <row r="1187" spans="31:34" x14ac:dyDescent="0.25">
      <c r="AE1187" s="8" t="str">
        <f t="shared" si="54"/>
        <v/>
      </c>
      <c r="AF1187" s="8" t="str">
        <f t="shared" si="55"/>
        <v/>
      </c>
      <c r="AG1187" s="8" t="str">
        <f>IF(TRIM($E1187)&lt;&gt;"Tax Paid","",IF(COUNTIFS(LISTS!$F$2:$F$26,$AE1187,LISTS!$G$2:$G$26,$AF1187)=0,"NOT ON LIST",""))</f>
        <v/>
      </c>
      <c r="AH1187" s="8" t="str">
        <f t="shared" si="56"/>
        <v/>
      </c>
    </row>
    <row r="1188" spans="31:34" x14ac:dyDescent="0.25">
      <c r="AE1188" s="8" t="str">
        <f t="shared" si="54"/>
        <v/>
      </c>
      <c r="AF1188" s="8" t="str">
        <f t="shared" si="55"/>
        <v/>
      </c>
      <c r="AG1188" s="8" t="str">
        <f>IF(TRIM($E1188)&lt;&gt;"Tax Paid","",IF(COUNTIFS(LISTS!$F$2:$F$26,$AE1188,LISTS!$G$2:$G$26,$AF1188)=0,"NOT ON LIST",""))</f>
        <v/>
      </c>
      <c r="AH1188" s="8" t="str">
        <f t="shared" si="56"/>
        <v/>
      </c>
    </row>
    <row r="1189" spans="31:34" x14ac:dyDescent="0.25">
      <c r="AE1189" s="8" t="str">
        <f t="shared" si="54"/>
        <v/>
      </c>
      <c r="AF1189" s="8" t="str">
        <f t="shared" si="55"/>
        <v/>
      </c>
      <c r="AG1189" s="8" t="str">
        <f>IF(TRIM($E1189)&lt;&gt;"Tax Paid","",IF(COUNTIFS(LISTS!$F$2:$F$26,$AE1189,LISTS!$G$2:$G$26,$AF1189)=0,"NOT ON LIST",""))</f>
        <v/>
      </c>
      <c r="AH1189" s="8" t="str">
        <f t="shared" si="56"/>
        <v/>
      </c>
    </row>
    <row r="1190" spans="31:34" x14ac:dyDescent="0.25">
      <c r="AE1190" s="8" t="str">
        <f t="shared" si="54"/>
        <v/>
      </c>
      <c r="AF1190" s="8" t="str">
        <f t="shared" si="55"/>
        <v/>
      </c>
      <c r="AG1190" s="8" t="str">
        <f>IF(TRIM($E1190)&lt;&gt;"Tax Paid","",IF(COUNTIFS(LISTS!$F$2:$F$26,$AE1190,LISTS!$G$2:$G$26,$AF1190)=0,"NOT ON LIST",""))</f>
        <v/>
      </c>
      <c r="AH1190" s="8" t="str">
        <f t="shared" si="56"/>
        <v/>
      </c>
    </row>
    <row r="1191" spans="31:34" x14ac:dyDescent="0.25">
      <c r="AE1191" s="8" t="str">
        <f t="shared" si="54"/>
        <v/>
      </c>
      <c r="AF1191" s="8" t="str">
        <f t="shared" si="55"/>
        <v/>
      </c>
      <c r="AG1191" s="8" t="str">
        <f>IF(TRIM($E1191)&lt;&gt;"Tax Paid","",IF(COUNTIFS(LISTS!$F$2:$F$26,$AE1191,LISTS!$G$2:$G$26,$AF1191)=0,"NOT ON LIST",""))</f>
        <v/>
      </c>
      <c r="AH1191" s="8" t="str">
        <f t="shared" si="56"/>
        <v/>
      </c>
    </row>
    <row r="1192" spans="31:34" x14ac:dyDescent="0.25">
      <c r="AE1192" s="8" t="str">
        <f t="shared" si="54"/>
        <v/>
      </c>
      <c r="AF1192" s="8" t="str">
        <f t="shared" si="55"/>
        <v/>
      </c>
      <c r="AG1192" s="8" t="str">
        <f>IF(TRIM($E1192)&lt;&gt;"Tax Paid","",IF(COUNTIFS(LISTS!$F$2:$F$26,$AE1192,LISTS!$G$2:$G$26,$AF1192)=0,"NOT ON LIST",""))</f>
        <v/>
      </c>
      <c r="AH1192" s="8" t="str">
        <f t="shared" si="56"/>
        <v/>
      </c>
    </row>
    <row r="1193" spans="31:34" x14ac:dyDescent="0.25">
      <c r="AE1193" s="8" t="str">
        <f t="shared" si="54"/>
        <v/>
      </c>
      <c r="AF1193" s="8" t="str">
        <f t="shared" si="55"/>
        <v/>
      </c>
      <c r="AG1193" s="8" t="str">
        <f>IF(TRIM($E1193)&lt;&gt;"Tax Paid","",IF(COUNTIFS(LISTS!$F$2:$F$26,$AE1193,LISTS!$G$2:$G$26,$AF1193)=0,"NOT ON LIST",""))</f>
        <v/>
      </c>
      <c r="AH1193" s="8" t="str">
        <f t="shared" si="56"/>
        <v/>
      </c>
    </row>
    <row r="1194" spans="31:34" x14ac:dyDescent="0.25">
      <c r="AE1194" s="8" t="str">
        <f t="shared" si="54"/>
        <v/>
      </c>
      <c r="AF1194" s="8" t="str">
        <f t="shared" si="55"/>
        <v/>
      </c>
      <c r="AG1194" s="8" t="str">
        <f>IF(TRIM($E1194)&lt;&gt;"Tax Paid","",IF(COUNTIFS(LISTS!$F$2:$F$26,$AE1194,LISTS!$G$2:$G$26,$AF1194)=0,"NOT ON LIST",""))</f>
        <v/>
      </c>
      <c r="AH1194" s="8" t="str">
        <f t="shared" si="56"/>
        <v/>
      </c>
    </row>
    <row r="1195" spans="31:34" x14ac:dyDescent="0.25">
      <c r="AE1195" s="8" t="str">
        <f t="shared" si="54"/>
        <v/>
      </c>
      <c r="AF1195" s="8" t="str">
        <f t="shared" si="55"/>
        <v/>
      </c>
      <c r="AG1195" s="8" t="str">
        <f>IF(TRIM($E1195)&lt;&gt;"Tax Paid","",IF(COUNTIFS(LISTS!$F$2:$F$26,$AE1195,LISTS!$G$2:$G$26,$AF1195)=0,"NOT ON LIST",""))</f>
        <v/>
      </c>
      <c r="AH1195" s="8" t="str">
        <f t="shared" si="56"/>
        <v/>
      </c>
    </row>
    <row r="1196" spans="31:34" x14ac:dyDescent="0.25">
      <c r="AE1196" s="8" t="str">
        <f t="shared" si="54"/>
        <v/>
      </c>
      <c r="AF1196" s="8" t="str">
        <f t="shared" si="55"/>
        <v/>
      </c>
      <c r="AG1196" s="8" t="str">
        <f>IF(TRIM($E1196)&lt;&gt;"Tax Paid","",IF(COUNTIFS(LISTS!$F$2:$F$26,$AE1196,LISTS!$G$2:$G$26,$AF1196)=0,"NOT ON LIST",""))</f>
        <v/>
      </c>
      <c r="AH1196" s="8" t="str">
        <f t="shared" si="56"/>
        <v/>
      </c>
    </row>
    <row r="1197" spans="31:34" x14ac:dyDescent="0.25">
      <c r="AE1197" s="8" t="str">
        <f t="shared" si="54"/>
        <v/>
      </c>
      <c r="AF1197" s="8" t="str">
        <f t="shared" si="55"/>
        <v/>
      </c>
      <c r="AG1197" s="8" t="str">
        <f>IF(TRIM($E1197)&lt;&gt;"Tax Paid","",IF(COUNTIFS(LISTS!$F$2:$F$26,$AE1197,LISTS!$G$2:$G$26,$AF1197)=0,"NOT ON LIST",""))</f>
        <v/>
      </c>
      <c r="AH1197" s="8" t="str">
        <f t="shared" si="56"/>
        <v/>
      </c>
    </row>
    <row r="1198" spans="31:34" x14ac:dyDescent="0.25">
      <c r="AE1198" s="8" t="str">
        <f t="shared" si="54"/>
        <v/>
      </c>
      <c r="AF1198" s="8" t="str">
        <f t="shared" si="55"/>
        <v/>
      </c>
      <c r="AG1198" s="8" t="str">
        <f>IF(TRIM($E1198)&lt;&gt;"Tax Paid","",IF(COUNTIFS(LISTS!$F$2:$F$26,$AE1198,LISTS!$G$2:$G$26,$AF1198)=0,"NOT ON LIST",""))</f>
        <v/>
      </c>
      <c r="AH1198" s="8" t="str">
        <f t="shared" si="56"/>
        <v/>
      </c>
    </row>
    <row r="1199" spans="31:34" x14ac:dyDescent="0.25">
      <c r="AE1199" s="8" t="str">
        <f t="shared" si="54"/>
        <v/>
      </c>
      <c r="AF1199" s="8" t="str">
        <f t="shared" si="55"/>
        <v/>
      </c>
      <c r="AG1199" s="8" t="str">
        <f>IF(TRIM($E1199)&lt;&gt;"Tax Paid","",IF(COUNTIFS(LISTS!$F$2:$F$26,$AE1199,LISTS!$G$2:$G$26,$AF1199)=0,"NOT ON LIST",""))</f>
        <v/>
      </c>
      <c r="AH1199" s="8" t="str">
        <f t="shared" si="56"/>
        <v/>
      </c>
    </row>
    <row r="1200" spans="31:34" x14ac:dyDescent="0.25">
      <c r="AE1200" s="8" t="str">
        <f t="shared" si="54"/>
        <v/>
      </c>
      <c r="AF1200" s="8" t="str">
        <f t="shared" si="55"/>
        <v/>
      </c>
      <c r="AG1200" s="8" t="str">
        <f>IF(TRIM($E1200)&lt;&gt;"Tax Paid","",IF(COUNTIFS(LISTS!$F$2:$F$26,$AE1200,LISTS!$G$2:$G$26,$AF1200)=0,"NOT ON LIST",""))</f>
        <v/>
      </c>
      <c r="AH1200" s="8" t="str">
        <f t="shared" si="56"/>
        <v/>
      </c>
    </row>
    <row r="1201" spans="31:34" x14ac:dyDescent="0.25">
      <c r="AE1201" s="8" t="str">
        <f t="shared" si="54"/>
        <v/>
      </c>
      <c r="AF1201" s="8" t="str">
        <f t="shared" si="55"/>
        <v/>
      </c>
      <c r="AG1201" s="8" t="str">
        <f>IF(TRIM($E1201)&lt;&gt;"Tax Paid","",IF(COUNTIFS(LISTS!$F$2:$F$26,$AE1201,LISTS!$G$2:$G$26,$AF1201)=0,"NOT ON LIST",""))</f>
        <v/>
      </c>
      <c r="AH1201" s="8" t="str">
        <f t="shared" si="56"/>
        <v/>
      </c>
    </row>
    <row r="1202" spans="31:34" x14ac:dyDescent="0.25">
      <c r="AE1202" s="8" t="str">
        <f t="shared" si="54"/>
        <v/>
      </c>
      <c r="AF1202" s="8" t="str">
        <f t="shared" si="55"/>
        <v/>
      </c>
      <c r="AG1202" s="8" t="str">
        <f>IF(TRIM($E1202)&lt;&gt;"Tax Paid","",IF(COUNTIFS(LISTS!$F$2:$F$26,$AE1202,LISTS!$G$2:$G$26,$AF1202)=0,"NOT ON LIST",""))</f>
        <v/>
      </c>
      <c r="AH1202" s="8" t="str">
        <f t="shared" si="56"/>
        <v/>
      </c>
    </row>
    <row r="1203" spans="31:34" x14ac:dyDescent="0.25">
      <c r="AE1203" s="8" t="str">
        <f t="shared" si="54"/>
        <v/>
      </c>
      <c r="AF1203" s="8" t="str">
        <f t="shared" si="55"/>
        <v/>
      </c>
      <c r="AG1203" s="8" t="str">
        <f>IF(TRIM($E1203)&lt;&gt;"Tax Paid","",IF(COUNTIFS(LISTS!$F$2:$F$26,$AE1203,LISTS!$G$2:$G$26,$AF1203)=0,"NOT ON LIST",""))</f>
        <v/>
      </c>
      <c r="AH1203" s="8" t="str">
        <f t="shared" si="56"/>
        <v/>
      </c>
    </row>
    <row r="1204" spans="31:34" x14ac:dyDescent="0.25">
      <c r="AE1204" s="8" t="str">
        <f t="shared" si="54"/>
        <v/>
      </c>
      <c r="AF1204" s="8" t="str">
        <f t="shared" si="55"/>
        <v/>
      </c>
      <c r="AG1204" s="8" t="str">
        <f>IF(TRIM($E1204)&lt;&gt;"Tax Paid","",IF(COUNTIFS(LISTS!$F$2:$F$26,$AE1204,LISTS!$G$2:$G$26,$AF1204)=0,"NOT ON LIST",""))</f>
        <v/>
      </c>
      <c r="AH1204" s="8" t="str">
        <f t="shared" si="56"/>
        <v/>
      </c>
    </row>
    <row r="1205" spans="31:34" x14ac:dyDescent="0.25">
      <c r="AE1205" s="8" t="str">
        <f t="shared" si="54"/>
        <v/>
      </c>
      <c r="AF1205" s="8" t="str">
        <f t="shared" si="55"/>
        <v/>
      </c>
      <c r="AG1205" s="8" t="str">
        <f>IF(TRIM($E1205)&lt;&gt;"Tax Paid","",IF(COUNTIFS(LISTS!$F$2:$F$26,$AE1205,LISTS!$G$2:$G$26,$AF1205)=0,"NOT ON LIST",""))</f>
        <v/>
      </c>
      <c r="AH1205" s="8" t="str">
        <f t="shared" si="56"/>
        <v/>
      </c>
    </row>
    <row r="1206" spans="31:34" x14ac:dyDescent="0.25">
      <c r="AE1206" s="8" t="str">
        <f t="shared" si="54"/>
        <v/>
      </c>
      <c r="AF1206" s="8" t="str">
        <f t="shared" si="55"/>
        <v/>
      </c>
      <c r="AG1206" s="8" t="str">
        <f>IF(TRIM($E1206)&lt;&gt;"Tax Paid","",IF(COUNTIFS(LISTS!$F$2:$F$26,$AE1206,LISTS!$G$2:$G$26,$AF1206)=0,"NOT ON LIST",""))</f>
        <v/>
      </c>
      <c r="AH1206" s="8" t="str">
        <f t="shared" si="56"/>
        <v/>
      </c>
    </row>
    <row r="1207" spans="31:34" x14ac:dyDescent="0.25">
      <c r="AE1207" s="8" t="str">
        <f t="shared" si="54"/>
        <v/>
      </c>
      <c r="AF1207" s="8" t="str">
        <f t="shared" si="55"/>
        <v/>
      </c>
      <c r="AG1207" s="8" t="str">
        <f>IF(TRIM($E1207)&lt;&gt;"Tax Paid","",IF(COUNTIFS(LISTS!$F$2:$F$26,$AE1207,LISTS!$G$2:$G$26,$AF1207)=0,"NOT ON LIST",""))</f>
        <v/>
      </c>
      <c r="AH1207" s="8" t="str">
        <f t="shared" si="56"/>
        <v/>
      </c>
    </row>
    <row r="1208" spans="31:34" x14ac:dyDescent="0.25">
      <c r="AE1208" s="8" t="str">
        <f t="shared" si="54"/>
        <v/>
      </c>
      <c r="AF1208" s="8" t="str">
        <f t="shared" si="55"/>
        <v/>
      </c>
      <c r="AG1208" s="8" t="str">
        <f>IF(TRIM($E1208)&lt;&gt;"Tax Paid","",IF(COUNTIFS(LISTS!$F$2:$F$26,$AE1208,LISTS!$G$2:$G$26,$AF1208)=0,"NOT ON LIST",""))</f>
        <v/>
      </c>
      <c r="AH1208" s="8" t="str">
        <f t="shared" si="56"/>
        <v/>
      </c>
    </row>
    <row r="1209" spans="31:34" x14ac:dyDescent="0.25">
      <c r="AE1209" s="8" t="str">
        <f t="shared" si="54"/>
        <v/>
      </c>
      <c r="AF1209" s="8" t="str">
        <f t="shared" si="55"/>
        <v/>
      </c>
      <c r="AG1209" s="8" t="str">
        <f>IF(TRIM($E1209)&lt;&gt;"Tax Paid","",IF(COUNTIFS(LISTS!$F$2:$F$26,$AE1209,LISTS!$G$2:$G$26,$AF1209)=0,"NOT ON LIST",""))</f>
        <v/>
      </c>
      <c r="AH1209" s="8" t="str">
        <f t="shared" si="56"/>
        <v/>
      </c>
    </row>
    <row r="1210" spans="31:34" x14ac:dyDescent="0.25">
      <c r="AE1210" s="8" t="str">
        <f t="shared" si="54"/>
        <v/>
      </c>
      <c r="AF1210" s="8" t="str">
        <f t="shared" si="55"/>
        <v/>
      </c>
      <c r="AG1210" s="8" t="str">
        <f>IF(TRIM($E1210)&lt;&gt;"Tax Paid","",IF(COUNTIFS(LISTS!$F$2:$F$26,$AE1210,LISTS!$G$2:$G$26,$AF1210)=0,"NOT ON LIST",""))</f>
        <v/>
      </c>
      <c r="AH1210" s="8" t="str">
        <f t="shared" si="56"/>
        <v/>
      </c>
    </row>
    <row r="1211" spans="31:34" x14ac:dyDescent="0.25">
      <c r="AE1211" s="8" t="str">
        <f t="shared" si="54"/>
        <v/>
      </c>
      <c r="AF1211" s="8" t="str">
        <f t="shared" si="55"/>
        <v/>
      </c>
      <c r="AG1211" s="8" t="str">
        <f>IF(TRIM($E1211)&lt;&gt;"Tax Paid","",IF(COUNTIFS(LISTS!$F$2:$F$26,$AE1211,LISTS!$G$2:$G$26,$AF1211)=0,"NOT ON LIST",""))</f>
        <v/>
      </c>
      <c r="AH1211" s="8" t="str">
        <f t="shared" si="56"/>
        <v/>
      </c>
    </row>
    <row r="1212" spans="31:34" x14ac:dyDescent="0.25">
      <c r="AE1212" s="8" t="str">
        <f t="shared" si="54"/>
        <v/>
      </c>
      <c r="AF1212" s="8" t="str">
        <f t="shared" si="55"/>
        <v/>
      </c>
      <c r="AG1212" s="8" t="str">
        <f>IF(TRIM($E1212)&lt;&gt;"Tax Paid","",IF(COUNTIFS(LISTS!$F$2:$F$26,$AE1212,LISTS!$G$2:$G$26,$AF1212)=0,"NOT ON LIST",""))</f>
        <v/>
      </c>
      <c r="AH1212" s="8" t="str">
        <f t="shared" si="56"/>
        <v/>
      </c>
    </row>
    <row r="1213" spans="31:34" x14ac:dyDescent="0.25">
      <c r="AE1213" s="8" t="str">
        <f t="shared" si="54"/>
        <v/>
      </c>
      <c r="AF1213" s="8" t="str">
        <f t="shared" si="55"/>
        <v/>
      </c>
      <c r="AG1213" s="8" t="str">
        <f>IF(TRIM($E1213)&lt;&gt;"Tax Paid","",IF(COUNTIFS(LISTS!$F$2:$F$26,$AE1213,LISTS!$G$2:$G$26,$AF1213)=0,"NOT ON LIST",""))</f>
        <v/>
      </c>
      <c r="AH1213" s="8" t="str">
        <f t="shared" si="56"/>
        <v/>
      </c>
    </row>
    <row r="1214" spans="31:34" x14ac:dyDescent="0.25">
      <c r="AE1214" s="8" t="str">
        <f t="shared" si="54"/>
        <v/>
      </c>
      <c r="AF1214" s="8" t="str">
        <f t="shared" si="55"/>
        <v/>
      </c>
      <c r="AG1214" s="8" t="str">
        <f>IF(TRIM($E1214)&lt;&gt;"Tax Paid","",IF(COUNTIFS(LISTS!$F$2:$F$26,$AE1214,LISTS!$G$2:$G$26,$AF1214)=0,"NOT ON LIST",""))</f>
        <v/>
      </c>
      <c r="AH1214" s="8" t="str">
        <f t="shared" si="56"/>
        <v/>
      </c>
    </row>
    <row r="1215" spans="31:34" x14ac:dyDescent="0.25">
      <c r="AE1215" s="8" t="str">
        <f t="shared" si="54"/>
        <v/>
      </c>
      <c r="AF1215" s="8" t="str">
        <f t="shared" si="55"/>
        <v/>
      </c>
      <c r="AG1215" s="8" t="str">
        <f>IF(TRIM($E1215)&lt;&gt;"Tax Paid","",IF(COUNTIFS(LISTS!$F$2:$F$26,$AE1215,LISTS!$G$2:$G$26,$AF1215)=0,"NOT ON LIST",""))</f>
        <v/>
      </c>
      <c r="AH1215" s="8" t="str">
        <f t="shared" si="56"/>
        <v/>
      </c>
    </row>
    <row r="1216" spans="31:34" x14ac:dyDescent="0.25">
      <c r="AE1216" s="8" t="str">
        <f t="shared" si="54"/>
        <v/>
      </c>
      <c r="AF1216" s="8" t="str">
        <f t="shared" si="55"/>
        <v/>
      </c>
      <c r="AG1216" s="8" t="str">
        <f>IF(TRIM($E1216)&lt;&gt;"Tax Paid","",IF(COUNTIFS(LISTS!$F$2:$F$26,$AE1216,LISTS!$G$2:$G$26,$AF1216)=0,"NOT ON LIST",""))</f>
        <v/>
      </c>
      <c r="AH1216" s="8" t="str">
        <f t="shared" si="56"/>
        <v/>
      </c>
    </row>
    <row r="1217" spans="31:34" x14ac:dyDescent="0.25">
      <c r="AE1217" s="8" t="str">
        <f t="shared" si="54"/>
        <v/>
      </c>
      <c r="AF1217" s="8" t="str">
        <f t="shared" si="55"/>
        <v/>
      </c>
      <c r="AG1217" s="8" t="str">
        <f>IF(TRIM($E1217)&lt;&gt;"Tax Paid","",IF(COUNTIFS(LISTS!$F$2:$F$26,$AE1217,LISTS!$G$2:$G$26,$AF1217)=0,"NOT ON LIST",""))</f>
        <v/>
      </c>
      <c r="AH1217" s="8" t="str">
        <f t="shared" si="56"/>
        <v/>
      </c>
    </row>
    <row r="1218" spans="31:34" x14ac:dyDescent="0.25">
      <c r="AE1218" s="8" t="str">
        <f t="shared" ref="AE1218:AE1281" si="57">IF(TRIM($E1218)="Tax Paid",TRIM($S1218),"")</f>
        <v/>
      </c>
      <c r="AF1218" s="8" t="str">
        <f t="shared" ref="AF1218:AF1281" si="58">IF(TRIM($E1218)="Tax Paid",ROUND($Z1218/100,5),"")</f>
        <v/>
      </c>
      <c r="AG1218" s="8" t="str">
        <f>IF(TRIM($E1218)&lt;&gt;"Tax Paid","",IF(COUNTIFS(LISTS!$F$2:$F$26,$AE1218,LISTS!$G$2:$G$26,$AF1218)=0,"NOT ON LIST",""))</f>
        <v/>
      </c>
      <c r="AH1218" s="8" t="str">
        <f t="shared" ref="AH1218:AH1281" si="59">IF($AG1218="","",IF($AE1218="","(no county)",$AE1218)&amp;" ("&amp;SUBSTITUTE(TEXT($AF1218,"0.###%"),".%","%")&amp;")")</f>
        <v/>
      </c>
    </row>
    <row r="1219" spans="31:34" x14ac:dyDescent="0.25">
      <c r="AE1219" s="8" t="str">
        <f t="shared" si="57"/>
        <v/>
      </c>
      <c r="AF1219" s="8" t="str">
        <f t="shared" si="58"/>
        <v/>
      </c>
      <c r="AG1219" s="8" t="str">
        <f>IF(TRIM($E1219)&lt;&gt;"Tax Paid","",IF(COUNTIFS(LISTS!$F$2:$F$26,$AE1219,LISTS!$G$2:$G$26,$AF1219)=0,"NOT ON LIST",""))</f>
        <v/>
      </c>
      <c r="AH1219" s="8" t="str">
        <f t="shared" si="59"/>
        <v/>
      </c>
    </row>
    <row r="1220" spans="31:34" x14ac:dyDescent="0.25">
      <c r="AE1220" s="8" t="str">
        <f t="shared" si="57"/>
        <v/>
      </c>
      <c r="AF1220" s="8" t="str">
        <f t="shared" si="58"/>
        <v/>
      </c>
      <c r="AG1220" s="8" t="str">
        <f>IF(TRIM($E1220)&lt;&gt;"Tax Paid","",IF(COUNTIFS(LISTS!$F$2:$F$26,$AE1220,LISTS!$G$2:$G$26,$AF1220)=0,"NOT ON LIST",""))</f>
        <v/>
      </c>
      <c r="AH1220" s="8" t="str">
        <f t="shared" si="59"/>
        <v/>
      </c>
    </row>
    <row r="1221" spans="31:34" x14ac:dyDescent="0.25">
      <c r="AE1221" s="8" t="str">
        <f t="shared" si="57"/>
        <v/>
      </c>
      <c r="AF1221" s="8" t="str">
        <f t="shared" si="58"/>
        <v/>
      </c>
      <c r="AG1221" s="8" t="str">
        <f>IF(TRIM($E1221)&lt;&gt;"Tax Paid","",IF(COUNTIFS(LISTS!$F$2:$F$26,$AE1221,LISTS!$G$2:$G$26,$AF1221)=0,"NOT ON LIST",""))</f>
        <v/>
      </c>
      <c r="AH1221" s="8" t="str">
        <f t="shared" si="59"/>
        <v/>
      </c>
    </row>
    <row r="1222" spans="31:34" x14ac:dyDescent="0.25">
      <c r="AE1222" s="8" t="str">
        <f t="shared" si="57"/>
        <v/>
      </c>
      <c r="AF1222" s="8" t="str">
        <f t="shared" si="58"/>
        <v/>
      </c>
      <c r="AG1222" s="8" t="str">
        <f>IF(TRIM($E1222)&lt;&gt;"Tax Paid","",IF(COUNTIFS(LISTS!$F$2:$F$26,$AE1222,LISTS!$G$2:$G$26,$AF1222)=0,"NOT ON LIST",""))</f>
        <v/>
      </c>
      <c r="AH1222" s="8" t="str">
        <f t="shared" si="59"/>
        <v/>
      </c>
    </row>
    <row r="1223" spans="31:34" x14ac:dyDescent="0.25">
      <c r="AE1223" s="8" t="str">
        <f t="shared" si="57"/>
        <v/>
      </c>
      <c r="AF1223" s="8" t="str">
        <f t="shared" si="58"/>
        <v/>
      </c>
      <c r="AG1223" s="8" t="str">
        <f>IF(TRIM($E1223)&lt;&gt;"Tax Paid","",IF(COUNTIFS(LISTS!$F$2:$F$26,$AE1223,LISTS!$G$2:$G$26,$AF1223)=0,"NOT ON LIST",""))</f>
        <v/>
      </c>
      <c r="AH1223" s="8" t="str">
        <f t="shared" si="59"/>
        <v/>
      </c>
    </row>
    <row r="1224" spans="31:34" x14ac:dyDescent="0.25">
      <c r="AE1224" s="8" t="str">
        <f t="shared" si="57"/>
        <v/>
      </c>
      <c r="AF1224" s="8" t="str">
        <f t="shared" si="58"/>
        <v/>
      </c>
      <c r="AG1224" s="8" t="str">
        <f>IF(TRIM($E1224)&lt;&gt;"Tax Paid","",IF(COUNTIFS(LISTS!$F$2:$F$26,$AE1224,LISTS!$G$2:$G$26,$AF1224)=0,"NOT ON LIST",""))</f>
        <v/>
      </c>
      <c r="AH1224" s="8" t="str">
        <f t="shared" si="59"/>
        <v/>
      </c>
    </row>
    <row r="1225" spans="31:34" x14ac:dyDescent="0.25">
      <c r="AE1225" s="8" t="str">
        <f t="shared" si="57"/>
        <v/>
      </c>
      <c r="AF1225" s="8" t="str">
        <f t="shared" si="58"/>
        <v/>
      </c>
      <c r="AG1225" s="8" t="str">
        <f>IF(TRIM($E1225)&lt;&gt;"Tax Paid","",IF(COUNTIFS(LISTS!$F$2:$F$26,$AE1225,LISTS!$G$2:$G$26,$AF1225)=0,"NOT ON LIST",""))</f>
        <v/>
      </c>
      <c r="AH1225" s="8" t="str">
        <f t="shared" si="59"/>
        <v/>
      </c>
    </row>
    <row r="1226" spans="31:34" x14ac:dyDescent="0.25">
      <c r="AE1226" s="8" t="str">
        <f t="shared" si="57"/>
        <v/>
      </c>
      <c r="AF1226" s="8" t="str">
        <f t="shared" si="58"/>
        <v/>
      </c>
      <c r="AG1226" s="8" t="str">
        <f>IF(TRIM($E1226)&lt;&gt;"Tax Paid","",IF(COUNTIFS(LISTS!$F$2:$F$26,$AE1226,LISTS!$G$2:$G$26,$AF1226)=0,"NOT ON LIST",""))</f>
        <v/>
      </c>
      <c r="AH1226" s="8" t="str">
        <f t="shared" si="59"/>
        <v/>
      </c>
    </row>
    <row r="1227" spans="31:34" x14ac:dyDescent="0.25">
      <c r="AE1227" s="8" t="str">
        <f t="shared" si="57"/>
        <v/>
      </c>
      <c r="AF1227" s="8" t="str">
        <f t="shared" si="58"/>
        <v/>
      </c>
      <c r="AG1227" s="8" t="str">
        <f>IF(TRIM($E1227)&lt;&gt;"Tax Paid","",IF(COUNTIFS(LISTS!$F$2:$F$26,$AE1227,LISTS!$G$2:$G$26,$AF1227)=0,"NOT ON LIST",""))</f>
        <v/>
      </c>
      <c r="AH1227" s="8" t="str">
        <f t="shared" si="59"/>
        <v/>
      </c>
    </row>
    <row r="1228" spans="31:34" x14ac:dyDescent="0.25">
      <c r="AE1228" s="8" t="str">
        <f t="shared" si="57"/>
        <v/>
      </c>
      <c r="AF1228" s="8" t="str">
        <f t="shared" si="58"/>
        <v/>
      </c>
      <c r="AG1228" s="8" t="str">
        <f>IF(TRIM($E1228)&lt;&gt;"Tax Paid","",IF(COUNTIFS(LISTS!$F$2:$F$26,$AE1228,LISTS!$G$2:$G$26,$AF1228)=0,"NOT ON LIST",""))</f>
        <v/>
      </c>
      <c r="AH1228" s="8" t="str">
        <f t="shared" si="59"/>
        <v/>
      </c>
    </row>
    <row r="1229" spans="31:34" x14ac:dyDescent="0.25">
      <c r="AE1229" s="8" t="str">
        <f t="shared" si="57"/>
        <v/>
      </c>
      <c r="AF1229" s="8" t="str">
        <f t="shared" si="58"/>
        <v/>
      </c>
      <c r="AG1229" s="8" t="str">
        <f>IF(TRIM($E1229)&lt;&gt;"Tax Paid","",IF(COUNTIFS(LISTS!$F$2:$F$26,$AE1229,LISTS!$G$2:$G$26,$AF1229)=0,"NOT ON LIST",""))</f>
        <v/>
      </c>
      <c r="AH1229" s="8" t="str">
        <f t="shared" si="59"/>
        <v/>
      </c>
    </row>
    <row r="1230" spans="31:34" x14ac:dyDescent="0.25">
      <c r="AE1230" s="8" t="str">
        <f t="shared" si="57"/>
        <v/>
      </c>
      <c r="AF1230" s="8" t="str">
        <f t="shared" si="58"/>
        <v/>
      </c>
      <c r="AG1230" s="8" t="str">
        <f>IF(TRIM($E1230)&lt;&gt;"Tax Paid","",IF(COUNTIFS(LISTS!$F$2:$F$26,$AE1230,LISTS!$G$2:$G$26,$AF1230)=0,"NOT ON LIST",""))</f>
        <v/>
      </c>
      <c r="AH1230" s="8" t="str">
        <f t="shared" si="59"/>
        <v/>
      </c>
    </row>
    <row r="1231" spans="31:34" x14ac:dyDescent="0.25">
      <c r="AE1231" s="8" t="str">
        <f t="shared" si="57"/>
        <v/>
      </c>
      <c r="AF1231" s="8" t="str">
        <f t="shared" si="58"/>
        <v/>
      </c>
      <c r="AG1231" s="8" t="str">
        <f>IF(TRIM($E1231)&lt;&gt;"Tax Paid","",IF(COUNTIFS(LISTS!$F$2:$F$26,$AE1231,LISTS!$G$2:$G$26,$AF1231)=0,"NOT ON LIST",""))</f>
        <v/>
      </c>
      <c r="AH1231" s="8" t="str">
        <f t="shared" si="59"/>
        <v/>
      </c>
    </row>
    <row r="1232" spans="31:34" x14ac:dyDescent="0.25">
      <c r="AE1232" s="8" t="str">
        <f t="shared" si="57"/>
        <v/>
      </c>
      <c r="AF1232" s="8" t="str">
        <f t="shared" si="58"/>
        <v/>
      </c>
      <c r="AG1232" s="8" t="str">
        <f>IF(TRIM($E1232)&lt;&gt;"Tax Paid","",IF(COUNTIFS(LISTS!$F$2:$F$26,$AE1232,LISTS!$G$2:$G$26,$AF1232)=0,"NOT ON LIST",""))</f>
        <v/>
      </c>
      <c r="AH1232" s="8" t="str">
        <f t="shared" si="59"/>
        <v/>
      </c>
    </row>
    <row r="1233" spans="31:34" x14ac:dyDescent="0.25">
      <c r="AE1233" s="8" t="str">
        <f t="shared" si="57"/>
        <v/>
      </c>
      <c r="AF1233" s="8" t="str">
        <f t="shared" si="58"/>
        <v/>
      </c>
      <c r="AG1233" s="8" t="str">
        <f>IF(TRIM($E1233)&lt;&gt;"Tax Paid","",IF(COUNTIFS(LISTS!$F$2:$F$26,$AE1233,LISTS!$G$2:$G$26,$AF1233)=0,"NOT ON LIST",""))</f>
        <v/>
      </c>
      <c r="AH1233" s="8" t="str">
        <f t="shared" si="59"/>
        <v/>
      </c>
    </row>
    <row r="1234" spans="31:34" x14ac:dyDescent="0.25">
      <c r="AE1234" s="8" t="str">
        <f t="shared" si="57"/>
        <v/>
      </c>
      <c r="AF1234" s="8" t="str">
        <f t="shared" si="58"/>
        <v/>
      </c>
      <c r="AG1234" s="8" t="str">
        <f>IF(TRIM($E1234)&lt;&gt;"Tax Paid","",IF(COUNTIFS(LISTS!$F$2:$F$26,$AE1234,LISTS!$G$2:$G$26,$AF1234)=0,"NOT ON LIST",""))</f>
        <v/>
      </c>
      <c r="AH1234" s="8" t="str">
        <f t="shared" si="59"/>
        <v/>
      </c>
    </row>
    <row r="1235" spans="31:34" x14ac:dyDescent="0.25">
      <c r="AE1235" s="8" t="str">
        <f t="shared" si="57"/>
        <v/>
      </c>
      <c r="AF1235" s="8" t="str">
        <f t="shared" si="58"/>
        <v/>
      </c>
      <c r="AG1235" s="8" t="str">
        <f>IF(TRIM($E1235)&lt;&gt;"Tax Paid","",IF(COUNTIFS(LISTS!$F$2:$F$26,$AE1235,LISTS!$G$2:$G$26,$AF1235)=0,"NOT ON LIST",""))</f>
        <v/>
      </c>
      <c r="AH1235" s="8" t="str">
        <f t="shared" si="59"/>
        <v/>
      </c>
    </row>
    <row r="1236" spans="31:34" x14ac:dyDescent="0.25">
      <c r="AE1236" s="8" t="str">
        <f t="shared" si="57"/>
        <v/>
      </c>
      <c r="AF1236" s="8" t="str">
        <f t="shared" si="58"/>
        <v/>
      </c>
      <c r="AG1236" s="8" t="str">
        <f>IF(TRIM($E1236)&lt;&gt;"Tax Paid","",IF(COUNTIFS(LISTS!$F$2:$F$26,$AE1236,LISTS!$G$2:$G$26,$AF1236)=0,"NOT ON LIST",""))</f>
        <v/>
      </c>
      <c r="AH1236" s="8" t="str">
        <f t="shared" si="59"/>
        <v/>
      </c>
    </row>
    <row r="1237" spans="31:34" x14ac:dyDescent="0.25">
      <c r="AE1237" s="8" t="str">
        <f t="shared" si="57"/>
        <v/>
      </c>
      <c r="AF1237" s="8" t="str">
        <f t="shared" si="58"/>
        <v/>
      </c>
      <c r="AG1237" s="8" t="str">
        <f>IF(TRIM($E1237)&lt;&gt;"Tax Paid","",IF(COUNTIFS(LISTS!$F$2:$F$26,$AE1237,LISTS!$G$2:$G$26,$AF1237)=0,"NOT ON LIST",""))</f>
        <v/>
      </c>
      <c r="AH1237" s="8" t="str">
        <f t="shared" si="59"/>
        <v/>
      </c>
    </row>
    <row r="1238" spans="31:34" x14ac:dyDescent="0.25">
      <c r="AE1238" s="8" t="str">
        <f t="shared" si="57"/>
        <v/>
      </c>
      <c r="AF1238" s="8" t="str">
        <f t="shared" si="58"/>
        <v/>
      </c>
      <c r="AG1238" s="8" t="str">
        <f>IF(TRIM($E1238)&lt;&gt;"Tax Paid","",IF(COUNTIFS(LISTS!$F$2:$F$26,$AE1238,LISTS!$G$2:$G$26,$AF1238)=0,"NOT ON LIST",""))</f>
        <v/>
      </c>
      <c r="AH1238" s="8" t="str">
        <f t="shared" si="59"/>
        <v/>
      </c>
    </row>
    <row r="1239" spans="31:34" x14ac:dyDescent="0.25">
      <c r="AE1239" s="8" t="str">
        <f t="shared" si="57"/>
        <v/>
      </c>
      <c r="AF1239" s="8" t="str">
        <f t="shared" si="58"/>
        <v/>
      </c>
      <c r="AG1239" s="8" t="str">
        <f>IF(TRIM($E1239)&lt;&gt;"Tax Paid","",IF(COUNTIFS(LISTS!$F$2:$F$26,$AE1239,LISTS!$G$2:$G$26,$AF1239)=0,"NOT ON LIST",""))</f>
        <v/>
      </c>
      <c r="AH1239" s="8" t="str">
        <f t="shared" si="59"/>
        <v/>
      </c>
    </row>
    <row r="1240" spans="31:34" x14ac:dyDescent="0.25">
      <c r="AE1240" s="8" t="str">
        <f t="shared" si="57"/>
        <v/>
      </c>
      <c r="AF1240" s="8" t="str">
        <f t="shared" si="58"/>
        <v/>
      </c>
      <c r="AG1240" s="8" t="str">
        <f>IF(TRIM($E1240)&lt;&gt;"Tax Paid","",IF(COUNTIFS(LISTS!$F$2:$F$26,$AE1240,LISTS!$G$2:$G$26,$AF1240)=0,"NOT ON LIST",""))</f>
        <v/>
      </c>
      <c r="AH1240" s="8" t="str">
        <f t="shared" si="59"/>
        <v/>
      </c>
    </row>
    <row r="1241" spans="31:34" x14ac:dyDescent="0.25">
      <c r="AE1241" s="8" t="str">
        <f t="shared" si="57"/>
        <v/>
      </c>
      <c r="AF1241" s="8" t="str">
        <f t="shared" si="58"/>
        <v/>
      </c>
      <c r="AG1241" s="8" t="str">
        <f>IF(TRIM($E1241)&lt;&gt;"Tax Paid","",IF(COUNTIFS(LISTS!$F$2:$F$26,$AE1241,LISTS!$G$2:$G$26,$AF1241)=0,"NOT ON LIST",""))</f>
        <v/>
      </c>
      <c r="AH1241" s="8" t="str">
        <f t="shared" si="59"/>
        <v/>
      </c>
    </row>
    <row r="1242" spans="31:34" x14ac:dyDescent="0.25">
      <c r="AE1242" s="8" t="str">
        <f t="shared" si="57"/>
        <v/>
      </c>
      <c r="AF1242" s="8" t="str">
        <f t="shared" si="58"/>
        <v/>
      </c>
      <c r="AG1242" s="8" t="str">
        <f>IF(TRIM($E1242)&lt;&gt;"Tax Paid","",IF(COUNTIFS(LISTS!$F$2:$F$26,$AE1242,LISTS!$G$2:$G$26,$AF1242)=0,"NOT ON LIST",""))</f>
        <v/>
      </c>
      <c r="AH1242" s="8" t="str">
        <f t="shared" si="59"/>
        <v/>
      </c>
    </row>
    <row r="1243" spans="31:34" x14ac:dyDescent="0.25">
      <c r="AE1243" s="8" t="str">
        <f t="shared" si="57"/>
        <v/>
      </c>
      <c r="AF1243" s="8" t="str">
        <f t="shared" si="58"/>
        <v/>
      </c>
      <c r="AG1243" s="8" t="str">
        <f>IF(TRIM($E1243)&lt;&gt;"Tax Paid","",IF(COUNTIFS(LISTS!$F$2:$F$26,$AE1243,LISTS!$G$2:$G$26,$AF1243)=0,"NOT ON LIST",""))</f>
        <v/>
      </c>
      <c r="AH1243" s="8" t="str">
        <f t="shared" si="59"/>
        <v/>
      </c>
    </row>
    <row r="1244" spans="31:34" x14ac:dyDescent="0.25">
      <c r="AE1244" s="8" t="str">
        <f t="shared" si="57"/>
        <v/>
      </c>
      <c r="AF1244" s="8" t="str">
        <f t="shared" si="58"/>
        <v/>
      </c>
      <c r="AG1244" s="8" t="str">
        <f>IF(TRIM($E1244)&lt;&gt;"Tax Paid","",IF(COUNTIFS(LISTS!$F$2:$F$26,$AE1244,LISTS!$G$2:$G$26,$AF1244)=0,"NOT ON LIST",""))</f>
        <v/>
      </c>
      <c r="AH1244" s="8" t="str">
        <f t="shared" si="59"/>
        <v/>
      </c>
    </row>
    <row r="1245" spans="31:34" x14ac:dyDescent="0.25">
      <c r="AE1245" s="8" t="str">
        <f t="shared" si="57"/>
        <v/>
      </c>
      <c r="AF1245" s="8" t="str">
        <f t="shared" si="58"/>
        <v/>
      </c>
      <c r="AG1245" s="8" t="str">
        <f>IF(TRIM($E1245)&lt;&gt;"Tax Paid","",IF(COUNTIFS(LISTS!$F$2:$F$26,$AE1245,LISTS!$G$2:$G$26,$AF1245)=0,"NOT ON LIST",""))</f>
        <v/>
      </c>
      <c r="AH1245" s="8" t="str">
        <f t="shared" si="59"/>
        <v/>
      </c>
    </row>
    <row r="1246" spans="31:34" x14ac:dyDescent="0.25">
      <c r="AE1246" s="8" t="str">
        <f t="shared" si="57"/>
        <v/>
      </c>
      <c r="AF1246" s="8" t="str">
        <f t="shared" si="58"/>
        <v/>
      </c>
      <c r="AG1246" s="8" t="str">
        <f>IF(TRIM($E1246)&lt;&gt;"Tax Paid","",IF(COUNTIFS(LISTS!$F$2:$F$26,$AE1246,LISTS!$G$2:$G$26,$AF1246)=0,"NOT ON LIST",""))</f>
        <v/>
      </c>
      <c r="AH1246" s="8" t="str">
        <f t="shared" si="59"/>
        <v/>
      </c>
    </row>
    <row r="1247" spans="31:34" x14ac:dyDescent="0.25">
      <c r="AE1247" s="8" t="str">
        <f t="shared" si="57"/>
        <v/>
      </c>
      <c r="AF1247" s="8" t="str">
        <f t="shared" si="58"/>
        <v/>
      </c>
      <c r="AG1247" s="8" t="str">
        <f>IF(TRIM($E1247)&lt;&gt;"Tax Paid","",IF(COUNTIFS(LISTS!$F$2:$F$26,$AE1247,LISTS!$G$2:$G$26,$AF1247)=0,"NOT ON LIST",""))</f>
        <v/>
      </c>
      <c r="AH1247" s="8" t="str">
        <f t="shared" si="59"/>
        <v/>
      </c>
    </row>
    <row r="1248" spans="31:34" x14ac:dyDescent="0.25">
      <c r="AE1248" s="8" t="str">
        <f t="shared" si="57"/>
        <v/>
      </c>
      <c r="AF1248" s="8" t="str">
        <f t="shared" si="58"/>
        <v/>
      </c>
      <c r="AG1248" s="8" t="str">
        <f>IF(TRIM($E1248)&lt;&gt;"Tax Paid","",IF(COUNTIFS(LISTS!$F$2:$F$26,$AE1248,LISTS!$G$2:$G$26,$AF1248)=0,"NOT ON LIST",""))</f>
        <v/>
      </c>
      <c r="AH1248" s="8" t="str">
        <f t="shared" si="59"/>
        <v/>
      </c>
    </row>
    <row r="1249" spans="31:34" x14ac:dyDescent="0.25">
      <c r="AE1249" s="8" t="str">
        <f t="shared" si="57"/>
        <v/>
      </c>
      <c r="AF1249" s="8" t="str">
        <f t="shared" si="58"/>
        <v/>
      </c>
      <c r="AG1249" s="8" t="str">
        <f>IF(TRIM($E1249)&lt;&gt;"Tax Paid","",IF(COUNTIFS(LISTS!$F$2:$F$26,$AE1249,LISTS!$G$2:$G$26,$AF1249)=0,"NOT ON LIST",""))</f>
        <v/>
      </c>
      <c r="AH1249" s="8" t="str">
        <f t="shared" si="59"/>
        <v/>
      </c>
    </row>
    <row r="1250" spans="31:34" x14ac:dyDescent="0.25">
      <c r="AE1250" s="8" t="str">
        <f t="shared" si="57"/>
        <v/>
      </c>
      <c r="AF1250" s="8" t="str">
        <f t="shared" si="58"/>
        <v/>
      </c>
      <c r="AG1250" s="8" t="str">
        <f>IF(TRIM($E1250)&lt;&gt;"Tax Paid","",IF(COUNTIFS(LISTS!$F$2:$F$26,$AE1250,LISTS!$G$2:$G$26,$AF1250)=0,"NOT ON LIST",""))</f>
        <v/>
      </c>
      <c r="AH1250" s="8" t="str">
        <f t="shared" si="59"/>
        <v/>
      </c>
    </row>
    <row r="1251" spans="31:34" x14ac:dyDescent="0.25">
      <c r="AE1251" s="8" t="str">
        <f t="shared" si="57"/>
        <v/>
      </c>
      <c r="AF1251" s="8" t="str">
        <f t="shared" si="58"/>
        <v/>
      </c>
      <c r="AG1251" s="8" t="str">
        <f>IF(TRIM($E1251)&lt;&gt;"Tax Paid","",IF(COUNTIFS(LISTS!$F$2:$F$26,$AE1251,LISTS!$G$2:$G$26,$AF1251)=0,"NOT ON LIST",""))</f>
        <v/>
      </c>
      <c r="AH1251" s="8" t="str">
        <f t="shared" si="59"/>
        <v/>
      </c>
    </row>
    <row r="1252" spans="31:34" x14ac:dyDescent="0.25">
      <c r="AE1252" s="8" t="str">
        <f t="shared" si="57"/>
        <v/>
      </c>
      <c r="AF1252" s="8" t="str">
        <f t="shared" si="58"/>
        <v/>
      </c>
      <c r="AG1252" s="8" t="str">
        <f>IF(TRIM($E1252)&lt;&gt;"Tax Paid","",IF(COUNTIFS(LISTS!$F$2:$F$26,$AE1252,LISTS!$G$2:$G$26,$AF1252)=0,"NOT ON LIST",""))</f>
        <v/>
      </c>
      <c r="AH1252" s="8" t="str">
        <f t="shared" si="59"/>
        <v/>
      </c>
    </row>
    <row r="1253" spans="31:34" x14ac:dyDescent="0.25">
      <c r="AE1253" s="8" t="str">
        <f t="shared" si="57"/>
        <v/>
      </c>
      <c r="AF1253" s="8" t="str">
        <f t="shared" si="58"/>
        <v/>
      </c>
      <c r="AG1253" s="8" t="str">
        <f>IF(TRIM($E1253)&lt;&gt;"Tax Paid","",IF(COUNTIFS(LISTS!$F$2:$F$26,$AE1253,LISTS!$G$2:$G$26,$AF1253)=0,"NOT ON LIST",""))</f>
        <v/>
      </c>
      <c r="AH1253" s="8" t="str">
        <f t="shared" si="59"/>
        <v/>
      </c>
    </row>
    <row r="1254" spans="31:34" x14ac:dyDescent="0.25">
      <c r="AE1254" s="8" t="str">
        <f t="shared" si="57"/>
        <v/>
      </c>
      <c r="AF1254" s="8" t="str">
        <f t="shared" si="58"/>
        <v/>
      </c>
      <c r="AG1254" s="8" t="str">
        <f>IF(TRIM($E1254)&lt;&gt;"Tax Paid","",IF(COUNTIFS(LISTS!$F$2:$F$26,$AE1254,LISTS!$G$2:$G$26,$AF1254)=0,"NOT ON LIST",""))</f>
        <v/>
      </c>
      <c r="AH1254" s="8" t="str">
        <f t="shared" si="59"/>
        <v/>
      </c>
    </row>
    <row r="1255" spans="31:34" x14ac:dyDescent="0.25">
      <c r="AE1255" s="8" t="str">
        <f t="shared" si="57"/>
        <v/>
      </c>
      <c r="AF1255" s="8" t="str">
        <f t="shared" si="58"/>
        <v/>
      </c>
      <c r="AG1255" s="8" t="str">
        <f>IF(TRIM($E1255)&lt;&gt;"Tax Paid","",IF(COUNTIFS(LISTS!$F$2:$F$26,$AE1255,LISTS!$G$2:$G$26,$AF1255)=0,"NOT ON LIST",""))</f>
        <v/>
      </c>
      <c r="AH1255" s="8" t="str">
        <f t="shared" si="59"/>
        <v/>
      </c>
    </row>
    <row r="1256" spans="31:34" x14ac:dyDescent="0.25">
      <c r="AE1256" s="8" t="str">
        <f t="shared" si="57"/>
        <v/>
      </c>
      <c r="AF1256" s="8" t="str">
        <f t="shared" si="58"/>
        <v/>
      </c>
      <c r="AG1256" s="8" t="str">
        <f>IF(TRIM($E1256)&lt;&gt;"Tax Paid","",IF(COUNTIFS(LISTS!$F$2:$F$26,$AE1256,LISTS!$G$2:$G$26,$AF1256)=0,"NOT ON LIST",""))</f>
        <v/>
      </c>
      <c r="AH1256" s="8" t="str">
        <f t="shared" si="59"/>
        <v/>
      </c>
    </row>
    <row r="1257" spans="31:34" x14ac:dyDescent="0.25">
      <c r="AE1257" s="8" t="str">
        <f t="shared" si="57"/>
        <v/>
      </c>
      <c r="AF1257" s="8" t="str">
        <f t="shared" si="58"/>
        <v/>
      </c>
      <c r="AG1257" s="8" t="str">
        <f>IF(TRIM($E1257)&lt;&gt;"Tax Paid","",IF(COUNTIFS(LISTS!$F$2:$F$26,$AE1257,LISTS!$G$2:$G$26,$AF1257)=0,"NOT ON LIST",""))</f>
        <v/>
      </c>
      <c r="AH1257" s="8" t="str">
        <f t="shared" si="59"/>
        <v/>
      </c>
    </row>
    <row r="1258" spans="31:34" x14ac:dyDescent="0.25">
      <c r="AE1258" s="8" t="str">
        <f t="shared" si="57"/>
        <v/>
      </c>
      <c r="AF1258" s="8" t="str">
        <f t="shared" si="58"/>
        <v/>
      </c>
      <c r="AG1258" s="8" t="str">
        <f>IF(TRIM($E1258)&lt;&gt;"Tax Paid","",IF(COUNTIFS(LISTS!$F$2:$F$26,$AE1258,LISTS!$G$2:$G$26,$AF1258)=0,"NOT ON LIST",""))</f>
        <v/>
      </c>
      <c r="AH1258" s="8" t="str">
        <f t="shared" si="59"/>
        <v/>
      </c>
    </row>
    <row r="1259" spans="31:34" x14ac:dyDescent="0.25">
      <c r="AE1259" s="8" t="str">
        <f t="shared" si="57"/>
        <v/>
      </c>
      <c r="AF1259" s="8" t="str">
        <f t="shared" si="58"/>
        <v/>
      </c>
      <c r="AG1259" s="8" t="str">
        <f>IF(TRIM($E1259)&lt;&gt;"Tax Paid","",IF(COUNTIFS(LISTS!$F$2:$F$26,$AE1259,LISTS!$G$2:$G$26,$AF1259)=0,"NOT ON LIST",""))</f>
        <v/>
      </c>
      <c r="AH1259" s="8" t="str">
        <f t="shared" si="59"/>
        <v/>
      </c>
    </row>
    <row r="1260" spans="31:34" x14ac:dyDescent="0.25">
      <c r="AE1260" s="8" t="str">
        <f t="shared" si="57"/>
        <v/>
      </c>
      <c r="AF1260" s="8" t="str">
        <f t="shared" si="58"/>
        <v/>
      </c>
      <c r="AG1260" s="8" t="str">
        <f>IF(TRIM($E1260)&lt;&gt;"Tax Paid","",IF(COUNTIFS(LISTS!$F$2:$F$26,$AE1260,LISTS!$G$2:$G$26,$AF1260)=0,"NOT ON LIST",""))</f>
        <v/>
      </c>
      <c r="AH1260" s="8" t="str">
        <f t="shared" si="59"/>
        <v/>
      </c>
    </row>
    <row r="1261" spans="31:34" x14ac:dyDescent="0.25">
      <c r="AE1261" s="8" t="str">
        <f t="shared" si="57"/>
        <v/>
      </c>
      <c r="AF1261" s="8" t="str">
        <f t="shared" si="58"/>
        <v/>
      </c>
      <c r="AG1261" s="8" t="str">
        <f>IF(TRIM($E1261)&lt;&gt;"Tax Paid","",IF(COUNTIFS(LISTS!$F$2:$F$26,$AE1261,LISTS!$G$2:$G$26,$AF1261)=0,"NOT ON LIST",""))</f>
        <v/>
      </c>
      <c r="AH1261" s="8" t="str">
        <f t="shared" si="59"/>
        <v/>
      </c>
    </row>
    <row r="1262" spans="31:34" x14ac:dyDescent="0.25">
      <c r="AE1262" s="8" t="str">
        <f t="shared" si="57"/>
        <v/>
      </c>
      <c r="AF1262" s="8" t="str">
        <f t="shared" si="58"/>
        <v/>
      </c>
      <c r="AG1262" s="8" t="str">
        <f>IF(TRIM($E1262)&lt;&gt;"Tax Paid","",IF(COUNTIFS(LISTS!$F$2:$F$26,$AE1262,LISTS!$G$2:$G$26,$AF1262)=0,"NOT ON LIST",""))</f>
        <v/>
      </c>
      <c r="AH1262" s="8" t="str">
        <f t="shared" si="59"/>
        <v/>
      </c>
    </row>
    <row r="1263" spans="31:34" x14ac:dyDescent="0.25">
      <c r="AE1263" s="8" t="str">
        <f t="shared" si="57"/>
        <v/>
      </c>
      <c r="AF1263" s="8" t="str">
        <f t="shared" si="58"/>
        <v/>
      </c>
      <c r="AG1263" s="8" t="str">
        <f>IF(TRIM($E1263)&lt;&gt;"Tax Paid","",IF(COUNTIFS(LISTS!$F$2:$F$26,$AE1263,LISTS!$G$2:$G$26,$AF1263)=0,"NOT ON LIST",""))</f>
        <v/>
      </c>
      <c r="AH1263" s="8" t="str">
        <f t="shared" si="59"/>
        <v/>
      </c>
    </row>
    <row r="1264" spans="31:34" x14ac:dyDescent="0.25">
      <c r="AE1264" s="8" t="str">
        <f t="shared" si="57"/>
        <v/>
      </c>
      <c r="AF1264" s="8" t="str">
        <f t="shared" si="58"/>
        <v/>
      </c>
      <c r="AG1264" s="8" t="str">
        <f>IF(TRIM($E1264)&lt;&gt;"Tax Paid","",IF(COUNTIFS(LISTS!$F$2:$F$26,$AE1264,LISTS!$G$2:$G$26,$AF1264)=0,"NOT ON LIST",""))</f>
        <v/>
      </c>
      <c r="AH1264" s="8" t="str">
        <f t="shared" si="59"/>
        <v/>
      </c>
    </row>
    <row r="1265" spans="31:34" x14ac:dyDescent="0.25">
      <c r="AE1265" s="8" t="str">
        <f t="shared" si="57"/>
        <v/>
      </c>
      <c r="AF1265" s="8" t="str">
        <f t="shared" si="58"/>
        <v/>
      </c>
      <c r="AG1265" s="8" t="str">
        <f>IF(TRIM($E1265)&lt;&gt;"Tax Paid","",IF(COUNTIFS(LISTS!$F$2:$F$26,$AE1265,LISTS!$G$2:$G$26,$AF1265)=0,"NOT ON LIST",""))</f>
        <v/>
      </c>
      <c r="AH1265" s="8" t="str">
        <f t="shared" si="59"/>
        <v/>
      </c>
    </row>
    <row r="1266" spans="31:34" x14ac:dyDescent="0.25">
      <c r="AE1266" s="8" t="str">
        <f t="shared" si="57"/>
        <v/>
      </c>
      <c r="AF1266" s="8" t="str">
        <f t="shared" si="58"/>
        <v/>
      </c>
      <c r="AG1266" s="8" t="str">
        <f>IF(TRIM($E1266)&lt;&gt;"Tax Paid","",IF(COUNTIFS(LISTS!$F$2:$F$26,$AE1266,LISTS!$G$2:$G$26,$AF1266)=0,"NOT ON LIST",""))</f>
        <v/>
      </c>
      <c r="AH1266" s="8" t="str">
        <f t="shared" si="59"/>
        <v/>
      </c>
    </row>
    <row r="1267" spans="31:34" x14ac:dyDescent="0.25">
      <c r="AE1267" s="8" t="str">
        <f t="shared" si="57"/>
        <v/>
      </c>
      <c r="AF1267" s="8" t="str">
        <f t="shared" si="58"/>
        <v/>
      </c>
      <c r="AG1267" s="8" t="str">
        <f>IF(TRIM($E1267)&lt;&gt;"Tax Paid","",IF(COUNTIFS(LISTS!$F$2:$F$26,$AE1267,LISTS!$G$2:$G$26,$AF1267)=0,"NOT ON LIST",""))</f>
        <v/>
      </c>
      <c r="AH1267" s="8" t="str">
        <f t="shared" si="59"/>
        <v/>
      </c>
    </row>
    <row r="1268" spans="31:34" x14ac:dyDescent="0.25">
      <c r="AE1268" s="8" t="str">
        <f t="shared" si="57"/>
        <v/>
      </c>
      <c r="AF1268" s="8" t="str">
        <f t="shared" si="58"/>
        <v/>
      </c>
      <c r="AG1268" s="8" t="str">
        <f>IF(TRIM($E1268)&lt;&gt;"Tax Paid","",IF(COUNTIFS(LISTS!$F$2:$F$26,$AE1268,LISTS!$G$2:$G$26,$AF1268)=0,"NOT ON LIST",""))</f>
        <v/>
      </c>
      <c r="AH1268" s="8" t="str">
        <f t="shared" si="59"/>
        <v/>
      </c>
    </row>
    <row r="1269" spans="31:34" x14ac:dyDescent="0.25">
      <c r="AE1269" s="8" t="str">
        <f t="shared" si="57"/>
        <v/>
      </c>
      <c r="AF1269" s="8" t="str">
        <f t="shared" si="58"/>
        <v/>
      </c>
      <c r="AG1269" s="8" t="str">
        <f>IF(TRIM($E1269)&lt;&gt;"Tax Paid","",IF(COUNTIFS(LISTS!$F$2:$F$26,$AE1269,LISTS!$G$2:$G$26,$AF1269)=0,"NOT ON LIST",""))</f>
        <v/>
      </c>
      <c r="AH1269" s="8" t="str">
        <f t="shared" si="59"/>
        <v/>
      </c>
    </row>
    <row r="1270" spans="31:34" x14ac:dyDescent="0.25">
      <c r="AE1270" s="8" t="str">
        <f t="shared" si="57"/>
        <v/>
      </c>
      <c r="AF1270" s="8" t="str">
        <f t="shared" si="58"/>
        <v/>
      </c>
      <c r="AG1270" s="8" t="str">
        <f>IF(TRIM($E1270)&lt;&gt;"Tax Paid","",IF(COUNTIFS(LISTS!$F$2:$F$26,$AE1270,LISTS!$G$2:$G$26,$AF1270)=0,"NOT ON LIST",""))</f>
        <v/>
      </c>
      <c r="AH1270" s="8" t="str">
        <f t="shared" si="59"/>
        <v/>
      </c>
    </row>
    <row r="1271" spans="31:34" x14ac:dyDescent="0.25">
      <c r="AE1271" s="8" t="str">
        <f t="shared" si="57"/>
        <v/>
      </c>
      <c r="AF1271" s="8" t="str">
        <f t="shared" si="58"/>
        <v/>
      </c>
      <c r="AG1271" s="8" t="str">
        <f>IF(TRIM($E1271)&lt;&gt;"Tax Paid","",IF(COUNTIFS(LISTS!$F$2:$F$26,$AE1271,LISTS!$G$2:$G$26,$AF1271)=0,"NOT ON LIST",""))</f>
        <v/>
      </c>
      <c r="AH1271" s="8" t="str">
        <f t="shared" si="59"/>
        <v/>
      </c>
    </row>
    <row r="1272" spans="31:34" x14ac:dyDescent="0.25">
      <c r="AE1272" s="8" t="str">
        <f t="shared" si="57"/>
        <v/>
      </c>
      <c r="AF1272" s="8" t="str">
        <f t="shared" si="58"/>
        <v/>
      </c>
      <c r="AG1272" s="8" t="str">
        <f>IF(TRIM($E1272)&lt;&gt;"Tax Paid","",IF(COUNTIFS(LISTS!$F$2:$F$26,$AE1272,LISTS!$G$2:$G$26,$AF1272)=0,"NOT ON LIST",""))</f>
        <v/>
      </c>
      <c r="AH1272" s="8" t="str">
        <f t="shared" si="59"/>
        <v/>
      </c>
    </row>
    <row r="1273" spans="31:34" x14ac:dyDescent="0.25">
      <c r="AE1273" s="8" t="str">
        <f t="shared" si="57"/>
        <v/>
      </c>
      <c r="AF1273" s="8" t="str">
        <f t="shared" si="58"/>
        <v/>
      </c>
      <c r="AG1273" s="8" t="str">
        <f>IF(TRIM($E1273)&lt;&gt;"Tax Paid","",IF(COUNTIFS(LISTS!$F$2:$F$26,$AE1273,LISTS!$G$2:$G$26,$AF1273)=0,"NOT ON LIST",""))</f>
        <v/>
      </c>
      <c r="AH1273" s="8" t="str">
        <f t="shared" si="59"/>
        <v/>
      </c>
    </row>
    <row r="1274" spans="31:34" x14ac:dyDescent="0.25">
      <c r="AE1274" s="8" t="str">
        <f t="shared" si="57"/>
        <v/>
      </c>
      <c r="AF1274" s="8" t="str">
        <f t="shared" si="58"/>
        <v/>
      </c>
      <c r="AG1274" s="8" t="str">
        <f>IF(TRIM($E1274)&lt;&gt;"Tax Paid","",IF(COUNTIFS(LISTS!$F$2:$F$26,$AE1274,LISTS!$G$2:$G$26,$AF1274)=0,"NOT ON LIST",""))</f>
        <v/>
      </c>
      <c r="AH1274" s="8" t="str">
        <f t="shared" si="59"/>
        <v/>
      </c>
    </row>
    <row r="1275" spans="31:34" x14ac:dyDescent="0.25">
      <c r="AE1275" s="8" t="str">
        <f t="shared" si="57"/>
        <v/>
      </c>
      <c r="AF1275" s="8" t="str">
        <f t="shared" si="58"/>
        <v/>
      </c>
      <c r="AG1275" s="8" t="str">
        <f>IF(TRIM($E1275)&lt;&gt;"Tax Paid","",IF(COUNTIFS(LISTS!$F$2:$F$26,$AE1275,LISTS!$G$2:$G$26,$AF1275)=0,"NOT ON LIST",""))</f>
        <v/>
      </c>
      <c r="AH1275" s="8" t="str">
        <f t="shared" si="59"/>
        <v/>
      </c>
    </row>
    <row r="1276" spans="31:34" x14ac:dyDescent="0.25">
      <c r="AE1276" s="8" t="str">
        <f t="shared" si="57"/>
        <v/>
      </c>
      <c r="AF1276" s="8" t="str">
        <f t="shared" si="58"/>
        <v/>
      </c>
      <c r="AG1276" s="8" t="str">
        <f>IF(TRIM($E1276)&lt;&gt;"Tax Paid","",IF(COUNTIFS(LISTS!$F$2:$F$26,$AE1276,LISTS!$G$2:$G$26,$AF1276)=0,"NOT ON LIST",""))</f>
        <v/>
      </c>
      <c r="AH1276" s="8" t="str">
        <f t="shared" si="59"/>
        <v/>
      </c>
    </row>
    <row r="1277" spans="31:34" x14ac:dyDescent="0.25">
      <c r="AE1277" s="8" t="str">
        <f t="shared" si="57"/>
        <v/>
      </c>
      <c r="AF1277" s="8" t="str">
        <f t="shared" si="58"/>
        <v/>
      </c>
      <c r="AG1277" s="8" t="str">
        <f>IF(TRIM($E1277)&lt;&gt;"Tax Paid","",IF(COUNTIFS(LISTS!$F$2:$F$26,$AE1277,LISTS!$G$2:$G$26,$AF1277)=0,"NOT ON LIST",""))</f>
        <v/>
      </c>
      <c r="AH1277" s="8" t="str">
        <f t="shared" si="59"/>
        <v/>
      </c>
    </row>
    <row r="1278" spans="31:34" x14ac:dyDescent="0.25">
      <c r="AE1278" s="8" t="str">
        <f t="shared" si="57"/>
        <v/>
      </c>
      <c r="AF1278" s="8" t="str">
        <f t="shared" si="58"/>
        <v/>
      </c>
      <c r="AG1278" s="8" t="str">
        <f>IF(TRIM($E1278)&lt;&gt;"Tax Paid","",IF(COUNTIFS(LISTS!$F$2:$F$26,$AE1278,LISTS!$G$2:$G$26,$AF1278)=0,"NOT ON LIST",""))</f>
        <v/>
      </c>
      <c r="AH1278" s="8" t="str">
        <f t="shared" si="59"/>
        <v/>
      </c>
    </row>
    <row r="1279" spans="31:34" x14ac:dyDescent="0.25">
      <c r="AE1279" s="8" t="str">
        <f t="shared" si="57"/>
        <v/>
      </c>
      <c r="AF1279" s="8" t="str">
        <f t="shared" si="58"/>
        <v/>
      </c>
      <c r="AG1279" s="8" t="str">
        <f>IF(TRIM($E1279)&lt;&gt;"Tax Paid","",IF(COUNTIFS(LISTS!$F$2:$F$26,$AE1279,LISTS!$G$2:$G$26,$AF1279)=0,"NOT ON LIST",""))</f>
        <v/>
      </c>
      <c r="AH1279" s="8" t="str">
        <f t="shared" si="59"/>
        <v/>
      </c>
    </row>
    <row r="1280" spans="31:34" x14ac:dyDescent="0.25">
      <c r="AE1280" s="8" t="str">
        <f t="shared" si="57"/>
        <v/>
      </c>
      <c r="AF1280" s="8" t="str">
        <f t="shared" si="58"/>
        <v/>
      </c>
      <c r="AG1280" s="8" t="str">
        <f>IF(TRIM($E1280)&lt;&gt;"Tax Paid","",IF(COUNTIFS(LISTS!$F$2:$F$26,$AE1280,LISTS!$G$2:$G$26,$AF1280)=0,"NOT ON LIST",""))</f>
        <v/>
      </c>
      <c r="AH1280" s="8" t="str">
        <f t="shared" si="59"/>
        <v/>
      </c>
    </row>
    <row r="1281" spans="31:34" x14ac:dyDescent="0.25">
      <c r="AE1281" s="8" t="str">
        <f t="shared" si="57"/>
        <v/>
      </c>
      <c r="AF1281" s="8" t="str">
        <f t="shared" si="58"/>
        <v/>
      </c>
      <c r="AG1281" s="8" t="str">
        <f>IF(TRIM($E1281)&lt;&gt;"Tax Paid","",IF(COUNTIFS(LISTS!$F$2:$F$26,$AE1281,LISTS!$G$2:$G$26,$AF1281)=0,"NOT ON LIST",""))</f>
        <v/>
      </c>
      <c r="AH1281" s="8" t="str">
        <f t="shared" si="59"/>
        <v/>
      </c>
    </row>
    <row r="1282" spans="31:34" x14ac:dyDescent="0.25">
      <c r="AE1282" s="8" t="str">
        <f t="shared" ref="AE1282:AE1345" si="60">IF(TRIM($E1282)="Tax Paid",TRIM($S1282),"")</f>
        <v/>
      </c>
      <c r="AF1282" s="8" t="str">
        <f t="shared" ref="AF1282:AF1345" si="61">IF(TRIM($E1282)="Tax Paid",ROUND($Z1282/100,5),"")</f>
        <v/>
      </c>
      <c r="AG1282" s="8" t="str">
        <f>IF(TRIM($E1282)&lt;&gt;"Tax Paid","",IF(COUNTIFS(LISTS!$F$2:$F$26,$AE1282,LISTS!$G$2:$G$26,$AF1282)=0,"NOT ON LIST",""))</f>
        <v/>
      </c>
      <c r="AH1282" s="8" t="str">
        <f t="shared" ref="AH1282:AH1345" si="62">IF($AG1282="","",IF($AE1282="","(no county)",$AE1282)&amp;" ("&amp;SUBSTITUTE(TEXT($AF1282,"0.###%"),".%","%")&amp;")")</f>
        <v/>
      </c>
    </row>
    <row r="1283" spans="31:34" x14ac:dyDescent="0.25">
      <c r="AE1283" s="8" t="str">
        <f t="shared" si="60"/>
        <v/>
      </c>
      <c r="AF1283" s="8" t="str">
        <f t="shared" si="61"/>
        <v/>
      </c>
      <c r="AG1283" s="8" t="str">
        <f>IF(TRIM($E1283)&lt;&gt;"Tax Paid","",IF(COUNTIFS(LISTS!$F$2:$F$26,$AE1283,LISTS!$G$2:$G$26,$AF1283)=0,"NOT ON LIST",""))</f>
        <v/>
      </c>
      <c r="AH1283" s="8" t="str">
        <f t="shared" si="62"/>
        <v/>
      </c>
    </row>
    <row r="1284" spans="31:34" x14ac:dyDescent="0.25">
      <c r="AE1284" s="8" t="str">
        <f t="shared" si="60"/>
        <v/>
      </c>
      <c r="AF1284" s="8" t="str">
        <f t="shared" si="61"/>
        <v/>
      </c>
      <c r="AG1284" s="8" t="str">
        <f>IF(TRIM($E1284)&lt;&gt;"Tax Paid","",IF(COUNTIFS(LISTS!$F$2:$F$26,$AE1284,LISTS!$G$2:$G$26,$AF1284)=0,"NOT ON LIST",""))</f>
        <v/>
      </c>
      <c r="AH1284" s="8" t="str">
        <f t="shared" si="62"/>
        <v/>
      </c>
    </row>
    <row r="1285" spans="31:34" x14ac:dyDescent="0.25">
      <c r="AE1285" s="8" t="str">
        <f t="shared" si="60"/>
        <v/>
      </c>
      <c r="AF1285" s="8" t="str">
        <f t="shared" si="61"/>
        <v/>
      </c>
      <c r="AG1285" s="8" t="str">
        <f>IF(TRIM($E1285)&lt;&gt;"Tax Paid","",IF(COUNTIFS(LISTS!$F$2:$F$26,$AE1285,LISTS!$G$2:$G$26,$AF1285)=0,"NOT ON LIST",""))</f>
        <v/>
      </c>
      <c r="AH1285" s="8" t="str">
        <f t="shared" si="62"/>
        <v/>
      </c>
    </row>
    <row r="1286" spans="31:34" x14ac:dyDescent="0.25">
      <c r="AE1286" s="8" t="str">
        <f t="shared" si="60"/>
        <v/>
      </c>
      <c r="AF1286" s="8" t="str">
        <f t="shared" si="61"/>
        <v/>
      </c>
      <c r="AG1286" s="8" t="str">
        <f>IF(TRIM($E1286)&lt;&gt;"Tax Paid","",IF(COUNTIFS(LISTS!$F$2:$F$26,$AE1286,LISTS!$G$2:$G$26,$AF1286)=0,"NOT ON LIST",""))</f>
        <v/>
      </c>
      <c r="AH1286" s="8" t="str">
        <f t="shared" si="62"/>
        <v/>
      </c>
    </row>
    <row r="1287" spans="31:34" x14ac:dyDescent="0.25">
      <c r="AE1287" s="8" t="str">
        <f t="shared" si="60"/>
        <v/>
      </c>
      <c r="AF1287" s="8" t="str">
        <f t="shared" si="61"/>
        <v/>
      </c>
      <c r="AG1287" s="8" t="str">
        <f>IF(TRIM($E1287)&lt;&gt;"Tax Paid","",IF(COUNTIFS(LISTS!$F$2:$F$26,$AE1287,LISTS!$G$2:$G$26,$AF1287)=0,"NOT ON LIST",""))</f>
        <v/>
      </c>
      <c r="AH1287" s="8" t="str">
        <f t="shared" si="62"/>
        <v/>
      </c>
    </row>
    <row r="1288" spans="31:34" x14ac:dyDescent="0.25">
      <c r="AE1288" s="8" t="str">
        <f t="shared" si="60"/>
        <v/>
      </c>
      <c r="AF1288" s="8" t="str">
        <f t="shared" si="61"/>
        <v/>
      </c>
      <c r="AG1288" s="8" t="str">
        <f>IF(TRIM($E1288)&lt;&gt;"Tax Paid","",IF(COUNTIFS(LISTS!$F$2:$F$26,$AE1288,LISTS!$G$2:$G$26,$AF1288)=0,"NOT ON LIST",""))</f>
        <v/>
      </c>
      <c r="AH1288" s="8" t="str">
        <f t="shared" si="62"/>
        <v/>
      </c>
    </row>
    <row r="1289" spans="31:34" x14ac:dyDescent="0.25">
      <c r="AE1289" s="8" t="str">
        <f t="shared" si="60"/>
        <v/>
      </c>
      <c r="AF1289" s="8" t="str">
        <f t="shared" si="61"/>
        <v/>
      </c>
      <c r="AG1289" s="8" t="str">
        <f>IF(TRIM($E1289)&lt;&gt;"Tax Paid","",IF(COUNTIFS(LISTS!$F$2:$F$26,$AE1289,LISTS!$G$2:$G$26,$AF1289)=0,"NOT ON LIST",""))</f>
        <v/>
      </c>
      <c r="AH1289" s="8" t="str">
        <f t="shared" si="62"/>
        <v/>
      </c>
    </row>
    <row r="1290" spans="31:34" x14ac:dyDescent="0.25">
      <c r="AE1290" s="8" t="str">
        <f t="shared" si="60"/>
        <v/>
      </c>
      <c r="AF1290" s="8" t="str">
        <f t="shared" si="61"/>
        <v/>
      </c>
      <c r="AG1290" s="8" t="str">
        <f>IF(TRIM($E1290)&lt;&gt;"Tax Paid","",IF(COUNTIFS(LISTS!$F$2:$F$26,$AE1290,LISTS!$G$2:$G$26,$AF1290)=0,"NOT ON LIST",""))</f>
        <v/>
      </c>
      <c r="AH1290" s="8" t="str">
        <f t="shared" si="62"/>
        <v/>
      </c>
    </row>
    <row r="1291" spans="31:34" x14ac:dyDescent="0.25">
      <c r="AE1291" s="8" t="str">
        <f t="shared" si="60"/>
        <v/>
      </c>
      <c r="AF1291" s="8" t="str">
        <f t="shared" si="61"/>
        <v/>
      </c>
      <c r="AG1291" s="8" t="str">
        <f>IF(TRIM($E1291)&lt;&gt;"Tax Paid","",IF(COUNTIFS(LISTS!$F$2:$F$26,$AE1291,LISTS!$G$2:$G$26,$AF1291)=0,"NOT ON LIST",""))</f>
        <v/>
      </c>
      <c r="AH1291" s="8" t="str">
        <f t="shared" si="62"/>
        <v/>
      </c>
    </row>
    <row r="1292" spans="31:34" x14ac:dyDescent="0.25">
      <c r="AE1292" s="8" t="str">
        <f t="shared" si="60"/>
        <v/>
      </c>
      <c r="AF1292" s="8" t="str">
        <f t="shared" si="61"/>
        <v/>
      </c>
      <c r="AG1292" s="8" t="str">
        <f>IF(TRIM($E1292)&lt;&gt;"Tax Paid","",IF(COUNTIFS(LISTS!$F$2:$F$26,$AE1292,LISTS!$G$2:$G$26,$AF1292)=0,"NOT ON LIST",""))</f>
        <v/>
      </c>
      <c r="AH1292" s="8" t="str">
        <f t="shared" si="62"/>
        <v/>
      </c>
    </row>
    <row r="1293" spans="31:34" x14ac:dyDescent="0.25">
      <c r="AE1293" s="8" t="str">
        <f t="shared" si="60"/>
        <v/>
      </c>
      <c r="AF1293" s="8" t="str">
        <f t="shared" si="61"/>
        <v/>
      </c>
      <c r="AG1293" s="8" t="str">
        <f>IF(TRIM($E1293)&lt;&gt;"Tax Paid","",IF(COUNTIFS(LISTS!$F$2:$F$26,$AE1293,LISTS!$G$2:$G$26,$AF1293)=0,"NOT ON LIST",""))</f>
        <v/>
      </c>
      <c r="AH1293" s="8" t="str">
        <f t="shared" si="62"/>
        <v/>
      </c>
    </row>
    <row r="1294" spans="31:34" x14ac:dyDescent="0.25">
      <c r="AE1294" s="8" t="str">
        <f t="shared" si="60"/>
        <v/>
      </c>
      <c r="AF1294" s="8" t="str">
        <f t="shared" si="61"/>
        <v/>
      </c>
      <c r="AG1294" s="8" t="str">
        <f>IF(TRIM($E1294)&lt;&gt;"Tax Paid","",IF(COUNTIFS(LISTS!$F$2:$F$26,$AE1294,LISTS!$G$2:$G$26,$AF1294)=0,"NOT ON LIST",""))</f>
        <v/>
      </c>
      <c r="AH1294" s="8" t="str">
        <f t="shared" si="62"/>
        <v/>
      </c>
    </row>
    <row r="1295" spans="31:34" x14ac:dyDescent="0.25">
      <c r="AE1295" s="8" t="str">
        <f t="shared" si="60"/>
        <v/>
      </c>
      <c r="AF1295" s="8" t="str">
        <f t="shared" si="61"/>
        <v/>
      </c>
      <c r="AG1295" s="8" t="str">
        <f>IF(TRIM($E1295)&lt;&gt;"Tax Paid","",IF(COUNTIFS(LISTS!$F$2:$F$26,$AE1295,LISTS!$G$2:$G$26,$AF1295)=0,"NOT ON LIST",""))</f>
        <v/>
      </c>
      <c r="AH1295" s="8" t="str">
        <f t="shared" si="62"/>
        <v/>
      </c>
    </row>
    <row r="1296" spans="31:34" x14ac:dyDescent="0.25">
      <c r="AE1296" s="8" t="str">
        <f t="shared" si="60"/>
        <v/>
      </c>
      <c r="AF1296" s="8" t="str">
        <f t="shared" si="61"/>
        <v/>
      </c>
      <c r="AG1296" s="8" t="str">
        <f>IF(TRIM($E1296)&lt;&gt;"Tax Paid","",IF(COUNTIFS(LISTS!$F$2:$F$26,$AE1296,LISTS!$G$2:$G$26,$AF1296)=0,"NOT ON LIST",""))</f>
        <v/>
      </c>
      <c r="AH1296" s="8" t="str">
        <f t="shared" si="62"/>
        <v/>
      </c>
    </row>
    <row r="1297" spans="31:34" x14ac:dyDescent="0.25">
      <c r="AE1297" s="8" t="str">
        <f t="shared" si="60"/>
        <v/>
      </c>
      <c r="AF1297" s="8" t="str">
        <f t="shared" si="61"/>
        <v/>
      </c>
      <c r="AG1297" s="8" t="str">
        <f>IF(TRIM($E1297)&lt;&gt;"Tax Paid","",IF(COUNTIFS(LISTS!$F$2:$F$26,$AE1297,LISTS!$G$2:$G$26,$AF1297)=0,"NOT ON LIST",""))</f>
        <v/>
      </c>
      <c r="AH1297" s="8" t="str">
        <f t="shared" si="62"/>
        <v/>
      </c>
    </row>
    <row r="1298" spans="31:34" x14ac:dyDescent="0.25">
      <c r="AE1298" s="8" t="str">
        <f t="shared" si="60"/>
        <v/>
      </c>
      <c r="AF1298" s="8" t="str">
        <f t="shared" si="61"/>
        <v/>
      </c>
      <c r="AG1298" s="8" t="str">
        <f>IF(TRIM($E1298)&lt;&gt;"Tax Paid","",IF(COUNTIFS(LISTS!$F$2:$F$26,$AE1298,LISTS!$G$2:$G$26,$AF1298)=0,"NOT ON LIST",""))</f>
        <v/>
      </c>
      <c r="AH1298" s="8" t="str">
        <f t="shared" si="62"/>
        <v/>
      </c>
    </row>
    <row r="1299" spans="31:34" x14ac:dyDescent="0.25">
      <c r="AE1299" s="8" t="str">
        <f t="shared" si="60"/>
        <v/>
      </c>
      <c r="AF1299" s="8" t="str">
        <f t="shared" si="61"/>
        <v/>
      </c>
      <c r="AG1299" s="8" t="str">
        <f>IF(TRIM($E1299)&lt;&gt;"Tax Paid","",IF(COUNTIFS(LISTS!$F$2:$F$26,$AE1299,LISTS!$G$2:$G$26,$AF1299)=0,"NOT ON LIST",""))</f>
        <v/>
      </c>
      <c r="AH1299" s="8" t="str">
        <f t="shared" si="62"/>
        <v/>
      </c>
    </row>
    <row r="1300" spans="31:34" x14ac:dyDescent="0.25">
      <c r="AE1300" s="8" t="str">
        <f t="shared" si="60"/>
        <v/>
      </c>
      <c r="AF1300" s="8" t="str">
        <f t="shared" si="61"/>
        <v/>
      </c>
      <c r="AG1300" s="8" t="str">
        <f>IF(TRIM($E1300)&lt;&gt;"Tax Paid","",IF(COUNTIFS(LISTS!$F$2:$F$26,$AE1300,LISTS!$G$2:$G$26,$AF1300)=0,"NOT ON LIST",""))</f>
        <v/>
      </c>
      <c r="AH1300" s="8" t="str">
        <f t="shared" si="62"/>
        <v/>
      </c>
    </row>
    <row r="1301" spans="31:34" x14ac:dyDescent="0.25">
      <c r="AE1301" s="8" t="str">
        <f t="shared" si="60"/>
        <v/>
      </c>
      <c r="AF1301" s="8" t="str">
        <f t="shared" si="61"/>
        <v/>
      </c>
      <c r="AG1301" s="8" t="str">
        <f>IF(TRIM($E1301)&lt;&gt;"Tax Paid","",IF(COUNTIFS(LISTS!$F$2:$F$26,$AE1301,LISTS!$G$2:$G$26,$AF1301)=0,"NOT ON LIST",""))</f>
        <v/>
      </c>
      <c r="AH1301" s="8" t="str">
        <f t="shared" si="62"/>
        <v/>
      </c>
    </row>
    <row r="1302" spans="31:34" x14ac:dyDescent="0.25">
      <c r="AE1302" s="8" t="str">
        <f t="shared" si="60"/>
        <v/>
      </c>
      <c r="AF1302" s="8" t="str">
        <f t="shared" si="61"/>
        <v/>
      </c>
      <c r="AG1302" s="8" t="str">
        <f>IF(TRIM($E1302)&lt;&gt;"Tax Paid","",IF(COUNTIFS(LISTS!$F$2:$F$26,$AE1302,LISTS!$G$2:$G$26,$AF1302)=0,"NOT ON LIST",""))</f>
        <v/>
      </c>
      <c r="AH1302" s="8" t="str">
        <f t="shared" si="62"/>
        <v/>
      </c>
    </row>
    <row r="1303" spans="31:34" x14ac:dyDescent="0.25">
      <c r="AE1303" s="8" t="str">
        <f t="shared" si="60"/>
        <v/>
      </c>
      <c r="AF1303" s="8" t="str">
        <f t="shared" si="61"/>
        <v/>
      </c>
      <c r="AG1303" s="8" t="str">
        <f>IF(TRIM($E1303)&lt;&gt;"Tax Paid","",IF(COUNTIFS(LISTS!$F$2:$F$26,$AE1303,LISTS!$G$2:$G$26,$AF1303)=0,"NOT ON LIST",""))</f>
        <v/>
      </c>
      <c r="AH1303" s="8" t="str">
        <f t="shared" si="62"/>
        <v/>
      </c>
    </row>
    <row r="1304" spans="31:34" x14ac:dyDescent="0.25">
      <c r="AE1304" s="8" t="str">
        <f t="shared" si="60"/>
        <v/>
      </c>
      <c r="AF1304" s="8" t="str">
        <f t="shared" si="61"/>
        <v/>
      </c>
      <c r="AG1304" s="8" t="str">
        <f>IF(TRIM($E1304)&lt;&gt;"Tax Paid","",IF(COUNTIFS(LISTS!$F$2:$F$26,$AE1304,LISTS!$G$2:$G$26,$AF1304)=0,"NOT ON LIST",""))</f>
        <v/>
      </c>
      <c r="AH1304" s="8" t="str">
        <f t="shared" si="62"/>
        <v/>
      </c>
    </row>
    <row r="1305" spans="31:34" x14ac:dyDescent="0.25">
      <c r="AE1305" s="8" t="str">
        <f t="shared" si="60"/>
        <v/>
      </c>
      <c r="AF1305" s="8" t="str">
        <f t="shared" si="61"/>
        <v/>
      </c>
      <c r="AG1305" s="8" t="str">
        <f>IF(TRIM($E1305)&lt;&gt;"Tax Paid","",IF(COUNTIFS(LISTS!$F$2:$F$26,$AE1305,LISTS!$G$2:$G$26,$AF1305)=0,"NOT ON LIST",""))</f>
        <v/>
      </c>
      <c r="AH1305" s="8" t="str">
        <f t="shared" si="62"/>
        <v/>
      </c>
    </row>
    <row r="1306" spans="31:34" x14ac:dyDescent="0.25">
      <c r="AE1306" s="8" t="str">
        <f t="shared" si="60"/>
        <v/>
      </c>
      <c r="AF1306" s="8" t="str">
        <f t="shared" si="61"/>
        <v/>
      </c>
      <c r="AG1306" s="8" t="str">
        <f>IF(TRIM($E1306)&lt;&gt;"Tax Paid","",IF(COUNTIFS(LISTS!$F$2:$F$26,$AE1306,LISTS!$G$2:$G$26,$AF1306)=0,"NOT ON LIST",""))</f>
        <v/>
      </c>
      <c r="AH1306" s="8" t="str">
        <f t="shared" si="62"/>
        <v/>
      </c>
    </row>
    <row r="1307" spans="31:34" x14ac:dyDescent="0.25">
      <c r="AE1307" s="8" t="str">
        <f t="shared" si="60"/>
        <v/>
      </c>
      <c r="AF1307" s="8" t="str">
        <f t="shared" si="61"/>
        <v/>
      </c>
      <c r="AG1307" s="8" t="str">
        <f>IF(TRIM($E1307)&lt;&gt;"Tax Paid","",IF(COUNTIFS(LISTS!$F$2:$F$26,$AE1307,LISTS!$G$2:$G$26,$AF1307)=0,"NOT ON LIST",""))</f>
        <v/>
      </c>
      <c r="AH1307" s="8" t="str">
        <f t="shared" si="62"/>
        <v/>
      </c>
    </row>
    <row r="1308" spans="31:34" x14ac:dyDescent="0.25">
      <c r="AE1308" s="8" t="str">
        <f t="shared" si="60"/>
        <v/>
      </c>
      <c r="AF1308" s="8" t="str">
        <f t="shared" si="61"/>
        <v/>
      </c>
      <c r="AG1308" s="8" t="str">
        <f>IF(TRIM($E1308)&lt;&gt;"Tax Paid","",IF(COUNTIFS(LISTS!$F$2:$F$26,$AE1308,LISTS!$G$2:$G$26,$AF1308)=0,"NOT ON LIST",""))</f>
        <v/>
      </c>
      <c r="AH1308" s="8" t="str">
        <f t="shared" si="62"/>
        <v/>
      </c>
    </row>
    <row r="1309" spans="31:34" x14ac:dyDescent="0.25">
      <c r="AE1309" s="8" t="str">
        <f t="shared" si="60"/>
        <v/>
      </c>
      <c r="AF1309" s="8" t="str">
        <f t="shared" si="61"/>
        <v/>
      </c>
      <c r="AG1309" s="8" t="str">
        <f>IF(TRIM($E1309)&lt;&gt;"Tax Paid","",IF(COUNTIFS(LISTS!$F$2:$F$26,$AE1309,LISTS!$G$2:$G$26,$AF1309)=0,"NOT ON LIST",""))</f>
        <v/>
      </c>
      <c r="AH1309" s="8" t="str">
        <f t="shared" si="62"/>
        <v/>
      </c>
    </row>
    <row r="1310" spans="31:34" x14ac:dyDescent="0.25">
      <c r="AE1310" s="8" t="str">
        <f t="shared" si="60"/>
        <v/>
      </c>
      <c r="AF1310" s="8" t="str">
        <f t="shared" si="61"/>
        <v/>
      </c>
      <c r="AG1310" s="8" t="str">
        <f>IF(TRIM($E1310)&lt;&gt;"Tax Paid","",IF(COUNTIFS(LISTS!$F$2:$F$26,$AE1310,LISTS!$G$2:$G$26,$AF1310)=0,"NOT ON LIST",""))</f>
        <v/>
      </c>
      <c r="AH1310" s="8" t="str">
        <f t="shared" si="62"/>
        <v/>
      </c>
    </row>
    <row r="1311" spans="31:34" x14ac:dyDescent="0.25">
      <c r="AE1311" s="8" t="str">
        <f t="shared" si="60"/>
        <v/>
      </c>
      <c r="AF1311" s="8" t="str">
        <f t="shared" si="61"/>
        <v/>
      </c>
      <c r="AG1311" s="8" t="str">
        <f>IF(TRIM($E1311)&lt;&gt;"Tax Paid","",IF(COUNTIFS(LISTS!$F$2:$F$26,$AE1311,LISTS!$G$2:$G$26,$AF1311)=0,"NOT ON LIST",""))</f>
        <v/>
      </c>
      <c r="AH1311" s="8" t="str">
        <f t="shared" si="62"/>
        <v/>
      </c>
    </row>
    <row r="1312" spans="31:34" x14ac:dyDescent="0.25">
      <c r="AE1312" s="8" t="str">
        <f t="shared" si="60"/>
        <v/>
      </c>
      <c r="AF1312" s="8" t="str">
        <f t="shared" si="61"/>
        <v/>
      </c>
      <c r="AG1312" s="8" t="str">
        <f>IF(TRIM($E1312)&lt;&gt;"Tax Paid","",IF(COUNTIFS(LISTS!$F$2:$F$26,$AE1312,LISTS!$G$2:$G$26,$AF1312)=0,"NOT ON LIST",""))</f>
        <v/>
      </c>
      <c r="AH1312" s="8" t="str">
        <f t="shared" si="62"/>
        <v/>
      </c>
    </row>
    <row r="1313" spans="31:34" x14ac:dyDescent="0.25">
      <c r="AE1313" s="8" t="str">
        <f t="shared" si="60"/>
        <v/>
      </c>
      <c r="AF1313" s="8" t="str">
        <f t="shared" si="61"/>
        <v/>
      </c>
      <c r="AG1313" s="8" t="str">
        <f>IF(TRIM($E1313)&lt;&gt;"Tax Paid","",IF(COUNTIFS(LISTS!$F$2:$F$26,$AE1313,LISTS!$G$2:$G$26,$AF1313)=0,"NOT ON LIST",""))</f>
        <v/>
      </c>
      <c r="AH1313" s="8" t="str">
        <f t="shared" si="62"/>
        <v/>
      </c>
    </row>
    <row r="1314" spans="31:34" x14ac:dyDescent="0.25">
      <c r="AE1314" s="8" t="str">
        <f t="shared" si="60"/>
        <v/>
      </c>
      <c r="AF1314" s="8" t="str">
        <f t="shared" si="61"/>
        <v/>
      </c>
      <c r="AG1314" s="8" t="str">
        <f>IF(TRIM($E1314)&lt;&gt;"Tax Paid","",IF(COUNTIFS(LISTS!$F$2:$F$26,$AE1314,LISTS!$G$2:$G$26,$AF1314)=0,"NOT ON LIST",""))</f>
        <v/>
      </c>
      <c r="AH1314" s="8" t="str">
        <f t="shared" si="62"/>
        <v/>
      </c>
    </row>
    <row r="1315" spans="31:34" x14ac:dyDescent="0.25">
      <c r="AE1315" s="8" t="str">
        <f t="shared" si="60"/>
        <v/>
      </c>
      <c r="AF1315" s="8" t="str">
        <f t="shared" si="61"/>
        <v/>
      </c>
      <c r="AG1315" s="8" t="str">
        <f>IF(TRIM($E1315)&lt;&gt;"Tax Paid","",IF(COUNTIFS(LISTS!$F$2:$F$26,$AE1315,LISTS!$G$2:$G$26,$AF1315)=0,"NOT ON LIST",""))</f>
        <v/>
      </c>
      <c r="AH1315" s="8" t="str">
        <f t="shared" si="62"/>
        <v/>
      </c>
    </row>
    <row r="1316" spans="31:34" x14ac:dyDescent="0.25">
      <c r="AE1316" s="8" t="str">
        <f t="shared" si="60"/>
        <v/>
      </c>
      <c r="AF1316" s="8" t="str">
        <f t="shared" si="61"/>
        <v/>
      </c>
      <c r="AG1316" s="8" t="str">
        <f>IF(TRIM($E1316)&lt;&gt;"Tax Paid","",IF(COUNTIFS(LISTS!$F$2:$F$26,$AE1316,LISTS!$G$2:$G$26,$AF1316)=0,"NOT ON LIST",""))</f>
        <v/>
      </c>
      <c r="AH1316" s="8" t="str">
        <f t="shared" si="62"/>
        <v/>
      </c>
    </row>
    <row r="1317" spans="31:34" x14ac:dyDescent="0.25">
      <c r="AE1317" s="8" t="str">
        <f t="shared" si="60"/>
        <v/>
      </c>
      <c r="AF1317" s="8" t="str">
        <f t="shared" si="61"/>
        <v/>
      </c>
      <c r="AG1317" s="8" t="str">
        <f>IF(TRIM($E1317)&lt;&gt;"Tax Paid","",IF(COUNTIFS(LISTS!$F$2:$F$26,$AE1317,LISTS!$G$2:$G$26,$AF1317)=0,"NOT ON LIST",""))</f>
        <v/>
      </c>
      <c r="AH1317" s="8" t="str">
        <f t="shared" si="62"/>
        <v/>
      </c>
    </row>
    <row r="1318" spans="31:34" x14ac:dyDescent="0.25">
      <c r="AE1318" s="8" t="str">
        <f t="shared" si="60"/>
        <v/>
      </c>
      <c r="AF1318" s="8" t="str">
        <f t="shared" si="61"/>
        <v/>
      </c>
      <c r="AG1318" s="8" t="str">
        <f>IF(TRIM($E1318)&lt;&gt;"Tax Paid","",IF(COUNTIFS(LISTS!$F$2:$F$26,$AE1318,LISTS!$G$2:$G$26,$AF1318)=0,"NOT ON LIST",""))</f>
        <v/>
      </c>
      <c r="AH1318" s="8" t="str">
        <f t="shared" si="62"/>
        <v/>
      </c>
    </row>
    <row r="1319" spans="31:34" x14ac:dyDescent="0.25">
      <c r="AE1319" s="8" t="str">
        <f t="shared" si="60"/>
        <v/>
      </c>
      <c r="AF1319" s="8" t="str">
        <f t="shared" si="61"/>
        <v/>
      </c>
      <c r="AG1319" s="8" t="str">
        <f>IF(TRIM($E1319)&lt;&gt;"Tax Paid","",IF(COUNTIFS(LISTS!$F$2:$F$26,$AE1319,LISTS!$G$2:$G$26,$AF1319)=0,"NOT ON LIST",""))</f>
        <v/>
      </c>
      <c r="AH1319" s="8" t="str">
        <f t="shared" si="62"/>
        <v/>
      </c>
    </row>
    <row r="1320" spans="31:34" x14ac:dyDescent="0.25">
      <c r="AE1320" s="8" t="str">
        <f t="shared" si="60"/>
        <v/>
      </c>
      <c r="AF1320" s="8" t="str">
        <f t="shared" si="61"/>
        <v/>
      </c>
      <c r="AG1320" s="8" t="str">
        <f>IF(TRIM($E1320)&lt;&gt;"Tax Paid","",IF(COUNTIFS(LISTS!$F$2:$F$26,$AE1320,LISTS!$G$2:$G$26,$AF1320)=0,"NOT ON LIST",""))</f>
        <v/>
      </c>
      <c r="AH1320" s="8" t="str">
        <f t="shared" si="62"/>
        <v/>
      </c>
    </row>
    <row r="1321" spans="31:34" x14ac:dyDescent="0.25">
      <c r="AE1321" s="8" t="str">
        <f t="shared" si="60"/>
        <v/>
      </c>
      <c r="AF1321" s="8" t="str">
        <f t="shared" si="61"/>
        <v/>
      </c>
      <c r="AG1321" s="8" t="str">
        <f>IF(TRIM($E1321)&lt;&gt;"Tax Paid","",IF(COUNTIFS(LISTS!$F$2:$F$26,$AE1321,LISTS!$G$2:$G$26,$AF1321)=0,"NOT ON LIST",""))</f>
        <v/>
      </c>
      <c r="AH1321" s="8" t="str">
        <f t="shared" si="62"/>
        <v/>
      </c>
    </row>
    <row r="1322" spans="31:34" x14ac:dyDescent="0.25">
      <c r="AE1322" s="8" t="str">
        <f t="shared" si="60"/>
        <v/>
      </c>
      <c r="AF1322" s="8" t="str">
        <f t="shared" si="61"/>
        <v/>
      </c>
      <c r="AG1322" s="8" t="str">
        <f>IF(TRIM($E1322)&lt;&gt;"Tax Paid","",IF(COUNTIFS(LISTS!$F$2:$F$26,$AE1322,LISTS!$G$2:$G$26,$AF1322)=0,"NOT ON LIST",""))</f>
        <v/>
      </c>
      <c r="AH1322" s="8" t="str">
        <f t="shared" si="62"/>
        <v/>
      </c>
    </row>
    <row r="1323" spans="31:34" x14ac:dyDescent="0.25">
      <c r="AE1323" s="8" t="str">
        <f t="shared" si="60"/>
        <v/>
      </c>
      <c r="AF1323" s="8" t="str">
        <f t="shared" si="61"/>
        <v/>
      </c>
      <c r="AG1323" s="8" t="str">
        <f>IF(TRIM($E1323)&lt;&gt;"Tax Paid","",IF(COUNTIFS(LISTS!$F$2:$F$26,$AE1323,LISTS!$G$2:$G$26,$AF1323)=0,"NOT ON LIST",""))</f>
        <v/>
      </c>
      <c r="AH1323" s="8" t="str">
        <f t="shared" si="62"/>
        <v/>
      </c>
    </row>
    <row r="1324" spans="31:34" x14ac:dyDescent="0.25">
      <c r="AE1324" s="8" t="str">
        <f t="shared" si="60"/>
        <v/>
      </c>
      <c r="AF1324" s="8" t="str">
        <f t="shared" si="61"/>
        <v/>
      </c>
      <c r="AG1324" s="8" t="str">
        <f>IF(TRIM($E1324)&lt;&gt;"Tax Paid","",IF(COUNTIFS(LISTS!$F$2:$F$26,$AE1324,LISTS!$G$2:$G$26,$AF1324)=0,"NOT ON LIST",""))</f>
        <v/>
      </c>
      <c r="AH1324" s="8" t="str">
        <f t="shared" si="62"/>
        <v/>
      </c>
    </row>
    <row r="1325" spans="31:34" x14ac:dyDescent="0.25">
      <c r="AE1325" s="8" t="str">
        <f t="shared" si="60"/>
        <v/>
      </c>
      <c r="AF1325" s="8" t="str">
        <f t="shared" si="61"/>
        <v/>
      </c>
      <c r="AG1325" s="8" t="str">
        <f>IF(TRIM($E1325)&lt;&gt;"Tax Paid","",IF(COUNTIFS(LISTS!$F$2:$F$26,$AE1325,LISTS!$G$2:$G$26,$AF1325)=0,"NOT ON LIST",""))</f>
        <v/>
      </c>
      <c r="AH1325" s="8" t="str">
        <f t="shared" si="62"/>
        <v/>
      </c>
    </row>
    <row r="1326" spans="31:34" x14ac:dyDescent="0.25">
      <c r="AE1326" s="8" t="str">
        <f t="shared" si="60"/>
        <v/>
      </c>
      <c r="AF1326" s="8" t="str">
        <f t="shared" si="61"/>
        <v/>
      </c>
      <c r="AG1326" s="8" t="str">
        <f>IF(TRIM($E1326)&lt;&gt;"Tax Paid","",IF(COUNTIFS(LISTS!$F$2:$F$26,$AE1326,LISTS!$G$2:$G$26,$AF1326)=0,"NOT ON LIST",""))</f>
        <v/>
      </c>
      <c r="AH1326" s="8" t="str">
        <f t="shared" si="62"/>
        <v/>
      </c>
    </row>
    <row r="1327" spans="31:34" x14ac:dyDescent="0.25">
      <c r="AE1327" s="8" t="str">
        <f t="shared" si="60"/>
        <v/>
      </c>
      <c r="AF1327" s="8" t="str">
        <f t="shared" si="61"/>
        <v/>
      </c>
      <c r="AG1327" s="8" t="str">
        <f>IF(TRIM($E1327)&lt;&gt;"Tax Paid","",IF(COUNTIFS(LISTS!$F$2:$F$26,$AE1327,LISTS!$G$2:$G$26,$AF1327)=0,"NOT ON LIST",""))</f>
        <v/>
      </c>
      <c r="AH1327" s="8" t="str">
        <f t="shared" si="62"/>
        <v/>
      </c>
    </row>
    <row r="1328" spans="31:34" x14ac:dyDescent="0.25">
      <c r="AE1328" s="8" t="str">
        <f t="shared" si="60"/>
        <v/>
      </c>
      <c r="AF1328" s="8" t="str">
        <f t="shared" si="61"/>
        <v/>
      </c>
      <c r="AG1328" s="8" t="str">
        <f>IF(TRIM($E1328)&lt;&gt;"Tax Paid","",IF(COUNTIFS(LISTS!$F$2:$F$26,$AE1328,LISTS!$G$2:$G$26,$AF1328)=0,"NOT ON LIST",""))</f>
        <v/>
      </c>
      <c r="AH1328" s="8" t="str">
        <f t="shared" si="62"/>
        <v/>
      </c>
    </row>
    <row r="1329" spans="31:34" x14ac:dyDescent="0.25">
      <c r="AE1329" s="8" t="str">
        <f t="shared" si="60"/>
        <v/>
      </c>
      <c r="AF1329" s="8" t="str">
        <f t="shared" si="61"/>
        <v/>
      </c>
      <c r="AG1329" s="8" t="str">
        <f>IF(TRIM($E1329)&lt;&gt;"Tax Paid","",IF(COUNTIFS(LISTS!$F$2:$F$26,$AE1329,LISTS!$G$2:$G$26,$AF1329)=0,"NOT ON LIST",""))</f>
        <v/>
      </c>
      <c r="AH1329" s="8" t="str">
        <f t="shared" si="62"/>
        <v/>
      </c>
    </row>
    <row r="1330" spans="31:34" x14ac:dyDescent="0.25">
      <c r="AE1330" s="8" t="str">
        <f t="shared" si="60"/>
        <v/>
      </c>
      <c r="AF1330" s="8" t="str">
        <f t="shared" si="61"/>
        <v/>
      </c>
      <c r="AG1330" s="8" t="str">
        <f>IF(TRIM($E1330)&lt;&gt;"Tax Paid","",IF(COUNTIFS(LISTS!$F$2:$F$26,$AE1330,LISTS!$G$2:$G$26,$AF1330)=0,"NOT ON LIST",""))</f>
        <v/>
      </c>
      <c r="AH1330" s="8" t="str">
        <f t="shared" si="62"/>
        <v/>
      </c>
    </row>
    <row r="1331" spans="31:34" x14ac:dyDescent="0.25">
      <c r="AE1331" s="8" t="str">
        <f t="shared" si="60"/>
        <v/>
      </c>
      <c r="AF1331" s="8" t="str">
        <f t="shared" si="61"/>
        <v/>
      </c>
      <c r="AG1331" s="8" t="str">
        <f>IF(TRIM($E1331)&lt;&gt;"Tax Paid","",IF(COUNTIFS(LISTS!$F$2:$F$26,$AE1331,LISTS!$G$2:$G$26,$AF1331)=0,"NOT ON LIST",""))</f>
        <v/>
      </c>
      <c r="AH1331" s="8" t="str">
        <f t="shared" si="62"/>
        <v/>
      </c>
    </row>
    <row r="1332" spans="31:34" x14ac:dyDescent="0.25">
      <c r="AE1332" s="8" t="str">
        <f t="shared" si="60"/>
        <v/>
      </c>
      <c r="AF1332" s="8" t="str">
        <f t="shared" si="61"/>
        <v/>
      </c>
      <c r="AG1332" s="8" t="str">
        <f>IF(TRIM($E1332)&lt;&gt;"Tax Paid","",IF(COUNTIFS(LISTS!$F$2:$F$26,$AE1332,LISTS!$G$2:$G$26,$AF1332)=0,"NOT ON LIST",""))</f>
        <v/>
      </c>
      <c r="AH1332" s="8" t="str">
        <f t="shared" si="62"/>
        <v/>
      </c>
    </row>
    <row r="1333" spans="31:34" x14ac:dyDescent="0.25">
      <c r="AE1333" s="8" t="str">
        <f t="shared" si="60"/>
        <v/>
      </c>
      <c r="AF1333" s="8" t="str">
        <f t="shared" si="61"/>
        <v/>
      </c>
      <c r="AG1333" s="8" t="str">
        <f>IF(TRIM($E1333)&lt;&gt;"Tax Paid","",IF(COUNTIFS(LISTS!$F$2:$F$26,$AE1333,LISTS!$G$2:$G$26,$AF1333)=0,"NOT ON LIST",""))</f>
        <v/>
      </c>
      <c r="AH1333" s="8" t="str">
        <f t="shared" si="62"/>
        <v/>
      </c>
    </row>
    <row r="1334" spans="31:34" x14ac:dyDescent="0.25">
      <c r="AE1334" s="8" t="str">
        <f t="shared" si="60"/>
        <v/>
      </c>
      <c r="AF1334" s="8" t="str">
        <f t="shared" si="61"/>
        <v/>
      </c>
      <c r="AG1334" s="8" t="str">
        <f>IF(TRIM($E1334)&lt;&gt;"Tax Paid","",IF(COUNTIFS(LISTS!$F$2:$F$26,$AE1334,LISTS!$G$2:$G$26,$AF1334)=0,"NOT ON LIST",""))</f>
        <v/>
      </c>
      <c r="AH1334" s="8" t="str">
        <f t="shared" si="62"/>
        <v/>
      </c>
    </row>
    <row r="1335" spans="31:34" x14ac:dyDescent="0.25">
      <c r="AE1335" s="8" t="str">
        <f t="shared" si="60"/>
        <v/>
      </c>
      <c r="AF1335" s="8" t="str">
        <f t="shared" si="61"/>
        <v/>
      </c>
      <c r="AG1335" s="8" t="str">
        <f>IF(TRIM($E1335)&lt;&gt;"Tax Paid","",IF(COUNTIFS(LISTS!$F$2:$F$26,$AE1335,LISTS!$G$2:$G$26,$AF1335)=0,"NOT ON LIST",""))</f>
        <v/>
      </c>
      <c r="AH1335" s="8" t="str">
        <f t="shared" si="62"/>
        <v/>
      </c>
    </row>
    <row r="1336" spans="31:34" x14ac:dyDescent="0.25">
      <c r="AE1336" s="8" t="str">
        <f t="shared" si="60"/>
        <v/>
      </c>
      <c r="AF1336" s="8" t="str">
        <f t="shared" si="61"/>
        <v/>
      </c>
      <c r="AG1336" s="8" t="str">
        <f>IF(TRIM($E1336)&lt;&gt;"Tax Paid","",IF(COUNTIFS(LISTS!$F$2:$F$26,$AE1336,LISTS!$G$2:$G$26,$AF1336)=0,"NOT ON LIST",""))</f>
        <v/>
      </c>
      <c r="AH1336" s="8" t="str">
        <f t="shared" si="62"/>
        <v/>
      </c>
    </row>
    <row r="1337" spans="31:34" x14ac:dyDescent="0.25">
      <c r="AE1337" s="8" t="str">
        <f t="shared" si="60"/>
        <v/>
      </c>
      <c r="AF1337" s="8" t="str">
        <f t="shared" si="61"/>
        <v/>
      </c>
      <c r="AG1337" s="8" t="str">
        <f>IF(TRIM($E1337)&lt;&gt;"Tax Paid","",IF(COUNTIFS(LISTS!$F$2:$F$26,$AE1337,LISTS!$G$2:$G$26,$AF1337)=0,"NOT ON LIST",""))</f>
        <v/>
      </c>
      <c r="AH1337" s="8" t="str">
        <f t="shared" si="62"/>
        <v/>
      </c>
    </row>
    <row r="1338" spans="31:34" x14ac:dyDescent="0.25">
      <c r="AE1338" s="8" t="str">
        <f t="shared" si="60"/>
        <v/>
      </c>
      <c r="AF1338" s="8" t="str">
        <f t="shared" si="61"/>
        <v/>
      </c>
      <c r="AG1338" s="8" t="str">
        <f>IF(TRIM($E1338)&lt;&gt;"Tax Paid","",IF(COUNTIFS(LISTS!$F$2:$F$26,$AE1338,LISTS!$G$2:$G$26,$AF1338)=0,"NOT ON LIST",""))</f>
        <v/>
      </c>
      <c r="AH1338" s="8" t="str">
        <f t="shared" si="62"/>
        <v/>
      </c>
    </row>
    <row r="1339" spans="31:34" x14ac:dyDescent="0.25">
      <c r="AE1339" s="8" t="str">
        <f t="shared" si="60"/>
        <v/>
      </c>
      <c r="AF1339" s="8" t="str">
        <f t="shared" si="61"/>
        <v/>
      </c>
      <c r="AG1339" s="8" t="str">
        <f>IF(TRIM($E1339)&lt;&gt;"Tax Paid","",IF(COUNTIFS(LISTS!$F$2:$F$26,$AE1339,LISTS!$G$2:$G$26,$AF1339)=0,"NOT ON LIST",""))</f>
        <v/>
      </c>
      <c r="AH1339" s="8" t="str">
        <f t="shared" si="62"/>
        <v/>
      </c>
    </row>
    <row r="1340" spans="31:34" x14ac:dyDescent="0.25">
      <c r="AE1340" s="8" t="str">
        <f t="shared" si="60"/>
        <v/>
      </c>
      <c r="AF1340" s="8" t="str">
        <f t="shared" si="61"/>
        <v/>
      </c>
      <c r="AG1340" s="8" t="str">
        <f>IF(TRIM($E1340)&lt;&gt;"Tax Paid","",IF(COUNTIFS(LISTS!$F$2:$F$26,$AE1340,LISTS!$G$2:$G$26,$AF1340)=0,"NOT ON LIST",""))</f>
        <v/>
      </c>
      <c r="AH1340" s="8" t="str">
        <f t="shared" si="62"/>
        <v/>
      </c>
    </row>
    <row r="1341" spans="31:34" x14ac:dyDescent="0.25">
      <c r="AE1341" s="8" t="str">
        <f t="shared" si="60"/>
        <v/>
      </c>
      <c r="AF1341" s="8" t="str">
        <f t="shared" si="61"/>
        <v/>
      </c>
      <c r="AG1341" s="8" t="str">
        <f>IF(TRIM($E1341)&lt;&gt;"Tax Paid","",IF(COUNTIFS(LISTS!$F$2:$F$26,$AE1341,LISTS!$G$2:$G$26,$AF1341)=0,"NOT ON LIST",""))</f>
        <v/>
      </c>
      <c r="AH1341" s="8" t="str">
        <f t="shared" si="62"/>
        <v/>
      </c>
    </row>
    <row r="1342" spans="31:34" x14ac:dyDescent="0.25">
      <c r="AE1342" s="8" t="str">
        <f t="shared" si="60"/>
        <v/>
      </c>
      <c r="AF1342" s="8" t="str">
        <f t="shared" si="61"/>
        <v/>
      </c>
      <c r="AG1342" s="8" t="str">
        <f>IF(TRIM($E1342)&lt;&gt;"Tax Paid","",IF(COUNTIFS(LISTS!$F$2:$F$26,$AE1342,LISTS!$G$2:$G$26,$AF1342)=0,"NOT ON LIST",""))</f>
        <v/>
      </c>
      <c r="AH1342" s="8" t="str">
        <f t="shared" si="62"/>
        <v/>
      </c>
    </row>
    <row r="1343" spans="31:34" x14ac:dyDescent="0.25">
      <c r="AE1343" s="8" t="str">
        <f t="shared" si="60"/>
        <v/>
      </c>
      <c r="AF1343" s="8" t="str">
        <f t="shared" si="61"/>
        <v/>
      </c>
      <c r="AG1343" s="8" t="str">
        <f>IF(TRIM($E1343)&lt;&gt;"Tax Paid","",IF(COUNTIFS(LISTS!$F$2:$F$26,$AE1343,LISTS!$G$2:$G$26,$AF1343)=0,"NOT ON LIST",""))</f>
        <v/>
      </c>
      <c r="AH1343" s="8" t="str">
        <f t="shared" si="62"/>
        <v/>
      </c>
    </row>
    <row r="1344" spans="31:34" x14ac:dyDescent="0.25">
      <c r="AE1344" s="8" t="str">
        <f t="shared" si="60"/>
        <v/>
      </c>
      <c r="AF1344" s="8" t="str">
        <f t="shared" si="61"/>
        <v/>
      </c>
      <c r="AG1344" s="8" t="str">
        <f>IF(TRIM($E1344)&lt;&gt;"Tax Paid","",IF(COUNTIFS(LISTS!$F$2:$F$26,$AE1344,LISTS!$G$2:$G$26,$AF1344)=0,"NOT ON LIST",""))</f>
        <v/>
      </c>
      <c r="AH1344" s="8" t="str">
        <f t="shared" si="62"/>
        <v/>
      </c>
    </row>
    <row r="1345" spans="31:34" x14ac:dyDescent="0.25">
      <c r="AE1345" s="8" t="str">
        <f t="shared" si="60"/>
        <v/>
      </c>
      <c r="AF1345" s="8" t="str">
        <f t="shared" si="61"/>
        <v/>
      </c>
      <c r="AG1345" s="8" t="str">
        <f>IF(TRIM($E1345)&lt;&gt;"Tax Paid","",IF(COUNTIFS(LISTS!$F$2:$F$26,$AE1345,LISTS!$G$2:$G$26,$AF1345)=0,"NOT ON LIST",""))</f>
        <v/>
      </c>
      <c r="AH1345" s="8" t="str">
        <f t="shared" si="62"/>
        <v/>
      </c>
    </row>
    <row r="1346" spans="31:34" x14ac:dyDescent="0.25">
      <c r="AE1346" s="8" t="str">
        <f t="shared" ref="AE1346:AE1409" si="63">IF(TRIM($E1346)="Tax Paid",TRIM($S1346),"")</f>
        <v/>
      </c>
      <c r="AF1346" s="8" t="str">
        <f t="shared" ref="AF1346:AF1409" si="64">IF(TRIM($E1346)="Tax Paid",ROUND($Z1346/100,5),"")</f>
        <v/>
      </c>
      <c r="AG1346" s="8" t="str">
        <f>IF(TRIM($E1346)&lt;&gt;"Tax Paid","",IF(COUNTIFS(LISTS!$F$2:$F$26,$AE1346,LISTS!$G$2:$G$26,$AF1346)=0,"NOT ON LIST",""))</f>
        <v/>
      </c>
      <c r="AH1346" s="8" t="str">
        <f t="shared" ref="AH1346:AH1409" si="65">IF($AG1346="","",IF($AE1346="","(no county)",$AE1346)&amp;" ("&amp;SUBSTITUTE(TEXT($AF1346,"0.###%"),".%","%")&amp;")")</f>
        <v/>
      </c>
    </row>
    <row r="1347" spans="31:34" x14ac:dyDescent="0.25">
      <c r="AE1347" s="8" t="str">
        <f t="shared" si="63"/>
        <v/>
      </c>
      <c r="AF1347" s="8" t="str">
        <f t="shared" si="64"/>
        <v/>
      </c>
      <c r="AG1347" s="8" t="str">
        <f>IF(TRIM($E1347)&lt;&gt;"Tax Paid","",IF(COUNTIFS(LISTS!$F$2:$F$26,$AE1347,LISTS!$G$2:$G$26,$AF1347)=0,"NOT ON LIST",""))</f>
        <v/>
      </c>
      <c r="AH1347" s="8" t="str">
        <f t="shared" si="65"/>
        <v/>
      </c>
    </row>
    <row r="1348" spans="31:34" x14ac:dyDescent="0.25">
      <c r="AE1348" s="8" t="str">
        <f t="shared" si="63"/>
        <v/>
      </c>
      <c r="AF1348" s="8" t="str">
        <f t="shared" si="64"/>
        <v/>
      </c>
      <c r="AG1348" s="8" t="str">
        <f>IF(TRIM($E1348)&lt;&gt;"Tax Paid","",IF(COUNTIFS(LISTS!$F$2:$F$26,$AE1348,LISTS!$G$2:$G$26,$AF1348)=0,"NOT ON LIST",""))</f>
        <v/>
      </c>
      <c r="AH1348" s="8" t="str">
        <f t="shared" si="65"/>
        <v/>
      </c>
    </row>
    <row r="1349" spans="31:34" x14ac:dyDescent="0.25">
      <c r="AE1349" s="8" t="str">
        <f t="shared" si="63"/>
        <v/>
      </c>
      <c r="AF1349" s="8" t="str">
        <f t="shared" si="64"/>
        <v/>
      </c>
      <c r="AG1349" s="8" t="str">
        <f>IF(TRIM($E1349)&lt;&gt;"Tax Paid","",IF(COUNTIFS(LISTS!$F$2:$F$26,$AE1349,LISTS!$G$2:$G$26,$AF1349)=0,"NOT ON LIST",""))</f>
        <v/>
      </c>
      <c r="AH1349" s="8" t="str">
        <f t="shared" si="65"/>
        <v/>
      </c>
    </row>
    <row r="1350" spans="31:34" x14ac:dyDescent="0.25">
      <c r="AE1350" s="8" t="str">
        <f t="shared" si="63"/>
        <v/>
      </c>
      <c r="AF1350" s="8" t="str">
        <f t="shared" si="64"/>
        <v/>
      </c>
      <c r="AG1350" s="8" t="str">
        <f>IF(TRIM($E1350)&lt;&gt;"Tax Paid","",IF(COUNTIFS(LISTS!$F$2:$F$26,$AE1350,LISTS!$G$2:$G$26,$AF1350)=0,"NOT ON LIST",""))</f>
        <v/>
      </c>
      <c r="AH1350" s="8" t="str">
        <f t="shared" si="65"/>
        <v/>
      </c>
    </row>
    <row r="1351" spans="31:34" x14ac:dyDescent="0.25">
      <c r="AE1351" s="8" t="str">
        <f t="shared" si="63"/>
        <v/>
      </c>
      <c r="AF1351" s="8" t="str">
        <f t="shared" si="64"/>
        <v/>
      </c>
      <c r="AG1351" s="8" t="str">
        <f>IF(TRIM($E1351)&lt;&gt;"Tax Paid","",IF(COUNTIFS(LISTS!$F$2:$F$26,$AE1351,LISTS!$G$2:$G$26,$AF1351)=0,"NOT ON LIST",""))</f>
        <v/>
      </c>
      <c r="AH1351" s="8" t="str">
        <f t="shared" si="65"/>
        <v/>
      </c>
    </row>
    <row r="1352" spans="31:34" x14ac:dyDescent="0.25">
      <c r="AE1352" s="8" t="str">
        <f t="shared" si="63"/>
        <v/>
      </c>
      <c r="AF1352" s="8" t="str">
        <f t="shared" si="64"/>
        <v/>
      </c>
      <c r="AG1352" s="8" t="str">
        <f>IF(TRIM($E1352)&lt;&gt;"Tax Paid","",IF(COUNTIFS(LISTS!$F$2:$F$26,$AE1352,LISTS!$G$2:$G$26,$AF1352)=0,"NOT ON LIST",""))</f>
        <v/>
      </c>
      <c r="AH1352" s="8" t="str">
        <f t="shared" si="65"/>
        <v/>
      </c>
    </row>
    <row r="1353" spans="31:34" x14ac:dyDescent="0.25">
      <c r="AE1353" s="8" t="str">
        <f t="shared" si="63"/>
        <v/>
      </c>
      <c r="AF1353" s="8" t="str">
        <f t="shared" si="64"/>
        <v/>
      </c>
      <c r="AG1353" s="8" t="str">
        <f>IF(TRIM($E1353)&lt;&gt;"Tax Paid","",IF(COUNTIFS(LISTS!$F$2:$F$26,$AE1353,LISTS!$G$2:$G$26,$AF1353)=0,"NOT ON LIST",""))</f>
        <v/>
      </c>
      <c r="AH1353" s="8" t="str">
        <f t="shared" si="65"/>
        <v/>
      </c>
    </row>
    <row r="1354" spans="31:34" x14ac:dyDescent="0.25">
      <c r="AE1354" s="8" t="str">
        <f t="shared" si="63"/>
        <v/>
      </c>
      <c r="AF1354" s="8" t="str">
        <f t="shared" si="64"/>
        <v/>
      </c>
      <c r="AG1354" s="8" t="str">
        <f>IF(TRIM($E1354)&lt;&gt;"Tax Paid","",IF(COUNTIFS(LISTS!$F$2:$F$26,$AE1354,LISTS!$G$2:$G$26,$AF1354)=0,"NOT ON LIST",""))</f>
        <v/>
      </c>
      <c r="AH1354" s="8" t="str">
        <f t="shared" si="65"/>
        <v/>
      </c>
    </row>
    <row r="1355" spans="31:34" x14ac:dyDescent="0.25">
      <c r="AE1355" s="8" t="str">
        <f t="shared" si="63"/>
        <v/>
      </c>
      <c r="AF1355" s="8" t="str">
        <f t="shared" si="64"/>
        <v/>
      </c>
      <c r="AG1355" s="8" t="str">
        <f>IF(TRIM($E1355)&lt;&gt;"Tax Paid","",IF(COUNTIFS(LISTS!$F$2:$F$26,$AE1355,LISTS!$G$2:$G$26,$AF1355)=0,"NOT ON LIST",""))</f>
        <v/>
      </c>
      <c r="AH1355" s="8" t="str">
        <f t="shared" si="65"/>
        <v/>
      </c>
    </row>
    <row r="1356" spans="31:34" x14ac:dyDescent="0.25">
      <c r="AE1356" s="8" t="str">
        <f t="shared" si="63"/>
        <v/>
      </c>
      <c r="AF1356" s="8" t="str">
        <f t="shared" si="64"/>
        <v/>
      </c>
      <c r="AG1356" s="8" t="str">
        <f>IF(TRIM($E1356)&lt;&gt;"Tax Paid","",IF(COUNTIFS(LISTS!$F$2:$F$26,$AE1356,LISTS!$G$2:$G$26,$AF1356)=0,"NOT ON LIST",""))</f>
        <v/>
      </c>
      <c r="AH1356" s="8" t="str">
        <f t="shared" si="65"/>
        <v/>
      </c>
    </row>
    <row r="1357" spans="31:34" x14ac:dyDescent="0.25">
      <c r="AE1357" s="8" t="str">
        <f t="shared" si="63"/>
        <v/>
      </c>
      <c r="AF1357" s="8" t="str">
        <f t="shared" si="64"/>
        <v/>
      </c>
      <c r="AG1357" s="8" t="str">
        <f>IF(TRIM($E1357)&lt;&gt;"Tax Paid","",IF(COUNTIFS(LISTS!$F$2:$F$26,$AE1357,LISTS!$G$2:$G$26,$AF1357)=0,"NOT ON LIST",""))</f>
        <v/>
      </c>
      <c r="AH1357" s="8" t="str">
        <f t="shared" si="65"/>
        <v/>
      </c>
    </row>
    <row r="1358" spans="31:34" x14ac:dyDescent="0.25">
      <c r="AE1358" s="8" t="str">
        <f t="shared" si="63"/>
        <v/>
      </c>
      <c r="AF1358" s="8" t="str">
        <f t="shared" si="64"/>
        <v/>
      </c>
      <c r="AG1358" s="8" t="str">
        <f>IF(TRIM($E1358)&lt;&gt;"Tax Paid","",IF(COUNTIFS(LISTS!$F$2:$F$26,$AE1358,LISTS!$G$2:$G$26,$AF1358)=0,"NOT ON LIST",""))</f>
        <v/>
      </c>
      <c r="AH1358" s="8" t="str">
        <f t="shared" si="65"/>
        <v/>
      </c>
    </row>
    <row r="1359" spans="31:34" x14ac:dyDescent="0.25">
      <c r="AE1359" s="8" t="str">
        <f t="shared" si="63"/>
        <v/>
      </c>
      <c r="AF1359" s="8" t="str">
        <f t="shared" si="64"/>
        <v/>
      </c>
      <c r="AG1359" s="8" t="str">
        <f>IF(TRIM($E1359)&lt;&gt;"Tax Paid","",IF(COUNTIFS(LISTS!$F$2:$F$26,$AE1359,LISTS!$G$2:$G$26,$AF1359)=0,"NOT ON LIST",""))</f>
        <v/>
      </c>
      <c r="AH1359" s="8" t="str">
        <f t="shared" si="65"/>
        <v/>
      </c>
    </row>
    <row r="1360" spans="31:34" x14ac:dyDescent="0.25">
      <c r="AE1360" s="8" t="str">
        <f t="shared" si="63"/>
        <v/>
      </c>
      <c r="AF1360" s="8" t="str">
        <f t="shared" si="64"/>
        <v/>
      </c>
      <c r="AG1360" s="8" t="str">
        <f>IF(TRIM($E1360)&lt;&gt;"Tax Paid","",IF(COUNTIFS(LISTS!$F$2:$F$26,$AE1360,LISTS!$G$2:$G$26,$AF1360)=0,"NOT ON LIST",""))</f>
        <v/>
      </c>
      <c r="AH1360" s="8" t="str">
        <f t="shared" si="65"/>
        <v/>
      </c>
    </row>
    <row r="1361" spans="31:34" x14ac:dyDescent="0.25">
      <c r="AE1361" s="8" t="str">
        <f t="shared" si="63"/>
        <v/>
      </c>
      <c r="AF1361" s="8" t="str">
        <f t="shared" si="64"/>
        <v/>
      </c>
      <c r="AG1361" s="8" t="str">
        <f>IF(TRIM($E1361)&lt;&gt;"Tax Paid","",IF(COUNTIFS(LISTS!$F$2:$F$26,$AE1361,LISTS!$G$2:$G$26,$AF1361)=0,"NOT ON LIST",""))</f>
        <v/>
      </c>
      <c r="AH1361" s="8" t="str">
        <f t="shared" si="65"/>
        <v/>
      </c>
    </row>
    <row r="1362" spans="31:34" x14ac:dyDescent="0.25">
      <c r="AE1362" s="8" t="str">
        <f t="shared" si="63"/>
        <v/>
      </c>
      <c r="AF1362" s="8" t="str">
        <f t="shared" si="64"/>
        <v/>
      </c>
      <c r="AG1362" s="8" t="str">
        <f>IF(TRIM($E1362)&lt;&gt;"Tax Paid","",IF(COUNTIFS(LISTS!$F$2:$F$26,$AE1362,LISTS!$G$2:$G$26,$AF1362)=0,"NOT ON LIST",""))</f>
        <v/>
      </c>
      <c r="AH1362" s="8" t="str">
        <f t="shared" si="65"/>
        <v/>
      </c>
    </row>
    <row r="1363" spans="31:34" x14ac:dyDescent="0.25">
      <c r="AE1363" s="8" t="str">
        <f t="shared" si="63"/>
        <v/>
      </c>
      <c r="AF1363" s="8" t="str">
        <f t="shared" si="64"/>
        <v/>
      </c>
      <c r="AG1363" s="8" t="str">
        <f>IF(TRIM($E1363)&lt;&gt;"Tax Paid","",IF(COUNTIFS(LISTS!$F$2:$F$26,$AE1363,LISTS!$G$2:$G$26,$AF1363)=0,"NOT ON LIST",""))</f>
        <v/>
      </c>
      <c r="AH1363" s="8" t="str">
        <f t="shared" si="65"/>
        <v/>
      </c>
    </row>
    <row r="1364" spans="31:34" x14ac:dyDescent="0.25">
      <c r="AE1364" s="8" t="str">
        <f t="shared" si="63"/>
        <v/>
      </c>
      <c r="AF1364" s="8" t="str">
        <f t="shared" si="64"/>
        <v/>
      </c>
      <c r="AG1364" s="8" t="str">
        <f>IF(TRIM($E1364)&lt;&gt;"Tax Paid","",IF(COUNTIFS(LISTS!$F$2:$F$26,$AE1364,LISTS!$G$2:$G$26,$AF1364)=0,"NOT ON LIST",""))</f>
        <v/>
      </c>
      <c r="AH1364" s="8" t="str">
        <f t="shared" si="65"/>
        <v/>
      </c>
    </row>
    <row r="1365" spans="31:34" x14ac:dyDescent="0.25">
      <c r="AE1365" s="8" t="str">
        <f t="shared" si="63"/>
        <v/>
      </c>
      <c r="AF1365" s="8" t="str">
        <f t="shared" si="64"/>
        <v/>
      </c>
      <c r="AG1365" s="8" t="str">
        <f>IF(TRIM($E1365)&lt;&gt;"Tax Paid","",IF(COUNTIFS(LISTS!$F$2:$F$26,$AE1365,LISTS!$G$2:$G$26,$AF1365)=0,"NOT ON LIST",""))</f>
        <v/>
      </c>
      <c r="AH1365" s="8" t="str">
        <f t="shared" si="65"/>
        <v/>
      </c>
    </row>
    <row r="1366" spans="31:34" x14ac:dyDescent="0.25">
      <c r="AE1366" s="8" t="str">
        <f t="shared" si="63"/>
        <v/>
      </c>
      <c r="AF1366" s="8" t="str">
        <f t="shared" si="64"/>
        <v/>
      </c>
      <c r="AG1366" s="8" t="str">
        <f>IF(TRIM($E1366)&lt;&gt;"Tax Paid","",IF(COUNTIFS(LISTS!$F$2:$F$26,$AE1366,LISTS!$G$2:$G$26,$AF1366)=0,"NOT ON LIST",""))</f>
        <v/>
      </c>
      <c r="AH1366" s="8" t="str">
        <f t="shared" si="65"/>
        <v/>
      </c>
    </row>
    <row r="1367" spans="31:34" x14ac:dyDescent="0.25">
      <c r="AE1367" s="8" t="str">
        <f t="shared" si="63"/>
        <v/>
      </c>
      <c r="AF1367" s="8" t="str">
        <f t="shared" si="64"/>
        <v/>
      </c>
      <c r="AG1367" s="8" t="str">
        <f>IF(TRIM($E1367)&lt;&gt;"Tax Paid","",IF(COUNTIFS(LISTS!$F$2:$F$26,$AE1367,LISTS!$G$2:$G$26,$AF1367)=0,"NOT ON LIST",""))</f>
        <v/>
      </c>
      <c r="AH1367" s="8" t="str">
        <f t="shared" si="65"/>
        <v/>
      </c>
    </row>
    <row r="1368" spans="31:34" x14ac:dyDescent="0.25">
      <c r="AE1368" s="8" t="str">
        <f t="shared" si="63"/>
        <v/>
      </c>
      <c r="AF1368" s="8" t="str">
        <f t="shared" si="64"/>
        <v/>
      </c>
      <c r="AG1368" s="8" t="str">
        <f>IF(TRIM($E1368)&lt;&gt;"Tax Paid","",IF(COUNTIFS(LISTS!$F$2:$F$26,$AE1368,LISTS!$G$2:$G$26,$AF1368)=0,"NOT ON LIST",""))</f>
        <v/>
      </c>
      <c r="AH1368" s="8" t="str">
        <f t="shared" si="65"/>
        <v/>
      </c>
    </row>
    <row r="1369" spans="31:34" x14ac:dyDescent="0.25">
      <c r="AE1369" s="8" t="str">
        <f t="shared" si="63"/>
        <v/>
      </c>
      <c r="AF1369" s="8" t="str">
        <f t="shared" si="64"/>
        <v/>
      </c>
      <c r="AG1369" s="8" t="str">
        <f>IF(TRIM($E1369)&lt;&gt;"Tax Paid","",IF(COUNTIFS(LISTS!$F$2:$F$26,$AE1369,LISTS!$G$2:$G$26,$AF1369)=0,"NOT ON LIST",""))</f>
        <v/>
      </c>
      <c r="AH1369" s="8" t="str">
        <f t="shared" si="65"/>
        <v/>
      </c>
    </row>
    <row r="1370" spans="31:34" x14ac:dyDescent="0.25">
      <c r="AE1370" s="8" t="str">
        <f t="shared" si="63"/>
        <v/>
      </c>
      <c r="AF1370" s="8" t="str">
        <f t="shared" si="64"/>
        <v/>
      </c>
      <c r="AG1370" s="8" t="str">
        <f>IF(TRIM($E1370)&lt;&gt;"Tax Paid","",IF(COUNTIFS(LISTS!$F$2:$F$26,$AE1370,LISTS!$G$2:$G$26,$AF1370)=0,"NOT ON LIST",""))</f>
        <v/>
      </c>
      <c r="AH1370" s="8" t="str">
        <f t="shared" si="65"/>
        <v/>
      </c>
    </row>
    <row r="1371" spans="31:34" x14ac:dyDescent="0.25">
      <c r="AE1371" s="8" t="str">
        <f t="shared" si="63"/>
        <v/>
      </c>
      <c r="AF1371" s="8" t="str">
        <f t="shared" si="64"/>
        <v/>
      </c>
      <c r="AG1371" s="8" t="str">
        <f>IF(TRIM($E1371)&lt;&gt;"Tax Paid","",IF(COUNTIFS(LISTS!$F$2:$F$26,$AE1371,LISTS!$G$2:$G$26,$AF1371)=0,"NOT ON LIST",""))</f>
        <v/>
      </c>
      <c r="AH1371" s="8" t="str">
        <f t="shared" si="65"/>
        <v/>
      </c>
    </row>
    <row r="1372" spans="31:34" x14ac:dyDescent="0.25">
      <c r="AE1372" s="8" t="str">
        <f t="shared" si="63"/>
        <v/>
      </c>
      <c r="AF1372" s="8" t="str">
        <f t="shared" si="64"/>
        <v/>
      </c>
      <c r="AG1372" s="8" t="str">
        <f>IF(TRIM($E1372)&lt;&gt;"Tax Paid","",IF(COUNTIFS(LISTS!$F$2:$F$26,$AE1372,LISTS!$G$2:$G$26,$AF1372)=0,"NOT ON LIST",""))</f>
        <v/>
      </c>
      <c r="AH1372" s="8" t="str">
        <f t="shared" si="65"/>
        <v/>
      </c>
    </row>
    <row r="1373" spans="31:34" x14ac:dyDescent="0.25">
      <c r="AE1373" s="8" t="str">
        <f t="shared" si="63"/>
        <v/>
      </c>
      <c r="AF1373" s="8" t="str">
        <f t="shared" si="64"/>
        <v/>
      </c>
      <c r="AG1373" s="8" t="str">
        <f>IF(TRIM($E1373)&lt;&gt;"Tax Paid","",IF(COUNTIFS(LISTS!$F$2:$F$26,$AE1373,LISTS!$G$2:$G$26,$AF1373)=0,"NOT ON LIST",""))</f>
        <v/>
      </c>
      <c r="AH1373" s="8" t="str">
        <f t="shared" si="65"/>
        <v/>
      </c>
    </row>
    <row r="1374" spans="31:34" x14ac:dyDescent="0.25">
      <c r="AE1374" s="8" t="str">
        <f t="shared" si="63"/>
        <v/>
      </c>
      <c r="AF1374" s="8" t="str">
        <f t="shared" si="64"/>
        <v/>
      </c>
      <c r="AG1374" s="8" t="str">
        <f>IF(TRIM($E1374)&lt;&gt;"Tax Paid","",IF(COUNTIFS(LISTS!$F$2:$F$26,$AE1374,LISTS!$G$2:$G$26,$AF1374)=0,"NOT ON LIST",""))</f>
        <v/>
      </c>
      <c r="AH1374" s="8" t="str">
        <f t="shared" si="65"/>
        <v/>
      </c>
    </row>
    <row r="1375" spans="31:34" x14ac:dyDescent="0.25">
      <c r="AE1375" s="8" t="str">
        <f t="shared" si="63"/>
        <v/>
      </c>
      <c r="AF1375" s="8" t="str">
        <f t="shared" si="64"/>
        <v/>
      </c>
      <c r="AG1375" s="8" t="str">
        <f>IF(TRIM($E1375)&lt;&gt;"Tax Paid","",IF(COUNTIFS(LISTS!$F$2:$F$26,$AE1375,LISTS!$G$2:$G$26,$AF1375)=0,"NOT ON LIST",""))</f>
        <v/>
      </c>
      <c r="AH1375" s="8" t="str">
        <f t="shared" si="65"/>
        <v/>
      </c>
    </row>
    <row r="1376" spans="31:34" x14ac:dyDescent="0.25">
      <c r="AE1376" s="8" t="str">
        <f t="shared" si="63"/>
        <v/>
      </c>
      <c r="AF1376" s="8" t="str">
        <f t="shared" si="64"/>
        <v/>
      </c>
      <c r="AG1376" s="8" t="str">
        <f>IF(TRIM($E1376)&lt;&gt;"Tax Paid","",IF(COUNTIFS(LISTS!$F$2:$F$26,$AE1376,LISTS!$G$2:$G$26,$AF1376)=0,"NOT ON LIST",""))</f>
        <v/>
      </c>
      <c r="AH1376" s="8" t="str">
        <f t="shared" si="65"/>
        <v/>
      </c>
    </row>
    <row r="1377" spans="31:34" x14ac:dyDescent="0.25">
      <c r="AE1377" s="8" t="str">
        <f t="shared" si="63"/>
        <v/>
      </c>
      <c r="AF1377" s="8" t="str">
        <f t="shared" si="64"/>
        <v/>
      </c>
      <c r="AG1377" s="8" t="str">
        <f>IF(TRIM($E1377)&lt;&gt;"Tax Paid","",IF(COUNTIFS(LISTS!$F$2:$F$26,$AE1377,LISTS!$G$2:$G$26,$AF1377)=0,"NOT ON LIST",""))</f>
        <v/>
      </c>
      <c r="AH1377" s="8" t="str">
        <f t="shared" si="65"/>
        <v/>
      </c>
    </row>
    <row r="1378" spans="31:34" x14ac:dyDescent="0.25">
      <c r="AE1378" s="8" t="str">
        <f t="shared" si="63"/>
        <v/>
      </c>
      <c r="AF1378" s="8" t="str">
        <f t="shared" si="64"/>
        <v/>
      </c>
      <c r="AG1378" s="8" t="str">
        <f>IF(TRIM($E1378)&lt;&gt;"Tax Paid","",IF(COUNTIFS(LISTS!$F$2:$F$26,$AE1378,LISTS!$G$2:$G$26,$AF1378)=0,"NOT ON LIST",""))</f>
        <v/>
      </c>
      <c r="AH1378" s="8" t="str">
        <f t="shared" si="65"/>
        <v/>
      </c>
    </row>
    <row r="1379" spans="31:34" x14ac:dyDescent="0.25">
      <c r="AE1379" s="8" t="str">
        <f t="shared" si="63"/>
        <v/>
      </c>
      <c r="AF1379" s="8" t="str">
        <f t="shared" si="64"/>
        <v/>
      </c>
      <c r="AG1379" s="8" t="str">
        <f>IF(TRIM($E1379)&lt;&gt;"Tax Paid","",IF(COUNTIFS(LISTS!$F$2:$F$26,$AE1379,LISTS!$G$2:$G$26,$AF1379)=0,"NOT ON LIST",""))</f>
        <v/>
      </c>
      <c r="AH1379" s="8" t="str">
        <f t="shared" si="65"/>
        <v/>
      </c>
    </row>
    <row r="1380" spans="31:34" x14ac:dyDescent="0.25">
      <c r="AE1380" s="8" t="str">
        <f t="shared" si="63"/>
        <v/>
      </c>
      <c r="AF1380" s="8" t="str">
        <f t="shared" si="64"/>
        <v/>
      </c>
      <c r="AG1380" s="8" t="str">
        <f>IF(TRIM($E1380)&lt;&gt;"Tax Paid","",IF(COUNTIFS(LISTS!$F$2:$F$26,$AE1380,LISTS!$G$2:$G$26,$AF1380)=0,"NOT ON LIST",""))</f>
        <v/>
      </c>
      <c r="AH1380" s="8" t="str">
        <f t="shared" si="65"/>
        <v/>
      </c>
    </row>
    <row r="1381" spans="31:34" x14ac:dyDescent="0.25">
      <c r="AE1381" s="8" t="str">
        <f t="shared" si="63"/>
        <v/>
      </c>
      <c r="AF1381" s="8" t="str">
        <f t="shared" si="64"/>
        <v/>
      </c>
      <c r="AG1381" s="8" t="str">
        <f>IF(TRIM($E1381)&lt;&gt;"Tax Paid","",IF(COUNTIFS(LISTS!$F$2:$F$26,$AE1381,LISTS!$G$2:$G$26,$AF1381)=0,"NOT ON LIST",""))</f>
        <v/>
      </c>
      <c r="AH1381" s="8" t="str">
        <f t="shared" si="65"/>
        <v/>
      </c>
    </row>
    <row r="1382" spans="31:34" x14ac:dyDescent="0.25">
      <c r="AE1382" s="8" t="str">
        <f t="shared" si="63"/>
        <v/>
      </c>
      <c r="AF1382" s="8" t="str">
        <f t="shared" si="64"/>
        <v/>
      </c>
      <c r="AG1382" s="8" t="str">
        <f>IF(TRIM($E1382)&lt;&gt;"Tax Paid","",IF(COUNTIFS(LISTS!$F$2:$F$26,$AE1382,LISTS!$G$2:$G$26,$AF1382)=0,"NOT ON LIST",""))</f>
        <v/>
      </c>
      <c r="AH1382" s="8" t="str">
        <f t="shared" si="65"/>
        <v/>
      </c>
    </row>
    <row r="1383" spans="31:34" x14ac:dyDescent="0.25">
      <c r="AE1383" s="8" t="str">
        <f t="shared" si="63"/>
        <v/>
      </c>
      <c r="AF1383" s="8" t="str">
        <f t="shared" si="64"/>
        <v/>
      </c>
      <c r="AG1383" s="8" t="str">
        <f>IF(TRIM($E1383)&lt;&gt;"Tax Paid","",IF(COUNTIFS(LISTS!$F$2:$F$26,$AE1383,LISTS!$G$2:$G$26,$AF1383)=0,"NOT ON LIST",""))</f>
        <v/>
      </c>
      <c r="AH1383" s="8" t="str">
        <f t="shared" si="65"/>
        <v/>
      </c>
    </row>
    <row r="1384" spans="31:34" x14ac:dyDescent="0.25">
      <c r="AE1384" s="8" t="str">
        <f t="shared" si="63"/>
        <v/>
      </c>
      <c r="AF1384" s="8" t="str">
        <f t="shared" si="64"/>
        <v/>
      </c>
      <c r="AG1384" s="8" t="str">
        <f>IF(TRIM($E1384)&lt;&gt;"Tax Paid","",IF(COUNTIFS(LISTS!$F$2:$F$26,$AE1384,LISTS!$G$2:$G$26,$AF1384)=0,"NOT ON LIST",""))</f>
        <v/>
      </c>
      <c r="AH1384" s="8" t="str">
        <f t="shared" si="65"/>
        <v/>
      </c>
    </row>
    <row r="1385" spans="31:34" x14ac:dyDescent="0.25">
      <c r="AE1385" s="8" t="str">
        <f t="shared" si="63"/>
        <v/>
      </c>
      <c r="AF1385" s="8" t="str">
        <f t="shared" si="64"/>
        <v/>
      </c>
      <c r="AG1385" s="8" t="str">
        <f>IF(TRIM($E1385)&lt;&gt;"Tax Paid","",IF(COUNTIFS(LISTS!$F$2:$F$26,$AE1385,LISTS!$G$2:$G$26,$AF1385)=0,"NOT ON LIST",""))</f>
        <v/>
      </c>
      <c r="AH1385" s="8" t="str">
        <f t="shared" si="65"/>
        <v/>
      </c>
    </row>
    <row r="1386" spans="31:34" x14ac:dyDescent="0.25">
      <c r="AE1386" s="8" t="str">
        <f t="shared" si="63"/>
        <v/>
      </c>
      <c r="AF1386" s="8" t="str">
        <f t="shared" si="64"/>
        <v/>
      </c>
      <c r="AG1386" s="8" t="str">
        <f>IF(TRIM($E1386)&lt;&gt;"Tax Paid","",IF(COUNTIFS(LISTS!$F$2:$F$26,$AE1386,LISTS!$G$2:$G$26,$AF1386)=0,"NOT ON LIST",""))</f>
        <v/>
      </c>
      <c r="AH1386" s="8" t="str">
        <f t="shared" si="65"/>
        <v/>
      </c>
    </row>
    <row r="1387" spans="31:34" x14ac:dyDescent="0.25">
      <c r="AE1387" s="8" t="str">
        <f t="shared" si="63"/>
        <v/>
      </c>
      <c r="AF1387" s="8" t="str">
        <f t="shared" si="64"/>
        <v/>
      </c>
      <c r="AG1387" s="8" t="str">
        <f>IF(TRIM($E1387)&lt;&gt;"Tax Paid","",IF(COUNTIFS(LISTS!$F$2:$F$26,$AE1387,LISTS!$G$2:$G$26,$AF1387)=0,"NOT ON LIST",""))</f>
        <v/>
      </c>
      <c r="AH1387" s="8" t="str">
        <f t="shared" si="65"/>
        <v/>
      </c>
    </row>
    <row r="1388" spans="31:34" x14ac:dyDescent="0.25">
      <c r="AE1388" s="8" t="str">
        <f t="shared" si="63"/>
        <v/>
      </c>
      <c r="AF1388" s="8" t="str">
        <f t="shared" si="64"/>
        <v/>
      </c>
      <c r="AG1388" s="8" t="str">
        <f>IF(TRIM($E1388)&lt;&gt;"Tax Paid","",IF(COUNTIFS(LISTS!$F$2:$F$26,$AE1388,LISTS!$G$2:$G$26,$AF1388)=0,"NOT ON LIST",""))</f>
        <v/>
      </c>
      <c r="AH1388" s="8" t="str">
        <f t="shared" si="65"/>
        <v/>
      </c>
    </row>
    <row r="1389" spans="31:34" x14ac:dyDescent="0.25">
      <c r="AE1389" s="8" t="str">
        <f t="shared" si="63"/>
        <v/>
      </c>
      <c r="AF1389" s="8" t="str">
        <f t="shared" si="64"/>
        <v/>
      </c>
      <c r="AG1389" s="8" t="str">
        <f>IF(TRIM($E1389)&lt;&gt;"Tax Paid","",IF(COUNTIFS(LISTS!$F$2:$F$26,$AE1389,LISTS!$G$2:$G$26,$AF1389)=0,"NOT ON LIST",""))</f>
        <v/>
      </c>
      <c r="AH1389" s="8" t="str">
        <f t="shared" si="65"/>
        <v/>
      </c>
    </row>
    <row r="1390" spans="31:34" x14ac:dyDescent="0.25">
      <c r="AE1390" s="8" t="str">
        <f t="shared" si="63"/>
        <v/>
      </c>
      <c r="AF1390" s="8" t="str">
        <f t="shared" si="64"/>
        <v/>
      </c>
      <c r="AG1390" s="8" t="str">
        <f>IF(TRIM($E1390)&lt;&gt;"Tax Paid","",IF(COUNTIFS(LISTS!$F$2:$F$26,$AE1390,LISTS!$G$2:$G$26,$AF1390)=0,"NOT ON LIST",""))</f>
        <v/>
      </c>
      <c r="AH1390" s="8" t="str">
        <f t="shared" si="65"/>
        <v/>
      </c>
    </row>
    <row r="1391" spans="31:34" x14ac:dyDescent="0.25">
      <c r="AE1391" s="8" t="str">
        <f t="shared" si="63"/>
        <v/>
      </c>
      <c r="AF1391" s="8" t="str">
        <f t="shared" si="64"/>
        <v/>
      </c>
      <c r="AG1391" s="8" t="str">
        <f>IF(TRIM($E1391)&lt;&gt;"Tax Paid","",IF(COUNTIFS(LISTS!$F$2:$F$26,$AE1391,LISTS!$G$2:$G$26,$AF1391)=0,"NOT ON LIST",""))</f>
        <v/>
      </c>
      <c r="AH1391" s="8" t="str">
        <f t="shared" si="65"/>
        <v/>
      </c>
    </row>
    <row r="1392" spans="31:34" x14ac:dyDescent="0.25">
      <c r="AE1392" s="8" t="str">
        <f t="shared" si="63"/>
        <v/>
      </c>
      <c r="AF1392" s="8" t="str">
        <f t="shared" si="64"/>
        <v/>
      </c>
      <c r="AG1392" s="8" t="str">
        <f>IF(TRIM($E1392)&lt;&gt;"Tax Paid","",IF(COUNTIFS(LISTS!$F$2:$F$26,$AE1392,LISTS!$G$2:$G$26,$AF1392)=0,"NOT ON LIST",""))</f>
        <v/>
      </c>
      <c r="AH1392" s="8" t="str">
        <f t="shared" si="65"/>
        <v/>
      </c>
    </row>
    <row r="1393" spans="31:34" x14ac:dyDescent="0.25">
      <c r="AE1393" s="8" t="str">
        <f t="shared" si="63"/>
        <v/>
      </c>
      <c r="AF1393" s="8" t="str">
        <f t="shared" si="64"/>
        <v/>
      </c>
      <c r="AG1393" s="8" t="str">
        <f>IF(TRIM($E1393)&lt;&gt;"Tax Paid","",IF(COUNTIFS(LISTS!$F$2:$F$26,$AE1393,LISTS!$G$2:$G$26,$AF1393)=0,"NOT ON LIST",""))</f>
        <v/>
      </c>
      <c r="AH1393" s="8" t="str">
        <f t="shared" si="65"/>
        <v/>
      </c>
    </row>
    <row r="1394" spans="31:34" x14ac:dyDescent="0.25">
      <c r="AE1394" s="8" t="str">
        <f t="shared" si="63"/>
        <v/>
      </c>
      <c r="AF1394" s="8" t="str">
        <f t="shared" si="64"/>
        <v/>
      </c>
      <c r="AG1394" s="8" t="str">
        <f>IF(TRIM($E1394)&lt;&gt;"Tax Paid","",IF(COUNTIFS(LISTS!$F$2:$F$26,$AE1394,LISTS!$G$2:$G$26,$AF1394)=0,"NOT ON LIST",""))</f>
        <v/>
      </c>
      <c r="AH1394" s="8" t="str">
        <f t="shared" si="65"/>
        <v/>
      </c>
    </row>
    <row r="1395" spans="31:34" x14ac:dyDescent="0.25">
      <c r="AE1395" s="8" t="str">
        <f t="shared" si="63"/>
        <v/>
      </c>
      <c r="AF1395" s="8" t="str">
        <f t="shared" si="64"/>
        <v/>
      </c>
      <c r="AG1395" s="8" t="str">
        <f>IF(TRIM($E1395)&lt;&gt;"Tax Paid","",IF(COUNTIFS(LISTS!$F$2:$F$26,$AE1395,LISTS!$G$2:$G$26,$AF1395)=0,"NOT ON LIST",""))</f>
        <v/>
      </c>
      <c r="AH1395" s="8" t="str">
        <f t="shared" si="65"/>
        <v/>
      </c>
    </row>
    <row r="1396" spans="31:34" x14ac:dyDescent="0.25">
      <c r="AE1396" s="8" t="str">
        <f t="shared" si="63"/>
        <v/>
      </c>
      <c r="AF1396" s="8" t="str">
        <f t="shared" si="64"/>
        <v/>
      </c>
      <c r="AG1396" s="8" t="str">
        <f>IF(TRIM($E1396)&lt;&gt;"Tax Paid","",IF(COUNTIFS(LISTS!$F$2:$F$26,$AE1396,LISTS!$G$2:$G$26,$AF1396)=0,"NOT ON LIST",""))</f>
        <v/>
      </c>
      <c r="AH1396" s="8" t="str">
        <f t="shared" si="65"/>
        <v/>
      </c>
    </row>
    <row r="1397" spans="31:34" x14ac:dyDescent="0.25">
      <c r="AE1397" s="8" t="str">
        <f t="shared" si="63"/>
        <v/>
      </c>
      <c r="AF1397" s="8" t="str">
        <f t="shared" si="64"/>
        <v/>
      </c>
      <c r="AG1397" s="8" t="str">
        <f>IF(TRIM($E1397)&lt;&gt;"Tax Paid","",IF(COUNTIFS(LISTS!$F$2:$F$26,$AE1397,LISTS!$G$2:$G$26,$AF1397)=0,"NOT ON LIST",""))</f>
        <v/>
      </c>
      <c r="AH1397" s="8" t="str">
        <f t="shared" si="65"/>
        <v/>
      </c>
    </row>
    <row r="1398" spans="31:34" x14ac:dyDescent="0.25">
      <c r="AE1398" s="8" t="str">
        <f t="shared" si="63"/>
        <v/>
      </c>
      <c r="AF1398" s="8" t="str">
        <f t="shared" si="64"/>
        <v/>
      </c>
      <c r="AG1398" s="8" t="str">
        <f>IF(TRIM($E1398)&lt;&gt;"Tax Paid","",IF(COUNTIFS(LISTS!$F$2:$F$26,$AE1398,LISTS!$G$2:$G$26,$AF1398)=0,"NOT ON LIST",""))</f>
        <v/>
      </c>
      <c r="AH1398" s="8" t="str">
        <f t="shared" si="65"/>
        <v/>
      </c>
    </row>
    <row r="1399" spans="31:34" x14ac:dyDescent="0.25">
      <c r="AE1399" s="8" t="str">
        <f t="shared" si="63"/>
        <v/>
      </c>
      <c r="AF1399" s="8" t="str">
        <f t="shared" si="64"/>
        <v/>
      </c>
      <c r="AG1399" s="8" t="str">
        <f>IF(TRIM($E1399)&lt;&gt;"Tax Paid","",IF(COUNTIFS(LISTS!$F$2:$F$26,$AE1399,LISTS!$G$2:$G$26,$AF1399)=0,"NOT ON LIST",""))</f>
        <v/>
      </c>
      <c r="AH1399" s="8" t="str">
        <f t="shared" si="65"/>
        <v/>
      </c>
    </row>
    <row r="1400" spans="31:34" x14ac:dyDescent="0.25">
      <c r="AE1400" s="8" t="str">
        <f t="shared" si="63"/>
        <v/>
      </c>
      <c r="AF1400" s="8" t="str">
        <f t="shared" si="64"/>
        <v/>
      </c>
      <c r="AG1400" s="8" t="str">
        <f>IF(TRIM($E1400)&lt;&gt;"Tax Paid","",IF(COUNTIFS(LISTS!$F$2:$F$26,$AE1400,LISTS!$G$2:$G$26,$AF1400)=0,"NOT ON LIST",""))</f>
        <v/>
      </c>
      <c r="AH1400" s="8" t="str">
        <f t="shared" si="65"/>
        <v/>
      </c>
    </row>
    <row r="1401" spans="31:34" x14ac:dyDescent="0.25">
      <c r="AE1401" s="8" t="str">
        <f t="shared" si="63"/>
        <v/>
      </c>
      <c r="AF1401" s="8" t="str">
        <f t="shared" si="64"/>
        <v/>
      </c>
      <c r="AG1401" s="8" t="str">
        <f>IF(TRIM($E1401)&lt;&gt;"Tax Paid","",IF(COUNTIFS(LISTS!$F$2:$F$26,$AE1401,LISTS!$G$2:$G$26,$AF1401)=0,"NOT ON LIST",""))</f>
        <v/>
      </c>
      <c r="AH1401" s="8" t="str">
        <f t="shared" si="65"/>
        <v/>
      </c>
    </row>
    <row r="1402" spans="31:34" x14ac:dyDescent="0.25">
      <c r="AE1402" s="8" t="str">
        <f t="shared" si="63"/>
        <v/>
      </c>
      <c r="AF1402" s="8" t="str">
        <f t="shared" si="64"/>
        <v/>
      </c>
      <c r="AG1402" s="8" t="str">
        <f>IF(TRIM($E1402)&lt;&gt;"Tax Paid","",IF(COUNTIFS(LISTS!$F$2:$F$26,$AE1402,LISTS!$G$2:$G$26,$AF1402)=0,"NOT ON LIST",""))</f>
        <v/>
      </c>
      <c r="AH1402" s="8" t="str">
        <f t="shared" si="65"/>
        <v/>
      </c>
    </row>
    <row r="1403" spans="31:34" x14ac:dyDescent="0.25">
      <c r="AE1403" s="8" t="str">
        <f t="shared" si="63"/>
        <v/>
      </c>
      <c r="AF1403" s="8" t="str">
        <f t="shared" si="64"/>
        <v/>
      </c>
      <c r="AG1403" s="8" t="str">
        <f>IF(TRIM($E1403)&lt;&gt;"Tax Paid","",IF(COUNTIFS(LISTS!$F$2:$F$26,$AE1403,LISTS!$G$2:$G$26,$AF1403)=0,"NOT ON LIST",""))</f>
        <v/>
      </c>
      <c r="AH1403" s="8" t="str">
        <f t="shared" si="65"/>
        <v/>
      </c>
    </row>
    <row r="1404" spans="31:34" x14ac:dyDescent="0.25">
      <c r="AE1404" s="8" t="str">
        <f t="shared" si="63"/>
        <v/>
      </c>
      <c r="AF1404" s="8" t="str">
        <f t="shared" si="64"/>
        <v/>
      </c>
      <c r="AG1404" s="8" t="str">
        <f>IF(TRIM($E1404)&lt;&gt;"Tax Paid","",IF(COUNTIFS(LISTS!$F$2:$F$26,$AE1404,LISTS!$G$2:$G$26,$AF1404)=0,"NOT ON LIST",""))</f>
        <v/>
      </c>
      <c r="AH1404" s="8" t="str">
        <f t="shared" si="65"/>
        <v/>
      </c>
    </row>
    <row r="1405" spans="31:34" x14ac:dyDescent="0.25">
      <c r="AE1405" s="8" t="str">
        <f t="shared" si="63"/>
        <v/>
      </c>
      <c r="AF1405" s="8" t="str">
        <f t="shared" si="64"/>
        <v/>
      </c>
      <c r="AG1405" s="8" t="str">
        <f>IF(TRIM($E1405)&lt;&gt;"Tax Paid","",IF(COUNTIFS(LISTS!$F$2:$F$26,$AE1405,LISTS!$G$2:$G$26,$AF1405)=0,"NOT ON LIST",""))</f>
        <v/>
      </c>
      <c r="AH1405" s="8" t="str">
        <f t="shared" si="65"/>
        <v/>
      </c>
    </row>
    <row r="1406" spans="31:34" x14ac:dyDescent="0.25">
      <c r="AE1406" s="8" t="str">
        <f t="shared" si="63"/>
        <v/>
      </c>
      <c r="AF1406" s="8" t="str">
        <f t="shared" si="64"/>
        <v/>
      </c>
      <c r="AG1406" s="8" t="str">
        <f>IF(TRIM($E1406)&lt;&gt;"Tax Paid","",IF(COUNTIFS(LISTS!$F$2:$F$26,$AE1406,LISTS!$G$2:$G$26,$AF1406)=0,"NOT ON LIST",""))</f>
        <v/>
      </c>
      <c r="AH1406" s="8" t="str">
        <f t="shared" si="65"/>
        <v/>
      </c>
    </row>
    <row r="1407" spans="31:34" x14ac:dyDescent="0.25">
      <c r="AE1407" s="8" t="str">
        <f t="shared" si="63"/>
        <v/>
      </c>
      <c r="AF1407" s="8" t="str">
        <f t="shared" si="64"/>
        <v/>
      </c>
      <c r="AG1407" s="8" t="str">
        <f>IF(TRIM($E1407)&lt;&gt;"Tax Paid","",IF(COUNTIFS(LISTS!$F$2:$F$26,$AE1407,LISTS!$G$2:$G$26,$AF1407)=0,"NOT ON LIST",""))</f>
        <v/>
      </c>
      <c r="AH1407" s="8" t="str">
        <f t="shared" si="65"/>
        <v/>
      </c>
    </row>
    <row r="1408" spans="31:34" x14ac:dyDescent="0.25">
      <c r="AE1408" s="8" t="str">
        <f t="shared" si="63"/>
        <v/>
      </c>
      <c r="AF1408" s="8" t="str">
        <f t="shared" si="64"/>
        <v/>
      </c>
      <c r="AG1408" s="8" t="str">
        <f>IF(TRIM($E1408)&lt;&gt;"Tax Paid","",IF(COUNTIFS(LISTS!$F$2:$F$26,$AE1408,LISTS!$G$2:$G$26,$AF1408)=0,"NOT ON LIST",""))</f>
        <v/>
      </c>
      <c r="AH1408" s="8" t="str">
        <f t="shared" si="65"/>
        <v/>
      </c>
    </row>
    <row r="1409" spans="31:34" x14ac:dyDescent="0.25">
      <c r="AE1409" s="8" t="str">
        <f t="shared" si="63"/>
        <v/>
      </c>
      <c r="AF1409" s="8" t="str">
        <f t="shared" si="64"/>
        <v/>
      </c>
      <c r="AG1409" s="8" t="str">
        <f>IF(TRIM($E1409)&lt;&gt;"Tax Paid","",IF(COUNTIFS(LISTS!$F$2:$F$26,$AE1409,LISTS!$G$2:$G$26,$AF1409)=0,"NOT ON LIST",""))</f>
        <v/>
      </c>
      <c r="AH1409" s="8" t="str">
        <f t="shared" si="65"/>
        <v/>
      </c>
    </row>
    <row r="1410" spans="31:34" x14ac:dyDescent="0.25">
      <c r="AE1410" s="8" t="str">
        <f t="shared" ref="AE1410:AE1473" si="66">IF(TRIM($E1410)="Tax Paid",TRIM($S1410),"")</f>
        <v/>
      </c>
      <c r="AF1410" s="8" t="str">
        <f t="shared" ref="AF1410:AF1473" si="67">IF(TRIM($E1410)="Tax Paid",ROUND($Z1410/100,5),"")</f>
        <v/>
      </c>
      <c r="AG1410" s="8" t="str">
        <f>IF(TRIM($E1410)&lt;&gt;"Tax Paid","",IF(COUNTIFS(LISTS!$F$2:$F$26,$AE1410,LISTS!$G$2:$G$26,$AF1410)=0,"NOT ON LIST",""))</f>
        <v/>
      </c>
      <c r="AH1410" s="8" t="str">
        <f t="shared" ref="AH1410:AH1473" si="68">IF($AG1410="","",IF($AE1410="","(no county)",$AE1410)&amp;" ("&amp;SUBSTITUTE(TEXT($AF1410,"0.###%"),".%","%")&amp;")")</f>
        <v/>
      </c>
    </row>
    <row r="1411" spans="31:34" x14ac:dyDescent="0.25">
      <c r="AE1411" s="8" t="str">
        <f t="shared" si="66"/>
        <v/>
      </c>
      <c r="AF1411" s="8" t="str">
        <f t="shared" si="67"/>
        <v/>
      </c>
      <c r="AG1411" s="8" t="str">
        <f>IF(TRIM($E1411)&lt;&gt;"Tax Paid","",IF(COUNTIFS(LISTS!$F$2:$F$26,$AE1411,LISTS!$G$2:$G$26,$AF1411)=0,"NOT ON LIST",""))</f>
        <v/>
      </c>
      <c r="AH1411" s="8" t="str">
        <f t="shared" si="68"/>
        <v/>
      </c>
    </row>
    <row r="1412" spans="31:34" x14ac:dyDescent="0.25">
      <c r="AE1412" s="8" t="str">
        <f t="shared" si="66"/>
        <v/>
      </c>
      <c r="AF1412" s="8" t="str">
        <f t="shared" si="67"/>
        <v/>
      </c>
      <c r="AG1412" s="8" t="str">
        <f>IF(TRIM($E1412)&lt;&gt;"Tax Paid","",IF(COUNTIFS(LISTS!$F$2:$F$26,$AE1412,LISTS!$G$2:$G$26,$AF1412)=0,"NOT ON LIST",""))</f>
        <v/>
      </c>
      <c r="AH1412" s="8" t="str">
        <f t="shared" si="68"/>
        <v/>
      </c>
    </row>
    <row r="1413" spans="31:34" x14ac:dyDescent="0.25">
      <c r="AE1413" s="8" t="str">
        <f t="shared" si="66"/>
        <v/>
      </c>
      <c r="AF1413" s="8" t="str">
        <f t="shared" si="67"/>
        <v/>
      </c>
      <c r="AG1413" s="8" t="str">
        <f>IF(TRIM($E1413)&lt;&gt;"Tax Paid","",IF(COUNTIFS(LISTS!$F$2:$F$26,$AE1413,LISTS!$G$2:$G$26,$AF1413)=0,"NOT ON LIST",""))</f>
        <v/>
      </c>
      <c r="AH1413" s="8" t="str">
        <f t="shared" si="68"/>
        <v/>
      </c>
    </row>
    <row r="1414" spans="31:34" x14ac:dyDescent="0.25">
      <c r="AE1414" s="8" t="str">
        <f t="shared" si="66"/>
        <v/>
      </c>
      <c r="AF1414" s="8" t="str">
        <f t="shared" si="67"/>
        <v/>
      </c>
      <c r="AG1414" s="8" t="str">
        <f>IF(TRIM($E1414)&lt;&gt;"Tax Paid","",IF(COUNTIFS(LISTS!$F$2:$F$26,$AE1414,LISTS!$G$2:$G$26,$AF1414)=0,"NOT ON LIST",""))</f>
        <v/>
      </c>
      <c r="AH1414" s="8" t="str">
        <f t="shared" si="68"/>
        <v/>
      </c>
    </row>
    <row r="1415" spans="31:34" x14ac:dyDescent="0.25">
      <c r="AE1415" s="8" t="str">
        <f t="shared" si="66"/>
        <v/>
      </c>
      <c r="AF1415" s="8" t="str">
        <f t="shared" si="67"/>
        <v/>
      </c>
      <c r="AG1415" s="8" t="str">
        <f>IF(TRIM($E1415)&lt;&gt;"Tax Paid","",IF(COUNTIFS(LISTS!$F$2:$F$26,$AE1415,LISTS!$G$2:$G$26,$AF1415)=0,"NOT ON LIST",""))</f>
        <v/>
      </c>
      <c r="AH1415" s="8" t="str">
        <f t="shared" si="68"/>
        <v/>
      </c>
    </row>
    <row r="1416" spans="31:34" x14ac:dyDescent="0.25">
      <c r="AE1416" s="8" t="str">
        <f t="shared" si="66"/>
        <v/>
      </c>
      <c r="AF1416" s="8" t="str">
        <f t="shared" si="67"/>
        <v/>
      </c>
      <c r="AG1416" s="8" t="str">
        <f>IF(TRIM($E1416)&lt;&gt;"Tax Paid","",IF(COUNTIFS(LISTS!$F$2:$F$26,$AE1416,LISTS!$G$2:$G$26,$AF1416)=0,"NOT ON LIST",""))</f>
        <v/>
      </c>
      <c r="AH1416" s="8" t="str">
        <f t="shared" si="68"/>
        <v/>
      </c>
    </row>
    <row r="1417" spans="31:34" x14ac:dyDescent="0.25">
      <c r="AE1417" s="8" t="str">
        <f t="shared" si="66"/>
        <v/>
      </c>
      <c r="AF1417" s="8" t="str">
        <f t="shared" si="67"/>
        <v/>
      </c>
      <c r="AG1417" s="8" t="str">
        <f>IF(TRIM($E1417)&lt;&gt;"Tax Paid","",IF(COUNTIFS(LISTS!$F$2:$F$26,$AE1417,LISTS!$G$2:$G$26,$AF1417)=0,"NOT ON LIST",""))</f>
        <v/>
      </c>
      <c r="AH1417" s="8" t="str">
        <f t="shared" si="68"/>
        <v/>
      </c>
    </row>
    <row r="1418" spans="31:34" x14ac:dyDescent="0.25">
      <c r="AE1418" s="8" t="str">
        <f t="shared" si="66"/>
        <v/>
      </c>
      <c r="AF1418" s="8" t="str">
        <f t="shared" si="67"/>
        <v/>
      </c>
      <c r="AG1418" s="8" t="str">
        <f>IF(TRIM($E1418)&lt;&gt;"Tax Paid","",IF(COUNTIFS(LISTS!$F$2:$F$26,$AE1418,LISTS!$G$2:$G$26,$AF1418)=0,"NOT ON LIST",""))</f>
        <v/>
      </c>
      <c r="AH1418" s="8" t="str">
        <f t="shared" si="68"/>
        <v/>
      </c>
    </row>
    <row r="1419" spans="31:34" x14ac:dyDescent="0.25">
      <c r="AE1419" s="8" t="str">
        <f t="shared" si="66"/>
        <v/>
      </c>
      <c r="AF1419" s="8" t="str">
        <f t="shared" si="67"/>
        <v/>
      </c>
      <c r="AG1419" s="8" t="str">
        <f>IF(TRIM($E1419)&lt;&gt;"Tax Paid","",IF(COUNTIFS(LISTS!$F$2:$F$26,$AE1419,LISTS!$G$2:$G$26,$AF1419)=0,"NOT ON LIST",""))</f>
        <v/>
      </c>
      <c r="AH1419" s="8" t="str">
        <f t="shared" si="68"/>
        <v/>
      </c>
    </row>
    <row r="1420" spans="31:34" x14ac:dyDescent="0.25">
      <c r="AE1420" s="8" t="str">
        <f t="shared" si="66"/>
        <v/>
      </c>
      <c r="AF1420" s="8" t="str">
        <f t="shared" si="67"/>
        <v/>
      </c>
      <c r="AG1420" s="8" t="str">
        <f>IF(TRIM($E1420)&lt;&gt;"Tax Paid","",IF(COUNTIFS(LISTS!$F$2:$F$26,$AE1420,LISTS!$G$2:$G$26,$AF1420)=0,"NOT ON LIST",""))</f>
        <v/>
      </c>
      <c r="AH1420" s="8" t="str">
        <f t="shared" si="68"/>
        <v/>
      </c>
    </row>
    <row r="1421" spans="31:34" x14ac:dyDescent="0.25">
      <c r="AE1421" s="8" t="str">
        <f t="shared" si="66"/>
        <v/>
      </c>
      <c r="AF1421" s="8" t="str">
        <f t="shared" si="67"/>
        <v/>
      </c>
      <c r="AG1421" s="8" t="str">
        <f>IF(TRIM($E1421)&lt;&gt;"Tax Paid","",IF(COUNTIFS(LISTS!$F$2:$F$26,$AE1421,LISTS!$G$2:$G$26,$AF1421)=0,"NOT ON LIST",""))</f>
        <v/>
      </c>
      <c r="AH1421" s="8" t="str">
        <f t="shared" si="68"/>
        <v/>
      </c>
    </row>
    <row r="1422" spans="31:34" x14ac:dyDescent="0.25">
      <c r="AE1422" s="8" t="str">
        <f t="shared" si="66"/>
        <v/>
      </c>
      <c r="AF1422" s="8" t="str">
        <f t="shared" si="67"/>
        <v/>
      </c>
      <c r="AG1422" s="8" t="str">
        <f>IF(TRIM($E1422)&lt;&gt;"Tax Paid","",IF(COUNTIFS(LISTS!$F$2:$F$26,$AE1422,LISTS!$G$2:$G$26,$AF1422)=0,"NOT ON LIST",""))</f>
        <v/>
      </c>
      <c r="AH1422" s="8" t="str">
        <f t="shared" si="68"/>
        <v/>
      </c>
    </row>
    <row r="1423" spans="31:34" x14ac:dyDescent="0.25">
      <c r="AE1423" s="8" t="str">
        <f t="shared" si="66"/>
        <v/>
      </c>
      <c r="AF1423" s="8" t="str">
        <f t="shared" si="67"/>
        <v/>
      </c>
      <c r="AG1423" s="8" t="str">
        <f>IF(TRIM($E1423)&lt;&gt;"Tax Paid","",IF(COUNTIFS(LISTS!$F$2:$F$26,$AE1423,LISTS!$G$2:$G$26,$AF1423)=0,"NOT ON LIST",""))</f>
        <v/>
      </c>
      <c r="AH1423" s="8" t="str">
        <f t="shared" si="68"/>
        <v/>
      </c>
    </row>
    <row r="1424" spans="31:34" x14ac:dyDescent="0.25">
      <c r="AE1424" s="8" t="str">
        <f t="shared" si="66"/>
        <v/>
      </c>
      <c r="AF1424" s="8" t="str">
        <f t="shared" si="67"/>
        <v/>
      </c>
      <c r="AG1424" s="8" t="str">
        <f>IF(TRIM($E1424)&lt;&gt;"Tax Paid","",IF(COUNTIFS(LISTS!$F$2:$F$26,$AE1424,LISTS!$G$2:$G$26,$AF1424)=0,"NOT ON LIST",""))</f>
        <v/>
      </c>
      <c r="AH1424" s="8" t="str">
        <f t="shared" si="68"/>
        <v/>
      </c>
    </row>
    <row r="1425" spans="31:34" x14ac:dyDescent="0.25">
      <c r="AE1425" s="8" t="str">
        <f t="shared" si="66"/>
        <v/>
      </c>
      <c r="AF1425" s="8" t="str">
        <f t="shared" si="67"/>
        <v/>
      </c>
      <c r="AG1425" s="8" t="str">
        <f>IF(TRIM($E1425)&lt;&gt;"Tax Paid","",IF(COUNTIFS(LISTS!$F$2:$F$26,$AE1425,LISTS!$G$2:$G$26,$AF1425)=0,"NOT ON LIST",""))</f>
        <v/>
      </c>
      <c r="AH1425" s="8" t="str">
        <f t="shared" si="68"/>
        <v/>
      </c>
    </row>
    <row r="1426" spans="31:34" x14ac:dyDescent="0.25">
      <c r="AE1426" s="8" t="str">
        <f t="shared" si="66"/>
        <v/>
      </c>
      <c r="AF1426" s="8" t="str">
        <f t="shared" si="67"/>
        <v/>
      </c>
      <c r="AG1426" s="8" t="str">
        <f>IF(TRIM($E1426)&lt;&gt;"Tax Paid","",IF(COUNTIFS(LISTS!$F$2:$F$26,$AE1426,LISTS!$G$2:$G$26,$AF1426)=0,"NOT ON LIST",""))</f>
        <v/>
      </c>
      <c r="AH1426" s="8" t="str">
        <f t="shared" si="68"/>
        <v/>
      </c>
    </row>
    <row r="1427" spans="31:34" x14ac:dyDescent="0.25">
      <c r="AE1427" s="8" t="str">
        <f t="shared" si="66"/>
        <v/>
      </c>
      <c r="AF1427" s="8" t="str">
        <f t="shared" si="67"/>
        <v/>
      </c>
      <c r="AG1427" s="8" t="str">
        <f>IF(TRIM($E1427)&lt;&gt;"Tax Paid","",IF(COUNTIFS(LISTS!$F$2:$F$26,$AE1427,LISTS!$G$2:$G$26,$AF1427)=0,"NOT ON LIST",""))</f>
        <v/>
      </c>
      <c r="AH1427" s="8" t="str">
        <f t="shared" si="68"/>
        <v/>
      </c>
    </row>
    <row r="1428" spans="31:34" x14ac:dyDescent="0.25">
      <c r="AE1428" s="8" t="str">
        <f t="shared" si="66"/>
        <v/>
      </c>
      <c r="AF1428" s="8" t="str">
        <f t="shared" si="67"/>
        <v/>
      </c>
      <c r="AG1428" s="8" t="str">
        <f>IF(TRIM($E1428)&lt;&gt;"Tax Paid","",IF(COUNTIFS(LISTS!$F$2:$F$26,$AE1428,LISTS!$G$2:$G$26,$AF1428)=0,"NOT ON LIST",""))</f>
        <v/>
      </c>
      <c r="AH1428" s="8" t="str">
        <f t="shared" si="68"/>
        <v/>
      </c>
    </row>
    <row r="1429" spans="31:34" x14ac:dyDescent="0.25">
      <c r="AE1429" s="8" t="str">
        <f t="shared" si="66"/>
        <v/>
      </c>
      <c r="AF1429" s="8" t="str">
        <f t="shared" si="67"/>
        <v/>
      </c>
      <c r="AG1429" s="8" t="str">
        <f>IF(TRIM($E1429)&lt;&gt;"Tax Paid","",IF(COUNTIFS(LISTS!$F$2:$F$26,$AE1429,LISTS!$G$2:$G$26,$AF1429)=0,"NOT ON LIST",""))</f>
        <v/>
      </c>
      <c r="AH1429" s="8" t="str">
        <f t="shared" si="68"/>
        <v/>
      </c>
    </row>
    <row r="1430" spans="31:34" x14ac:dyDescent="0.25">
      <c r="AE1430" s="8" t="str">
        <f t="shared" si="66"/>
        <v/>
      </c>
      <c r="AF1430" s="8" t="str">
        <f t="shared" si="67"/>
        <v/>
      </c>
      <c r="AG1430" s="8" t="str">
        <f>IF(TRIM($E1430)&lt;&gt;"Tax Paid","",IF(COUNTIFS(LISTS!$F$2:$F$26,$AE1430,LISTS!$G$2:$G$26,$AF1430)=0,"NOT ON LIST",""))</f>
        <v/>
      </c>
      <c r="AH1430" s="8" t="str">
        <f t="shared" si="68"/>
        <v/>
      </c>
    </row>
    <row r="1431" spans="31:34" x14ac:dyDescent="0.25">
      <c r="AE1431" s="8" t="str">
        <f t="shared" si="66"/>
        <v/>
      </c>
      <c r="AF1431" s="8" t="str">
        <f t="shared" si="67"/>
        <v/>
      </c>
      <c r="AG1431" s="8" t="str">
        <f>IF(TRIM($E1431)&lt;&gt;"Tax Paid","",IF(COUNTIFS(LISTS!$F$2:$F$26,$AE1431,LISTS!$G$2:$G$26,$AF1431)=0,"NOT ON LIST",""))</f>
        <v/>
      </c>
      <c r="AH1431" s="8" t="str">
        <f t="shared" si="68"/>
        <v/>
      </c>
    </row>
    <row r="1432" spans="31:34" x14ac:dyDescent="0.25">
      <c r="AE1432" s="8" t="str">
        <f t="shared" si="66"/>
        <v/>
      </c>
      <c r="AF1432" s="8" t="str">
        <f t="shared" si="67"/>
        <v/>
      </c>
      <c r="AG1432" s="8" t="str">
        <f>IF(TRIM($E1432)&lt;&gt;"Tax Paid","",IF(COUNTIFS(LISTS!$F$2:$F$26,$AE1432,LISTS!$G$2:$G$26,$AF1432)=0,"NOT ON LIST",""))</f>
        <v/>
      </c>
      <c r="AH1432" s="8" t="str">
        <f t="shared" si="68"/>
        <v/>
      </c>
    </row>
    <row r="1433" spans="31:34" x14ac:dyDescent="0.25">
      <c r="AE1433" s="8" t="str">
        <f t="shared" si="66"/>
        <v/>
      </c>
      <c r="AF1433" s="8" t="str">
        <f t="shared" si="67"/>
        <v/>
      </c>
      <c r="AG1433" s="8" t="str">
        <f>IF(TRIM($E1433)&lt;&gt;"Tax Paid","",IF(COUNTIFS(LISTS!$F$2:$F$26,$AE1433,LISTS!$G$2:$G$26,$AF1433)=0,"NOT ON LIST",""))</f>
        <v/>
      </c>
      <c r="AH1433" s="8" t="str">
        <f t="shared" si="68"/>
        <v/>
      </c>
    </row>
    <row r="1434" spans="31:34" x14ac:dyDescent="0.25">
      <c r="AE1434" s="8" t="str">
        <f t="shared" si="66"/>
        <v/>
      </c>
      <c r="AF1434" s="8" t="str">
        <f t="shared" si="67"/>
        <v/>
      </c>
      <c r="AG1434" s="8" t="str">
        <f>IF(TRIM($E1434)&lt;&gt;"Tax Paid","",IF(COUNTIFS(LISTS!$F$2:$F$26,$AE1434,LISTS!$G$2:$G$26,$AF1434)=0,"NOT ON LIST",""))</f>
        <v/>
      </c>
      <c r="AH1434" s="8" t="str">
        <f t="shared" si="68"/>
        <v/>
      </c>
    </row>
    <row r="1435" spans="31:34" x14ac:dyDescent="0.25">
      <c r="AE1435" s="8" t="str">
        <f t="shared" si="66"/>
        <v/>
      </c>
      <c r="AF1435" s="8" t="str">
        <f t="shared" si="67"/>
        <v/>
      </c>
      <c r="AG1435" s="8" t="str">
        <f>IF(TRIM($E1435)&lt;&gt;"Tax Paid","",IF(COUNTIFS(LISTS!$F$2:$F$26,$AE1435,LISTS!$G$2:$G$26,$AF1435)=0,"NOT ON LIST",""))</f>
        <v/>
      </c>
      <c r="AH1435" s="8" t="str">
        <f t="shared" si="68"/>
        <v/>
      </c>
    </row>
    <row r="1436" spans="31:34" x14ac:dyDescent="0.25">
      <c r="AE1436" s="8" t="str">
        <f t="shared" si="66"/>
        <v/>
      </c>
      <c r="AF1436" s="8" t="str">
        <f t="shared" si="67"/>
        <v/>
      </c>
      <c r="AG1436" s="8" t="str">
        <f>IF(TRIM($E1436)&lt;&gt;"Tax Paid","",IF(COUNTIFS(LISTS!$F$2:$F$26,$AE1436,LISTS!$G$2:$G$26,$AF1436)=0,"NOT ON LIST",""))</f>
        <v/>
      </c>
      <c r="AH1436" s="8" t="str">
        <f t="shared" si="68"/>
        <v/>
      </c>
    </row>
    <row r="1437" spans="31:34" x14ac:dyDescent="0.25">
      <c r="AE1437" s="8" t="str">
        <f t="shared" si="66"/>
        <v/>
      </c>
      <c r="AF1437" s="8" t="str">
        <f t="shared" si="67"/>
        <v/>
      </c>
      <c r="AG1437" s="8" t="str">
        <f>IF(TRIM($E1437)&lt;&gt;"Tax Paid","",IF(COUNTIFS(LISTS!$F$2:$F$26,$AE1437,LISTS!$G$2:$G$26,$AF1437)=0,"NOT ON LIST",""))</f>
        <v/>
      </c>
      <c r="AH1437" s="8" t="str">
        <f t="shared" si="68"/>
        <v/>
      </c>
    </row>
    <row r="1438" spans="31:34" x14ac:dyDescent="0.25">
      <c r="AE1438" s="8" t="str">
        <f t="shared" si="66"/>
        <v/>
      </c>
      <c r="AF1438" s="8" t="str">
        <f t="shared" si="67"/>
        <v/>
      </c>
      <c r="AG1438" s="8" t="str">
        <f>IF(TRIM($E1438)&lt;&gt;"Tax Paid","",IF(COUNTIFS(LISTS!$F$2:$F$26,$AE1438,LISTS!$G$2:$G$26,$AF1438)=0,"NOT ON LIST",""))</f>
        <v/>
      </c>
      <c r="AH1438" s="8" t="str">
        <f t="shared" si="68"/>
        <v/>
      </c>
    </row>
    <row r="1439" spans="31:34" x14ac:dyDescent="0.25">
      <c r="AE1439" s="8" t="str">
        <f t="shared" si="66"/>
        <v/>
      </c>
      <c r="AF1439" s="8" t="str">
        <f t="shared" si="67"/>
        <v/>
      </c>
      <c r="AG1439" s="8" t="str">
        <f>IF(TRIM($E1439)&lt;&gt;"Tax Paid","",IF(COUNTIFS(LISTS!$F$2:$F$26,$AE1439,LISTS!$G$2:$G$26,$AF1439)=0,"NOT ON LIST",""))</f>
        <v/>
      </c>
      <c r="AH1439" s="8" t="str">
        <f t="shared" si="68"/>
        <v/>
      </c>
    </row>
    <row r="1440" spans="31:34" x14ac:dyDescent="0.25">
      <c r="AE1440" s="8" t="str">
        <f t="shared" si="66"/>
        <v/>
      </c>
      <c r="AF1440" s="8" t="str">
        <f t="shared" si="67"/>
        <v/>
      </c>
      <c r="AG1440" s="8" t="str">
        <f>IF(TRIM($E1440)&lt;&gt;"Tax Paid","",IF(COUNTIFS(LISTS!$F$2:$F$26,$AE1440,LISTS!$G$2:$G$26,$AF1440)=0,"NOT ON LIST",""))</f>
        <v/>
      </c>
      <c r="AH1440" s="8" t="str">
        <f t="shared" si="68"/>
        <v/>
      </c>
    </row>
    <row r="1441" spans="31:34" x14ac:dyDescent="0.25">
      <c r="AE1441" s="8" t="str">
        <f t="shared" si="66"/>
        <v/>
      </c>
      <c r="AF1441" s="8" t="str">
        <f t="shared" si="67"/>
        <v/>
      </c>
      <c r="AG1441" s="8" t="str">
        <f>IF(TRIM($E1441)&lt;&gt;"Tax Paid","",IF(COUNTIFS(LISTS!$F$2:$F$26,$AE1441,LISTS!$G$2:$G$26,$AF1441)=0,"NOT ON LIST",""))</f>
        <v/>
      </c>
      <c r="AH1441" s="8" t="str">
        <f t="shared" si="68"/>
        <v/>
      </c>
    </row>
    <row r="1442" spans="31:34" x14ac:dyDescent="0.25">
      <c r="AE1442" s="8" t="str">
        <f t="shared" si="66"/>
        <v/>
      </c>
      <c r="AF1442" s="8" t="str">
        <f t="shared" si="67"/>
        <v/>
      </c>
      <c r="AG1442" s="8" t="str">
        <f>IF(TRIM($E1442)&lt;&gt;"Tax Paid","",IF(COUNTIFS(LISTS!$F$2:$F$26,$AE1442,LISTS!$G$2:$G$26,$AF1442)=0,"NOT ON LIST",""))</f>
        <v/>
      </c>
      <c r="AH1442" s="8" t="str">
        <f t="shared" si="68"/>
        <v/>
      </c>
    </row>
    <row r="1443" spans="31:34" x14ac:dyDescent="0.25">
      <c r="AE1443" s="8" t="str">
        <f t="shared" si="66"/>
        <v/>
      </c>
      <c r="AF1443" s="8" t="str">
        <f t="shared" si="67"/>
        <v/>
      </c>
      <c r="AG1443" s="8" t="str">
        <f>IF(TRIM($E1443)&lt;&gt;"Tax Paid","",IF(COUNTIFS(LISTS!$F$2:$F$26,$AE1443,LISTS!$G$2:$G$26,$AF1443)=0,"NOT ON LIST",""))</f>
        <v/>
      </c>
      <c r="AH1443" s="8" t="str">
        <f t="shared" si="68"/>
        <v/>
      </c>
    </row>
    <row r="1444" spans="31:34" x14ac:dyDescent="0.25">
      <c r="AE1444" s="8" t="str">
        <f t="shared" si="66"/>
        <v/>
      </c>
      <c r="AF1444" s="8" t="str">
        <f t="shared" si="67"/>
        <v/>
      </c>
      <c r="AG1444" s="8" t="str">
        <f>IF(TRIM($E1444)&lt;&gt;"Tax Paid","",IF(COUNTIFS(LISTS!$F$2:$F$26,$AE1444,LISTS!$G$2:$G$26,$AF1444)=0,"NOT ON LIST",""))</f>
        <v/>
      </c>
      <c r="AH1444" s="8" t="str">
        <f t="shared" si="68"/>
        <v/>
      </c>
    </row>
    <row r="1445" spans="31:34" x14ac:dyDescent="0.25">
      <c r="AE1445" s="8" t="str">
        <f t="shared" si="66"/>
        <v/>
      </c>
      <c r="AF1445" s="8" t="str">
        <f t="shared" si="67"/>
        <v/>
      </c>
      <c r="AG1445" s="8" t="str">
        <f>IF(TRIM($E1445)&lt;&gt;"Tax Paid","",IF(COUNTIFS(LISTS!$F$2:$F$26,$AE1445,LISTS!$G$2:$G$26,$AF1445)=0,"NOT ON LIST",""))</f>
        <v/>
      </c>
      <c r="AH1445" s="8" t="str">
        <f t="shared" si="68"/>
        <v/>
      </c>
    </row>
    <row r="1446" spans="31:34" x14ac:dyDescent="0.25">
      <c r="AE1446" s="8" t="str">
        <f t="shared" si="66"/>
        <v/>
      </c>
      <c r="AF1446" s="8" t="str">
        <f t="shared" si="67"/>
        <v/>
      </c>
      <c r="AG1446" s="8" t="str">
        <f>IF(TRIM($E1446)&lt;&gt;"Tax Paid","",IF(COUNTIFS(LISTS!$F$2:$F$26,$AE1446,LISTS!$G$2:$G$26,$AF1446)=0,"NOT ON LIST",""))</f>
        <v/>
      </c>
      <c r="AH1446" s="8" t="str">
        <f t="shared" si="68"/>
        <v/>
      </c>
    </row>
    <row r="1447" spans="31:34" x14ac:dyDescent="0.25">
      <c r="AE1447" s="8" t="str">
        <f t="shared" si="66"/>
        <v/>
      </c>
      <c r="AF1447" s="8" t="str">
        <f t="shared" si="67"/>
        <v/>
      </c>
      <c r="AG1447" s="8" t="str">
        <f>IF(TRIM($E1447)&lt;&gt;"Tax Paid","",IF(COUNTIFS(LISTS!$F$2:$F$26,$AE1447,LISTS!$G$2:$G$26,$AF1447)=0,"NOT ON LIST",""))</f>
        <v/>
      </c>
      <c r="AH1447" s="8" t="str">
        <f t="shared" si="68"/>
        <v/>
      </c>
    </row>
    <row r="1448" spans="31:34" x14ac:dyDescent="0.25">
      <c r="AE1448" s="8" t="str">
        <f t="shared" si="66"/>
        <v/>
      </c>
      <c r="AF1448" s="8" t="str">
        <f t="shared" si="67"/>
        <v/>
      </c>
      <c r="AG1448" s="8" t="str">
        <f>IF(TRIM($E1448)&lt;&gt;"Tax Paid","",IF(COUNTIFS(LISTS!$F$2:$F$26,$AE1448,LISTS!$G$2:$G$26,$AF1448)=0,"NOT ON LIST",""))</f>
        <v/>
      </c>
      <c r="AH1448" s="8" t="str">
        <f t="shared" si="68"/>
        <v/>
      </c>
    </row>
    <row r="1449" spans="31:34" x14ac:dyDescent="0.25">
      <c r="AE1449" s="8" t="str">
        <f t="shared" si="66"/>
        <v/>
      </c>
      <c r="AF1449" s="8" t="str">
        <f t="shared" si="67"/>
        <v/>
      </c>
      <c r="AG1449" s="8" t="str">
        <f>IF(TRIM($E1449)&lt;&gt;"Tax Paid","",IF(COUNTIFS(LISTS!$F$2:$F$26,$AE1449,LISTS!$G$2:$G$26,$AF1449)=0,"NOT ON LIST",""))</f>
        <v/>
      </c>
      <c r="AH1449" s="8" t="str">
        <f t="shared" si="68"/>
        <v/>
      </c>
    </row>
    <row r="1450" spans="31:34" x14ac:dyDescent="0.25">
      <c r="AE1450" s="8" t="str">
        <f t="shared" si="66"/>
        <v/>
      </c>
      <c r="AF1450" s="8" t="str">
        <f t="shared" si="67"/>
        <v/>
      </c>
      <c r="AG1450" s="8" t="str">
        <f>IF(TRIM($E1450)&lt;&gt;"Tax Paid","",IF(COUNTIFS(LISTS!$F$2:$F$26,$AE1450,LISTS!$G$2:$G$26,$AF1450)=0,"NOT ON LIST",""))</f>
        <v/>
      </c>
      <c r="AH1450" s="8" t="str">
        <f t="shared" si="68"/>
        <v/>
      </c>
    </row>
    <row r="1451" spans="31:34" x14ac:dyDescent="0.25">
      <c r="AE1451" s="8" t="str">
        <f t="shared" si="66"/>
        <v/>
      </c>
      <c r="AF1451" s="8" t="str">
        <f t="shared" si="67"/>
        <v/>
      </c>
      <c r="AG1451" s="8" t="str">
        <f>IF(TRIM($E1451)&lt;&gt;"Tax Paid","",IF(COUNTIFS(LISTS!$F$2:$F$26,$AE1451,LISTS!$G$2:$G$26,$AF1451)=0,"NOT ON LIST",""))</f>
        <v/>
      </c>
      <c r="AH1451" s="8" t="str">
        <f t="shared" si="68"/>
        <v/>
      </c>
    </row>
    <row r="1452" spans="31:34" x14ac:dyDescent="0.25">
      <c r="AE1452" s="8" t="str">
        <f t="shared" si="66"/>
        <v/>
      </c>
      <c r="AF1452" s="8" t="str">
        <f t="shared" si="67"/>
        <v/>
      </c>
      <c r="AG1452" s="8" t="str">
        <f>IF(TRIM($E1452)&lt;&gt;"Tax Paid","",IF(COUNTIFS(LISTS!$F$2:$F$26,$AE1452,LISTS!$G$2:$G$26,$AF1452)=0,"NOT ON LIST",""))</f>
        <v/>
      </c>
      <c r="AH1452" s="8" t="str">
        <f t="shared" si="68"/>
        <v/>
      </c>
    </row>
    <row r="1453" spans="31:34" x14ac:dyDescent="0.25">
      <c r="AE1453" s="8" t="str">
        <f t="shared" si="66"/>
        <v/>
      </c>
      <c r="AF1453" s="8" t="str">
        <f t="shared" si="67"/>
        <v/>
      </c>
      <c r="AG1453" s="8" t="str">
        <f>IF(TRIM($E1453)&lt;&gt;"Tax Paid","",IF(COUNTIFS(LISTS!$F$2:$F$26,$AE1453,LISTS!$G$2:$G$26,$AF1453)=0,"NOT ON LIST",""))</f>
        <v/>
      </c>
      <c r="AH1453" s="8" t="str">
        <f t="shared" si="68"/>
        <v/>
      </c>
    </row>
    <row r="1454" spans="31:34" x14ac:dyDescent="0.25">
      <c r="AE1454" s="8" t="str">
        <f t="shared" si="66"/>
        <v/>
      </c>
      <c r="AF1454" s="8" t="str">
        <f t="shared" si="67"/>
        <v/>
      </c>
      <c r="AG1454" s="8" t="str">
        <f>IF(TRIM($E1454)&lt;&gt;"Tax Paid","",IF(COUNTIFS(LISTS!$F$2:$F$26,$AE1454,LISTS!$G$2:$G$26,$AF1454)=0,"NOT ON LIST",""))</f>
        <v/>
      </c>
      <c r="AH1454" s="8" t="str">
        <f t="shared" si="68"/>
        <v/>
      </c>
    </row>
    <row r="1455" spans="31:34" x14ac:dyDescent="0.25">
      <c r="AE1455" s="8" t="str">
        <f t="shared" si="66"/>
        <v/>
      </c>
      <c r="AF1455" s="8" t="str">
        <f t="shared" si="67"/>
        <v/>
      </c>
      <c r="AG1455" s="8" t="str">
        <f>IF(TRIM($E1455)&lt;&gt;"Tax Paid","",IF(COUNTIFS(LISTS!$F$2:$F$26,$AE1455,LISTS!$G$2:$G$26,$AF1455)=0,"NOT ON LIST",""))</f>
        <v/>
      </c>
      <c r="AH1455" s="8" t="str">
        <f t="shared" si="68"/>
        <v/>
      </c>
    </row>
    <row r="1456" spans="31:34" x14ac:dyDescent="0.25">
      <c r="AE1456" s="8" t="str">
        <f t="shared" si="66"/>
        <v/>
      </c>
      <c r="AF1456" s="8" t="str">
        <f t="shared" si="67"/>
        <v/>
      </c>
      <c r="AG1456" s="8" t="str">
        <f>IF(TRIM($E1456)&lt;&gt;"Tax Paid","",IF(COUNTIFS(LISTS!$F$2:$F$26,$AE1456,LISTS!$G$2:$G$26,$AF1456)=0,"NOT ON LIST",""))</f>
        <v/>
      </c>
      <c r="AH1456" s="8" t="str">
        <f t="shared" si="68"/>
        <v/>
      </c>
    </row>
    <row r="1457" spans="31:34" x14ac:dyDescent="0.25">
      <c r="AE1457" s="8" t="str">
        <f t="shared" si="66"/>
        <v/>
      </c>
      <c r="AF1457" s="8" t="str">
        <f t="shared" si="67"/>
        <v/>
      </c>
      <c r="AG1457" s="8" t="str">
        <f>IF(TRIM($E1457)&lt;&gt;"Tax Paid","",IF(COUNTIFS(LISTS!$F$2:$F$26,$AE1457,LISTS!$G$2:$G$26,$AF1457)=0,"NOT ON LIST",""))</f>
        <v/>
      </c>
      <c r="AH1457" s="8" t="str">
        <f t="shared" si="68"/>
        <v/>
      </c>
    </row>
    <row r="1458" spans="31:34" x14ac:dyDescent="0.25">
      <c r="AE1458" s="8" t="str">
        <f t="shared" si="66"/>
        <v/>
      </c>
      <c r="AF1458" s="8" t="str">
        <f t="shared" si="67"/>
        <v/>
      </c>
      <c r="AG1458" s="8" t="str">
        <f>IF(TRIM($E1458)&lt;&gt;"Tax Paid","",IF(COUNTIFS(LISTS!$F$2:$F$26,$AE1458,LISTS!$G$2:$G$26,$AF1458)=0,"NOT ON LIST",""))</f>
        <v/>
      </c>
      <c r="AH1458" s="8" t="str">
        <f t="shared" si="68"/>
        <v/>
      </c>
    </row>
    <row r="1459" spans="31:34" x14ac:dyDescent="0.25">
      <c r="AE1459" s="8" t="str">
        <f t="shared" si="66"/>
        <v/>
      </c>
      <c r="AF1459" s="8" t="str">
        <f t="shared" si="67"/>
        <v/>
      </c>
      <c r="AG1459" s="8" t="str">
        <f>IF(TRIM($E1459)&lt;&gt;"Tax Paid","",IF(COUNTIFS(LISTS!$F$2:$F$26,$AE1459,LISTS!$G$2:$G$26,$AF1459)=0,"NOT ON LIST",""))</f>
        <v/>
      </c>
      <c r="AH1459" s="8" t="str">
        <f t="shared" si="68"/>
        <v/>
      </c>
    </row>
    <row r="1460" spans="31:34" x14ac:dyDescent="0.25">
      <c r="AE1460" s="8" t="str">
        <f t="shared" si="66"/>
        <v/>
      </c>
      <c r="AF1460" s="8" t="str">
        <f t="shared" si="67"/>
        <v/>
      </c>
      <c r="AG1460" s="8" t="str">
        <f>IF(TRIM($E1460)&lt;&gt;"Tax Paid","",IF(COUNTIFS(LISTS!$F$2:$F$26,$AE1460,LISTS!$G$2:$G$26,$AF1460)=0,"NOT ON LIST",""))</f>
        <v/>
      </c>
      <c r="AH1460" s="8" t="str">
        <f t="shared" si="68"/>
        <v/>
      </c>
    </row>
    <row r="1461" spans="31:34" x14ac:dyDescent="0.25">
      <c r="AE1461" s="8" t="str">
        <f t="shared" si="66"/>
        <v/>
      </c>
      <c r="AF1461" s="8" t="str">
        <f t="shared" si="67"/>
        <v/>
      </c>
      <c r="AG1461" s="8" t="str">
        <f>IF(TRIM($E1461)&lt;&gt;"Tax Paid","",IF(COUNTIFS(LISTS!$F$2:$F$26,$AE1461,LISTS!$G$2:$G$26,$AF1461)=0,"NOT ON LIST",""))</f>
        <v/>
      </c>
      <c r="AH1461" s="8" t="str">
        <f t="shared" si="68"/>
        <v/>
      </c>
    </row>
    <row r="1462" spans="31:34" x14ac:dyDescent="0.25">
      <c r="AE1462" s="8" t="str">
        <f t="shared" si="66"/>
        <v/>
      </c>
      <c r="AF1462" s="8" t="str">
        <f t="shared" si="67"/>
        <v/>
      </c>
      <c r="AG1462" s="8" t="str">
        <f>IF(TRIM($E1462)&lt;&gt;"Tax Paid","",IF(COUNTIFS(LISTS!$F$2:$F$26,$AE1462,LISTS!$G$2:$G$26,$AF1462)=0,"NOT ON LIST",""))</f>
        <v/>
      </c>
      <c r="AH1462" s="8" t="str">
        <f t="shared" si="68"/>
        <v/>
      </c>
    </row>
    <row r="1463" spans="31:34" x14ac:dyDescent="0.25">
      <c r="AE1463" s="8" t="str">
        <f t="shared" si="66"/>
        <v/>
      </c>
      <c r="AF1463" s="8" t="str">
        <f t="shared" si="67"/>
        <v/>
      </c>
      <c r="AG1463" s="8" t="str">
        <f>IF(TRIM($E1463)&lt;&gt;"Tax Paid","",IF(COUNTIFS(LISTS!$F$2:$F$26,$AE1463,LISTS!$G$2:$G$26,$AF1463)=0,"NOT ON LIST",""))</f>
        <v/>
      </c>
      <c r="AH1463" s="8" t="str">
        <f t="shared" si="68"/>
        <v/>
      </c>
    </row>
    <row r="1464" spans="31:34" x14ac:dyDescent="0.25">
      <c r="AE1464" s="8" t="str">
        <f t="shared" si="66"/>
        <v/>
      </c>
      <c r="AF1464" s="8" t="str">
        <f t="shared" si="67"/>
        <v/>
      </c>
      <c r="AG1464" s="8" t="str">
        <f>IF(TRIM($E1464)&lt;&gt;"Tax Paid","",IF(COUNTIFS(LISTS!$F$2:$F$26,$AE1464,LISTS!$G$2:$G$26,$AF1464)=0,"NOT ON LIST",""))</f>
        <v/>
      </c>
      <c r="AH1464" s="8" t="str">
        <f t="shared" si="68"/>
        <v/>
      </c>
    </row>
    <row r="1465" spans="31:34" x14ac:dyDescent="0.25">
      <c r="AE1465" s="8" t="str">
        <f t="shared" si="66"/>
        <v/>
      </c>
      <c r="AF1465" s="8" t="str">
        <f t="shared" si="67"/>
        <v/>
      </c>
      <c r="AG1465" s="8" t="str">
        <f>IF(TRIM($E1465)&lt;&gt;"Tax Paid","",IF(COUNTIFS(LISTS!$F$2:$F$26,$AE1465,LISTS!$G$2:$G$26,$AF1465)=0,"NOT ON LIST",""))</f>
        <v/>
      </c>
      <c r="AH1465" s="8" t="str">
        <f t="shared" si="68"/>
        <v/>
      </c>
    </row>
    <row r="1466" spans="31:34" x14ac:dyDescent="0.25">
      <c r="AE1466" s="8" t="str">
        <f t="shared" si="66"/>
        <v/>
      </c>
      <c r="AF1466" s="8" t="str">
        <f t="shared" si="67"/>
        <v/>
      </c>
      <c r="AG1466" s="8" t="str">
        <f>IF(TRIM($E1466)&lt;&gt;"Tax Paid","",IF(COUNTIFS(LISTS!$F$2:$F$26,$AE1466,LISTS!$G$2:$G$26,$AF1466)=0,"NOT ON LIST",""))</f>
        <v/>
      </c>
      <c r="AH1466" s="8" t="str">
        <f t="shared" si="68"/>
        <v/>
      </c>
    </row>
    <row r="1467" spans="31:34" x14ac:dyDescent="0.25">
      <c r="AE1467" s="8" t="str">
        <f t="shared" si="66"/>
        <v/>
      </c>
      <c r="AF1467" s="8" t="str">
        <f t="shared" si="67"/>
        <v/>
      </c>
      <c r="AG1467" s="8" t="str">
        <f>IF(TRIM($E1467)&lt;&gt;"Tax Paid","",IF(COUNTIFS(LISTS!$F$2:$F$26,$AE1467,LISTS!$G$2:$G$26,$AF1467)=0,"NOT ON LIST",""))</f>
        <v/>
      </c>
      <c r="AH1467" s="8" t="str">
        <f t="shared" si="68"/>
        <v/>
      </c>
    </row>
    <row r="1468" spans="31:34" x14ac:dyDescent="0.25">
      <c r="AE1468" s="8" t="str">
        <f t="shared" si="66"/>
        <v/>
      </c>
      <c r="AF1468" s="8" t="str">
        <f t="shared" si="67"/>
        <v/>
      </c>
      <c r="AG1468" s="8" t="str">
        <f>IF(TRIM($E1468)&lt;&gt;"Tax Paid","",IF(COUNTIFS(LISTS!$F$2:$F$26,$AE1468,LISTS!$G$2:$G$26,$AF1468)=0,"NOT ON LIST",""))</f>
        <v/>
      </c>
      <c r="AH1468" s="8" t="str">
        <f t="shared" si="68"/>
        <v/>
      </c>
    </row>
    <row r="1469" spans="31:34" x14ac:dyDescent="0.25">
      <c r="AE1469" s="8" t="str">
        <f t="shared" si="66"/>
        <v/>
      </c>
      <c r="AF1469" s="8" t="str">
        <f t="shared" si="67"/>
        <v/>
      </c>
      <c r="AG1469" s="8" t="str">
        <f>IF(TRIM($E1469)&lt;&gt;"Tax Paid","",IF(COUNTIFS(LISTS!$F$2:$F$26,$AE1469,LISTS!$G$2:$G$26,$AF1469)=0,"NOT ON LIST",""))</f>
        <v/>
      </c>
      <c r="AH1469" s="8" t="str">
        <f t="shared" si="68"/>
        <v/>
      </c>
    </row>
    <row r="1470" spans="31:34" x14ac:dyDescent="0.25">
      <c r="AE1470" s="8" t="str">
        <f t="shared" si="66"/>
        <v/>
      </c>
      <c r="AF1470" s="8" t="str">
        <f t="shared" si="67"/>
        <v/>
      </c>
      <c r="AG1470" s="8" t="str">
        <f>IF(TRIM($E1470)&lt;&gt;"Tax Paid","",IF(COUNTIFS(LISTS!$F$2:$F$26,$AE1470,LISTS!$G$2:$G$26,$AF1470)=0,"NOT ON LIST",""))</f>
        <v/>
      </c>
      <c r="AH1470" s="8" t="str">
        <f t="shared" si="68"/>
        <v/>
      </c>
    </row>
    <row r="1471" spans="31:34" x14ac:dyDescent="0.25">
      <c r="AE1471" s="8" t="str">
        <f t="shared" si="66"/>
        <v/>
      </c>
      <c r="AF1471" s="8" t="str">
        <f t="shared" si="67"/>
        <v/>
      </c>
      <c r="AG1471" s="8" t="str">
        <f>IF(TRIM($E1471)&lt;&gt;"Tax Paid","",IF(COUNTIFS(LISTS!$F$2:$F$26,$AE1471,LISTS!$G$2:$G$26,$AF1471)=0,"NOT ON LIST",""))</f>
        <v/>
      </c>
      <c r="AH1471" s="8" t="str">
        <f t="shared" si="68"/>
        <v/>
      </c>
    </row>
    <row r="1472" spans="31:34" x14ac:dyDescent="0.25">
      <c r="AE1472" s="8" t="str">
        <f t="shared" si="66"/>
        <v/>
      </c>
      <c r="AF1472" s="8" t="str">
        <f t="shared" si="67"/>
        <v/>
      </c>
      <c r="AG1472" s="8" t="str">
        <f>IF(TRIM($E1472)&lt;&gt;"Tax Paid","",IF(COUNTIFS(LISTS!$F$2:$F$26,$AE1472,LISTS!$G$2:$G$26,$AF1472)=0,"NOT ON LIST",""))</f>
        <v/>
      </c>
      <c r="AH1472" s="8" t="str">
        <f t="shared" si="68"/>
        <v/>
      </c>
    </row>
    <row r="1473" spans="31:34" x14ac:dyDescent="0.25">
      <c r="AE1473" s="8" t="str">
        <f t="shared" si="66"/>
        <v/>
      </c>
      <c r="AF1473" s="8" t="str">
        <f t="shared" si="67"/>
        <v/>
      </c>
      <c r="AG1473" s="8" t="str">
        <f>IF(TRIM($E1473)&lt;&gt;"Tax Paid","",IF(COUNTIFS(LISTS!$F$2:$F$26,$AE1473,LISTS!$G$2:$G$26,$AF1473)=0,"NOT ON LIST",""))</f>
        <v/>
      </c>
      <c r="AH1473" s="8" t="str">
        <f t="shared" si="68"/>
        <v/>
      </c>
    </row>
    <row r="1474" spans="31:34" x14ac:dyDescent="0.25">
      <c r="AE1474" s="8" t="str">
        <f t="shared" ref="AE1474:AE1500" si="69">IF(TRIM($E1474)="Tax Paid",TRIM($S1474),"")</f>
        <v/>
      </c>
      <c r="AF1474" s="8" t="str">
        <f t="shared" ref="AF1474:AF1500" si="70">IF(TRIM($E1474)="Tax Paid",ROUND($Z1474/100,5),"")</f>
        <v/>
      </c>
      <c r="AG1474" s="8" t="str">
        <f>IF(TRIM($E1474)&lt;&gt;"Tax Paid","",IF(COUNTIFS(LISTS!$F$2:$F$26,$AE1474,LISTS!$G$2:$G$26,$AF1474)=0,"NOT ON LIST",""))</f>
        <v/>
      </c>
      <c r="AH1474" s="8" t="str">
        <f t="shared" ref="AH1474:AH1500" si="71">IF($AG1474="","",IF($AE1474="","(no county)",$AE1474)&amp;" ("&amp;SUBSTITUTE(TEXT($AF1474,"0.###%"),".%","%")&amp;")")</f>
        <v/>
      </c>
    </row>
    <row r="1475" spans="31:34" x14ac:dyDescent="0.25">
      <c r="AE1475" s="8" t="str">
        <f t="shared" si="69"/>
        <v/>
      </c>
      <c r="AF1475" s="8" t="str">
        <f t="shared" si="70"/>
        <v/>
      </c>
      <c r="AG1475" s="8" t="str">
        <f>IF(TRIM($E1475)&lt;&gt;"Tax Paid","",IF(COUNTIFS(LISTS!$F$2:$F$26,$AE1475,LISTS!$G$2:$G$26,$AF1475)=0,"NOT ON LIST",""))</f>
        <v/>
      </c>
      <c r="AH1475" s="8" t="str">
        <f t="shared" si="71"/>
        <v/>
      </c>
    </row>
    <row r="1476" spans="31:34" x14ac:dyDescent="0.25">
      <c r="AE1476" s="8" t="str">
        <f t="shared" si="69"/>
        <v/>
      </c>
      <c r="AF1476" s="8" t="str">
        <f t="shared" si="70"/>
        <v/>
      </c>
      <c r="AG1476" s="8" t="str">
        <f>IF(TRIM($E1476)&lt;&gt;"Tax Paid","",IF(COUNTIFS(LISTS!$F$2:$F$26,$AE1476,LISTS!$G$2:$G$26,$AF1476)=0,"NOT ON LIST",""))</f>
        <v/>
      </c>
      <c r="AH1476" s="8" t="str">
        <f t="shared" si="71"/>
        <v/>
      </c>
    </row>
    <row r="1477" spans="31:34" x14ac:dyDescent="0.25">
      <c r="AE1477" s="8" t="str">
        <f t="shared" si="69"/>
        <v/>
      </c>
      <c r="AF1477" s="8" t="str">
        <f t="shared" si="70"/>
        <v/>
      </c>
      <c r="AG1477" s="8" t="str">
        <f>IF(TRIM($E1477)&lt;&gt;"Tax Paid","",IF(COUNTIFS(LISTS!$F$2:$F$26,$AE1477,LISTS!$G$2:$G$26,$AF1477)=0,"NOT ON LIST",""))</f>
        <v/>
      </c>
      <c r="AH1477" s="8" t="str">
        <f t="shared" si="71"/>
        <v/>
      </c>
    </row>
    <row r="1478" spans="31:34" x14ac:dyDescent="0.25">
      <c r="AE1478" s="8" t="str">
        <f t="shared" si="69"/>
        <v/>
      </c>
      <c r="AF1478" s="8" t="str">
        <f t="shared" si="70"/>
        <v/>
      </c>
      <c r="AG1478" s="8" t="str">
        <f>IF(TRIM($E1478)&lt;&gt;"Tax Paid","",IF(COUNTIFS(LISTS!$F$2:$F$26,$AE1478,LISTS!$G$2:$G$26,$AF1478)=0,"NOT ON LIST",""))</f>
        <v/>
      </c>
      <c r="AH1478" s="8" t="str">
        <f t="shared" si="71"/>
        <v/>
      </c>
    </row>
    <row r="1479" spans="31:34" x14ac:dyDescent="0.25">
      <c r="AE1479" s="8" t="str">
        <f t="shared" si="69"/>
        <v/>
      </c>
      <c r="AF1479" s="8" t="str">
        <f t="shared" si="70"/>
        <v/>
      </c>
      <c r="AG1479" s="8" t="str">
        <f>IF(TRIM($E1479)&lt;&gt;"Tax Paid","",IF(COUNTIFS(LISTS!$F$2:$F$26,$AE1479,LISTS!$G$2:$G$26,$AF1479)=0,"NOT ON LIST",""))</f>
        <v/>
      </c>
      <c r="AH1479" s="8" t="str">
        <f t="shared" si="71"/>
        <v/>
      </c>
    </row>
    <row r="1480" spans="31:34" x14ac:dyDescent="0.25">
      <c r="AE1480" s="8" t="str">
        <f t="shared" si="69"/>
        <v/>
      </c>
      <c r="AF1480" s="8" t="str">
        <f t="shared" si="70"/>
        <v/>
      </c>
      <c r="AG1480" s="8" t="str">
        <f>IF(TRIM($E1480)&lt;&gt;"Tax Paid","",IF(COUNTIFS(LISTS!$F$2:$F$26,$AE1480,LISTS!$G$2:$G$26,$AF1480)=0,"NOT ON LIST",""))</f>
        <v/>
      </c>
      <c r="AH1480" s="8" t="str">
        <f t="shared" si="71"/>
        <v/>
      </c>
    </row>
    <row r="1481" spans="31:34" x14ac:dyDescent="0.25">
      <c r="AE1481" s="8" t="str">
        <f t="shared" si="69"/>
        <v/>
      </c>
      <c r="AF1481" s="8" t="str">
        <f t="shared" si="70"/>
        <v/>
      </c>
      <c r="AG1481" s="8" t="str">
        <f>IF(TRIM($E1481)&lt;&gt;"Tax Paid","",IF(COUNTIFS(LISTS!$F$2:$F$26,$AE1481,LISTS!$G$2:$G$26,$AF1481)=0,"NOT ON LIST",""))</f>
        <v/>
      </c>
      <c r="AH1481" s="8" t="str">
        <f t="shared" si="71"/>
        <v/>
      </c>
    </row>
    <row r="1482" spans="31:34" x14ac:dyDescent="0.25">
      <c r="AE1482" s="8" t="str">
        <f t="shared" si="69"/>
        <v/>
      </c>
      <c r="AF1482" s="8" t="str">
        <f t="shared" si="70"/>
        <v/>
      </c>
      <c r="AG1482" s="8" t="str">
        <f>IF(TRIM($E1482)&lt;&gt;"Tax Paid","",IF(COUNTIFS(LISTS!$F$2:$F$26,$AE1482,LISTS!$G$2:$G$26,$AF1482)=0,"NOT ON LIST",""))</f>
        <v/>
      </c>
      <c r="AH1482" s="8" t="str">
        <f t="shared" si="71"/>
        <v/>
      </c>
    </row>
    <row r="1483" spans="31:34" x14ac:dyDescent="0.25">
      <c r="AE1483" s="8" t="str">
        <f t="shared" si="69"/>
        <v/>
      </c>
      <c r="AF1483" s="8" t="str">
        <f t="shared" si="70"/>
        <v/>
      </c>
      <c r="AG1483" s="8" t="str">
        <f>IF(TRIM($E1483)&lt;&gt;"Tax Paid","",IF(COUNTIFS(LISTS!$F$2:$F$26,$AE1483,LISTS!$G$2:$G$26,$AF1483)=0,"NOT ON LIST",""))</f>
        <v/>
      </c>
      <c r="AH1483" s="8" t="str">
        <f t="shared" si="71"/>
        <v/>
      </c>
    </row>
    <row r="1484" spans="31:34" x14ac:dyDescent="0.25">
      <c r="AE1484" s="8" t="str">
        <f t="shared" si="69"/>
        <v/>
      </c>
      <c r="AF1484" s="8" t="str">
        <f t="shared" si="70"/>
        <v/>
      </c>
      <c r="AG1484" s="8" t="str">
        <f>IF(TRIM($E1484)&lt;&gt;"Tax Paid","",IF(COUNTIFS(LISTS!$F$2:$F$26,$AE1484,LISTS!$G$2:$G$26,$AF1484)=0,"NOT ON LIST",""))</f>
        <v/>
      </c>
      <c r="AH1484" s="8" t="str">
        <f t="shared" si="71"/>
        <v/>
      </c>
    </row>
    <row r="1485" spans="31:34" x14ac:dyDescent="0.25">
      <c r="AE1485" s="8" t="str">
        <f t="shared" si="69"/>
        <v/>
      </c>
      <c r="AF1485" s="8" t="str">
        <f t="shared" si="70"/>
        <v/>
      </c>
      <c r="AG1485" s="8" t="str">
        <f>IF(TRIM($E1485)&lt;&gt;"Tax Paid","",IF(COUNTIFS(LISTS!$F$2:$F$26,$AE1485,LISTS!$G$2:$G$26,$AF1485)=0,"NOT ON LIST",""))</f>
        <v/>
      </c>
      <c r="AH1485" s="8" t="str">
        <f t="shared" si="71"/>
        <v/>
      </c>
    </row>
    <row r="1486" spans="31:34" x14ac:dyDescent="0.25">
      <c r="AE1486" s="8" t="str">
        <f t="shared" si="69"/>
        <v/>
      </c>
      <c r="AF1486" s="8" t="str">
        <f t="shared" si="70"/>
        <v/>
      </c>
      <c r="AG1486" s="8" t="str">
        <f>IF(TRIM($E1486)&lt;&gt;"Tax Paid","",IF(COUNTIFS(LISTS!$F$2:$F$26,$AE1486,LISTS!$G$2:$G$26,$AF1486)=0,"NOT ON LIST",""))</f>
        <v/>
      </c>
      <c r="AH1486" s="8" t="str">
        <f t="shared" si="71"/>
        <v/>
      </c>
    </row>
    <row r="1487" spans="31:34" x14ac:dyDescent="0.25">
      <c r="AE1487" s="8" t="str">
        <f t="shared" si="69"/>
        <v/>
      </c>
      <c r="AF1487" s="8" t="str">
        <f t="shared" si="70"/>
        <v/>
      </c>
      <c r="AG1487" s="8" t="str">
        <f>IF(TRIM($E1487)&lt;&gt;"Tax Paid","",IF(COUNTIFS(LISTS!$F$2:$F$26,$AE1487,LISTS!$G$2:$G$26,$AF1487)=0,"NOT ON LIST",""))</f>
        <v/>
      </c>
      <c r="AH1487" s="8" t="str">
        <f t="shared" si="71"/>
        <v/>
      </c>
    </row>
    <row r="1488" spans="31:34" x14ac:dyDescent="0.25">
      <c r="AE1488" s="8" t="str">
        <f t="shared" si="69"/>
        <v/>
      </c>
      <c r="AF1488" s="8" t="str">
        <f t="shared" si="70"/>
        <v/>
      </c>
      <c r="AG1488" s="8" t="str">
        <f>IF(TRIM($E1488)&lt;&gt;"Tax Paid","",IF(COUNTIFS(LISTS!$F$2:$F$26,$AE1488,LISTS!$G$2:$G$26,$AF1488)=0,"NOT ON LIST",""))</f>
        <v/>
      </c>
      <c r="AH1488" s="8" t="str">
        <f t="shared" si="71"/>
        <v/>
      </c>
    </row>
    <row r="1489" spans="31:34" x14ac:dyDescent="0.25">
      <c r="AE1489" s="8" t="str">
        <f t="shared" si="69"/>
        <v/>
      </c>
      <c r="AF1489" s="8" t="str">
        <f t="shared" si="70"/>
        <v/>
      </c>
      <c r="AG1489" s="8" t="str">
        <f>IF(TRIM($E1489)&lt;&gt;"Tax Paid","",IF(COUNTIFS(LISTS!$F$2:$F$26,$AE1489,LISTS!$G$2:$G$26,$AF1489)=0,"NOT ON LIST",""))</f>
        <v/>
      </c>
      <c r="AH1489" s="8" t="str">
        <f t="shared" si="71"/>
        <v/>
      </c>
    </row>
    <row r="1490" spans="31:34" x14ac:dyDescent="0.25">
      <c r="AE1490" s="8" t="str">
        <f t="shared" si="69"/>
        <v/>
      </c>
      <c r="AF1490" s="8" t="str">
        <f t="shared" si="70"/>
        <v/>
      </c>
      <c r="AG1490" s="8" t="str">
        <f>IF(TRIM($E1490)&lt;&gt;"Tax Paid","",IF(COUNTIFS(LISTS!$F$2:$F$26,$AE1490,LISTS!$G$2:$G$26,$AF1490)=0,"NOT ON LIST",""))</f>
        <v/>
      </c>
      <c r="AH1490" s="8" t="str">
        <f t="shared" si="71"/>
        <v/>
      </c>
    </row>
    <row r="1491" spans="31:34" x14ac:dyDescent="0.25">
      <c r="AE1491" s="8" t="str">
        <f t="shared" si="69"/>
        <v/>
      </c>
      <c r="AF1491" s="8" t="str">
        <f t="shared" si="70"/>
        <v/>
      </c>
      <c r="AG1491" s="8" t="str">
        <f>IF(TRIM($E1491)&lt;&gt;"Tax Paid","",IF(COUNTIFS(LISTS!$F$2:$F$26,$AE1491,LISTS!$G$2:$G$26,$AF1491)=0,"NOT ON LIST",""))</f>
        <v/>
      </c>
      <c r="AH1491" s="8" t="str">
        <f t="shared" si="71"/>
        <v/>
      </c>
    </row>
    <row r="1492" spans="31:34" x14ac:dyDescent="0.25">
      <c r="AE1492" s="8" t="str">
        <f t="shared" si="69"/>
        <v/>
      </c>
      <c r="AF1492" s="8" t="str">
        <f t="shared" si="70"/>
        <v/>
      </c>
      <c r="AG1492" s="8" t="str">
        <f>IF(TRIM($E1492)&lt;&gt;"Tax Paid","",IF(COUNTIFS(LISTS!$F$2:$F$26,$AE1492,LISTS!$G$2:$G$26,$AF1492)=0,"NOT ON LIST",""))</f>
        <v/>
      </c>
      <c r="AH1492" s="8" t="str">
        <f t="shared" si="71"/>
        <v/>
      </c>
    </row>
    <row r="1493" spans="31:34" x14ac:dyDescent="0.25">
      <c r="AE1493" s="8" t="str">
        <f t="shared" si="69"/>
        <v/>
      </c>
      <c r="AF1493" s="8" t="str">
        <f t="shared" si="70"/>
        <v/>
      </c>
      <c r="AG1493" s="8" t="str">
        <f>IF(TRIM($E1493)&lt;&gt;"Tax Paid","",IF(COUNTIFS(LISTS!$F$2:$F$26,$AE1493,LISTS!$G$2:$G$26,$AF1493)=0,"NOT ON LIST",""))</f>
        <v/>
      </c>
      <c r="AH1493" s="8" t="str">
        <f t="shared" si="71"/>
        <v/>
      </c>
    </row>
    <row r="1494" spans="31:34" x14ac:dyDescent="0.25">
      <c r="AE1494" s="8" t="str">
        <f t="shared" si="69"/>
        <v/>
      </c>
      <c r="AF1494" s="8" t="str">
        <f t="shared" si="70"/>
        <v/>
      </c>
      <c r="AG1494" s="8" t="str">
        <f>IF(TRIM($E1494)&lt;&gt;"Tax Paid","",IF(COUNTIFS(LISTS!$F$2:$F$26,$AE1494,LISTS!$G$2:$G$26,$AF1494)=0,"NOT ON LIST",""))</f>
        <v/>
      </c>
      <c r="AH1494" s="8" t="str">
        <f t="shared" si="71"/>
        <v/>
      </c>
    </row>
    <row r="1495" spans="31:34" x14ac:dyDescent="0.25">
      <c r="AE1495" s="8" t="str">
        <f t="shared" si="69"/>
        <v/>
      </c>
      <c r="AF1495" s="8" t="str">
        <f t="shared" si="70"/>
        <v/>
      </c>
      <c r="AG1495" s="8" t="str">
        <f>IF(TRIM($E1495)&lt;&gt;"Tax Paid","",IF(COUNTIFS(LISTS!$F$2:$F$26,$AE1495,LISTS!$G$2:$G$26,$AF1495)=0,"NOT ON LIST",""))</f>
        <v/>
      </c>
      <c r="AH1495" s="8" t="str">
        <f t="shared" si="71"/>
        <v/>
      </c>
    </row>
    <row r="1496" spans="31:34" x14ac:dyDescent="0.25">
      <c r="AE1496" s="8" t="str">
        <f t="shared" si="69"/>
        <v/>
      </c>
      <c r="AF1496" s="8" t="str">
        <f t="shared" si="70"/>
        <v/>
      </c>
      <c r="AG1496" s="8" t="str">
        <f>IF(TRIM($E1496)&lt;&gt;"Tax Paid","",IF(COUNTIFS(LISTS!$F$2:$F$26,$AE1496,LISTS!$G$2:$G$26,$AF1496)=0,"NOT ON LIST",""))</f>
        <v/>
      </c>
      <c r="AH1496" s="8" t="str">
        <f t="shared" si="71"/>
        <v/>
      </c>
    </row>
    <row r="1497" spans="31:34" x14ac:dyDescent="0.25">
      <c r="AE1497" s="8" t="str">
        <f t="shared" si="69"/>
        <v/>
      </c>
      <c r="AF1497" s="8" t="str">
        <f t="shared" si="70"/>
        <v/>
      </c>
      <c r="AG1497" s="8" t="str">
        <f>IF(TRIM($E1497)&lt;&gt;"Tax Paid","",IF(COUNTIFS(LISTS!$F$2:$F$26,$AE1497,LISTS!$G$2:$G$26,$AF1497)=0,"NOT ON LIST",""))</f>
        <v/>
      </c>
      <c r="AH1497" s="8" t="str">
        <f t="shared" si="71"/>
        <v/>
      </c>
    </row>
    <row r="1498" spans="31:34" x14ac:dyDescent="0.25">
      <c r="AE1498" s="8" t="str">
        <f t="shared" si="69"/>
        <v/>
      </c>
      <c r="AF1498" s="8" t="str">
        <f t="shared" si="70"/>
        <v/>
      </c>
      <c r="AG1498" s="8" t="str">
        <f>IF(TRIM($E1498)&lt;&gt;"Tax Paid","",IF(COUNTIFS(LISTS!$F$2:$F$26,$AE1498,LISTS!$G$2:$G$26,$AF1498)=0,"NOT ON LIST",""))</f>
        <v/>
      </c>
      <c r="AH1498" s="8" t="str">
        <f t="shared" si="71"/>
        <v/>
      </c>
    </row>
    <row r="1499" spans="31:34" x14ac:dyDescent="0.25">
      <c r="AE1499" s="8" t="str">
        <f t="shared" si="69"/>
        <v/>
      </c>
      <c r="AF1499" s="8" t="str">
        <f t="shared" si="70"/>
        <v/>
      </c>
      <c r="AG1499" s="8" t="str">
        <f>IF(TRIM($E1499)&lt;&gt;"Tax Paid","",IF(COUNTIFS(LISTS!$F$2:$F$26,$AE1499,LISTS!$G$2:$G$26,$AF1499)=0,"NOT ON LIST",""))</f>
        <v/>
      </c>
      <c r="AH1499" s="8" t="str">
        <f t="shared" si="71"/>
        <v/>
      </c>
    </row>
    <row r="1500" spans="31:34" x14ac:dyDescent="0.25">
      <c r="AE1500" s="8" t="str">
        <f t="shared" si="69"/>
        <v/>
      </c>
      <c r="AF1500" s="8" t="str">
        <f t="shared" si="70"/>
        <v/>
      </c>
      <c r="AG1500" s="8" t="str">
        <f>IF(TRIM($E1500)&lt;&gt;"Tax Paid","",IF(COUNTIFS(LISTS!$F$2:$F$26,$AE1500,LISTS!$G$2:$G$26,$AF1500)=0,"NOT ON LIST",""))</f>
        <v/>
      </c>
      <c r="AH1500" s="8" t="str">
        <f t="shared" si="71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U3000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47" max="47" width="18" hidden="1" customWidth="1" outlineLevel="1"/>
  </cols>
  <sheetData>
    <row r="1" spans="1:47" x14ac:dyDescent="0.25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  <c r="H1" s="7" t="s">
        <v>87</v>
      </c>
      <c r="I1" s="7" t="s">
        <v>88</v>
      </c>
      <c r="J1" s="7" t="s">
        <v>89</v>
      </c>
      <c r="K1" s="7" t="s">
        <v>90</v>
      </c>
      <c r="L1" s="7" t="s">
        <v>91</v>
      </c>
      <c r="M1" s="7" t="s">
        <v>92</v>
      </c>
      <c r="N1" s="7" t="s">
        <v>93</v>
      </c>
      <c r="O1" s="7" t="s">
        <v>94</v>
      </c>
      <c r="P1" s="7" t="s">
        <v>95</v>
      </c>
      <c r="Q1" s="7" t="s">
        <v>96</v>
      </c>
      <c r="R1" s="7" t="s">
        <v>97</v>
      </c>
      <c r="S1" s="7" t="s">
        <v>98</v>
      </c>
      <c r="T1" s="7" t="s">
        <v>99</v>
      </c>
      <c r="U1" s="7" t="s">
        <v>100</v>
      </c>
      <c r="V1" s="7" t="s">
        <v>101</v>
      </c>
      <c r="W1" s="7" t="s">
        <v>102</v>
      </c>
      <c r="X1" s="7" t="s">
        <v>103</v>
      </c>
      <c r="Y1" s="7" t="s">
        <v>104</v>
      </c>
      <c r="Z1" s="7" t="s">
        <v>105</v>
      </c>
      <c r="AA1" s="7" t="s">
        <v>106</v>
      </c>
      <c r="AB1" s="7" t="s">
        <v>107</v>
      </c>
      <c r="AC1" s="7" t="s">
        <v>108</v>
      </c>
      <c r="AD1" s="7" t="s">
        <v>109</v>
      </c>
      <c r="AE1" s="7" t="s">
        <v>110</v>
      </c>
      <c r="AF1" s="7" t="s">
        <v>111</v>
      </c>
      <c r="AG1" s="7" t="s">
        <v>112</v>
      </c>
      <c r="AH1" s="7" t="s">
        <v>113</v>
      </c>
      <c r="AI1" s="7" t="s">
        <v>114</v>
      </c>
      <c r="AJ1" s="7" t="s">
        <v>115</v>
      </c>
      <c r="AK1" s="7" t="s">
        <v>116</v>
      </c>
      <c r="AL1" s="7" t="s">
        <v>117</v>
      </c>
      <c r="AM1" s="7" t="s">
        <v>118</v>
      </c>
      <c r="AN1" s="7" t="s">
        <v>119</v>
      </c>
      <c r="AO1" s="7" t="s">
        <v>120</v>
      </c>
      <c r="AP1" s="7" t="s">
        <v>121</v>
      </c>
      <c r="AQ1" s="7" t="s">
        <v>122</v>
      </c>
      <c r="AR1" s="7" t="s">
        <v>123</v>
      </c>
      <c r="AS1" s="7" t="s">
        <v>124</v>
      </c>
      <c r="AU1" s="7" t="s">
        <v>125</v>
      </c>
    </row>
    <row r="2" spans="1:47" x14ac:dyDescent="0.25">
      <c r="AU2" s="8" t="str">
        <f>IF(TRIM($G2)="","",IF(COUNTIF(LISTS!$I$2:$I$16,TRIM($G2))&gt;0,"COUNTED",IF(COUNTIF(LISTS!$J$2:$J$16,TRIM($G2))&gt;0,"LEFT OUT","NEW")))</f>
        <v/>
      </c>
    </row>
    <row r="3" spans="1:47" x14ac:dyDescent="0.25">
      <c r="AU3" s="8" t="str">
        <f>IF(TRIM($G3)="","",IF(COUNTIF(LISTS!$I$2:$I$16,TRIM($G3))&gt;0,"COUNTED",IF(COUNTIF(LISTS!$J$2:$J$16,TRIM($G3))&gt;0,"LEFT OUT","NEW")))</f>
        <v/>
      </c>
    </row>
    <row r="4" spans="1:47" x14ac:dyDescent="0.25">
      <c r="AU4" s="8" t="str">
        <f>IF(TRIM($G4)="","",IF(COUNTIF(LISTS!$I$2:$I$16,TRIM($G4))&gt;0,"COUNTED",IF(COUNTIF(LISTS!$J$2:$J$16,TRIM($G4))&gt;0,"LEFT OUT","NEW")))</f>
        <v/>
      </c>
    </row>
    <row r="5" spans="1:47" x14ac:dyDescent="0.25">
      <c r="AU5" s="8" t="str">
        <f>IF(TRIM($G5)="","",IF(COUNTIF(LISTS!$I$2:$I$16,TRIM($G5))&gt;0,"COUNTED",IF(COUNTIF(LISTS!$J$2:$J$16,TRIM($G5))&gt;0,"LEFT OUT","NEW")))</f>
        <v/>
      </c>
    </row>
    <row r="6" spans="1:47" x14ac:dyDescent="0.25">
      <c r="AU6" s="8" t="str">
        <f>IF(TRIM($G6)="","",IF(COUNTIF(LISTS!$I$2:$I$16,TRIM($G6))&gt;0,"COUNTED",IF(COUNTIF(LISTS!$J$2:$J$16,TRIM($G6))&gt;0,"LEFT OUT","NEW")))</f>
        <v/>
      </c>
    </row>
    <row r="7" spans="1:47" x14ac:dyDescent="0.25">
      <c r="AU7" s="8" t="str">
        <f>IF(TRIM($G7)="","",IF(COUNTIF(LISTS!$I$2:$I$16,TRIM($G7))&gt;0,"COUNTED",IF(COUNTIF(LISTS!$J$2:$J$16,TRIM($G7))&gt;0,"LEFT OUT","NEW")))</f>
        <v/>
      </c>
    </row>
    <row r="8" spans="1:47" x14ac:dyDescent="0.25">
      <c r="AU8" s="8" t="str">
        <f>IF(TRIM($G8)="","",IF(COUNTIF(LISTS!$I$2:$I$16,TRIM($G8))&gt;0,"COUNTED",IF(COUNTIF(LISTS!$J$2:$J$16,TRIM($G8))&gt;0,"LEFT OUT","NEW")))</f>
        <v/>
      </c>
    </row>
    <row r="9" spans="1:47" x14ac:dyDescent="0.25">
      <c r="AU9" s="8" t="str">
        <f>IF(TRIM($G9)="","",IF(COUNTIF(LISTS!$I$2:$I$16,TRIM($G9))&gt;0,"COUNTED",IF(COUNTIF(LISTS!$J$2:$J$16,TRIM($G9))&gt;0,"LEFT OUT","NEW")))</f>
        <v/>
      </c>
    </row>
    <row r="10" spans="1:47" x14ac:dyDescent="0.25">
      <c r="AU10" s="8" t="str">
        <f>IF(TRIM($G10)="","",IF(COUNTIF(LISTS!$I$2:$I$16,TRIM($G10))&gt;0,"COUNTED",IF(COUNTIF(LISTS!$J$2:$J$16,TRIM($G10))&gt;0,"LEFT OUT","NEW")))</f>
        <v/>
      </c>
    </row>
    <row r="11" spans="1:47" x14ac:dyDescent="0.25">
      <c r="AU11" s="8" t="str">
        <f>IF(TRIM($G11)="","",IF(COUNTIF(LISTS!$I$2:$I$16,TRIM($G11))&gt;0,"COUNTED",IF(COUNTIF(LISTS!$J$2:$J$16,TRIM($G11))&gt;0,"LEFT OUT","NEW")))</f>
        <v/>
      </c>
    </row>
    <row r="12" spans="1:47" x14ac:dyDescent="0.25">
      <c r="AU12" s="8" t="str">
        <f>IF(TRIM($G12)="","",IF(COUNTIF(LISTS!$I$2:$I$16,TRIM($G12))&gt;0,"COUNTED",IF(COUNTIF(LISTS!$J$2:$J$16,TRIM($G12))&gt;0,"LEFT OUT","NEW")))</f>
        <v/>
      </c>
    </row>
    <row r="13" spans="1:47" x14ac:dyDescent="0.25">
      <c r="AU13" s="8" t="str">
        <f>IF(TRIM($G13)="","",IF(COUNTIF(LISTS!$I$2:$I$16,TRIM($G13))&gt;0,"COUNTED",IF(COUNTIF(LISTS!$J$2:$J$16,TRIM($G13))&gt;0,"LEFT OUT","NEW")))</f>
        <v/>
      </c>
    </row>
    <row r="14" spans="1:47" x14ac:dyDescent="0.25">
      <c r="AU14" s="8" t="str">
        <f>IF(TRIM($G14)="","",IF(COUNTIF(LISTS!$I$2:$I$16,TRIM($G14))&gt;0,"COUNTED",IF(COUNTIF(LISTS!$J$2:$J$16,TRIM($G14))&gt;0,"LEFT OUT","NEW")))</f>
        <v/>
      </c>
    </row>
    <row r="15" spans="1:47" x14ac:dyDescent="0.25">
      <c r="AU15" s="8" t="str">
        <f>IF(TRIM($G15)="","",IF(COUNTIF(LISTS!$I$2:$I$16,TRIM($G15))&gt;0,"COUNTED",IF(COUNTIF(LISTS!$J$2:$J$16,TRIM($G15))&gt;0,"LEFT OUT","NEW")))</f>
        <v/>
      </c>
    </row>
    <row r="16" spans="1:47" x14ac:dyDescent="0.25">
      <c r="AU16" s="8" t="str">
        <f>IF(TRIM($G16)="","",IF(COUNTIF(LISTS!$I$2:$I$16,TRIM($G16))&gt;0,"COUNTED",IF(COUNTIF(LISTS!$J$2:$J$16,TRIM($G16))&gt;0,"LEFT OUT","NEW")))</f>
        <v/>
      </c>
    </row>
    <row r="17" spans="47:47" x14ac:dyDescent="0.25">
      <c r="AU17" s="8" t="str">
        <f>IF(TRIM($G17)="","",IF(COUNTIF(LISTS!$I$2:$I$16,TRIM($G17))&gt;0,"COUNTED",IF(COUNTIF(LISTS!$J$2:$J$16,TRIM($G17))&gt;0,"LEFT OUT","NEW")))</f>
        <v/>
      </c>
    </row>
    <row r="18" spans="47:47" x14ac:dyDescent="0.25">
      <c r="AU18" s="8" t="str">
        <f>IF(TRIM($G18)="","",IF(COUNTIF(LISTS!$I$2:$I$16,TRIM($G18))&gt;0,"COUNTED",IF(COUNTIF(LISTS!$J$2:$J$16,TRIM($G18))&gt;0,"LEFT OUT","NEW")))</f>
        <v/>
      </c>
    </row>
    <row r="19" spans="47:47" x14ac:dyDescent="0.25">
      <c r="AU19" s="8" t="str">
        <f>IF(TRIM($G19)="","",IF(COUNTIF(LISTS!$I$2:$I$16,TRIM($G19))&gt;0,"COUNTED",IF(COUNTIF(LISTS!$J$2:$J$16,TRIM($G19))&gt;0,"LEFT OUT","NEW")))</f>
        <v/>
      </c>
    </row>
    <row r="20" spans="47:47" x14ac:dyDescent="0.25">
      <c r="AU20" s="8" t="str">
        <f>IF(TRIM($G20)="","",IF(COUNTIF(LISTS!$I$2:$I$16,TRIM($G20))&gt;0,"COUNTED",IF(COUNTIF(LISTS!$J$2:$J$16,TRIM($G20))&gt;0,"LEFT OUT","NEW")))</f>
        <v/>
      </c>
    </row>
    <row r="21" spans="47:47" x14ac:dyDescent="0.25">
      <c r="AU21" s="8" t="str">
        <f>IF(TRIM($G21)="","",IF(COUNTIF(LISTS!$I$2:$I$16,TRIM($G21))&gt;0,"COUNTED",IF(COUNTIF(LISTS!$J$2:$J$16,TRIM($G21))&gt;0,"LEFT OUT","NEW")))</f>
        <v/>
      </c>
    </row>
    <row r="22" spans="47:47" x14ac:dyDescent="0.25">
      <c r="AU22" s="8" t="str">
        <f>IF(TRIM($G22)="","",IF(COUNTIF(LISTS!$I$2:$I$16,TRIM($G22))&gt;0,"COUNTED",IF(COUNTIF(LISTS!$J$2:$J$16,TRIM($G22))&gt;0,"LEFT OUT","NEW")))</f>
        <v/>
      </c>
    </row>
    <row r="23" spans="47:47" x14ac:dyDescent="0.25">
      <c r="AU23" s="8" t="str">
        <f>IF(TRIM($G23)="","",IF(COUNTIF(LISTS!$I$2:$I$16,TRIM($G23))&gt;0,"COUNTED",IF(COUNTIF(LISTS!$J$2:$J$16,TRIM($G23))&gt;0,"LEFT OUT","NEW")))</f>
        <v/>
      </c>
    </row>
    <row r="24" spans="47:47" x14ac:dyDescent="0.25">
      <c r="AU24" s="8" t="str">
        <f>IF(TRIM($G24)="","",IF(COUNTIF(LISTS!$I$2:$I$16,TRIM($G24))&gt;0,"COUNTED",IF(COUNTIF(LISTS!$J$2:$J$16,TRIM($G24))&gt;0,"LEFT OUT","NEW")))</f>
        <v/>
      </c>
    </row>
    <row r="25" spans="47:47" x14ac:dyDescent="0.25">
      <c r="AU25" s="8" t="str">
        <f>IF(TRIM($G25)="","",IF(COUNTIF(LISTS!$I$2:$I$16,TRIM($G25))&gt;0,"COUNTED",IF(COUNTIF(LISTS!$J$2:$J$16,TRIM($G25))&gt;0,"LEFT OUT","NEW")))</f>
        <v/>
      </c>
    </row>
    <row r="26" spans="47:47" x14ac:dyDescent="0.25">
      <c r="AU26" s="8" t="str">
        <f>IF(TRIM($G26)="","",IF(COUNTIF(LISTS!$I$2:$I$16,TRIM($G26))&gt;0,"COUNTED",IF(COUNTIF(LISTS!$J$2:$J$16,TRIM($G26))&gt;0,"LEFT OUT","NEW")))</f>
        <v/>
      </c>
    </row>
    <row r="27" spans="47:47" x14ac:dyDescent="0.25">
      <c r="AU27" s="8" t="str">
        <f>IF(TRIM($G27)="","",IF(COUNTIF(LISTS!$I$2:$I$16,TRIM($G27))&gt;0,"COUNTED",IF(COUNTIF(LISTS!$J$2:$J$16,TRIM($G27))&gt;0,"LEFT OUT","NEW")))</f>
        <v/>
      </c>
    </row>
    <row r="28" spans="47:47" x14ac:dyDescent="0.25">
      <c r="AU28" s="8" t="str">
        <f>IF(TRIM($G28)="","",IF(COUNTIF(LISTS!$I$2:$I$16,TRIM($G28))&gt;0,"COUNTED",IF(COUNTIF(LISTS!$J$2:$J$16,TRIM($G28))&gt;0,"LEFT OUT","NEW")))</f>
        <v/>
      </c>
    </row>
    <row r="29" spans="47:47" x14ac:dyDescent="0.25">
      <c r="AU29" s="8" t="str">
        <f>IF(TRIM($G29)="","",IF(COUNTIF(LISTS!$I$2:$I$16,TRIM($G29))&gt;0,"COUNTED",IF(COUNTIF(LISTS!$J$2:$J$16,TRIM($G29))&gt;0,"LEFT OUT","NEW")))</f>
        <v/>
      </c>
    </row>
    <row r="30" spans="47:47" x14ac:dyDescent="0.25">
      <c r="AU30" s="8" t="str">
        <f>IF(TRIM($G30)="","",IF(COUNTIF(LISTS!$I$2:$I$16,TRIM($G30))&gt;0,"COUNTED",IF(COUNTIF(LISTS!$J$2:$J$16,TRIM($G30))&gt;0,"LEFT OUT","NEW")))</f>
        <v/>
      </c>
    </row>
    <row r="31" spans="47:47" x14ac:dyDescent="0.25">
      <c r="AU31" s="8" t="str">
        <f>IF(TRIM($G31)="","",IF(COUNTIF(LISTS!$I$2:$I$16,TRIM($G31))&gt;0,"COUNTED",IF(COUNTIF(LISTS!$J$2:$J$16,TRIM($G31))&gt;0,"LEFT OUT","NEW")))</f>
        <v/>
      </c>
    </row>
    <row r="32" spans="47:47" x14ac:dyDescent="0.25">
      <c r="AU32" s="8" t="str">
        <f>IF(TRIM($G32)="","",IF(COUNTIF(LISTS!$I$2:$I$16,TRIM($G32))&gt;0,"COUNTED",IF(COUNTIF(LISTS!$J$2:$J$16,TRIM($G32))&gt;0,"LEFT OUT","NEW")))</f>
        <v/>
      </c>
    </row>
    <row r="33" spans="47:47" x14ac:dyDescent="0.25">
      <c r="AU33" s="8" t="str">
        <f>IF(TRIM($G33)="","",IF(COUNTIF(LISTS!$I$2:$I$16,TRIM($G33))&gt;0,"COUNTED",IF(COUNTIF(LISTS!$J$2:$J$16,TRIM($G33))&gt;0,"LEFT OUT","NEW")))</f>
        <v/>
      </c>
    </row>
    <row r="34" spans="47:47" x14ac:dyDescent="0.25">
      <c r="AU34" s="8" t="str">
        <f>IF(TRIM($G34)="","",IF(COUNTIF(LISTS!$I$2:$I$16,TRIM($G34))&gt;0,"COUNTED",IF(COUNTIF(LISTS!$J$2:$J$16,TRIM($G34))&gt;0,"LEFT OUT","NEW")))</f>
        <v/>
      </c>
    </row>
    <row r="35" spans="47:47" x14ac:dyDescent="0.25">
      <c r="AU35" s="8" t="str">
        <f>IF(TRIM($G35)="","",IF(COUNTIF(LISTS!$I$2:$I$16,TRIM($G35))&gt;0,"COUNTED",IF(COUNTIF(LISTS!$J$2:$J$16,TRIM($G35))&gt;0,"LEFT OUT","NEW")))</f>
        <v/>
      </c>
    </row>
    <row r="36" spans="47:47" x14ac:dyDescent="0.25">
      <c r="AU36" s="8" t="str">
        <f>IF(TRIM($G36)="","",IF(COUNTIF(LISTS!$I$2:$I$16,TRIM($G36))&gt;0,"COUNTED",IF(COUNTIF(LISTS!$J$2:$J$16,TRIM($G36))&gt;0,"LEFT OUT","NEW")))</f>
        <v/>
      </c>
    </row>
    <row r="37" spans="47:47" x14ac:dyDescent="0.25">
      <c r="AU37" s="8" t="str">
        <f>IF(TRIM($G37)="","",IF(COUNTIF(LISTS!$I$2:$I$16,TRIM($G37))&gt;0,"COUNTED",IF(COUNTIF(LISTS!$J$2:$J$16,TRIM($G37))&gt;0,"LEFT OUT","NEW")))</f>
        <v/>
      </c>
    </row>
    <row r="38" spans="47:47" x14ac:dyDescent="0.25">
      <c r="AU38" s="8" t="str">
        <f>IF(TRIM($G38)="","",IF(COUNTIF(LISTS!$I$2:$I$16,TRIM($G38))&gt;0,"COUNTED",IF(COUNTIF(LISTS!$J$2:$J$16,TRIM($G38))&gt;0,"LEFT OUT","NEW")))</f>
        <v/>
      </c>
    </row>
    <row r="39" spans="47:47" x14ac:dyDescent="0.25">
      <c r="AU39" s="8" t="str">
        <f>IF(TRIM($G39)="","",IF(COUNTIF(LISTS!$I$2:$I$16,TRIM($G39))&gt;0,"COUNTED",IF(COUNTIF(LISTS!$J$2:$J$16,TRIM($G39))&gt;0,"LEFT OUT","NEW")))</f>
        <v/>
      </c>
    </row>
    <row r="40" spans="47:47" x14ac:dyDescent="0.25">
      <c r="AU40" s="8" t="str">
        <f>IF(TRIM($G40)="","",IF(COUNTIF(LISTS!$I$2:$I$16,TRIM($G40))&gt;0,"COUNTED",IF(COUNTIF(LISTS!$J$2:$J$16,TRIM($G40))&gt;0,"LEFT OUT","NEW")))</f>
        <v/>
      </c>
    </row>
    <row r="41" spans="47:47" x14ac:dyDescent="0.25">
      <c r="AU41" s="8" t="str">
        <f>IF(TRIM($G41)="","",IF(COUNTIF(LISTS!$I$2:$I$16,TRIM($G41))&gt;0,"COUNTED",IF(COUNTIF(LISTS!$J$2:$J$16,TRIM($G41))&gt;0,"LEFT OUT","NEW")))</f>
        <v/>
      </c>
    </row>
    <row r="42" spans="47:47" x14ac:dyDescent="0.25">
      <c r="AU42" s="8" t="str">
        <f>IF(TRIM($G42)="","",IF(COUNTIF(LISTS!$I$2:$I$16,TRIM($G42))&gt;0,"COUNTED",IF(COUNTIF(LISTS!$J$2:$J$16,TRIM($G42))&gt;0,"LEFT OUT","NEW")))</f>
        <v/>
      </c>
    </row>
    <row r="43" spans="47:47" x14ac:dyDescent="0.25">
      <c r="AU43" s="8" t="str">
        <f>IF(TRIM($G43)="","",IF(COUNTIF(LISTS!$I$2:$I$16,TRIM($G43))&gt;0,"COUNTED",IF(COUNTIF(LISTS!$J$2:$J$16,TRIM($G43))&gt;0,"LEFT OUT","NEW")))</f>
        <v/>
      </c>
    </row>
    <row r="44" spans="47:47" x14ac:dyDescent="0.25">
      <c r="AU44" s="8" t="str">
        <f>IF(TRIM($G44)="","",IF(COUNTIF(LISTS!$I$2:$I$16,TRIM($G44))&gt;0,"COUNTED",IF(COUNTIF(LISTS!$J$2:$J$16,TRIM($G44))&gt;0,"LEFT OUT","NEW")))</f>
        <v/>
      </c>
    </row>
    <row r="45" spans="47:47" x14ac:dyDescent="0.25">
      <c r="AU45" s="8" t="str">
        <f>IF(TRIM($G45)="","",IF(COUNTIF(LISTS!$I$2:$I$16,TRIM($G45))&gt;0,"COUNTED",IF(COUNTIF(LISTS!$J$2:$J$16,TRIM($G45))&gt;0,"LEFT OUT","NEW")))</f>
        <v/>
      </c>
    </row>
    <row r="46" spans="47:47" x14ac:dyDescent="0.25">
      <c r="AU46" s="8" t="str">
        <f>IF(TRIM($G46)="","",IF(COUNTIF(LISTS!$I$2:$I$16,TRIM($G46))&gt;0,"COUNTED",IF(COUNTIF(LISTS!$J$2:$J$16,TRIM($G46))&gt;0,"LEFT OUT","NEW")))</f>
        <v/>
      </c>
    </row>
    <row r="47" spans="47:47" x14ac:dyDescent="0.25">
      <c r="AU47" s="8" t="str">
        <f>IF(TRIM($G47)="","",IF(COUNTIF(LISTS!$I$2:$I$16,TRIM($G47))&gt;0,"COUNTED",IF(COUNTIF(LISTS!$J$2:$J$16,TRIM($G47))&gt;0,"LEFT OUT","NEW")))</f>
        <v/>
      </c>
    </row>
    <row r="48" spans="47:47" x14ac:dyDescent="0.25">
      <c r="AU48" s="8" t="str">
        <f>IF(TRIM($G48)="","",IF(COUNTIF(LISTS!$I$2:$I$16,TRIM($G48))&gt;0,"COUNTED",IF(COUNTIF(LISTS!$J$2:$J$16,TRIM($G48))&gt;0,"LEFT OUT","NEW")))</f>
        <v/>
      </c>
    </row>
    <row r="49" spans="47:47" x14ac:dyDescent="0.25">
      <c r="AU49" s="8" t="str">
        <f>IF(TRIM($G49)="","",IF(COUNTIF(LISTS!$I$2:$I$16,TRIM($G49))&gt;0,"COUNTED",IF(COUNTIF(LISTS!$J$2:$J$16,TRIM($G49))&gt;0,"LEFT OUT","NEW")))</f>
        <v/>
      </c>
    </row>
    <row r="50" spans="47:47" x14ac:dyDescent="0.25">
      <c r="AU50" s="8" t="str">
        <f>IF(TRIM($G50)="","",IF(COUNTIF(LISTS!$I$2:$I$16,TRIM($G50))&gt;0,"COUNTED",IF(COUNTIF(LISTS!$J$2:$J$16,TRIM($G50))&gt;0,"LEFT OUT","NEW")))</f>
        <v/>
      </c>
    </row>
    <row r="51" spans="47:47" x14ac:dyDescent="0.25">
      <c r="AU51" s="8" t="str">
        <f>IF(TRIM($G51)="","",IF(COUNTIF(LISTS!$I$2:$I$16,TRIM($G51))&gt;0,"COUNTED",IF(COUNTIF(LISTS!$J$2:$J$16,TRIM($G51))&gt;0,"LEFT OUT","NEW")))</f>
        <v/>
      </c>
    </row>
    <row r="52" spans="47:47" x14ac:dyDescent="0.25">
      <c r="AU52" s="8" t="str">
        <f>IF(TRIM($G52)="","",IF(COUNTIF(LISTS!$I$2:$I$16,TRIM($G52))&gt;0,"COUNTED",IF(COUNTIF(LISTS!$J$2:$J$16,TRIM($G52))&gt;0,"LEFT OUT","NEW")))</f>
        <v/>
      </c>
    </row>
    <row r="53" spans="47:47" x14ac:dyDescent="0.25">
      <c r="AU53" s="8" t="str">
        <f>IF(TRIM($G53)="","",IF(COUNTIF(LISTS!$I$2:$I$16,TRIM($G53))&gt;0,"COUNTED",IF(COUNTIF(LISTS!$J$2:$J$16,TRIM($G53))&gt;0,"LEFT OUT","NEW")))</f>
        <v/>
      </c>
    </row>
    <row r="54" spans="47:47" x14ac:dyDescent="0.25">
      <c r="AU54" s="8" t="str">
        <f>IF(TRIM($G54)="","",IF(COUNTIF(LISTS!$I$2:$I$16,TRIM($G54))&gt;0,"COUNTED",IF(COUNTIF(LISTS!$J$2:$J$16,TRIM($G54))&gt;0,"LEFT OUT","NEW")))</f>
        <v/>
      </c>
    </row>
    <row r="55" spans="47:47" x14ac:dyDescent="0.25">
      <c r="AU55" s="8" t="str">
        <f>IF(TRIM($G55)="","",IF(COUNTIF(LISTS!$I$2:$I$16,TRIM($G55))&gt;0,"COUNTED",IF(COUNTIF(LISTS!$J$2:$J$16,TRIM($G55))&gt;0,"LEFT OUT","NEW")))</f>
        <v/>
      </c>
    </row>
    <row r="56" spans="47:47" x14ac:dyDescent="0.25">
      <c r="AU56" s="8" t="str">
        <f>IF(TRIM($G56)="","",IF(COUNTIF(LISTS!$I$2:$I$16,TRIM($G56))&gt;0,"COUNTED",IF(COUNTIF(LISTS!$J$2:$J$16,TRIM($G56))&gt;0,"LEFT OUT","NEW")))</f>
        <v/>
      </c>
    </row>
    <row r="57" spans="47:47" x14ac:dyDescent="0.25">
      <c r="AU57" s="8" t="str">
        <f>IF(TRIM($G57)="","",IF(COUNTIF(LISTS!$I$2:$I$16,TRIM($G57))&gt;0,"COUNTED",IF(COUNTIF(LISTS!$J$2:$J$16,TRIM($G57))&gt;0,"LEFT OUT","NEW")))</f>
        <v/>
      </c>
    </row>
    <row r="58" spans="47:47" x14ac:dyDescent="0.25">
      <c r="AU58" s="8" t="str">
        <f>IF(TRIM($G58)="","",IF(COUNTIF(LISTS!$I$2:$I$16,TRIM($G58))&gt;0,"COUNTED",IF(COUNTIF(LISTS!$J$2:$J$16,TRIM($G58))&gt;0,"LEFT OUT","NEW")))</f>
        <v/>
      </c>
    </row>
    <row r="59" spans="47:47" x14ac:dyDescent="0.25">
      <c r="AU59" s="8" t="str">
        <f>IF(TRIM($G59)="","",IF(COUNTIF(LISTS!$I$2:$I$16,TRIM($G59))&gt;0,"COUNTED",IF(COUNTIF(LISTS!$J$2:$J$16,TRIM($G59))&gt;0,"LEFT OUT","NEW")))</f>
        <v/>
      </c>
    </row>
    <row r="60" spans="47:47" x14ac:dyDescent="0.25">
      <c r="AU60" s="8" t="str">
        <f>IF(TRIM($G60)="","",IF(COUNTIF(LISTS!$I$2:$I$16,TRIM($G60))&gt;0,"COUNTED",IF(COUNTIF(LISTS!$J$2:$J$16,TRIM($G60))&gt;0,"LEFT OUT","NEW")))</f>
        <v/>
      </c>
    </row>
    <row r="61" spans="47:47" x14ac:dyDescent="0.25">
      <c r="AU61" s="8" t="str">
        <f>IF(TRIM($G61)="","",IF(COUNTIF(LISTS!$I$2:$I$16,TRIM($G61))&gt;0,"COUNTED",IF(COUNTIF(LISTS!$J$2:$J$16,TRIM($G61))&gt;0,"LEFT OUT","NEW")))</f>
        <v/>
      </c>
    </row>
    <row r="62" spans="47:47" x14ac:dyDescent="0.25">
      <c r="AU62" s="8" t="str">
        <f>IF(TRIM($G62)="","",IF(COUNTIF(LISTS!$I$2:$I$16,TRIM($G62))&gt;0,"COUNTED",IF(COUNTIF(LISTS!$J$2:$J$16,TRIM($G62))&gt;0,"LEFT OUT","NEW")))</f>
        <v/>
      </c>
    </row>
    <row r="63" spans="47:47" x14ac:dyDescent="0.25">
      <c r="AU63" s="8" t="str">
        <f>IF(TRIM($G63)="","",IF(COUNTIF(LISTS!$I$2:$I$16,TRIM($G63))&gt;0,"COUNTED",IF(COUNTIF(LISTS!$J$2:$J$16,TRIM($G63))&gt;0,"LEFT OUT","NEW")))</f>
        <v/>
      </c>
    </row>
    <row r="64" spans="47:47" x14ac:dyDescent="0.25">
      <c r="AU64" s="8" t="str">
        <f>IF(TRIM($G64)="","",IF(COUNTIF(LISTS!$I$2:$I$16,TRIM($G64))&gt;0,"COUNTED",IF(COUNTIF(LISTS!$J$2:$J$16,TRIM($G64))&gt;0,"LEFT OUT","NEW")))</f>
        <v/>
      </c>
    </row>
    <row r="65" spans="47:47" x14ac:dyDescent="0.25">
      <c r="AU65" s="8" t="str">
        <f>IF(TRIM($G65)="","",IF(COUNTIF(LISTS!$I$2:$I$16,TRIM($G65))&gt;0,"COUNTED",IF(COUNTIF(LISTS!$J$2:$J$16,TRIM($G65))&gt;0,"LEFT OUT","NEW")))</f>
        <v/>
      </c>
    </row>
    <row r="66" spans="47:47" x14ac:dyDescent="0.25">
      <c r="AU66" s="8" t="str">
        <f>IF(TRIM($G66)="","",IF(COUNTIF(LISTS!$I$2:$I$16,TRIM($G66))&gt;0,"COUNTED",IF(COUNTIF(LISTS!$J$2:$J$16,TRIM($G66))&gt;0,"LEFT OUT","NEW")))</f>
        <v/>
      </c>
    </row>
    <row r="67" spans="47:47" x14ac:dyDescent="0.25">
      <c r="AU67" s="8" t="str">
        <f>IF(TRIM($G67)="","",IF(COUNTIF(LISTS!$I$2:$I$16,TRIM($G67))&gt;0,"COUNTED",IF(COUNTIF(LISTS!$J$2:$J$16,TRIM($G67))&gt;0,"LEFT OUT","NEW")))</f>
        <v/>
      </c>
    </row>
    <row r="68" spans="47:47" x14ac:dyDescent="0.25">
      <c r="AU68" s="8" t="str">
        <f>IF(TRIM($G68)="","",IF(COUNTIF(LISTS!$I$2:$I$16,TRIM($G68))&gt;0,"COUNTED",IF(COUNTIF(LISTS!$J$2:$J$16,TRIM($G68))&gt;0,"LEFT OUT","NEW")))</f>
        <v/>
      </c>
    </row>
    <row r="69" spans="47:47" x14ac:dyDescent="0.25">
      <c r="AU69" s="8" t="str">
        <f>IF(TRIM($G69)="","",IF(COUNTIF(LISTS!$I$2:$I$16,TRIM($G69))&gt;0,"COUNTED",IF(COUNTIF(LISTS!$J$2:$J$16,TRIM($G69))&gt;0,"LEFT OUT","NEW")))</f>
        <v/>
      </c>
    </row>
    <row r="70" spans="47:47" x14ac:dyDescent="0.25">
      <c r="AU70" s="8" t="str">
        <f>IF(TRIM($G70)="","",IF(COUNTIF(LISTS!$I$2:$I$16,TRIM($G70))&gt;0,"COUNTED",IF(COUNTIF(LISTS!$J$2:$J$16,TRIM($G70))&gt;0,"LEFT OUT","NEW")))</f>
        <v/>
      </c>
    </row>
    <row r="71" spans="47:47" x14ac:dyDescent="0.25">
      <c r="AU71" s="8" t="str">
        <f>IF(TRIM($G71)="","",IF(COUNTIF(LISTS!$I$2:$I$16,TRIM($G71))&gt;0,"COUNTED",IF(COUNTIF(LISTS!$J$2:$J$16,TRIM($G71))&gt;0,"LEFT OUT","NEW")))</f>
        <v/>
      </c>
    </row>
    <row r="72" spans="47:47" x14ac:dyDescent="0.25">
      <c r="AU72" s="8" t="str">
        <f>IF(TRIM($G72)="","",IF(COUNTIF(LISTS!$I$2:$I$16,TRIM($G72))&gt;0,"COUNTED",IF(COUNTIF(LISTS!$J$2:$J$16,TRIM($G72))&gt;0,"LEFT OUT","NEW")))</f>
        <v/>
      </c>
    </row>
    <row r="73" spans="47:47" x14ac:dyDescent="0.25">
      <c r="AU73" s="8" t="str">
        <f>IF(TRIM($G73)="","",IF(COUNTIF(LISTS!$I$2:$I$16,TRIM($G73))&gt;0,"COUNTED",IF(COUNTIF(LISTS!$J$2:$J$16,TRIM($G73))&gt;0,"LEFT OUT","NEW")))</f>
        <v/>
      </c>
    </row>
    <row r="74" spans="47:47" x14ac:dyDescent="0.25">
      <c r="AU74" s="8" t="str">
        <f>IF(TRIM($G74)="","",IF(COUNTIF(LISTS!$I$2:$I$16,TRIM($G74))&gt;0,"COUNTED",IF(COUNTIF(LISTS!$J$2:$J$16,TRIM($G74))&gt;0,"LEFT OUT","NEW")))</f>
        <v/>
      </c>
    </row>
    <row r="75" spans="47:47" x14ac:dyDescent="0.25">
      <c r="AU75" s="8" t="str">
        <f>IF(TRIM($G75)="","",IF(COUNTIF(LISTS!$I$2:$I$16,TRIM($G75))&gt;0,"COUNTED",IF(COUNTIF(LISTS!$J$2:$J$16,TRIM($G75))&gt;0,"LEFT OUT","NEW")))</f>
        <v/>
      </c>
    </row>
    <row r="76" spans="47:47" x14ac:dyDescent="0.25">
      <c r="AU76" s="8" t="str">
        <f>IF(TRIM($G76)="","",IF(COUNTIF(LISTS!$I$2:$I$16,TRIM($G76))&gt;0,"COUNTED",IF(COUNTIF(LISTS!$J$2:$J$16,TRIM($G76))&gt;0,"LEFT OUT","NEW")))</f>
        <v/>
      </c>
    </row>
    <row r="77" spans="47:47" x14ac:dyDescent="0.25">
      <c r="AU77" s="8" t="str">
        <f>IF(TRIM($G77)="","",IF(COUNTIF(LISTS!$I$2:$I$16,TRIM($G77))&gt;0,"COUNTED",IF(COUNTIF(LISTS!$J$2:$J$16,TRIM($G77))&gt;0,"LEFT OUT","NEW")))</f>
        <v/>
      </c>
    </row>
    <row r="78" spans="47:47" x14ac:dyDescent="0.25">
      <c r="AU78" s="8" t="str">
        <f>IF(TRIM($G78)="","",IF(COUNTIF(LISTS!$I$2:$I$16,TRIM($G78))&gt;0,"COUNTED",IF(COUNTIF(LISTS!$J$2:$J$16,TRIM($G78))&gt;0,"LEFT OUT","NEW")))</f>
        <v/>
      </c>
    </row>
    <row r="79" spans="47:47" x14ac:dyDescent="0.25">
      <c r="AU79" s="8" t="str">
        <f>IF(TRIM($G79)="","",IF(COUNTIF(LISTS!$I$2:$I$16,TRIM($G79))&gt;0,"COUNTED",IF(COUNTIF(LISTS!$J$2:$J$16,TRIM($G79))&gt;0,"LEFT OUT","NEW")))</f>
        <v/>
      </c>
    </row>
    <row r="80" spans="47:47" x14ac:dyDescent="0.25">
      <c r="AU80" s="8" t="str">
        <f>IF(TRIM($G80)="","",IF(COUNTIF(LISTS!$I$2:$I$16,TRIM($G80))&gt;0,"COUNTED",IF(COUNTIF(LISTS!$J$2:$J$16,TRIM($G80))&gt;0,"LEFT OUT","NEW")))</f>
        <v/>
      </c>
    </row>
    <row r="81" spans="47:47" x14ac:dyDescent="0.25">
      <c r="AU81" s="8" t="str">
        <f>IF(TRIM($G81)="","",IF(COUNTIF(LISTS!$I$2:$I$16,TRIM($G81))&gt;0,"COUNTED",IF(COUNTIF(LISTS!$J$2:$J$16,TRIM($G81))&gt;0,"LEFT OUT","NEW")))</f>
        <v/>
      </c>
    </row>
    <row r="82" spans="47:47" x14ac:dyDescent="0.25">
      <c r="AU82" s="8" t="str">
        <f>IF(TRIM($G82)="","",IF(COUNTIF(LISTS!$I$2:$I$16,TRIM($G82))&gt;0,"COUNTED",IF(COUNTIF(LISTS!$J$2:$J$16,TRIM($G82))&gt;0,"LEFT OUT","NEW")))</f>
        <v/>
      </c>
    </row>
    <row r="83" spans="47:47" x14ac:dyDescent="0.25">
      <c r="AU83" s="8" t="str">
        <f>IF(TRIM($G83)="","",IF(COUNTIF(LISTS!$I$2:$I$16,TRIM($G83))&gt;0,"COUNTED",IF(COUNTIF(LISTS!$J$2:$J$16,TRIM($G83))&gt;0,"LEFT OUT","NEW")))</f>
        <v/>
      </c>
    </row>
    <row r="84" spans="47:47" x14ac:dyDescent="0.25">
      <c r="AU84" s="8" t="str">
        <f>IF(TRIM($G84)="","",IF(COUNTIF(LISTS!$I$2:$I$16,TRIM($G84))&gt;0,"COUNTED",IF(COUNTIF(LISTS!$J$2:$J$16,TRIM($G84))&gt;0,"LEFT OUT","NEW")))</f>
        <v/>
      </c>
    </row>
    <row r="85" spans="47:47" x14ac:dyDescent="0.25">
      <c r="AU85" s="8" t="str">
        <f>IF(TRIM($G85)="","",IF(COUNTIF(LISTS!$I$2:$I$16,TRIM($G85))&gt;0,"COUNTED",IF(COUNTIF(LISTS!$J$2:$J$16,TRIM($G85))&gt;0,"LEFT OUT","NEW")))</f>
        <v/>
      </c>
    </row>
    <row r="86" spans="47:47" x14ac:dyDescent="0.25">
      <c r="AU86" s="8" t="str">
        <f>IF(TRIM($G86)="","",IF(COUNTIF(LISTS!$I$2:$I$16,TRIM($G86))&gt;0,"COUNTED",IF(COUNTIF(LISTS!$J$2:$J$16,TRIM($G86))&gt;0,"LEFT OUT","NEW")))</f>
        <v/>
      </c>
    </row>
    <row r="87" spans="47:47" x14ac:dyDescent="0.25">
      <c r="AU87" s="8" t="str">
        <f>IF(TRIM($G87)="","",IF(COUNTIF(LISTS!$I$2:$I$16,TRIM($G87))&gt;0,"COUNTED",IF(COUNTIF(LISTS!$J$2:$J$16,TRIM($G87))&gt;0,"LEFT OUT","NEW")))</f>
        <v/>
      </c>
    </row>
    <row r="88" spans="47:47" x14ac:dyDescent="0.25">
      <c r="AU88" s="8" t="str">
        <f>IF(TRIM($G88)="","",IF(COUNTIF(LISTS!$I$2:$I$16,TRIM($G88))&gt;0,"COUNTED",IF(COUNTIF(LISTS!$J$2:$J$16,TRIM($G88))&gt;0,"LEFT OUT","NEW")))</f>
        <v/>
      </c>
    </row>
    <row r="89" spans="47:47" x14ac:dyDescent="0.25">
      <c r="AU89" s="8" t="str">
        <f>IF(TRIM($G89)="","",IF(COUNTIF(LISTS!$I$2:$I$16,TRIM($G89))&gt;0,"COUNTED",IF(COUNTIF(LISTS!$J$2:$J$16,TRIM($G89))&gt;0,"LEFT OUT","NEW")))</f>
        <v/>
      </c>
    </row>
    <row r="90" spans="47:47" x14ac:dyDescent="0.25">
      <c r="AU90" s="8" t="str">
        <f>IF(TRIM($G90)="","",IF(COUNTIF(LISTS!$I$2:$I$16,TRIM($G90))&gt;0,"COUNTED",IF(COUNTIF(LISTS!$J$2:$J$16,TRIM($G90))&gt;0,"LEFT OUT","NEW")))</f>
        <v/>
      </c>
    </row>
    <row r="91" spans="47:47" x14ac:dyDescent="0.25">
      <c r="AU91" s="8" t="str">
        <f>IF(TRIM($G91)="","",IF(COUNTIF(LISTS!$I$2:$I$16,TRIM($G91))&gt;0,"COUNTED",IF(COUNTIF(LISTS!$J$2:$J$16,TRIM($G91))&gt;0,"LEFT OUT","NEW")))</f>
        <v/>
      </c>
    </row>
    <row r="92" spans="47:47" x14ac:dyDescent="0.25">
      <c r="AU92" s="8" t="str">
        <f>IF(TRIM($G92)="","",IF(COUNTIF(LISTS!$I$2:$I$16,TRIM($G92))&gt;0,"COUNTED",IF(COUNTIF(LISTS!$J$2:$J$16,TRIM($G92))&gt;0,"LEFT OUT","NEW")))</f>
        <v/>
      </c>
    </row>
    <row r="93" spans="47:47" x14ac:dyDescent="0.25">
      <c r="AU93" s="8" t="str">
        <f>IF(TRIM($G93)="","",IF(COUNTIF(LISTS!$I$2:$I$16,TRIM($G93))&gt;0,"COUNTED",IF(COUNTIF(LISTS!$J$2:$J$16,TRIM($G93))&gt;0,"LEFT OUT","NEW")))</f>
        <v/>
      </c>
    </row>
    <row r="94" spans="47:47" x14ac:dyDescent="0.25">
      <c r="AU94" s="8" t="str">
        <f>IF(TRIM($G94)="","",IF(COUNTIF(LISTS!$I$2:$I$16,TRIM($G94))&gt;0,"COUNTED",IF(COUNTIF(LISTS!$J$2:$J$16,TRIM($G94))&gt;0,"LEFT OUT","NEW")))</f>
        <v/>
      </c>
    </row>
    <row r="95" spans="47:47" x14ac:dyDescent="0.25">
      <c r="AU95" s="8" t="str">
        <f>IF(TRIM($G95)="","",IF(COUNTIF(LISTS!$I$2:$I$16,TRIM($G95))&gt;0,"COUNTED",IF(COUNTIF(LISTS!$J$2:$J$16,TRIM($G95))&gt;0,"LEFT OUT","NEW")))</f>
        <v/>
      </c>
    </row>
    <row r="96" spans="47:47" x14ac:dyDescent="0.25">
      <c r="AU96" s="8" t="str">
        <f>IF(TRIM($G96)="","",IF(COUNTIF(LISTS!$I$2:$I$16,TRIM($G96))&gt;0,"COUNTED",IF(COUNTIF(LISTS!$J$2:$J$16,TRIM($G96))&gt;0,"LEFT OUT","NEW")))</f>
        <v/>
      </c>
    </row>
    <row r="97" spans="47:47" x14ac:dyDescent="0.25">
      <c r="AU97" s="8" t="str">
        <f>IF(TRIM($G97)="","",IF(COUNTIF(LISTS!$I$2:$I$16,TRIM($G97))&gt;0,"COUNTED",IF(COUNTIF(LISTS!$J$2:$J$16,TRIM($G97))&gt;0,"LEFT OUT","NEW")))</f>
        <v/>
      </c>
    </row>
    <row r="98" spans="47:47" x14ac:dyDescent="0.25">
      <c r="AU98" s="8" t="str">
        <f>IF(TRIM($G98)="","",IF(COUNTIF(LISTS!$I$2:$I$16,TRIM($G98))&gt;0,"COUNTED",IF(COUNTIF(LISTS!$J$2:$J$16,TRIM($G98))&gt;0,"LEFT OUT","NEW")))</f>
        <v/>
      </c>
    </row>
    <row r="99" spans="47:47" x14ac:dyDescent="0.25">
      <c r="AU99" s="8" t="str">
        <f>IF(TRIM($G99)="","",IF(COUNTIF(LISTS!$I$2:$I$16,TRIM($G99))&gt;0,"COUNTED",IF(COUNTIF(LISTS!$J$2:$J$16,TRIM($G99))&gt;0,"LEFT OUT","NEW")))</f>
        <v/>
      </c>
    </row>
    <row r="100" spans="47:47" x14ac:dyDescent="0.25">
      <c r="AU100" s="8" t="str">
        <f>IF(TRIM($G100)="","",IF(COUNTIF(LISTS!$I$2:$I$16,TRIM($G100))&gt;0,"COUNTED",IF(COUNTIF(LISTS!$J$2:$J$16,TRIM($G100))&gt;0,"LEFT OUT","NEW")))</f>
        <v/>
      </c>
    </row>
    <row r="101" spans="47:47" x14ac:dyDescent="0.25">
      <c r="AU101" s="8" t="str">
        <f>IF(TRIM($G101)="","",IF(COUNTIF(LISTS!$I$2:$I$16,TRIM($G101))&gt;0,"COUNTED",IF(COUNTIF(LISTS!$J$2:$J$16,TRIM($G101))&gt;0,"LEFT OUT","NEW")))</f>
        <v/>
      </c>
    </row>
    <row r="102" spans="47:47" x14ac:dyDescent="0.25">
      <c r="AU102" s="8" t="str">
        <f>IF(TRIM($G102)="","",IF(COUNTIF(LISTS!$I$2:$I$16,TRIM($G102))&gt;0,"COUNTED",IF(COUNTIF(LISTS!$J$2:$J$16,TRIM($G102))&gt;0,"LEFT OUT","NEW")))</f>
        <v/>
      </c>
    </row>
    <row r="103" spans="47:47" x14ac:dyDescent="0.25">
      <c r="AU103" s="8" t="str">
        <f>IF(TRIM($G103)="","",IF(COUNTIF(LISTS!$I$2:$I$16,TRIM($G103))&gt;0,"COUNTED",IF(COUNTIF(LISTS!$J$2:$J$16,TRIM($G103))&gt;0,"LEFT OUT","NEW")))</f>
        <v/>
      </c>
    </row>
    <row r="104" spans="47:47" x14ac:dyDescent="0.25">
      <c r="AU104" s="8" t="str">
        <f>IF(TRIM($G104)="","",IF(COUNTIF(LISTS!$I$2:$I$16,TRIM($G104))&gt;0,"COUNTED",IF(COUNTIF(LISTS!$J$2:$J$16,TRIM($G104))&gt;0,"LEFT OUT","NEW")))</f>
        <v/>
      </c>
    </row>
    <row r="105" spans="47:47" x14ac:dyDescent="0.25">
      <c r="AU105" s="8" t="str">
        <f>IF(TRIM($G105)="","",IF(COUNTIF(LISTS!$I$2:$I$16,TRIM($G105))&gt;0,"COUNTED",IF(COUNTIF(LISTS!$J$2:$J$16,TRIM($G105))&gt;0,"LEFT OUT","NEW")))</f>
        <v/>
      </c>
    </row>
    <row r="106" spans="47:47" x14ac:dyDescent="0.25">
      <c r="AU106" s="8" t="str">
        <f>IF(TRIM($G106)="","",IF(COUNTIF(LISTS!$I$2:$I$16,TRIM($G106))&gt;0,"COUNTED",IF(COUNTIF(LISTS!$J$2:$J$16,TRIM($G106))&gt;0,"LEFT OUT","NEW")))</f>
        <v/>
      </c>
    </row>
    <row r="107" spans="47:47" x14ac:dyDescent="0.25">
      <c r="AU107" s="8" t="str">
        <f>IF(TRIM($G107)="","",IF(COUNTIF(LISTS!$I$2:$I$16,TRIM($G107))&gt;0,"COUNTED",IF(COUNTIF(LISTS!$J$2:$J$16,TRIM($G107))&gt;0,"LEFT OUT","NEW")))</f>
        <v/>
      </c>
    </row>
    <row r="108" spans="47:47" x14ac:dyDescent="0.25">
      <c r="AU108" s="8" t="str">
        <f>IF(TRIM($G108)="","",IF(COUNTIF(LISTS!$I$2:$I$16,TRIM($G108))&gt;0,"COUNTED",IF(COUNTIF(LISTS!$J$2:$J$16,TRIM($G108))&gt;0,"LEFT OUT","NEW")))</f>
        <v/>
      </c>
    </row>
    <row r="109" spans="47:47" x14ac:dyDescent="0.25">
      <c r="AU109" s="8" t="str">
        <f>IF(TRIM($G109)="","",IF(COUNTIF(LISTS!$I$2:$I$16,TRIM($G109))&gt;0,"COUNTED",IF(COUNTIF(LISTS!$J$2:$J$16,TRIM($G109))&gt;0,"LEFT OUT","NEW")))</f>
        <v/>
      </c>
    </row>
    <row r="110" spans="47:47" x14ac:dyDescent="0.25">
      <c r="AU110" s="8" t="str">
        <f>IF(TRIM($G110)="","",IF(COUNTIF(LISTS!$I$2:$I$16,TRIM($G110))&gt;0,"COUNTED",IF(COUNTIF(LISTS!$J$2:$J$16,TRIM($G110))&gt;0,"LEFT OUT","NEW")))</f>
        <v/>
      </c>
    </row>
    <row r="111" spans="47:47" x14ac:dyDescent="0.25">
      <c r="AU111" s="8" t="str">
        <f>IF(TRIM($G111)="","",IF(COUNTIF(LISTS!$I$2:$I$16,TRIM($G111))&gt;0,"COUNTED",IF(COUNTIF(LISTS!$J$2:$J$16,TRIM($G111))&gt;0,"LEFT OUT","NEW")))</f>
        <v/>
      </c>
    </row>
    <row r="112" spans="47:47" x14ac:dyDescent="0.25">
      <c r="AU112" s="8" t="str">
        <f>IF(TRIM($G112)="","",IF(COUNTIF(LISTS!$I$2:$I$16,TRIM($G112))&gt;0,"COUNTED",IF(COUNTIF(LISTS!$J$2:$J$16,TRIM($G112))&gt;0,"LEFT OUT","NEW")))</f>
        <v/>
      </c>
    </row>
    <row r="113" spans="47:47" x14ac:dyDescent="0.25">
      <c r="AU113" s="8" t="str">
        <f>IF(TRIM($G113)="","",IF(COUNTIF(LISTS!$I$2:$I$16,TRIM($G113))&gt;0,"COUNTED",IF(COUNTIF(LISTS!$J$2:$J$16,TRIM($G113))&gt;0,"LEFT OUT","NEW")))</f>
        <v/>
      </c>
    </row>
    <row r="114" spans="47:47" x14ac:dyDescent="0.25">
      <c r="AU114" s="8" t="str">
        <f>IF(TRIM($G114)="","",IF(COUNTIF(LISTS!$I$2:$I$16,TRIM($G114))&gt;0,"COUNTED",IF(COUNTIF(LISTS!$J$2:$J$16,TRIM($G114))&gt;0,"LEFT OUT","NEW")))</f>
        <v/>
      </c>
    </row>
    <row r="115" spans="47:47" x14ac:dyDescent="0.25">
      <c r="AU115" s="8" t="str">
        <f>IF(TRIM($G115)="","",IF(COUNTIF(LISTS!$I$2:$I$16,TRIM($G115))&gt;0,"COUNTED",IF(COUNTIF(LISTS!$J$2:$J$16,TRIM($G115))&gt;0,"LEFT OUT","NEW")))</f>
        <v/>
      </c>
    </row>
    <row r="116" spans="47:47" x14ac:dyDescent="0.25">
      <c r="AU116" s="8" t="str">
        <f>IF(TRIM($G116)="","",IF(COUNTIF(LISTS!$I$2:$I$16,TRIM($G116))&gt;0,"COUNTED",IF(COUNTIF(LISTS!$J$2:$J$16,TRIM($G116))&gt;0,"LEFT OUT","NEW")))</f>
        <v/>
      </c>
    </row>
    <row r="117" spans="47:47" x14ac:dyDescent="0.25">
      <c r="AU117" s="8" t="str">
        <f>IF(TRIM($G117)="","",IF(COUNTIF(LISTS!$I$2:$I$16,TRIM($G117))&gt;0,"COUNTED",IF(COUNTIF(LISTS!$J$2:$J$16,TRIM($G117))&gt;0,"LEFT OUT","NEW")))</f>
        <v/>
      </c>
    </row>
    <row r="118" spans="47:47" x14ac:dyDescent="0.25">
      <c r="AU118" s="8" t="str">
        <f>IF(TRIM($G118)="","",IF(COUNTIF(LISTS!$I$2:$I$16,TRIM($G118))&gt;0,"COUNTED",IF(COUNTIF(LISTS!$J$2:$J$16,TRIM($G118))&gt;0,"LEFT OUT","NEW")))</f>
        <v/>
      </c>
    </row>
    <row r="119" spans="47:47" x14ac:dyDescent="0.25">
      <c r="AU119" s="8" t="str">
        <f>IF(TRIM($G119)="","",IF(COUNTIF(LISTS!$I$2:$I$16,TRIM($G119))&gt;0,"COUNTED",IF(COUNTIF(LISTS!$J$2:$J$16,TRIM($G119))&gt;0,"LEFT OUT","NEW")))</f>
        <v/>
      </c>
    </row>
    <row r="120" spans="47:47" x14ac:dyDescent="0.25">
      <c r="AU120" s="8" t="str">
        <f>IF(TRIM($G120)="","",IF(COUNTIF(LISTS!$I$2:$I$16,TRIM($G120))&gt;0,"COUNTED",IF(COUNTIF(LISTS!$J$2:$J$16,TRIM($G120))&gt;0,"LEFT OUT","NEW")))</f>
        <v/>
      </c>
    </row>
    <row r="121" spans="47:47" x14ac:dyDescent="0.25">
      <c r="AU121" s="8" t="str">
        <f>IF(TRIM($G121)="","",IF(COUNTIF(LISTS!$I$2:$I$16,TRIM($G121))&gt;0,"COUNTED",IF(COUNTIF(LISTS!$J$2:$J$16,TRIM($G121))&gt;0,"LEFT OUT","NEW")))</f>
        <v/>
      </c>
    </row>
    <row r="122" spans="47:47" x14ac:dyDescent="0.25">
      <c r="AU122" s="8" t="str">
        <f>IF(TRIM($G122)="","",IF(COUNTIF(LISTS!$I$2:$I$16,TRIM($G122))&gt;0,"COUNTED",IF(COUNTIF(LISTS!$J$2:$J$16,TRIM($G122))&gt;0,"LEFT OUT","NEW")))</f>
        <v/>
      </c>
    </row>
    <row r="123" spans="47:47" x14ac:dyDescent="0.25">
      <c r="AU123" s="8" t="str">
        <f>IF(TRIM($G123)="","",IF(COUNTIF(LISTS!$I$2:$I$16,TRIM($G123))&gt;0,"COUNTED",IF(COUNTIF(LISTS!$J$2:$J$16,TRIM($G123))&gt;0,"LEFT OUT","NEW")))</f>
        <v/>
      </c>
    </row>
    <row r="124" spans="47:47" x14ac:dyDescent="0.25">
      <c r="AU124" s="8" t="str">
        <f>IF(TRIM($G124)="","",IF(COUNTIF(LISTS!$I$2:$I$16,TRIM($G124))&gt;0,"COUNTED",IF(COUNTIF(LISTS!$J$2:$J$16,TRIM($G124))&gt;0,"LEFT OUT","NEW")))</f>
        <v/>
      </c>
    </row>
    <row r="125" spans="47:47" x14ac:dyDescent="0.25">
      <c r="AU125" s="8" t="str">
        <f>IF(TRIM($G125)="","",IF(COUNTIF(LISTS!$I$2:$I$16,TRIM($G125))&gt;0,"COUNTED",IF(COUNTIF(LISTS!$J$2:$J$16,TRIM($G125))&gt;0,"LEFT OUT","NEW")))</f>
        <v/>
      </c>
    </row>
    <row r="126" spans="47:47" x14ac:dyDescent="0.25">
      <c r="AU126" s="8" t="str">
        <f>IF(TRIM($G126)="","",IF(COUNTIF(LISTS!$I$2:$I$16,TRIM($G126))&gt;0,"COUNTED",IF(COUNTIF(LISTS!$J$2:$J$16,TRIM($G126))&gt;0,"LEFT OUT","NEW")))</f>
        <v/>
      </c>
    </row>
    <row r="127" spans="47:47" x14ac:dyDescent="0.25">
      <c r="AU127" s="8" t="str">
        <f>IF(TRIM($G127)="","",IF(COUNTIF(LISTS!$I$2:$I$16,TRIM($G127))&gt;0,"COUNTED",IF(COUNTIF(LISTS!$J$2:$J$16,TRIM($G127))&gt;0,"LEFT OUT","NEW")))</f>
        <v/>
      </c>
    </row>
    <row r="128" spans="47:47" x14ac:dyDescent="0.25">
      <c r="AU128" s="8" t="str">
        <f>IF(TRIM($G128)="","",IF(COUNTIF(LISTS!$I$2:$I$16,TRIM($G128))&gt;0,"COUNTED",IF(COUNTIF(LISTS!$J$2:$J$16,TRIM($G128))&gt;0,"LEFT OUT","NEW")))</f>
        <v/>
      </c>
    </row>
    <row r="129" spans="47:47" x14ac:dyDescent="0.25">
      <c r="AU129" s="8" t="str">
        <f>IF(TRIM($G129)="","",IF(COUNTIF(LISTS!$I$2:$I$16,TRIM($G129))&gt;0,"COUNTED",IF(COUNTIF(LISTS!$J$2:$J$16,TRIM($G129))&gt;0,"LEFT OUT","NEW")))</f>
        <v/>
      </c>
    </row>
    <row r="130" spans="47:47" x14ac:dyDescent="0.25">
      <c r="AU130" s="8" t="str">
        <f>IF(TRIM($G130)="","",IF(COUNTIF(LISTS!$I$2:$I$16,TRIM($G130))&gt;0,"COUNTED",IF(COUNTIF(LISTS!$J$2:$J$16,TRIM($G130))&gt;0,"LEFT OUT","NEW")))</f>
        <v/>
      </c>
    </row>
    <row r="131" spans="47:47" x14ac:dyDescent="0.25">
      <c r="AU131" s="8" t="str">
        <f>IF(TRIM($G131)="","",IF(COUNTIF(LISTS!$I$2:$I$16,TRIM($G131))&gt;0,"COUNTED",IF(COUNTIF(LISTS!$J$2:$J$16,TRIM($G131))&gt;0,"LEFT OUT","NEW")))</f>
        <v/>
      </c>
    </row>
    <row r="132" spans="47:47" x14ac:dyDescent="0.25">
      <c r="AU132" s="8" t="str">
        <f>IF(TRIM($G132)="","",IF(COUNTIF(LISTS!$I$2:$I$16,TRIM($G132))&gt;0,"COUNTED",IF(COUNTIF(LISTS!$J$2:$J$16,TRIM($G132))&gt;0,"LEFT OUT","NEW")))</f>
        <v/>
      </c>
    </row>
    <row r="133" spans="47:47" x14ac:dyDescent="0.25">
      <c r="AU133" s="8" t="str">
        <f>IF(TRIM($G133)="","",IF(COUNTIF(LISTS!$I$2:$I$16,TRIM($G133))&gt;0,"COUNTED",IF(COUNTIF(LISTS!$J$2:$J$16,TRIM($G133))&gt;0,"LEFT OUT","NEW")))</f>
        <v/>
      </c>
    </row>
    <row r="134" spans="47:47" x14ac:dyDescent="0.25">
      <c r="AU134" s="8" t="str">
        <f>IF(TRIM($G134)="","",IF(COUNTIF(LISTS!$I$2:$I$16,TRIM($G134))&gt;0,"COUNTED",IF(COUNTIF(LISTS!$J$2:$J$16,TRIM($G134))&gt;0,"LEFT OUT","NEW")))</f>
        <v/>
      </c>
    </row>
    <row r="135" spans="47:47" x14ac:dyDescent="0.25">
      <c r="AU135" s="8" t="str">
        <f>IF(TRIM($G135)="","",IF(COUNTIF(LISTS!$I$2:$I$16,TRIM($G135))&gt;0,"COUNTED",IF(COUNTIF(LISTS!$J$2:$J$16,TRIM($G135))&gt;0,"LEFT OUT","NEW")))</f>
        <v/>
      </c>
    </row>
    <row r="136" spans="47:47" x14ac:dyDescent="0.25">
      <c r="AU136" s="8" t="str">
        <f>IF(TRIM($G136)="","",IF(COUNTIF(LISTS!$I$2:$I$16,TRIM($G136))&gt;0,"COUNTED",IF(COUNTIF(LISTS!$J$2:$J$16,TRIM($G136))&gt;0,"LEFT OUT","NEW")))</f>
        <v/>
      </c>
    </row>
    <row r="137" spans="47:47" x14ac:dyDescent="0.25">
      <c r="AU137" s="8" t="str">
        <f>IF(TRIM($G137)="","",IF(COUNTIF(LISTS!$I$2:$I$16,TRIM($G137))&gt;0,"COUNTED",IF(COUNTIF(LISTS!$J$2:$J$16,TRIM($G137))&gt;0,"LEFT OUT","NEW")))</f>
        <v/>
      </c>
    </row>
    <row r="138" spans="47:47" x14ac:dyDescent="0.25">
      <c r="AU138" s="8" t="str">
        <f>IF(TRIM($G138)="","",IF(COUNTIF(LISTS!$I$2:$I$16,TRIM($G138))&gt;0,"COUNTED",IF(COUNTIF(LISTS!$J$2:$J$16,TRIM($G138))&gt;0,"LEFT OUT","NEW")))</f>
        <v/>
      </c>
    </row>
    <row r="139" spans="47:47" x14ac:dyDescent="0.25">
      <c r="AU139" s="8" t="str">
        <f>IF(TRIM($G139)="","",IF(COUNTIF(LISTS!$I$2:$I$16,TRIM($G139))&gt;0,"COUNTED",IF(COUNTIF(LISTS!$J$2:$J$16,TRIM($G139))&gt;0,"LEFT OUT","NEW")))</f>
        <v/>
      </c>
    </row>
    <row r="140" spans="47:47" x14ac:dyDescent="0.25">
      <c r="AU140" s="8" t="str">
        <f>IF(TRIM($G140)="","",IF(COUNTIF(LISTS!$I$2:$I$16,TRIM($G140))&gt;0,"COUNTED",IF(COUNTIF(LISTS!$J$2:$J$16,TRIM($G140))&gt;0,"LEFT OUT","NEW")))</f>
        <v/>
      </c>
    </row>
    <row r="141" spans="47:47" x14ac:dyDescent="0.25">
      <c r="AU141" s="8" t="str">
        <f>IF(TRIM($G141)="","",IF(COUNTIF(LISTS!$I$2:$I$16,TRIM($G141))&gt;0,"COUNTED",IF(COUNTIF(LISTS!$J$2:$J$16,TRIM($G141))&gt;0,"LEFT OUT","NEW")))</f>
        <v/>
      </c>
    </row>
    <row r="142" spans="47:47" x14ac:dyDescent="0.25">
      <c r="AU142" s="8" t="str">
        <f>IF(TRIM($G142)="","",IF(COUNTIF(LISTS!$I$2:$I$16,TRIM($G142))&gt;0,"COUNTED",IF(COUNTIF(LISTS!$J$2:$J$16,TRIM($G142))&gt;0,"LEFT OUT","NEW")))</f>
        <v/>
      </c>
    </row>
    <row r="143" spans="47:47" x14ac:dyDescent="0.25">
      <c r="AU143" s="8" t="str">
        <f>IF(TRIM($G143)="","",IF(COUNTIF(LISTS!$I$2:$I$16,TRIM($G143))&gt;0,"COUNTED",IF(COUNTIF(LISTS!$J$2:$J$16,TRIM($G143))&gt;0,"LEFT OUT","NEW")))</f>
        <v/>
      </c>
    </row>
    <row r="144" spans="47:47" x14ac:dyDescent="0.25">
      <c r="AU144" s="8" t="str">
        <f>IF(TRIM($G144)="","",IF(COUNTIF(LISTS!$I$2:$I$16,TRIM($G144))&gt;0,"COUNTED",IF(COUNTIF(LISTS!$J$2:$J$16,TRIM($G144))&gt;0,"LEFT OUT","NEW")))</f>
        <v/>
      </c>
    </row>
    <row r="145" spans="47:47" x14ac:dyDescent="0.25">
      <c r="AU145" s="8" t="str">
        <f>IF(TRIM($G145)="","",IF(COUNTIF(LISTS!$I$2:$I$16,TRIM($G145))&gt;0,"COUNTED",IF(COUNTIF(LISTS!$J$2:$J$16,TRIM($G145))&gt;0,"LEFT OUT","NEW")))</f>
        <v/>
      </c>
    </row>
    <row r="146" spans="47:47" x14ac:dyDescent="0.25">
      <c r="AU146" s="8" t="str">
        <f>IF(TRIM($G146)="","",IF(COUNTIF(LISTS!$I$2:$I$16,TRIM($G146))&gt;0,"COUNTED",IF(COUNTIF(LISTS!$J$2:$J$16,TRIM($G146))&gt;0,"LEFT OUT","NEW")))</f>
        <v/>
      </c>
    </row>
    <row r="147" spans="47:47" x14ac:dyDescent="0.25">
      <c r="AU147" s="8" t="str">
        <f>IF(TRIM($G147)="","",IF(COUNTIF(LISTS!$I$2:$I$16,TRIM($G147))&gt;0,"COUNTED",IF(COUNTIF(LISTS!$J$2:$J$16,TRIM($G147))&gt;0,"LEFT OUT","NEW")))</f>
        <v/>
      </c>
    </row>
    <row r="148" spans="47:47" x14ac:dyDescent="0.25">
      <c r="AU148" s="8" t="str">
        <f>IF(TRIM($G148)="","",IF(COUNTIF(LISTS!$I$2:$I$16,TRIM($G148))&gt;0,"COUNTED",IF(COUNTIF(LISTS!$J$2:$J$16,TRIM($G148))&gt;0,"LEFT OUT","NEW")))</f>
        <v/>
      </c>
    </row>
    <row r="149" spans="47:47" x14ac:dyDescent="0.25">
      <c r="AU149" s="8" t="str">
        <f>IF(TRIM($G149)="","",IF(COUNTIF(LISTS!$I$2:$I$16,TRIM($G149))&gt;0,"COUNTED",IF(COUNTIF(LISTS!$J$2:$J$16,TRIM($G149))&gt;0,"LEFT OUT","NEW")))</f>
        <v/>
      </c>
    </row>
    <row r="150" spans="47:47" x14ac:dyDescent="0.25">
      <c r="AU150" s="8" t="str">
        <f>IF(TRIM($G150)="","",IF(COUNTIF(LISTS!$I$2:$I$16,TRIM($G150))&gt;0,"COUNTED",IF(COUNTIF(LISTS!$J$2:$J$16,TRIM($G150))&gt;0,"LEFT OUT","NEW")))</f>
        <v/>
      </c>
    </row>
    <row r="151" spans="47:47" x14ac:dyDescent="0.25">
      <c r="AU151" s="8" t="str">
        <f>IF(TRIM($G151)="","",IF(COUNTIF(LISTS!$I$2:$I$16,TRIM($G151))&gt;0,"COUNTED",IF(COUNTIF(LISTS!$J$2:$J$16,TRIM($G151))&gt;0,"LEFT OUT","NEW")))</f>
        <v/>
      </c>
    </row>
    <row r="152" spans="47:47" x14ac:dyDescent="0.25">
      <c r="AU152" s="8" t="str">
        <f>IF(TRIM($G152)="","",IF(COUNTIF(LISTS!$I$2:$I$16,TRIM($G152))&gt;0,"COUNTED",IF(COUNTIF(LISTS!$J$2:$J$16,TRIM($G152))&gt;0,"LEFT OUT","NEW")))</f>
        <v/>
      </c>
    </row>
    <row r="153" spans="47:47" x14ac:dyDescent="0.25">
      <c r="AU153" s="8" t="str">
        <f>IF(TRIM($G153)="","",IF(COUNTIF(LISTS!$I$2:$I$16,TRIM($G153))&gt;0,"COUNTED",IF(COUNTIF(LISTS!$J$2:$J$16,TRIM($G153))&gt;0,"LEFT OUT","NEW")))</f>
        <v/>
      </c>
    </row>
    <row r="154" spans="47:47" x14ac:dyDescent="0.25">
      <c r="AU154" s="8" t="str">
        <f>IF(TRIM($G154)="","",IF(COUNTIF(LISTS!$I$2:$I$16,TRIM($G154))&gt;0,"COUNTED",IF(COUNTIF(LISTS!$J$2:$J$16,TRIM($G154))&gt;0,"LEFT OUT","NEW")))</f>
        <v/>
      </c>
    </row>
    <row r="155" spans="47:47" x14ac:dyDescent="0.25">
      <c r="AU155" s="8" t="str">
        <f>IF(TRIM($G155)="","",IF(COUNTIF(LISTS!$I$2:$I$16,TRIM($G155))&gt;0,"COUNTED",IF(COUNTIF(LISTS!$J$2:$J$16,TRIM($G155))&gt;0,"LEFT OUT","NEW")))</f>
        <v/>
      </c>
    </row>
    <row r="156" spans="47:47" x14ac:dyDescent="0.25">
      <c r="AU156" s="8" t="str">
        <f>IF(TRIM($G156)="","",IF(COUNTIF(LISTS!$I$2:$I$16,TRIM($G156))&gt;0,"COUNTED",IF(COUNTIF(LISTS!$J$2:$J$16,TRIM($G156))&gt;0,"LEFT OUT","NEW")))</f>
        <v/>
      </c>
    </row>
    <row r="157" spans="47:47" x14ac:dyDescent="0.25">
      <c r="AU157" s="8" t="str">
        <f>IF(TRIM($G157)="","",IF(COUNTIF(LISTS!$I$2:$I$16,TRIM($G157))&gt;0,"COUNTED",IF(COUNTIF(LISTS!$J$2:$J$16,TRIM($G157))&gt;0,"LEFT OUT","NEW")))</f>
        <v/>
      </c>
    </row>
    <row r="158" spans="47:47" x14ac:dyDescent="0.25">
      <c r="AU158" s="8" t="str">
        <f>IF(TRIM($G158)="","",IF(COUNTIF(LISTS!$I$2:$I$16,TRIM($G158))&gt;0,"COUNTED",IF(COUNTIF(LISTS!$J$2:$J$16,TRIM($G158))&gt;0,"LEFT OUT","NEW")))</f>
        <v/>
      </c>
    </row>
    <row r="159" spans="47:47" x14ac:dyDescent="0.25">
      <c r="AU159" s="8" t="str">
        <f>IF(TRIM($G159)="","",IF(COUNTIF(LISTS!$I$2:$I$16,TRIM($G159))&gt;0,"COUNTED",IF(COUNTIF(LISTS!$J$2:$J$16,TRIM($G159))&gt;0,"LEFT OUT","NEW")))</f>
        <v/>
      </c>
    </row>
    <row r="160" spans="47:47" x14ac:dyDescent="0.25">
      <c r="AU160" s="8" t="str">
        <f>IF(TRIM($G160)="","",IF(COUNTIF(LISTS!$I$2:$I$16,TRIM($G160))&gt;0,"COUNTED",IF(COUNTIF(LISTS!$J$2:$J$16,TRIM($G160))&gt;0,"LEFT OUT","NEW")))</f>
        <v/>
      </c>
    </row>
    <row r="161" spans="47:47" x14ac:dyDescent="0.25">
      <c r="AU161" s="8" t="str">
        <f>IF(TRIM($G161)="","",IF(COUNTIF(LISTS!$I$2:$I$16,TRIM($G161))&gt;0,"COUNTED",IF(COUNTIF(LISTS!$J$2:$J$16,TRIM($G161))&gt;0,"LEFT OUT","NEW")))</f>
        <v/>
      </c>
    </row>
    <row r="162" spans="47:47" x14ac:dyDescent="0.25">
      <c r="AU162" s="8" t="str">
        <f>IF(TRIM($G162)="","",IF(COUNTIF(LISTS!$I$2:$I$16,TRIM($G162))&gt;0,"COUNTED",IF(COUNTIF(LISTS!$J$2:$J$16,TRIM($G162))&gt;0,"LEFT OUT","NEW")))</f>
        <v/>
      </c>
    </row>
    <row r="163" spans="47:47" x14ac:dyDescent="0.25">
      <c r="AU163" s="8" t="str">
        <f>IF(TRIM($G163)="","",IF(COUNTIF(LISTS!$I$2:$I$16,TRIM($G163))&gt;0,"COUNTED",IF(COUNTIF(LISTS!$J$2:$J$16,TRIM($G163))&gt;0,"LEFT OUT","NEW")))</f>
        <v/>
      </c>
    </row>
    <row r="164" spans="47:47" x14ac:dyDescent="0.25">
      <c r="AU164" s="8" t="str">
        <f>IF(TRIM($G164)="","",IF(COUNTIF(LISTS!$I$2:$I$16,TRIM($G164))&gt;0,"COUNTED",IF(COUNTIF(LISTS!$J$2:$J$16,TRIM($G164))&gt;0,"LEFT OUT","NEW")))</f>
        <v/>
      </c>
    </row>
    <row r="165" spans="47:47" x14ac:dyDescent="0.25">
      <c r="AU165" s="8" t="str">
        <f>IF(TRIM($G165)="","",IF(COUNTIF(LISTS!$I$2:$I$16,TRIM($G165))&gt;0,"COUNTED",IF(COUNTIF(LISTS!$J$2:$J$16,TRIM($G165))&gt;0,"LEFT OUT","NEW")))</f>
        <v/>
      </c>
    </row>
    <row r="166" spans="47:47" x14ac:dyDescent="0.25">
      <c r="AU166" s="8" t="str">
        <f>IF(TRIM($G166)="","",IF(COUNTIF(LISTS!$I$2:$I$16,TRIM($G166))&gt;0,"COUNTED",IF(COUNTIF(LISTS!$J$2:$J$16,TRIM($G166))&gt;0,"LEFT OUT","NEW")))</f>
        <v/>
      </c>
    </row>
    <row r="167" spans="47:47" x14ac:dyDescent="0.25">
      <c r="AU167" s="8" t="str">
        <f>IF(TRIM($G167)="","",IF(COUNTIF(LISTS!$I$2:$I$16,TRIM($G167))&gt;0,"COUNTED",IF(COUNTIF(LISTS!$J$2:$J$16,TRIM($G167))&gt;0,"LEFT OUT","NEW")))</f>
        <v/>
      </c>
    </row>
    <row r="168" spans="47:47" x14ac:dyDescent="0.25">
      <c r="AU168" s="8" t="str">
        <f>IF(TRIM($G168)="","",IF(COUNTIF(LISTS!$I$2:$I$16,TRIM($G168))&gt;0,"COUNTED",IF(COUNTIF(LISTS!$J$2:$J$16,TRIM($G168))&gt;0,"LEFT OUT","NEW")))</f>
        <v/>
      </c>
    </row>
    <row r="169" spans="47:47" x14ac:dyDescent="0.25">
      <c r="AU169" s="8" t="str">
        <f>IF(TRIM($G169)="","",IF(COUNTIF(LISTS!$I$2:$I$16,TRIM($G169))&gt;0,"COUNTED",IF(COUNTIF(LISTS!$J$2:$J$16,TRIM($G169))&gt;0,"LEFT OUT","NEW")))</f>
        <v/>
      </c>
    </row>
    <row r="170" spans="47:47" x14ac:dyDescent="0.25">
      <c r="AU170" s="8" t="str">
        <f>IF(TRIM($G170)="","",IF(COUNTIF(LISTS!$I$2:$I$16,TRIM($G170))&gt;0,"COUNTED",IF(COUNTIF(LISTS!$J$2:$J$16,TRIM($G170))&gt;0,"LEFT OUT","NEW")))</f>
        <v/>
      </c>
    </row>
    <row r="171" spans="47:47" x14ac:dyDescent="0.25">
      <c r="AU171" s="8" t="str">
        <f>IF(TRIM($G171)="","",IF(COUNTIF(LISTS!$I$2:$I$16,TRIM($G171))&gt;0,"COUNTED",IF(COUNTIF(LISTS!$J$2:$J$16,TRIM($G171))&gt;0,"LEFT OUT","NEW")))</f>
        <v/>
      </c>
    </row>
    <row r="172" spans="47:47" x14ac:dyDescent="0.25">
      <c r="AU172" s="8" t="str">
        <f>IF(TRIM($G172)="","",IF(COUNTIF(LISTS!$I$2:$I$16,TRIM($G172))&gt;0,"COUNTED",IF(COUNTIF(LISTS!$J$2:$J$16,TRIM($G172))&gt;0,"LEFT OUT","NEW")))</f>
        <v/>
      </c>
    </row>
    <row r="173" spans="47:47" x14ac:dyDescent="0.25">
      <c r="AU173" s="8" t="str">
        <f>IF(TRIM($G173)="","",IF(COUNTIF(LISTS!$I$2:$I$16,TRIM($G173))&gt;0,"COUNTED",IF(COUNTIF(LISTS!$J$2:$J$16,TRIM($G173))&gt;0,"LEFT OUT","NEW")))</f>
        <v/>
      </c>
    </row>
    <row r="174" spans="47:47" x14ac:dyDescent="0.25">
      <c r="AU174" s="8" t="str">
        <f>IF(TRIM($G174)="","",IF(COUNTIF(LISTS!$I$2:$I$16,TRIM($G174))&gt;0,"COUNTED",IF(COUNTIF(LISTS!$J$2:$J$16,TRIM($G174))&gt;0,"LEFT OUT","NEW")))</f>
        <v/>
      </c>
    </row>
    <row r="175" spans="47:47" x14ac:dyDescent="0.25">
      <c r="AU175" s="8" t="str">
        <f>IF(TRIM($G175)="","",IF(COUNTIF(LISTS!$I$2:$I$16,TRIM($G175))&gt;0,"COUNTED",IF(COUNTIF(LISTS!$J$2:$J$16,TRIM($G175))&gt;0,"LEFT OUT","NEW")))</f>
        <v/>
      </c>
    </row>
    <row r="176" spans="47:47" x14ac:dyDescent="0.25">
      <c r="AU176" s="8" t="str">
        <f>IF(TRIM($G176)="","",IF(COUNTIF(LISTS!$I$2:$I$16,TRIM($G176))&gt;0,"COUNTED",IF(COUNTIF(LISTS!$J$2:$J$16,TRIM($G176))&gt;0,"LEFT OUT","NEW")))</f>
        <v/>
      </c>
    </row>
    <row r="177" spans="47:47" x14ac:dyDescent="0.25">
      <c r="AU177" s="8" t="str">
        <f>IF(TRIM($G177)="","",IF(COUNTIF(LISTS!$I$2:$I$16,TRIM($G177))&gt;0,"COUNTED",IF(COUNTIF(LISTS!$J$2:$J$16,TRIM($G177))&gt;0,"LEFT OUT","NEW")))</f>
        <v/>
      </c>
    </row>
    <row r="178" spans="47:47" x14ac:dyDescent="0.25">
      <c r="AU178" s="8" t="str">
        <f>IF(TRIM($G178)="","",IF(COUNTIF(LISTS!$I$2:$I$16,TRIM($G178))&gt;0,"COUNTED",IF(COUNTIF(LISTS!$J$2:$J$16,TRIM($G178))&gt;0,"LEFT OUT","NEW")))</f>
        <v/>
      </c>
    </row>
    <row r="179" spans="47:47" x14ac:dyDescent="0.25">
      <c r="AU179" s="8" t="str">
        <f>IF(TRIM($G179)="","",IF(COUNTIF(LISTS!$I$2:$I$16,TRIM($G179))&gt;0,"COUNTED",IF(COUNTIF(LISTS!$J$2:$J$16,TRIM($G179))&gt;0,"LEFT OUT","NEW")))</f>
        <v/>
      </c>
    </row>
    <row r="180" spans="47:47" x14ac:dyDescent="0.25">
      <c r="AU180" s="8" t="str">
        <f>IF(TRIM($G180)="","",IF(COUNTIF(LISTS!$I$2:$I$16,TRIM($G180))&gt;0,"COUNTED",IF(COUNTIF(LISTS!$J$2:$J$16,TRIM($G180))&gt;0,"LEFT OUT","NEW")))</f>
        <v/>
      </c>
    </row>
    <row r="181" spans="47:47" x14ac:dyDescent="0.25">
      <c r="AU181" s="8" t="str">
        <f>IF(TRIM($G181)="","",IF(COUNTIF(LISTS!$I$2:$I$16,TRIM($G181))&gt;0,"COUNTED",IF(COUNTIF(LISTS!$J$2:$J$16,TRIM($G181))&gt;0,"LEFT OUT","NEW")))</f>
        <v/>
      </c>
    </row>
    <row r="182" spans="47:47" x14ac:dyDescent="0.25">
      <c r="AU182" s="8" t="str">
        <f>IF(TRIM($G182)="","",IF(COUNTIF(LISTS!$I$2:$I$16,TRIM($G182))&gt;0,"COUNTED",IF(COUNTIF(LISTS!$J$2:$J$16,TRIM($G182))&gt;0,"LEFT OUT","NEW")))</f>
        <v/>
      </c>
    </row>
    <row r="183" spans="47:47" x14ac:dyDescent="0.25">
      <c r="AU183" s="8" t="str">
        <f>IF(TRIM($G183)="","",IF(COUNTIF(LISTS!$I$2:$I$16,TRIM($G183))&gt;0,"COUNTED",IF(COUNTIF(LISTS!$J$2:$J$16,TRIM($G183))&gt;0,"LEFT OUT","NEW")))</f>
        <v/>
      </c>
    </row>
    <row r="184" spans="47:47" x14ac:dyDescent="0.25">
      <c r="AU184" s="8" t="str">
        <f>IF(TRIM($G184)="","",IF(COUNTIF(LISTS!$I$2:$I$16,TRIM($G184))&gt;0,"COUNTED",IF(COUNTIF(LISTS!$J$2:$J$16,TRIM($G184))&gt;0,"LEFT OUT","NEW")))</f>
        <v/>
      </c>
    </row>
    <row r="185" spans="47:47" x14ac:dyDescent="0.25">
      <c r="AU185" s="8" t="str">
        <f>IF(TRIM($G185)="","",IF(COUNTIF(LISTS!$I$2:$I$16,TRIM($G185))&gt;0,"COUNTED",IF(COUNTIF(LISTS!$J$2:$J$16,TRIM($G185))&gt;0,"LEFT OUT","NEW")))</f>
        <v/>
      </c>
    </row>
    <row r="186" spans="47:47" x14ac:dyDescent="0.25">
      <c r="AU186" s="8" t="str">
        <f>IF(TRIM($G186)="","",IF(COUNTIF(LISTS!$I$2:$I$16,TRIM($G186))&gt;0,"COUNTED",IF(COUNTIF(LISTS!$J$2:$J$16,TRIM($G186))&gt;0,"LEFT OUT","NEW")))</f>
        <v/>
      </c>
    </row>
    <row r="187" spans="47:47" x14ac:dyDescent="0.25">
      <c r="AU187" s="8" t="str">
        <f>IF(TRIM($G187)="","",IF(COUNTIF(LISTS!$I$2:$I$16,TRIM($G187))&gt;0,"COUNTED",IF(COUNTIF(LISTS!$J$2:$J$16,TRIM($G187))&gt;0,"LEFT OUT","NEW")))</f>
        <v/>
      </c>
    </row>
    <row r="188" spans="47:47" x14ac:dyDescent="0.25">
      <c r="AU188" s="8" t="str">
        <f>IF(TRIM($G188)="","",IF(COUNTIF(LISTS!$I$2:$I$16,TRIM($G188))&gt;0,"COUNTED",IF(COUNTIF(LISTS!$J$2:$J$16,TRIM($G188))&gt;0,"LEFT OUT","NEW")))</f>
        <v/>
      </c>
    </row>
    <row r="189" spans="47:47" x14ac:dyDescent="0.25">
      <c r="AU189" s="8" t="str">
        <f>IF(TRIM($G189)="","",IF(COUNTIF(LISTS!$I$2:$I$16,TRIM($G189))&gt;0,"COUNTED",IF(COUNTIF(LISTS!$J$2:$J$16,TRIM($G189))&gt;0,"LEFT OUT","NEW")))</f>
        <v/>
      </c>
    </row>
    <row r="190" spans="47:47" x14ac:dyDescent="0.25">
      <c r="AU190" s="8" t="str">
        <f>IF(TRIM($G190)="","",IF(COUNTIF(LISTS!$I$2:$I$16,TRIM($G190))&gt;0,"COUNTED",IF(COUNTIF(LISTS!$J$2:$J$16,TRIM($G190))&gt;0,"LEFT OUT","NEW")))</f>
        <v/>
      </c>
    </row>
    <row r="191" spans="47:47" x14ac:dyDescent="0.25">
      <c r="AU191" s="8" t="str">
        <f>IF(TRIM($G191)="","",IF(COUNTIF(LISTS!$I$2:$I$16,TRIM($G191))&gt;0,"COUNTED",IF(COUNTIF(LISTS!$J$2:$J$16,TRIM($G191))&gt;0,"LEFT OUT","NEW")))</f>
        <v/>
      </c>
    </row>
    <row r="192" spans="47:47" x14ac:dyDescent="0.25">
      <c r="AU192" s="8" t="str">
        <f>IF(TRIM($G192)="","",IF(COUNTIF(LISTS!$I$2:$I$16,TRIM($G192))&gt;0,"COUNTED",IF(COUNTIF(LISTS!$J$2:$J$16,TRIM($G192))&gt;0,"LEFT OUT","NEW")))</f>
        <v/>
      </c>
    </row>
    <row r="193" spans="47:47" x14ac:dyDescent="0.25">
      <c r="AU193" s="8" t="str">
        <f>IF(TRIM($G193)="","",IF(COUNTIF(LISTS!$I$2:$I$16,TRIM($G193))&gt;0,"COUNTED",IF(COUNTIF(LISTS!$J$2:$J$16,TRIM($G193))&gt;0,"LEFT OUT","NEW")))</f>
        <v/>
      </c>
    </row>
    <row r="194" spans="47:47" x14ac:dyDescent="0.25">
      <c r="AU194" s="8" t="str">
        <f>IF(TRIM($G194)="","",IF(COUNTIF(LISTS!$I$2:$I$16,TRIM($G194))&gt;0,"COUNTED",IF(COUNTIF(LISTS!$J$2:$J$16,TRIM($G194))&gt;0,"LEFT OUT","NEW")))</f>
        <v/>
      </c>
    </row>
    <row r="195" spans="47:47" x14ac:dyDescent="0.25">
      <c r="AU195" s="8" t="str">
        <f>IF(TRIM($G195)="","",IF(COUNTIF(LISTS!$I$2:$I$16,TRIM($G195))&gt;0,"COUNTED",IF(COUNTIF(LISTS!$J$2:$J$16,TRIM($G195))&gt;0,"LEFT OUT","NEW")))</f>
        <v/>
      </c>
    </row>
    <row r="196" spans="47:47" x14ac:dyDescent="0.25">
      <c r="AU196" s="8" t="str">
        <f>IF(TRIM($G196)="","",IF(COUNTIF(LISTS!$I$2:$I$16,TRIM($G196))&gt;0,"COUNTED",IF(COUNTIF(LISTS!$J$2:$J$16,TRIM($G196))&gt;0,"LEFT OUT","NEW")))</f>
        <v/>
      </c>
    </row>
    <row r="197" spans="47:47" x14ac:dyDescent="0.25">
      <c r="AU197" s="8" t="str">
        <f>IF(TRIM($G197)="","",IF(COUNTIF(LISTS!$I$2:$I$16,TRIM($G197))&gt;0,"COUNTED",IF(COUNTIF(LISTS!$J$2:$J$16,TRIM($G197))&gt;0,"LEFT OUT","NEW")))</f>
        <v/>
      </c>
    </row>
    <row r="198" spans="47:47" x14ac:dyDescent="0.25">
      <c r="AU198" s="8" t="str">
        <f>IF(TRIM($G198)="","",IF(COUNTIF(LISTS!$I$2:$I$16,TRIM($G198))&gt;0,"COUNTED",IF(COUNTIF(LISTS!$J$2:$J$16,TRIM($G198))&gt;0,"LEFT OUT","NEW")))</f>
        <v/>
      </c>
    </row>
    <row r="199" spans="47:47" x14ac:dyDescent="0.25">
      <c r="AU199" s="8" t="str">
        <f>IF(TRIM($G199)="","",IF(COUNTIF(LISTS!$I$2:$I$16,TRIM($G199))&gt;0,"COUNTED",IF(COUNTIF(LISTS!$J$2:$J$16,TRIM($G199))&gt;0,"LEFT OUT","NEW")))</f>
        <v/>
      </c>
    </row>
    <row r="200" spans="47:47" x14ac:dyDescent="0.25">
      <c r="AU200" s="8" t="str">
        <f>IF(TRIM($G200)="","",IF(COUNTIF(LISTS!$I$2:$I$16,TRIM($G200))&gt;0,"COUNTED",IF(COUNTIF(LISTS!$J$2:$J$16,TRIM($G200))&gt;0,"LEFT OUT","NEW")))</f>
        <v/>
      </c>
    </row>
    <row r="201" spans="47:47" x14ac:dyDescent="0.25">
      <c r="AU201" s="8" t="str">
        <f>IF(TRIM($G201)="","",IF(COUNTIF(LISTS!$I$2:$I$16,TRIM($G201))&gt;0,"COUNTED",IF(COUNTIF(LISTS!$J$2:$J$16,TRIM($G201))&gt;0,"LEFT OUT","NEW")))</f>
        <v/>
      </c>
    </row>
    <row r="202" spans="47:47" x14ac:dyDescent="0.25">
      <c r="AU202" s="8" t="str">
        <f>IF(TRIM($G202)="","",IF(COUNTIF(LISTS!$I$2:$I$16,TRIM($G202))&gt;0,"COUNTED",IF(COUNTIF(LISTS!$J$2:$J$16,TRIM($G202))&gt;0,"LEFT OUT","NEW")))</f>
        <v/>
      </c>
    </row>
    <row r="203" spans="47:47" x14ac:dyDescent="0.25">
      <c r="AU203" s="8" t="str">
        <f>IF(TRIM($G203)="","",IF(COUNTIF(LISTS!$I$2:$I$16,TRIM($G203))&gt;0,"COUNTED",IF(COUNTIF(LISTS!$J$2:$J$16,TRIM($G203))&gt;0,"LEFT OUT","NEW")))</f>
        <v/>
      </c>
    </row>
    <row r="204" spans="47:47" x14ac:dyDescent="0.25">
      <c r="AU204" s="8" t="str">
        <f>IF(TRIM($G204)="","",IF(COUNTIF(LISTS!$I$2:$I$16,TRIM($G204))&gt;0,"COUNTED",IF(COUNTIF(LISTS!$J$2:$J$16,TRIM($G204))&gt;0,"LEFT OUT","NEW")))</f>
        <v/>
      </c>
    </row>
    <row r="205" spans="47:47" x14ac:dyDescent="0.25">
      <c r="AU205" s="8" t="str">
        <f>IF(TRIM($G205)="","",IF(COUNTIF(LISTS!$I$2:$I$16,TRIM($G205))&gt;0,"COUNTED",IF(COUNTIF(LISTS!$J$2:$J$16,TRIM($G205))&gt;0,"LEFT OUT","NEW")))</f>
        <v/>
      </c>
    </row>
    <row r="206" spans="47:47" x14ac:dyDescent="0.25">
      <c r="AU206" s="8" t="str">
        <f>IF(TRIM($G206)="","",IF(COUNTIF(LISTS!$I$2:$I$16,TRIM($G206))&gt;0,"COUNTED",IF(COUNTIF(LISTS!$J$2:$J$16,TRIM($G206))&gt;0,"LEFT OUT","NEW")))</f>
        <v/>
      </c>
    </row>
    <row r="207" spans="47:47" x14ac:dyDescent="0.25">
      <c r="AU207" s="8" t="str">
        <f>IF(TRIM($G207)="","",IF(COUNTIF(LISTS!$I$2:$I$16,TRIM($G207))&gt;0,"COUNTED",IF(COUNTIF(LISTS!$J$2:$J$16,TRIM($G207))&gt;0,"LEFT OUT","NEW")))</f>
        <v/>
      </c>
    </row>
    <row r="208" spans="47:47" x14ac:dyDescent="0.25">
      <c r="AU208" s="8" t="str">
        <f>IF(TRIM($G208)="","",IF(COUNTIF(LISTS!$I$2:$I$16,TRIM($G208))&gt;0,"COUNTED",IF(COUNTIF(LISTS!$J$2:$J$16,TRIM($G208))&gt;0,"LEFT OUT","NEW")))</f>
        <v/>
      </c>
    </row>
    <row r="209" spans="47:47" x14ac:dyDescent="0.25">
      <c r="AU209" s="8" t="str">
        <f>IF(TRIM($G209)="","",IF(COUNTIF(LISTS!$I$2:$I$16,TRIM($G209))&gt;0,"COUNTED",IF(COUNTIF(LISTS!$J$2:$J$16,TRIM($G209))&gt;0,"LEFT OUT","NEW")))</f>
        <v/>
      </c>
    </row>
    <row r="210" spans="47:47" x14ac:dyDescent="0.25">
      <c r="AU210" s="8" t="str">
        <f>IF(TRIM($G210)="","",IF(COUNTIF(LISTS!$I$2:$I$16,TRIM($G210))&gt;0,"COUNTED",IF(COUNTIF(LISTS!$J$2:$J$16,TRIM($G210))&gt;0,"LEFT OUT","NEW")))</f>
        <v/>
      </c>
    </row>
    <row r="211" spans="47:47" x14ac:dyDescent="0.25">
      <c r="AU211" s="8" t="str">
        <f>IF(TRIM($G211)="","",IF(COUNTIF(LISTS!$I$2:$I$16,TRIM($G211))&gt;0,"COUNTED",IF(COUNTIF(LISTS!$J$2:$J$16,TRIM($G211))&gt;0,"LEFT OUT","NEW")))</f>
        <v/>
      </c>
    </row>
    <row r="212" spans="47:47" x14ac:dyDescent="0.25">
      <c r="AU212" s="8" t="str">
        <f>IF(TRIM($G212)="","",IF(COUNTIF(LISTS!$I$2:$I$16,TRIM($G212))&gt;0,"COUNTED",IF(COUNTIF(LISTS!$J$2:$J$16,TRIM($G212))&gt;0,"LEFT OUT","NEW")))</f>
        <v/>
      </c>
    </row>
    <row r="213" spans="47:47" x14ac:dyDescent="0.25">
      <c r="AU213" s="8" t="str">
        <f>IF(TRIM($G213)="","",IF(COUNTIF(LISTS!$I$2:$I$16,TRIM($G213))&gt;0,"COUNTED",IF(COUNTIF(LISTS!$J$2:$J$16,TRIM($G213))&gt;0,"LEFT OUT","NEW")))</f>
        <v/>
      </c>
    </row>
    <row r="214" spans="47:47" x14ac:dyDescent="0.25">
      <c r="AU214" s="8" t="str">
        <f>IF(TRIM($G214)="","",IF(COUNTIF(LISTS!$I$2:$I$16,TRIM($G214))&gt;0,"COUNTED",IF(COUNTIF(LISTS!$J$2:$J$16,TRIM($G214))&gt;0,"LEFT OUT","NEW")))</f>
        <v/>
      </c>
    </row>
    <row r="215" spans="47:47" x14ac:dyDescent="0.25">
      <c r="AU215" s="8" t="str">
        <f>IF(TRIM($G215)="","",IF(COUNTIF(LISTS!$I$2:$I$16,TRIM($G215))&gt;0,"COUNTED",IF(COUNTIF(LISTS!$J$2:$J$16,TRIM($G215))&gt;0,"LEFT OUT","NEW")))</f>
        <v/>
      </c>
    </row>
    <row r="216" spans="47:47" x14ac:dyDescent="0.25">
      <c r="AU216" s="8" t="str">
        <f>IF(TRIM($G216)="","",IF(COUNTIF(LISTS!$I$2:$I$16,TRIM($G216))&gt;0,"COUNTED",IF(COUNTIF(LISTS!$J$2:$J$16,TRIM($G216))&gt;0,"LEFT OUT","NEW")))</f>
        <v/>
      </c>
    </row>
    <row r="217" spans="47:47" x14ac:dyDescent="0.25">
      <c r="AU217" s="8" t="str">
        <f>IF(TRIM($G217)="","",IF(COUNTIF(LISTS!$I$2:$I$16,TRIM($G217))&gt;0,"COUNTED",IF(COUNTIF(LISTS!$J$2:$J$16,TRIM($G217))&gt;0,"LEFT OUT","NEW")))</f>
        <v/>
      </c>
    </row>
    <row r="218" spans="47:47" x14ac:dyDescent="0.25">
      <c r="AU218" s="8" t="str">
        <f>IF(TRIM($G218)="","",IF(COUNTIF(LISTS!$I$2:$I$16,TRIM($G218))&gt;0,"COUNTED",IF(COUNTIF(LISTS!$J$2:$J$16,TRIM($G218))&gt;0,"LEFT OUT","NEW")))</f>
        <v/>
      </c>
    </row>
    <row r="219" spans="47:47" x14ac:dyDescent="0.25">
      <c r="AU219" s="8" t="str">
        <f>IF(TRIM($G219)="","",IF(COUNTIF(LISTS!$I$2:$I$16,TRIM($G219))&gt;0,"COUNTED",IF(COUNTIF(LISTS!$J$2:$J$16,TRIM($G219))&gt;0,"LEFT OUT","NEW")))</f>
        <v/>
      </c>
    </row>
    <row r="220" spans="47:47" x14ac:dyDescent="0.25">
      <c r="AU220" s="8" t="str">
        <f>IF(TRIM($G220)="","",IF(COUNTIF(LISTS!$I$2:$I$16,TRIM($G220))&gt;0,"COUNTED",IF(COUNTIF(LISTS!$J$2:$J$16,TRIM($G220))&gt;0,"LEFT OUT","NEW")))</f>
        <v/>
      </c>
    </row>
    <row r="221" spans="47:47" x14ac:dyDescent="0.25">
      <c r="AU221" s="8" t="str">
        <f>IF(TRIM($G221)="","",IF(COUNTIF(LISTS!$I$2:$I$16,TRIM($G221))&gt;0,"COUNTED",IF(COUNTIF(LISTS!$J$2:$J$16,TRIM($G221))&gt;0,"LEFT OUT","NEW")))</f>
        <v/>
      </c>
    </row>
    <row r="222" spans="47:47" x14ac:dyDescent="0.25">
      <c r="AU222" s="8" t="str">
        <f>IF(TRIM($G222)="","",IF(COUNTIF(LISTS!$I$2:$I$16,TRIM($G222))&gt;0,"COUNTED",IF(COUNTIF(LISTS!$J$2:$J$16,TRIM($G222))&gt;0,"LEFT OUT","NEW")))</f>
        <v/>
      </c>
    </row>
    <row r="223" spans="47:47" x14ac:dyDescent="0.25">
      <c r="AU223" s="8" t="str">
        <f>IF(TRIM($G223)="","",IF(COUNTIF(LISTS!$I$2:$I$16,TRIM($G223))&gt;0,"COUNTED",IF(COUNTIF(LISTS!$J$2:$J$16,TRIM($G223))&gt;0,"LEFT OUT","NEW")))</f>
        <v/>
      </c>
    </row>
    <row r="224" spans="47:47" x14ac:dyDescent="0.25">
      <c r="AU224" s="8" t="str">
        <f>IF(TRIM($G224)="","",IF(COUNTIF(LISTS!$I$2:$I$16,TRIM($G224))&gt;0,"COUNTED",IF(COUNTIF(LISTS!$J$2:$J$16,TRIM($G224))&gt;0,"LEFT OUT","NEW")))</f>
        <v/>
      </c>
    </row>
    <row r="225" spans="47:47" x14ac:dyDescent="0.25">
      <c r="AU225" s="8" t="str">
        <f>IF(TRIM($G225)="","",IF(COUNTIF(LISTS!$I$2:$I$16,TRIM($G225))&gt;0,"COUNTED",IF(COUNTIF(LISTS!$J$2:$J$16,TRIM($G225))&gt;0,"LEFT OUT","NEW")))</f>
        <v/>
      </c>
    </row>
    <row r="226" spans="47:47" x14ac:dyDescent="0.25">
      <c r="AU226" s="8" t="str">
        <f>IF(TRIM($G226)="","",IF(COUNTIF(LISTS!$I$2:$I$16,TRIM($G226))&gt;0,"COUNTED",IF(COUNTIF(LISTS!$J$2:$J$16,TRIM($G226))&gt;0,"LEFT OUT","NEW")))</f>
        <v/>
      </c>
    </row>
    <row r="227" spans="47:47" x14ac:dyDescent="0.25">
      <c r="AU227" s="8" t="str">
        <f>IF(TRIM($G227)="","",IF(COUNTIF(LISTS!$I$2:$I$16,TRIM($G227))&gt;0,"COUNTED",IF(COUNTIF(LISTS!$J$2:$J$16,TRIM($G227))&gt;0,"LEFT OUT","NEW")))</f>
        <v/>
      </c>
    </row>
    <row r="228" spans="47:47" x14ac:dyDescent="0.25">
      <c r="AU228" s="8" t="str">
        <f>IF(TRIM($G228)="","",IF(COUNTIF(LISTS!$I$2:$I$16,TRIM($G228))&gt;0,"COUNTED",IF(COUNTIF(LISTS!$J$2:$J$16,TRIM($G228))&gt;0,"LEFT OUT","NEW")))</f>
        <v/>
      </c>
    </row>
    <row r="229" spans="47:47" x14ac:dyDescent="0.25">
      <c r="AU229" s="8" t="str">
        <f>IF(TRIM($G229)="","",IF(COUNTIF(LISTS!$I$2:$I$16,TRIM($G229))&gt;0,"COUNTED",IF(COUNTIF(LISTS!$J$2:$J$16,TRIM($G229))&gt;0,"LEFT OUT","NEW")))</f>
        <v/>
      </c>
    </row>
    <row r="230" spans="47:47" x14ac:dyDescent="0.25">
      <c r="AU230" s="8" t="str">
        <f>IF(TRIM($G230)="","",IF(COUNTIF(LISTS!$I$2:$I$16,TRIM($G230))&gt;0,"COUNTED",IF(COUNTIF(LISTS!$J$2:$J$16,TRIM($G230))&gt;0,"LEFT OUT","NEW")))</f>
        <v/>
      </c>
    </row>
    <row r="231" spans="47:47" x14ac:dyDescent="0.25">
      <c r="AU231" s="8" t="str">
        <f>IF(TRIM($G231)="","",IF(COUNTIF(LISTS!$I$2:$I$16,TRIM($G231))&gt;0,"COUNTED",IF(COUNTIF(LISTS!$J$2:$J$16,TRIM($G231))&gt;0,"LEFT OUT","NEW")))</f>
        <v/>
      </c>
    </row>
    <row r="232" spans="47:47" x14ac:dyDescent="0.25">
      <c r="AU232" s="8" t="str">
        <f>IF(TRIM($G232)="","",IF(COUNTIF(LISTS!$I$2:$I$16,TRIM($G232))&gt;0,"COUNTED",IF(COUNTIF(LISTS!$J$2:$J$16,TRIM($G232))&gt;0,"LEFT OUT","NEW")))</f>
        <v/>
      </c>
    </row>
    <row r="233" spans="47:47" x14ac:dyDescent="0.25">
      <c r="AU233" s="8" t="str">
        <f>IF(TRIM($G233)="","",IF(COUNTIF(LISTS!$I$2:$I$16,TRIM($G233))&gt;0,"COUNTED",IF(COUNTIF(LISTS!$J$2:$J$16,TRIM($G233))&gt;0,"LEFT OUT","NEW")))</f>
        <v/>
      </c>
    </row>
    <row r="234" spans="47:47" x14ac:dyDescent="0.25">
      <c r="AU234" s="8" t="str">
        <f>IF(TRIM($G234)="","",IF(COUNTIF(LISTS!$I$2:$I$16,TRIM($G234))&gt;0,"COUNTED",IF(COUNTIF(LISTS!$J$2:$J$16,TRIM($G234))&gt;0,"LEFT OUT","NEW")))</f>
        <v/>
      </c>
    </row>
    <row r="235" spans="47:47" x14ac:dyDescent="0.25">
      <c r="AU235" s="8" t="str">
        <f>IF(TRIM($G235)="","",IF(COUNTIF(LISTS!$I$2:$I$16,TRIM($G235))&gt;0,"COUNTED",IF(COUNTIF(LISTS!$J$2:$J$16,TRIM($G235))&gt;0,"LEFT OUT","NEW")))</f>
        <v/>
      </c>
    </row>
    <row r="236" spans="47:47" x14ac:dyDescent="0.25">
      <c r="AU236" s="8" t="str">
        <f>IF(TRIM($G236)="","",IF(COUNTIF(LISTS!$I$2:$I$16,TRIM($G236))&gt;0,"COUNTED",IF(COUNTIF(LISTS!$J$2:$J$16,TRIM($G236))&gt;0,"LEFT OUT","NEW")))</f>
        <v/>
      </c>
    </row>
    <row r="237" spans="47:47" x14ac:dyDescent="0.25">
      <c r="AU237" s="8" t="str">
        <f>IF(TRIM($G237)="","",IF(COUNTIF(LISTS!$I$2:$I$16,TRIM($G237))&gt;0,"COUNTED",IF(COUNTIF(LISTS!$J$2:$J$16,TRIM($G237))&gt;0,"LEFT OUT","NEW")))</f>
        <v/>
      </c>
    </row>
    <row r="238" spans="47:47" x14ac:dyDescent="0.25">
      <c r="AU238" s="8" t="str">
        <f>IF(TRIM($G238)="","",IF(COUNTIF(LISTS!$I$2:$I$16,TRIM($G238))&gt;0,"COUNTED",IF(COUNTIF(LISTS!$J$2:$J$16,TRIM($G238))&gt;0,"LEFT OUT","NEW")))</f>
        <v/>
      </c>
    </row>
    <row r="239" spans="47:47" x14ac:dyDescent="0.25">
      <c r="AU239" s="8" t="str">
        <f>IF(TRIM($G239)="","",IF(COUNTIF(LISTS!$I$2:$I$16,TRIM($G239))&gt;0,"COUNTED",IF(COUNTIF(LISTS!$J$2:$J$16,TRIM($G239))&gt;0,"LEFT OUT","NEW")))</f>
        <v/>
      </c>
    </row>
    <row r="240" spans="47:47" x14ac:dyDescent="0.25">
      <c r="AU240" s="8" t="str">
        <f>IF(TRIM($G240)="","",IF(COUNTIF(LISTS!$I$2:$I$16,TRIM($G240))&gt;0,"COUNTED",IF(COUNTIF(LISTS!$J$2:$J$16,TRIM($G240))&gt;0,"LEFT OUT","NEW")))</f>
        <v/>
      </c>
    </row>
    <row r="241" spans="47:47" x14ac:dyDescent="0.25">
      <c r="AU241" s="8" t="str">
        <f>IF(TRIM($G241)="","",IF(COUNTIF(LISTS!$I$2:$I$16,TRIM($G241))&gt;0,"COUNTED",IF(COUNTIF(LISTS!$J$2:$J$16,TRIM($G241))&gt;0,"LEFT OUT","NEW")))</f>
        <v/>
      </c>
    </row>
    <row r="242" spans="47:47" x14ac:dyDescent="0.25">
      <c r="AU242" s="8" t="str">
        <f>IF(TRIM($G242)="","",IF(COUNTIF(LISTS!$I$2:$I$16,TRIM($G242))&gt;0,"COUNTED",IF(COUNTIF(LISTS!$J$2:$J$16,TRIM($G242))&gt;0,"LEFT OUT","NEW")))</f>
        <v/>
      </c>
    </row>
    <row r="243" spans="47:47" x14ac:dyDescent="0.25">
      <c r="AU243" s="8" t="str">
        <f>IF(TRIM($G243)="","",IF(COUNTIF(LISTS!$I$2:$I$16,TRIM($G243))&gt;0,"COUNTED",IF(COUNTIF(LISTS!$J$2:$J$16,TRIM($G243))&gt;0,"LEFT OUT","NEW")))</f>
        <v/>
      </c>
    </row>
    <row r="244" spans="47:47" x14ac:dyDescent="0.25">
      <c r="AU244" s="8" t="str">
        <f>IF(TRIM($G244)="","",IF(COUNTIF(LISTS!$I$2:$I$16,TRIM($G244))&gt;0,"COUNTED",IF(COUNTIF(LISTS!$J$2:$J$16,TRIM($G244))&gt;0,"LEFT OUT","NEW")))</f>
        <v/>
      </c>
    </row>
    <row r="245" spans="47:47" x14ac:dyDescent="0.25">
      <c r="AU245" s="8" t="str">
        <f>IF(TRIM($G245)="","",IF(COUNTIF(LISTS!$I$2:$I$16,TRIM($G245))&gt;0,"COUNTED",IF(COUNTIF(LISTS!$J$2:$J$16,TRIM($G245))&gt;0,"LEFT OUT","NEW")))</f>
        <v/>
      </c>
    </row>
    <row r="246" spans="47:47" x14ac:dyDescent="0.25">
      <c r="AU246" s="8" t="str">
        <f>IF(TRIM($G246)="","",IF(COUNTIF(LISTS!$I$2:$I$16,TRIM($G246))&gt;0,"COUNTED",IF(COUNTIF(LISTS!$J$2:$J$16,TRIM($G246))&gt;0,"LEFT OUT","NEW")))</f>
        <v/>
      </c>
    </row>
    <row r="247" spans="47:47" x14ac:dyDescent="0.25">
      <c r="AU247" s="8" t="str">
        <f>IF(TRIM($G247)="","",IF(COUNTIF(LISTS!$I$2:$I$16,TRIM($G247))&gt;0,"COUNTED",IF(COUNTIF(LISTS!$J$2:$J$16,TRIM($G247))&gt;0,"LEFT OUT","NEW")))</f>
        <v/>
      </c>
    </row>
    <row r="248" spans="47:47" x14ac:dyDescent="0.25">
      <c r="AU248" s="8" t="str">
        <f>IF(TRIM($G248)="","",IF(COUNTIF(LISTS!$I$2:$I$16,TRIM($G248))&gt;0,"COUNTED",IF(COUNTIF(LISTS!$J$2:$J$16,TRIM($G248))&gt;0,"LEFT OUT","NEW")))</f>
        <v/>
      </c>
    </row>
    <row r="249" spans="47:47" x14ac:dyDescent="0.25">
      <c r="AU249" s="8" t="str">
        <f>IF(TRIM($G249)="","",IF(COUNTIF(LISTS!$I$2:$I$16,TRIM($G249))&gt;0,"COUNTED",IF(COUNTIF(LISTS!$J$2:$J$16,TRIM($G249))&gt;0,"LEFT OUT","NEW")))</f>
        <v/>
      </c>
    </row>
    <row r="250" spans="47:47" x14ac:dyDescent="0.25">
      <c r="AU250" s="8" t="str">
        <f>IF(TRIM($G250)="","",IF(COUNTIF(LISTS!$I$2:$I$16,TRIM($G250))&gt;0,"COUNTED",IF(COUNTIF(LISTS!$J$2:$J$16,TRIM($G250))&gt;0,"LEFT OUT","NEW")))</f>
        <v/>
      </c>
    </row>
    <row r="251" spans="47:47" x14ac:dyDescent="0.25">
      <c r="AU251" s="8" t="str">
        <f>IF(TRIM($G251)="","",IF(COUNTIF(LISTS!$I$2:$I$16,TRIM($G251))&gt;0,"COUNTED",IF(COUNTIF(LISTS!$J$2:$J$16,TRIM($G251))&gt;0,"LEFT OUT","NEW")))</f>
        <v/>
      </c>
    </row>
    <row r="252" spans="47:47" x14ac:dyDescent="0.25">
      <c r="AU252" s="8" t="str">
        <f>IF(TRIM($G252)="","",IF(COUNTIF(LISTS!$I$2:$I$16,TRIM($G252))&gt;0,"COUNTED",IF(COUNTIF(LISTS!$J$2:$J$16,TRIM($G252))&gt;0,"LEFT OUT","NEW")))</f>
        <v/>
      </c>
    </row>
    <row r="253" spans="47:47" x14ac:dyDescent="0.25">
      <c r="AU253" s="8" t="str">
        <f>IF(TRIM($G253)="","",IF(COUNTIF(LISTS!$I$2:$I$16,TRIM($G253))&gt;0,"COUNTED",IF(COUNTIF(LISTS!$J$2:$J$16,TRIM($G253))&gt;0,"LEFT OUT","NEW")))</f>
        <v/>
      </c>
    </row>
    <row r="254" spans="47:47" x14ac:dyDescent="0.25">
      <c r="AU254" s="8" t="str">
        <f>IF(TRIM($G254)="","",IF(COUNTIF(LISTS!$I$2:$I$16,TRIM($G254))&gt;0,"COUNTED",IF(COUNTIF(LISTS!$J$2:$J$16,TRIM($G254))&gt;0,"LEFT OUT","NEW")))</f>
        <v/>
      </c>
    </row>
    <row r="255" spans="47:47" x14ac:dyDescent="0.25">
      <c r="AU255" s="8" t="str">
        <f>IF(TRIM($G255)="","",IF(COUNTIF(LISTS!$I$2:$I$16,TRIM($G255))&gt;0,"COUNTED",IF(COUNTIF(LISTS!$J$2:$J$16,TRIM($G255))&gt;0,"LEFT OUT","NEW")))</f>
        <v/>
      </c>
    </row>
    <row r="256" spans="47:47" x14ac:dyDescent="0.25">
      <c r="AU256" s="8" t="str">
        <f>IF(TRIM($G256)="","",IF(COUNTIF(LISTS!$I$2:$I$16,TRIM($G256))&gt;0,"COUNTED",IF(COUNTIF(LISTS!$J$2:$J$16,TRIM($G256))&gt;0,"LEFT OUT","NEW")))</f>
        <v/>
      </c>
    </row>
    <row r="257" spans="47:47" x14ac:dyDescent="0.25">
      <c r="AU257" s="8" t="str">
        <f>IF(TRIM($G257)="","",IF(COUNTIF(LISTS!$I$2:$I$16,TRIM($G257))&gt;0,"COUNTED",IF(COUNTIF(LISTS!$J$2:$J$16,TRIM($G257))&gt;0,"LEFT OUT","NEW")))</f>
        <v/>
      </c>
    </row>
    <row r="258" spans="47:47" x14ac:dyDescent="0.25">
      <c r="AU258" s="8" t="str">
        <f>IF(TRIM($G258)="","",IF(COUNTIF(LISTS!$I$2:$I$16,TRIM($G258))&gt;0,"COUNTED",IF(COUNTIF(LISTS!$J$2:$J$16,TRIM($G258))&gt;0,"LEFT OUT","NEW")))</f>
        <v/>
      </c>
    </row>
    <row r="259" spans="47:47" x14ac:dyDescent="0.25">
      <c r="AU259" s="8" t="str">
        <f>IF(TRIM($G259)="","",IF(COUNTIF(LISTS!$I$2:$I$16,TRIM($G259))&gt;0,"COUNTED",IF(COUNTIF(LISTS!$J$2:$J$16,TRIM($G259))&gt;0,"LEFT OUT","NEW")))</f>
        <v/>
      </c>
    </row>
    <row r="260" spans="47:47" x14ac:dyDescent="0.25">
      <c r="AU260" s="8" t="str">
        <f>IF(TRIM($G260)="","",IF(COUNTIF(LISTS!$I$2:$I$16,TRIM($G260))&gt;0,"COUNTED",IF(COUNTIF(LISTS!$J$2:$J$16,TRIM($G260))&gt;0,"LEFT OUT","NEW")))</f>
        <v/>
      </c>
    </row>
    <row r="261" spans="47:47" x14ac:dyDescent="0.25">
      <c r="AU261" s="8" t="str">
        <f>IF(TRIM($G261)="","",IF(COUNTIF(LISTS!$I$2:$I$16,TRIM($G261))&gt;0,"COUNTED",IF(COUNTIF(LISTS!$J$2:$J$16,TRIM($G261))&gt;0,"LEFT OUT","NEW")))</f>
        <v/>
      </c>
    </row>
    <row r="262" spans="47:47" x14ac:dyDescent="0.25">
      <c r="AU262" s="8" t="str">
        <f>IF(TRIM($G262)="","",IF(COUNTIF(LISTS!$I$2:$I$16,TRIM($G262))&gt;0,"COUNTED",IF(COUNTIF(LISTS!$J$2:$J$16,TRIM($G262))&gt;0,"LEFT OUT","NEW")))</f>
        <v/>
      </c>
    </row>
    <row r="263" spans="47:47" x14ac:dyDescent="0.25">
      <c r="AU263" s="8" t="str">
        <f>IF(TRIM($G263)="","",IF(COUNTIF(LISTS!$I$2:$I$16,TRIM($G263))&gt;0,"COUNTED",IF(COUNTIF(LISTS!$J$2:$J$16,TRIM($G263))&gt;0,"LEFT OUT","NEW")))</f>
        <v/>
      </c>
    </row>
    <row r="264" spans="47:47" x14ac:dyDescent="0.25">
      <c r="AU264" s="8" t="str">
        <f>IF(TRIM($G264)="","",IF(COUNTIF(LISTS!$I$2:$I$16,TRIM($G264))&gt;0,"COUNTED",IF(COUNTIF(LISTS!$J$2:$J$16,TRIM($G264))&gt;0,"LEFT OUT","NEW")))</f>
        <v/>
      </c>
    </row>
    <row r="265" spans="47:47" x14ac:dyDescent="0.25">
      <c r="AU265" s="8" t="str">
        <f>IF(TRIM($G265)="","",IF(COUNTIF(LISTS!$I$2:$I$16,TRIM($G265))&gt;0,"COUNTED",IF(COUNTIF(LISTS!$J$2:$J$16,TRIM($G265))&gt;0,"LEFT OUT","NEW")))</f>
        <v/>
      </c>
    </row>
    <row r="266" spans="47:47" x14ac:dyDescent="0.25">
      <c r="AU266" s="8" t="str">
        <f>IF(TRIM($G266)="","",IF(COUNTIF(LISTS!$I$2:$I$16,TRIM($G266))&gt;0,"COUNTED",IF(COUNTIF(LISTS!$J$2:$J$16,TRIM($G266))&gt;0,"LEFT OUT","NEW")))</f>
        <v/>
      </c>
    </row>
    <row r="267" spans="47:47" x14ac:dyDescent="0.25">
      <c r="AU267" s="8" t="str">
        <f>IF(TRIM($G267)="","",IF(COUNTIF(LISTS!$I$2:$I$16,TRIM($G267))&gt;0,"COUNTED",IF(COUNTIF(LISTS!$J$2:$J$16,TRIM($G267))&gt;0,"LEFT OUT","NEW")))</f>
        <v/>
      </c>
    </row>
    <row r="268" spans="47:47" x14ac:dyDescent="0.25">
      <c r="AU268" s="8" t="str">
        <f>IF(TRIM($G268)="","",IF(COUNTIF(LISTS!$I$2:$I$16,TRIM($G268))&gt;0,"COUNTED",IF(COUNTIF(LISTS!$J$2:$J$16,TRIM($G268))&gt;0,"LEFT OUT","NEW")))</f>
        <v/>
      </c>
    </row>
    <row r="269" spans="47:47" x14ac:dyDescent="0.25">
      <c r="AU269" s="8" t="str">
        <f>IF(TRIM($G269)="","",IF(COUNTIF(LISTS!$I$2:$I$16,TRIM($G269))&gt;0,"COUNTED",IF(COUNTIF(LISTS!$J$2:$J$16,TRIM($G269))&gt;0,"LEFT OUT","NEW")))</f>
        <v/>
      </c>
    </row>
    <row r="270" spans="47:47" x14ac:dyDescent="0.25">
      <c r="AU270" s="8" t="str">
        <f>IF(TRIM($G270)="","",IF(COUNTIF(LISTS!$I$2:$I$16,TRIM($G270))&gt;0,"COUNTED",IF(COUNTIF(LISTS!$J$2:$J$16,TRIM($G270))&gt;0,"LEFT OUT","NEW")))</f>
        <v/>
      </c>
    </row>
    <row r="271" spans="47:47" x14ac:dyDescent="0.25">
      <c r="AU271" s="8" t="str">
        <f>IF(TRIM($G271)="","",IF(COUNTIF(LISTS!$I$2:$I$16,TRIM($G271))&gt;0,"COUNTED",IF(COUNTIF(LISTS!$J$2:$J$16,TRIM($G271))&gt;0,"LEFT OUT","NEW")))</f>
        <v/>
      </c>
    </row>
    <row r="272" spans="47:47" x14ac:dyDescent="0.25">
      <c r="AU272" s="8" t="str">
        <f>IF(TRIM($G272)="","",IF(COUNTIF(LISTS!$I$2:$I$16,TRIM($G272))&gt;0,"COUNTED",IF(COUNTIF(LISTS!$J$2:$J$16,TRIM($G272))&gt;0,"LEFT OUT","NEW")))</f>
        <v/>
      </c>
    </row>
    <row r="273" spans="47:47" x14ac:dyDescent="0.25">
      <c r="AU273" s="8" t="str">
        <f>IF(TRIM($G273)="","",IF(COUNTIF(LISTS!$I$2:$I$16,TRIM($G273))&gt;0,"COUNTED",IF(COUNTIF(LISTS!$J$2:$J$16,TRIM($G273))&gt;0,"LEFT OUT","NEW")))</f>
        <v/>
      </c>
    </row>
    <row r="274" spans="47:47" x14ac:dyDescent="0.25">
      <c r="AU274" s="8" t="str">
        <f>IF(TRIM($G274)="","",IF(COUNTIF(LISTS!$I$2:$I$16,TRIM($G274))&gt;0,"COUNTED",IF(COUNTIF(LISTS!$J$2:$J$16,TRIM($G274))&gt;0,"LEFT OUT","NEW")))</f>
        <v/>
      </c>
    </row>
    <row r="275" spans="47:47" x14ac:dyDescent="0.25">
      <c r="AU275" s="8" t="str">
        <f>IF(TRIM($G275)="","",IF(COUNTIF(LISTS!$I$2:$I$16,TRIM($G275))&gt;0,"COUNTED",IF(COUNTIF(LISTS!$J$2:$J$16,TRIM($G275))&gt;0,"LEFT OUT","NEW")))</f>
        <v/>
      </c>
    </row>
    <row r="276" spans="47:47" x14ac:dyDescent="0.25">
      <c r="AU276" s="8" t="str">
        <f>IF(TRIM($G276)="","",IF(COUNTIF(LISTS!$I$2:$I$16,TRIM($G276))&gt;0,"COUNTED",IF(COUNTIF(LISTS!$J$2:$J$16,TRIM($G276))&gt;0,"LEFT OUT","NEW")))</f>
        <v/>
      </c>
    </row>
    <row r="277" spans="47:47" x14ac:dyDescent="0.25">
      <c r="AU277" s="8" t="str">
        <f>IF(TRIM($G277)="","",IF(COUNTIF(LISTS!$I$2:$I$16,TRIM($G277))&gt;0,"COUNTED",IF(COUNTIF(LISTS!$J$2:$J$16,TRIM($G277))&gt;0,"LEFT OUT","NEW")))</f>
        <v/>
      </c>
    </row>
    <row r="278" spans="47:47" x14ac:dyDescent="0.25">
      <c r="AU278" s="8" t="str">
        <f>IF(TRIM($G278)="","",IF(COUNTIF(LISTS!$I$2:$I$16,TRIM($G278))&gt;0,"COUNTED",IF(COUNTIF(LISTS!$J$2:$J$16,TRIM($G278))&gt;0,"LEFT OUT","NEW")))</f>
        <v/>
      </c>
    </row>
    <row r="279" spans="47:47" x14ac:dyDescent="0.25">
      <c r="AU279" s="8" t="str">
        <f>IF(TRIM($G279)="","",IF(COUNTIF(LISTS!$I$2:$I$16,TRIM($G279))&gt;0,"COUNTED",IF(COUNTIF(LISTS!$J$2:$J$16,TRIM($G279))&gt;0,"LEFT OUT","NEW")))</f>
        <v/>
      </c>
    </row>
    <row r="280" spans="47:47" x14ac:dyDescent="0.25">
      <c r="AU280" s="8" t="str">
        <f>IF(TRIM($G280)="","",IF(COUNTIF(LISTS!$I$2:$I$16,TRIM($G280))&gt;0,"COUNTED",IF(COUNTIF(LISTS!$J$2:$J$16,TRIM($G280))&gt;0,"LEFT OUT","NEW")))</f>
        <v/>
      </c>
    </row>
    <row r="281" spans="47:47" x14ac:dyDescent="0.25">
      <c r="AU281" s="8" t="str">
        <f>IF(TRIM($G281)="","",IF(COUNTIF(LISTS!$I$2:$I$16,TRIM($G281))&gt;0,"COUNTED",IF(COUNTIF(LISTS!$J$2:$J$16,TRIM($G281))&gt;0,"LEFT OUT","NEW")))</f>
        <v/>
      </c>
    </row>
    <row r="282" spans="47:47" x14ac:dyDescent="0.25">
      <c r="AU282" s="8" t="str">
        <f>IF(TRIM($G282)="","",IF(COUNTIF(LISTS!$I$2:$I$16,TRIM($G282))&gt;0,"COUNTED",IF(COUNTIF(LISTS!$J$2:$J$16,TRIM($G282))&gt;0,"LEFT OUT","NEW")))</f>
        <v/>
      </c>
    </row>
    <row r="283" spans="47:47" x14ac:dyDescent="0.25">
      <c r="AU283" s="8" t="str">
        <f>IF(TRIM($G283)="","",IF(COUNTIF(LISTS!$I$2:$I$16,TRIM($G283))&gt;0,"COUNTED",IF(COUNTIF(LISTS!$J$2:$J$16,TRIM($G283))&gt;0,"LEFT OUT","NEW")))</f>
        <v/>
      </c>
    </row>
    <row r="284" spans="47:47" x14ac:dyDescent="0.25">
      <c r="AU284" s="8" t="str">
        <f>IF(TRIM($G284)="","",IF(COUNTIF(LISTS!$I$2:$I$16,TRIM($G284))&gt;0,"COUNTED",IF(COUNTIF(LISTS!$J$2:$J$16,TRIM($G284))&gt;0,"LEFT OUT","NEW")))</f>
        <v/>
      </c>
    </row>
    <row r="285" spans="47:47" x14ac:dyDescent="0.25">
      <c r="AU285" s="8" t="str">
        <f>IF(TRIM($G285)="","",IF(COUNTIF(LISTS!$I$2:$I$16,TRIM($G285))&gt;0,"COUNTED",IF(COUNTIF(LISTS!$J$2:$J$16,TRIM($G285))&gt;0,"LEFT OUT","NEW")))</f>
        <v/>
      </c>
    </row>
    <row r="286" spans="47:47" x14ac:dyDescent="0.25">
      <c r="AU286" s="8" t="str">
        <f>IF(TRIM($G286)="","",IF(COUNTIF(LISTS!$I$2:$I$16,TRIM($G286))&gt;0,"COUNTED",IF(COUNTIF(LISTS!$J$2:$J$16,TRIM($G286))&gt;0,"LEFT OUT","NEW")))</f>
        <v/>
      </c>
    </row>
    <row r="287" spans="47:47" x14ac:dyDescent="0.25">
      <c r="AU287" s="8" t="str">
        <f>IF(TRIM($G287)="","",IF(COUNTIF(LISTS!$I$2:$I$16,TRIM($G287))&gt;0,"COUNTED",IF(COUNTIF(LISTS!$J$2:$J$16,TRIM($G287))&gt;0,"LEFT OUT","NEW")))</f>
        <v/>
      </c>
    </row>
    <row r="288" spans="47:47" x14ac:dyDescent="0.25">
      <c r="AU288" s="8" t="str">
        <f>IF(TRIM($G288)="","",IF(COUNTIF(LISTS!$I$2:$I$16,TRIM($G288))&gt;0,"COUNTED",IF(COUNTIF(LISTS!$J$2:$J$16,TRIM($G288))&gt;0,"LEFT OUT","NEW")))</f>
        <v/>
      </c>
    </row>
    <row r="289" spans="47:47" x14ac:dyDescent="0.25">
      <c r="AU289" s="8" t="str">
        <f>IF(TRIM($G289)="","",IF(COUNTIF(LISTS!$I$2:$I$16,TRIM($G289))&gt;0,"COUNTED",IF(COUNTIF(LISTS!$J$2:$J$16,TRIM($G289))&gt;0,"LEFT OUT","NEW")))</f>
        <v/>
      </c>
    </row>
    <row r="290" spans="47:47" x14ac:dyDescent="0.25">
      <c r="AU290" s="8" t="str">
        <f>IF(TRIM($G290)="","",IF(COUNTIF(LISTS!$I$2:$I$16,TRIM($G290))&gt;0,"COUNTED",IF(COUNTIF(LISTS!$J$2:$J$16,TRIM($G290))&gt;0,"LEFT OUT","NEW")))</f>
        <v/>
      </c>
    </row>
    <row r="291" spans="47:47" x14ac:dyDescent="0.25">
      <c r="AU291" s="8" t="str">
        <f>IF(TRIM($G291)="","",IF(COUNTIF(LISTS!$I$2:$I$16,TRIM($G291))&gt;0,"COUNTED",IF(COUNTIF(LISTS!$J$2:$J$16,TRIM($G291))&gt;0,"LEFT OUT","NEW")))</f>
        <v/>
      </c>
    </row>
    <row r="292" spans="47:47" x14ac:dyDescent="0.25">
      <c r="AU292" s="8" t="str">
        <f>IF(TRIM($G292)="","",IF(COUNTIF(LISTS!$I$2:$I$16,TRIM($G292))&gt;0,"COUNTED",IF(COUNTIF(LISTS!$J$2:$J$16,TRIM($G292))&gt;0,"LEFT OUT","NEW")))</f>
        <v/>
      </c>
    </row>
    <row r="293" spans="47:47" x14ac:dyDescent="0.25">
      <c r="AU293" s="8" t="str">
        <f>IF(TRIM($G293)="","",IF(COUNTIF(LISTS!$I$2:$I$16,TRIM($G293))&gt;0,"COUNTED",IF(COUNTIF(LISTS!$J$2:$J$16,TRIM($G293))&gt;0,"LEFT OUT","NEW")))</f>
        <v/>
      </c>
    </row>
    <row r="294" spans="47:47" x14ac:dyDescent="0.25">
      <c r="AU294" s="8" t="str">
        <f>IF(TRIM($G294)="","",IF(COUNTIF(LISTS!$I$2:$I$16,TRIM($G294))&gt;0,"COUNTED",IF(COUNTIF(LISTS!$J$2:$J$16,TRIM($G294))&gt;0,"LEFT OUT","NEW")))</f>
        <v/>
      </c>
    </row>
    <row r="295" spans="47:47" x14ac:dyDescent="0.25">
      <c r="AU295" s="8" t="str">
        <f>IF(TRIM($G295)="","",IF(COUNTIF(LISTS!$I$2:$I$16,TRIM($G295))&gt;0,"COUNTED",IF(COUNTIF(LISTS!$J$2:$J$16,TRIM($G295))&gt;0,"LEFT OUT","NEW")))</f>
        <v/>
      </c>
    </row>
    <row r="296" spans="47:47" x14ac:dyDescent="0.25">
      <c r="AU296" s="8" t="str">
        <f>IF(TRIM($G296)="","",IF(COUNTIF(LISTS!$I$2:$I$16,TRIM($G296))&gt;0,"COUNTED",IF(COUNTIF(LISTS!$J$2:$J$16,TRIM($G296))&gt;0,"LEFT OUT","NEW")))</f>
        <v/>
      </c>
    </row>
    <row r="297" spans="47:47" x14ac:dyDescent="0.25">
      <c r="AU297" s="8" t="str">
        <f>IF(TRIM($G297)="","",IF(COUNTIF(LISTS!$I$2:$I$16,TRIM($G297))&gt;0,"COUNTED",IF(COUNTIF(LISTS!$J$2:$J$16,TRIM($G297))&gt;0,"LEFT OUT","NEW")))</f>
        <v/>
      </c>
    </row>
    <row r="298" spans="47:47" x14ac:dyDescent="0.25">
      <c r="AU298" s="8" t="str">
        <f>IF(TRIM($G298)="","",IF(COUNTIF(LISTS!$I$2:$I$16,TRIM($G298))&gt;0,"COUNTED",IF(COUNTIF(LISTS!$J$2:$J$16,TRIM($G298))&gt;0,"LEFT OUT","NEW")))</f>
        <v/>
      </c>
    </row>
    <row r="299" spans="47:47" x14ac:dyDescent="0.25">
      <c r="AU299" s="8" t="str">
        <f>IF(TRIM($G299)="","",IF(COUNTIF(LISTS!$I$2:$I$16,TRIM($G299))&gt;0,"COUNTED",IF(COUNTIF(LISTS!$J$2:$J$16,TRIM($G299))&gt;0,"LEFT OUT","NEW")))</f>
        <v/>
      </c>
    </row>
    <row r="300" spans="47:47" x14ac:dyDescent="0.25">
      <c r="AU300" s="8" t="str">
        <f>IF(TRIM($G300)="","",IF(COUNTIF(LISTS!$I$2:$I$16,TRIM($G300))&gt;0,"COUNTED",IF(COUNTIF(LISTS!$J$2:$J$16,TRIM($G300))&gt;0,"LEFT OUT","NEW")))</f>
        <v/>
      </c>
    </row>
    <row r="301" spans="47:47" x14ac:dyDescent="0.25">
      <c r="AU301" s="8" t="str">
        <f>IF(TRIM($G301)="","",IF(COUNTIF(LISTS!$I$2:$I$16,TRIM($G301))&gt;0,"COUNTED",IF(COUNTIF(LISTS!$J$2:$J$16,TRIM($G301))&gt;0,"LEFT OUT","NEW")))</f>
        <v/>
      </c>
    </row>
    <row r="302" spans="47:47" x14ac:dyDescent="0.25">
      <c r="AU302" s="8" t="str">
        <f>IF(TRIM($G302)="","",IF(COUNTIF(LISTS!$I$2:$I$16,TRIM($G302))&gt;0,"COUNTED",IF(COUNTIF(LISTS!$J$2:$J$16,TRIM($G302))&gt;0,"LEFT OUT","NEW")))</f>
        <v/>
      </c>
    </row>
    <row r="303" spans="47:47" x14ac:dyDescent="0.25">
      <c r="AU303" s="8" t="str">
        <f>IF(TRIM($G303)="","",IF(COUNTIF(LISTS!$I$2:$I$16,TRIM($G303))&gt;0,"COUNTED",IF(COUNTIF(LISTS!$J$2:$J$16,TRIM($G303))&gt;0,"LEFT OUT","NEW")))</f>
        <v/>
      </c>
    </row>
    <row r="304" spans="47:47" x14ac:dyDescent="0.25">
      <c r="AU304" s="8" t="str">
        <f>IF(TRIM($G304)="","",IF(COUNTIF(LISTS!$I$2:$I$16,TRIM($G304))&gt;0,"COUNTED",IF(COUNTIF(LISTS!$J$2:$J$16,TRIM($G304))&gt;0,"LEFT OUT","NEW")))</f>
        <v/>
      </c>
    </row>
    <row r="305" spans="47:47" x14ac:dyDescent="0.25">
      <c r="AU305" s="8" t="str">
        <f>IF(TRIM($G305)="","",IF(COUNTIF(LISTS!$I$2:$I$16,TRIM($G305))&gt;0,"COUNTED",IF(COUNTIF(LISTS!$J$2:$J$16,TRIM($G305))&gt;0,"LEFT OUT","NEW")))</f>
        <v/>
      </c>
    </row>
    <row r="306" spans="47:47" x14ac:dyDescent="0.25">
      <c r="AU306" s="8" t="str">
        <f>IF(TRIM($G306)="","",IF(COUNTIF(LISTS!$I$2:$I$16,TRIM($G306))&gt;0,"COUNTED",IF(COUNTIF(LISTS!$J$2:$J$16,TRIM($G306))&gt;0,"LEFT OUT","NEW")))</f>
        <v/>
      </c>
    </row>
    <row r="307" spans="47:47" x14ac:dyDescent="0.25">
      <c r="AU307" s="8" t="str">
        <f>IF(TRIM($G307)="","",IF(COUNTIF(LISTS!$I$2:$I$16,TRIM($G307))&gt;0,"COUNTED",IF(COUNTIF(LISTS!$J$2:$J$16,TRIM($G307))&gt;0,"LEFT OUT","NEW")))</f>
        <v/>
      </c>
    </row>
    <row r="308" spans="47:47" x14ac:dyDescent="0.25">
      <c r="AU308" s="8" t="str">
        <f>IF(TRIM($G308)="","",IF(COUNTIF(LISTS!$I$2:$I$16,TRIM($G308))&gt;0,"COUNTED",IF(COUNTIF(LISTS!$J$2:$J$16,TRIM($G308))&gt;0,"LEFT OUT","NEW")))</f>
        <v/>
      </c>
    </row>
    <row r="309" spans="47:47" x14ac:dyDescent="0.25">
      <c r="AU309" s="8" t="str">
        <f>IF(TRIM($G309)="","",IF(COUNTIF(LISTS!$I$2:$I$16,TRIM($G309))&gt;0,"COUNTED",IF(COUNTIF(LISTS!$J$2:$J$16,TRIM($G309))&gt;0,"LEFT OUT","NEW")))</f>
        <v/>
      </c>
    </row>
    <row r="310" spans="47:47" x14ac:dyDescent="0.25">
      <c r="AU310" s="8" t="str">
        <f>IF(TRIM($G310)="","",IF(COUNTIF(LISTS!$I$2:$I$16,TRIM($G310))&gt;0,"COUNTED",IF(COUNTIF(LISTS!$J$2:$J$16,TRIM($G310))&gt;0,"LEFT OUT","NEW")))</f>
        <v/>
      </c>
    </row>
    <row r="311" spans="47:47" x14ac:dyDescent="0.25">
      <c r="AU311" s="8" t="str">
        <f>IF(TRIM($G311)="","",IF(COUNTIF(LISTS!$I$2:$I$16,TRIM($G311))&gt;0,"COUNTED",IF(COUNTIF(LISTS!$J$2:$J$16,TRIM($G311))&gt;0,"LEFT OUT","NEW")))</f>
        <v/>
      </c>
    </row>
    <row r="312" spans="47:47" x14ac:dyDescent="0.25">
      <c r="AU312" s="8" t="str">
        <f>IF(TRIM($G312)="","",IF(COUNTIF(LISTS!$I$2:$I$16,TRIM($G312))&gt;0,"COUNTED",IF(COUNTIF(LISTS!$J$2:$J$16,TRIM($G312))&gt;0,"LEFT OUT","NEW")))</f>
        <v/>
      </c>
    </row>
    <row r="313" spans="47:47" x14ac:dyDescent="0.25">
      <c r="AU313" s="8" t="str">
        <f>IF(TRIM($G313)="","",IF(COUNTIF(LISTS!$I$2:$I$16,TRIM($G313))&gt;0,"COUNTED",IF(COUNTIF(LISTS!$J$2:$J$16,TRIM($G313))&gt;0,"LEFT OUT","NEW")))</f>
        <v/>
      </c>
    </row>
    <row r="314" spans="47:47" x14ac:dyDescent="0.25">
      <c r="AU314" s="8" t="str">
        <f>IF(TRIM($G314)="","",IF(COUNTIF(LISTS!$I$2:$I$16,TRIM($G314))&gt;0,"COUNTED",IF(COUNTIF(LISTS!$J$2:$J$16,TRIM($G314))&gt;0,"LEFT OUT","NEW")))</f>
        <v/>
      </c>
    </row>
    <row r="315" spans="47:47" x14ac:dyDescent="0.25">
      <c r="AU315" s="8" t="str">
        <f>IF(TRIM($G315)="","",IF(COUNTIF(LISTS!$I$2:$I$16,TRIM($G315))&gt;0,"COUNTED",IF(COUNTIF(LISTS!$J$2:$J$16,TRIM($G315))&gt;0,"LEFT OUT","NEW")))</f>
        <v/>
      </c>
    </row>
    <row r="316" spans="47:47" x14ac:dyDescent="0.25">
      <c r="AU316" s="8" t="str">
        <f>IF(TRIM($G316)="","",IF(COUNTIF(LISTS!$I$2:$I$16,TRIM($G316))&gt;0,"COUNTED",IF(COUNTIF(LISTS!$J$2:$J$16,TRIM($G316))&gt;0,"LEFT OUT","NEW")))</f>
        <v/>
      </c>
    </row>
    <row r="317" spans="47:47" x14ac:dyDescent="0.25">
      <c r="AU317" s="8" t="str">
        <f>IF(TRIM($G317)="","",IF(COUNTIF(LISTS!$I$2:$I$16,TRIM($G317))&gt;0,"COUNTED",IF(COUNTIF(LISTS!$J$2:$J$16,TRIM($G317))&gt;0,"LEFT OUT","NEW")))</f>
        <v/>
      </c>
    </row>
    <row r="318" spans="47:47" x14ac:dyDescent="0.25">
      <c r="AU318" s="8" t="str">
        <f>IF(TRIM($G318)="","",IF(COUNTIF(LISTS!$I$2:$I$16,TRIM($G318))&gt;0,"COUNTED",IF(COUNTIF(LISTS!$J$2:$J$16,TRIM($G318))&gt;0,"LEFT OUT","NEW")))</f>
        <v/>
      </c>
    </row>
    <row r="319" spans="47:47" x14ac:dyDescent="0.25">
      <c r="AU319" s="8" t="str">
        <f>IF(TRIM($G319)="","",IF(COUNTIF(LISTS!$I$2:$I$16,TRIM($G319))&gt;0,"COUNTED",IF(COUNTIF(LISTS!$J$2:$J$16,TRIM($G319))&gt;0,"LEFT OUT","NEW")))</f>
        <v/>
      </c>
    </row>
    <row r="320" spans="47:47" x14ac:dyDescent="0.25">
      <c r="AU320" s="8" t="str">
        <f>IF(TRIM($G320)="","",IF(COUNTIF(LISTS!$I$2:$I$16,TRIM($G320))&gt;0,"COUNTED",IF(COUNTIF(LISTS!$J$2:$J$16,TRIM($G320))&gt;0,"LEFT OUT","NEW")))</f>
        <v/>
      </c>
    </row>
    <row r="321" spans="47:47" x14ac:dyDescent="0.25">
      <c r="AU321" s="8" t="str">
        <f>IF(TRIM($G321)="","",IF(COUNTIF(LISTS!$I$2:$I$16,TRIM($G321))&gt;0,"COUNTED",IF(COUNTIF(LISTS!$J$2:$J$16,TRIM($G321))&gt;0,"LEFT OUT","NEW")))</f>
        <v/>
      </c>
    </row>
    <row r="322" spans="47:47" x14ac:dyDescent="0.25">
      <c r="AU322" s="8" t="str">
        <f>IF(TRIM($G322)="","",IF(COUNTIF(LISTS!$I$2:$I$16,TRIM($G322))&gt;0,"COUNTED",IF(COUNTIF(LISTS!$J$2:$J$16,TRIM($G322))&gt;0,"LEFT OUT","NEW")))</f>
        <v/>
      </c>
    </row>
    <row r="323" spans="47:47" x14ac:dyDescent="0.25">
      <c r="AU323" s="8" t="str">
        <f>IF(TRIM($G323)="","",IF(COUNTIF(LISTS!$I$2:$I$16,TRIM($G323))&gt;0,"COUNTED",IF(COUNTIF(LISTS!$J$2:$J$16,TRIM($G323))&gt;0,"LEFT OUT","NEW")))</f>
        <v/>
      </c>
    </row>
    <row r="324" spans="47:47" x14ac:dyDescent="0.25">
      <c r="AU324" s="8" t="str">
        <f>IF(TRIM($G324)="","",IF(COUNTIF(LISTS!$I$2:$I$16,TRIM($G324))&gt;0,"COUNTED",IF(COUNTIF(LISTS!$J$2:$J$16,TRIM($G324))&gt;0,"LEFT OUT","NEW")))</f>
        <v/>
      </c>
    </row>
    <row r="325" spans="47:47" x14ac:dyDescent="0.25">
      <c r="AU325" s="8" t="str">
        <f>IF(TRIM($G325)="","",IF(COUNTIF(LISTS!$I$2:$I$16,TRIM($G325))&gt;0,"COUNTED",IF(COUNTIF(LISTS!$J$2:$J$16,TRIM($G325))&gt;0,"LEFT OUT","NEW")))</f>
        <v/>
      </c>
    </row>
    <row r="326" spans="47:47" x14ac:dyDescent="0.25">
      <c r="AU326" s="8" t="str">
        <f>IF(TRIM($G326)="","",IF(COUNTIF(LISTS!$I$2:$I$16,TRIM($G326))&gt;0,"COUNTED",IF(COUNTIF(LISTS!$J$2:$J$16,TRIM($G326))&gt;0,"LEFT OUT","NEW")))</f>
        <v/>
      </c>
    </row>
    <row r="327" spans="47:47" x14ac:dyDescent="0.25">
      <c r="AU327" s="8" t="str">
        <f>IF(TRIM($G327)="","",IF(COUNTIF(LISTS!$I$2:$I$16,TRIM($G327))&gt;0,"COUNTED",IF(COUNTIF(LISTS!$J$2:$J$16,TRIM($G327))&gt;0,"LEFT OUT","NEW")))</f>
        <v/>
      </c>
    </row>
    <row r="328" spans="47:47" x14ac:dyDescent="0.25">
      <c r="AU328" s="8" t="str">
        <f>IF(TRIM($G328)="","",IF(COUNTIF(LISTS!$I$2:$I$16,TRIM($G328))&gt;0,"COUNTED",IF(COUNTIF(LISTS!$J$2:$J$16,TRIM($G328))&gt;0,"LEFT OUT","NEW")))</f>
        <v/>
      </c>
    </row>
    <row r="329" spans="47:47" x14ac:dyDescent="0.25">
      <c r="AU329" s="8" t="str">
        <f>IF(TRIM($G329)="","",IF(COUNTIF(LISTS!$I$2:$I$16,TRIM($G329))&gt;0,"COUNTED",IF(COUNTIF(LISTS!$J$2:$J$16,TRIM($G329))&gt;0,"LEFT OUT","NEW")))</f>
        <v/>
      </c>
    </row>
    <row r="330" spans="47:47" x14ac:dyDescent="0.25">
      <c r="AU330" s="8" t="str">
        <f>IF(TRIM($G330)="","",IF(COUNTIF(LISTS!$I$2:$I$16,TRIM($G330))&gt;0,"COUNTED",IF(COUNTIF(LISTS!$J$2:$J$16,TRIM($G330))&gt;0,"LEFT OUT","NEW")))</f>
        <v/>
      </c>
    </row>
    <row r="331" spans="47:47" x14ac:dyDescent="0.25">
      <c r="AU331" s="8" t="str">
        <f>IF(TRIM($G331)="","",IF(COUNTIF(LISTS!$I$2:$I$16,TRIM($G331))&gt;0,"COUNTED",IF(COUNTIF(LISTS!$J$2:$J$16,TRIM($G331))&gt;0,"LEFT OUT","NEW")))</f>
        <v/>
      </c>
    </row>
    <row r="332" spans="47:47" x14ac:dyDescent="0.25">
      <c r="AU332" s="8" t="str">
        <f>IF(TRIM($G332)="","",IF(COUNTIF(LISTS!$I$2:$I$16,TRIM($G332))&gt;0,"COUNTED",IF(COUNTIF(LISTS!$J$2:$J$16,TRIM($G332))&gt;0,"LEFT OUT","NEW")))</f>
        <v/>
      </c>
    </row>
    <row r="333" spans="47:47" x14ac:dyDescent="0.25">
      <c r="AU333" s="8" t="str">
        <f>IF(TRIM($G333)="","",IF(COUNTIF(LISTS!$I$2:$I$16,TRIM($G333))&gt;0,"COUNTED",IF(COUNTIF(LISTS!$J$2:$J$16,TRIM($G333))&gt;0,"LEFT OUT","NEW")))</f>
        <v/>
      </c>
    </row>
    <row r="334" spans="47:47" x14ac:dyDescent="0.25">
      <c r="AU334" s="8" t="str">
        <f>IF(TRIM($G334)="","",IF(COUNTIF(LISTS!$I$2:$I$16,TRIM($G334))&gt;0,"COUNTED",IF(COUNTIF(LISTS!$J$2:$J$16,TRIM($G334))&gt;0,"LEFT OUT","NEW")))</f>
        <v/>
      </c>
    </row>
    <row r="335" spans="47:47" x14ac:dyDescent="0.25">
      <c r="AU335" s="8" t="str">
        <f>IF(TRIM($G335)="","",IF(COUNTIF(LISTS!$I$2:$I$16,TRIM($G335))&gt;0,"COUNTED",IF(COUNTIF(LISTS!$J$2:$J$16,TRIM($G335))&gt;0,"LEFT OUT","NEW")))</f>
        <v/>
      </c>
    </row>
    <row r="336" spans="47:47" x14ac:dyDescent="0.25">
      <c r="AU336" s="8" t="str">
        <f>IF(TRIM($G336)="","",IF(COUNTIF(LISTS!$I$2:$I$16,TRIM($G336))&gt;0,"COUNTED",IF(COUNTIF(LISTS!$J$2:$J$16,TRIM($G336))&gt;0,"LEFT OUT","NEW")))</f>
        <v/>
      </c>
    </row>
    <row r="337" spans="47:47" x14ac:dyDescent="0.25">
      <c r="AU337" s="8" t="str">
        <f>IF(TRIM($G337)="","",IF(COUNTIF(LISTS!$I$2:$I$16,TRIM($G337))&gt;0,"COUNTED",IF(COUNTIF(LISTS!$J$2:$J$16,TRIM($G337))&gt;0,"LEFT OUT","NEW")))</f>
        <v/>
      </c>
    </row>
    <row r="338" spans="47:47" x14ac:dyDescent="0.25">
      <c r="AU338" s="8" t="str">
        <f>IF(TRIM($G338)="","",IF(COUNTIF(LISTS!$I$2:$I$16,TRIM($G338))&gt;0,"COUNTED",IF(COUNTIF(LISTS!$J$2:$J$16,TRIM($G338))&gt;0,"LEFT OUT","NEW")))</f>
        <v/>
      </c>
    </row>
    <row r="339" spans="47:47" x14ac:dyDescent="0.25">
      <c r="AU339" s="8" t="str">
        <f>IF(TRIM($G339)="","",IF(COUNTIF(LISTS!$I$2:$I$16,TRIM($G339))&gt;0,"COUNTED",IF(COUNTIF(LISTS!$J$2:$J$16,TRIM($G339))&gt;0,"LEFT OUT","NEW")))</f>
        <v/>
      </c>
    </row>
    <row r="340" spans="47:47" x14ac:dyDescent="0.25">
      <c r="AU340" s="8" t="str">
        <f>IF(TRIM($G340)="","",IF(COUNTIF(LISTS!$I$2:$I$16,TRIM($G340))&gt;0,"COUNTED",IF(COUNTIF(LISTS!$J$2:$J$16,TRIM($G340))&gt;0,"LEFT OUT","NEW")))</f>
        <v/>
      </c>
    </row>
    <row r="341" spans="47:47" x14ac:dyDescent="0.25">
      <c r="AU341" s="8" t="str">
        <f>IF(TRIM($G341)="","",IF(COUNTIF(LISTS!$I$2:$I$16,TRIM($G341))&gt;0,"COUNTED",IF(COUNTIF(LISTS!$J$2:$J$16,TRIM($G341))&gt;0,"LEFT OUT","NEW")))</f>
        <v/>
      </c>
    </row>
    <row r="342" spans="47:47" x14ac:dyDescent="0.25">
      <c r="AU342" s="8" t="str">
        <f>IF(TRIM($G342)="","",IF(COUNTIF(LISTS!$I$2:$I$16,TRIM($G342))&gt;0,"COUNTED",IF(COUNTIF(LISTS!$J$2:$J$16,TRIM($G342))&gt;0,"LEFT OUT","NEW")))</f>
        <v/>
      </c>
    </row>
    <row r="343" spans="47:47" x14ac:dyDescent="0.25">
      <c r="AU343" s="8" t="str">
        <f>IF(TRIM($G343)="","",IF(COUNTIF(LISTS!$I$2:$I$16,TRIM($G343))&gt;0,"COUNTED",IF(COUNTIF(LISTS!$J$2:$J$16,TRIM($G343))&gt;0,"LEFT OUT","NEW")))</f>
        <v/>
      </c>
    </row>
    <row r="344" spans="47:47" x14ac:dyDescent="0.25">
      <c r="AU344" s="8" t="str">
        <f>IF(TRIM($G344)="","",IF(COUNTIF(LISTS!$I$2:$I$16,TRIM($G344))&gt;0,"COUNTED",IF(COUNTIF(LISTS!$J$2:$J$16,TRIM($G344))&gt;0,"LEFT OUT","NEW")))</f>
        <v/>
      </c>
    </row>
    <row r="345" spans="47:47" x14ac:dyDescent="0.25">
      <c r="AU345" s="8" t="str">
        <f>IF(TRIM($G345)="","",IF(COUNTIF(LISTS!$I$2:$I$16,TRIM($G345))&gt;0,"COUNTED",IF(COUNTIF(LISTS!$J$2:$J$16,TRIM($G345))&gt;0,"LEFT OUT","NEW")))</f>
        <v/>
      </c>
    </row>
    <row r="346" spans="47:47" x14ac:dyDescent="0.25">
      <c r="AU346" s="8" t="str">
        <f>IF(TRIM($G346)="","",IF(COUNTIF(LISTS!$I$2:$I$16,TRIM($G346))&gt;0,"COUNTED",IF(COUNTIF(LISTS!$J$2:$J$16,TRIM($G346))&gt;0,"LEFT OUT","NEW")))</f>
        <v/>
      </c>
    </row>
    <row r="347" spans="47:47" x14ac:dyDescent="0.25">
      <c r="AU347" s="8" t="str">
        <f>IF(TRIM($G347)="","",IF(COUNTIF(LISTS!$I$2:$I$16,TRIM($G347))&gt;0,"COUNTED",IF(COUNTIF(LISTS!$J$2:$J$16,TRIM($G347))&gt;0,"LEFT OUT","NEW")))</f>
        <v/>
      </c>
    </row>
    <row r="348" spans="47:47" x14ac:dyDescent="0.25">
      <c r="AU348" s="8" t="str">
        <f>IF(TRIM($G348)="","",IF(COUNTIF(LISTS!$I$2:$I$16,TRIM($G348))&gt;0,"COUNTED",IF(COUNTIF(LISTS!$J$2:$J$16,TRIM($G348))&gt;0,"LEFT OUT","NEW")))</f>
        <v/>
      </c>
    </row>
    <row r="349" spans="47:47" x14ac:dyDescent="0.25">
      <c r="AU349" s="8" t="str">
        <f>IF(TRIM($G349)="","",IF(COUNTIF(LISTS!$I$2:$I$16,TRIM($G349))&gt;0,"COUNTED",IF(COUNTIF(LISTS!$J$2:$J$16,TRIM($G349))&gt;0,"LEFT OUT","NEW")))</f>
        <v/>
      </c>
    </row>
    <row r="350" spans="47:47" x14ac:dyDescent="0.25">
      <c r="AU350" s="8" t="str">
        <f>IF(TRIM($G350)="","",IF(COUNTIF(LISTS!$I$2:$I$16,TRIM($G350))&gt;0,"COUNTED",IF(COUNTIF(LISTS!$J$2:$J$16,TRIM($G350))&gt;0,"LEFT OUT","NEW")))</f>
        <v/>
      </c>
    </row>
    <row r="351" spans="47:47" x14ac:dyDescent="0.25">
      <c r="AU351" s="8" t="str">
        <f>IF(TRIM($G351)="","",IF(COUNTIF(LISTS!$I$2:$I$16,TRIM($G351))&gt;0,"COUNTED",IF(COUNTIF(LISTS!$J$2:$J$16,TRIM($G351))&gt;0,"LEFT OUT","NEW")))</f>
        <v/>
      </c>
    </row>
    <row r="352" spans="47:47" x14ac:dyDescent="0.25">
      <c r="AU352" s="8" t="str">
        <f>IF(TRIM($G352)="","",IF(COUNTIF(LISTS!$I$2:$I$16,TRIM($G352))&gt;0,"COUNTED",IF(COUNTIF(LISTS!$J$2:$J$16,TRIM($G352))&gt;0,"LEFT OUT","NEW")))</f>
        <v/>
      </c>
    </row>
    <row r="353" spans="47:47" x14ac:dyDescent="0.25">
      <c r="AU353" s="8" t="str">
        <f>IF(TRIM($G353)="","",IF(COUNTIF(LISTS!$I$2:$I$16,TRIM($G353))&gt;0,"COUNTED",IF(COUNTIF(LISTS!$J$2:$J$16,TRIM($G353))&gt;0,"LEFT OUT","NEW")))</f>
        <v/>
      </c>
    </row>
    <row r="354" spans="47:47" x14ac:dyDescent="0.25">
      <c r="AU354" s="8" t="str">
        <f>IF(TRIM($G354)="","",IF(COUNTIF(LISTS!$I$2:$I$16,TRIM($G354))&gt;0,"COUNTED",IF(COUNTIF(LISTS!$J$2:$J$16,TRIM($G354))&gt;0,"LEFT OUT","NEW")))</f>
        <v/>
      </c>
    </row>
    <row r="355" spans="47:47" x14ac:dyDescent="0.25">
      <c r="AU355" s="8" t="str">
        <f>IF(TRIM($G355)="","",IF(COUNTIF(LISTS!$I$2:$I$16,TRIM($G355))&gt;0,"COUNTED",IF(COUNTIF(LISTS!$J$2:$J$16,TRIM($G355))&gt;0,"LEFT OUT","NEW")))</f>
        <v/>
      </c>
    </row>
    <row r="356" spans="47:47" x14ac:dyDescent="0.25">
      <c r="AU356" s="8" t="str">
        <f>IF(TRIM($G356)="","",IF(COUNTIF(LISTS!$I$2:$I$16,TRIM($G356))&gt;0,"COUNTED",IF(COUNTIF(LISTS!$J$2:$J$16,TRIM($G356))&gt;0,"LEFT OUT","NEW")))</f>
        <v/>
      </c>
    </row>
    <row r="357" spans="47:47" x14ac:dyDescent="0.25">
      <c r="AU357" s="8" t="str">
        <f>IF(TRIM($G357)="","",IF(COUNTIF(LISTS!$I$2:$I$16,TRIM($G357))&gt;0,"COUNTED",IF(COUNTIF(LISTS!$J$2:$J$16,TRIM($G357))&gt;0,"LEFT OUT","NEW")))</f>
        <v/>
      </c>
    </row>
    <row r="358" spans="47:47" x14ac:dyDescent="0.25">
      <c r="AU358" s="8" t="str">
        <f>IF(TRIM($G358)="","",IF(COUNTIF(LISTS!$I$2:$I$16,TRIM($G358))&gt;0,"COUNTED",IF(COUNTIF(LISTS!$J$2:$J$16,TRIM($G358))&gt;0,"LEFT OUT","NEW")))</f>
        <v/>
      </c>
    </row>
    <row r="359" spans="47:47" x14ac:dyDescent="0.25">
      <c r="AU359" s="8" t="str">
        <f>IF(TRIM($G359)="","",IF(COUNTIF(LISTS!$I$2:$I$16,TRIM($G359))&gt;0,"COUNTED",IF(COUNTIF(LISTS!$J$2:$J$16,TRIM($G359))&gt;0,"LEFT OUT","NEW")))</f>
        <v/>
      </c>
    </row>
    <row r="360" spans="47:47" x14ac:dyDescent="0.25">
      <c r="AU360" s="8" t="str">
        <f>IF(TRIM($G360)="","",IF(COUNTIF(LISTS!$I$2:$I$16,TRIM($G360))&gt;0,"COUNTED",IF(COUNTIF(LISTS!$J$2:$J$16,TRIM($G360))&gt;0,"LEFT OUT","NEW")))</f>
        <v/>
      </c>
    </row>
    <row r="361" spans="47:47" x14ac:dyDescent="0.25">
      <c r="AU361" s="8" t="str">
        <f>IF(TRIM($G361)="","",IF(COUNTIF(LISTS!$I$2:$I$16,TRIM($G361))&gt;0,"COUNTED",IF(COUNTIF(LISTS!$J$2:$J$16,TRIM($G361))&gt;0,"LEFT OUT","NEW")))</f>
        <v/>
      </c>
    </row>
    <row r="362" spans="47:47" x14ac:dyDescent="0.25">
      <c r="AU362" s="8" t="str">
        <f>IF(TRIM($G362)="","",IF(COUNTIF(LISTS!$I$2:$I$16,TRIM($G362))&gt;0,"COUNTED",IF(COUNTIF(LISTS!$J$2:$J$16,TRIM($G362))&gt;0,"LEFT OUT","NEW")))</f>
        <v/>
      </c>
    </row>
    <row r="363" spans="47:47" x14ac:dyDescent="0.25">
      <c r="AU363" s="8" t="str">
        <f>IF(TRIM($G363)="","",IF(COUNTIF(LISTS!$I$2:$I$16,TRIM($G363))&gt;0,"COUNTED",IF(COUNTIF(LISTS!$J$2:$J$16,TRIM($G363))&gt;0,"LEFT OUT","NEW")))</f>
        <v/>
      </c>
    </row>
    <row r="364" spans="47:47" x14ac:dyDescent="0.25">
      <c r="AU364" s="8" t="str">
        <f>IF(TRIM($G364)="","",IF(COUNTIF(LISTS!$I$2:$I$16,TRIM($G364))&gt;0,"COUNTED",IF(COUNTIF(LISTS!$J$2:$J$16,TRIM($G364))&gt;0,"LEFT OUT","NEW")))</f>
        <v/>
      </c>
    </row>
    <row r="365" spans="47:47" x14ac:dyDescent="0.25">
      <c r="AU365" s="8" t="str">
        <f>IF(TRIM($G365)="","",IF(COUNTIF(LISTS!$I$2:$I$16,TRIM($G365))&gt;0,"COUNTED",IF(COUNTIF(LISTS!$J$2:$J$16,TRIM($G365))&gt;0,"LEFT OUT","NEW")))</f>
        <v/>
      </c>
    </row>
    <row r="366" spans="47:47" x14ac:dyDescent="0.25">
      <c r="AU366" s="8" t="str">
        <f>IF(TRIM($G366)="","",IF(COUNTIF(LISTS!$I$2:$I$16,TRIM($G366))&gt;0,"COUNTED",IF(COUNTIF(LISTS!$J$2:$J$16,TRIM($G366))&gt;0,"LEFT OUT","NEW")))</f>
        <v/>
      </c>
    </row>
    <row r="367" spans="47:47" x14ac:dyDescent="0.25">
      <c r="AU367" s="8" t="str">
        <f>IF(TRIM($G367)="","",IF(COUNTIF(LISTS!$I$2:$I$16,TRIM($G367))&gt;0,"COUNTED",IF(COUNTIF(LISTS!$J$2:$J$16,TRIM($G367))&gt;0,"LEFT OUT","NEW")))</f>
        <v/>
      </c>
    </row>
    <row r="368" spans="47:47" x14ac:dyDescent="0.25">
      <c r="AU368" s="8" t="str">
        <f>IF(TRIM($G368)="","",IF(COUNTIF(LISTS!$I$2:$I$16,TRIM($G368))&gt;0,"COUNTED",IF(COUNTIF(LISTS!$J$2:$J$16,TRIM($G368))&gt;0,"LEFT OUT","NEW")))</f>
        <v/>
      </c>
    </row>
    <row r="369" spans="47:47" x14ac:dyDescent="0.25">
      <c r="AU369" s="8" t="str">
        <f>IF(TRIM($G369)="","",IF(COUNTIF(LISTS!$I$2:$I$16,TRIM($G369))&gt;0,"COUNTED",IF(COUNTIF(LISTS!$J$2:$J$16,TRIM($G369))&gt;0,"LEFT OUT","NEW")))</f>
        <v/>
      </c>
    </row>
    <row r="370" spans="47:47" x14ac:dyDescent="0.25">
      <c r="AU370" s="8" t="str">
        <f>IF(TRIM($G370)="","",IF(COUNTIF(LISTS!$I$2:$I$16,TRIM($G370))&gt;0,"COUNTED",IF(COUNTIF(LISTS!$J$2:$J$16,TRIM($G370))&gt;0,"LEFT OUT","NEW")))</f>
        <v/>
      </c>
    </row>
    <row r="371" spans="47:47" x14ac:dyDescent="0.25">
      <c r="AU371" s="8" t="str">
        <f>IF(TRIM($G371)="","",IF(COUNTIF(LISTS!$I$2:$I$16,TRIM($G371))&gt;0,"COUNTED",IF(COUNTIF(LISTS!$J$2:$J$16,TRIM($G371))&gt;0,"LEFT OUT","NEW")))</f>
        <v/>
      </c>
    </row>
    <row r="372" spans="47:47" x14ac:dyDescent="0.25">
      <c r="AU372" s="8" t="str">
        <f>IF(TRIM($G372)="","",IF(COUNTIF(LISTS!$I$2:$I$16,TRIM($G372))&gt;0,"COUNTED",IF(COUNTIF(LISTS!$J$2:$J$16,TRIM($G372))&gt;0,"LEFT OUT","NEW")))</f>
        <v/>
      </c>
    </row>
    <row r="373" spans="47:47" x14ac:dyDescent="0.25">
      <c r="AU373" s="8" t="str">
        <f>IF(TRIM($G373)="","",IF(COUNTIF(LISTS!$I$2:$I$16,TRIM($G373))&gt;0,"COUNTED",IF(COUNTIF(LISTS!$J$2:$J$16,TRIM($G373))&gt;0,"LEFT OUT","NEW")))</f>
        <v/>
      </c>
    </row>
    <row r="374" spans="47:47" x14ac:dyDescent="0.25">
      <c r="AU374" s="8" t="str">
        <f>IF(TRIM($G374)="","",IF(COUNTIF(LISTS!$I$2:$I$16,TRIM($G374))&gt;0,"COUNTED",IF(COUNTIF(LISTS!$J$2:$J$16,TRIM($G374))&gt;0,"LEFT OUT","NEW")))</f>
        <v/>
      </c>
    </row>
    <row r="375" spans="47:47" x14ac:dyDescent="0.25">
      <c r="AU375" s="8" t="str">
        <f>IF(TRIM($G375)="","",IF(COUNTIF(LISTS!$I$2:$I$16,TRIM($G375))&gt;0,"COUNTED",IF(COUNTIF(LISTS!$J$2:$J$16,TRIM($G375))&gt;0,"LEFT OUT","NEW")))</f>
        <v/>
      </c>
    </row>
    <row r="376" spans="47:47" x14ac:dyDescent="0.25">
      <c r="AU376" s="8" t="str">
        <f>IF(TRIM($G376)="","",IF(COUNTIF(LISTS!$I$2:$I$16,TRIM($G376))&gt;0,"COUNTED",IF(COUNTIF(LISTS!$J$2:$J$16,TRIM($G376))&gt;0,"LEFT OUT","NEW")))</f>
        <v/>
      </c>
    </row>
    <row r="377" spans="47:47" x14ac:dyDescent="0.25">
      <c r="AU377" s="8" t="str">
        <f>IF(TRIM($G377)="","",IF(COUNTIF(LISTS!$I$2:$I$16,TRIM($G377))&gt;0,"COUNTED",IF(COUNTIF(LISTS!$J$2:$J$16,TRIM($G377))&gt;0,"LEFT OUT","NEW")))</f>
        <v/>
      </c>
    </row>
    <row r="378" spans="47:47" x14ac:dyDescent="0.25">
      <c r="AU378" s="8" t="str">
        <f>IF(TRIM($G378)="","",IF(COUNTIF(LISTS!$I$2:$I$16,TRIM($G378))&gt;0,"COUNTED",IF(COUNTIF(LISTS!$J$2:$J$16,TRIM($G378))&gt;0,"LEFT OUT","NEW")))</f>
        <v/>
      </c>
    </row>
    <row r="379" spans="47:47" x14ac:dyDescent="0.25">
      <c r="AU379" s="8" t="str">
        <f>IF(TRIM($G379)="","",IF(COUNTIF(LISTS!$I$2:$I$16,TRIM($G379))&gt;0,"COUNTED",IF(COUNTIF(LISTS!$J$2:$J$16,TRIM($G379))&gt;0,"LEFT OUT","NEW")))</f>
        <v/>
      </c>
    </row>
    <row r="380" spans="47:47" x14ac:dyDescent="0.25">
      <c r="AU380" s="8" t="str">
        <f>IF(TRIM($G380)="","",IF(COUNTIF(LISTS!$I$2:$I$16,TRIM($G380))&gt;0,"COUNTED",IF(COUNTIF(LISTS!$J$2:$J$16,TRIM($G380))&gt;0,"LEFT OUT","NEW")))</f>
        <v/>
      </c>
    </row>
    <row r="381" spans="47:47" x14ac:dyDescent="0.25">
      <c r="AU381" s="8" t="str">
        <f>IF(TRIM($G381)="","",IF(COUNTIF(LISTS!$I$2:$I$16,TRIM($G381))&gt;0,"COUNTED",IF(COUNTIF(LISTS!$J$2:$J$16,TRIM($G381))&gt;0,"LEFT OUT","NEW")))</f>
        <v/>
      </c>
    </row>
    <row r="382" spans="47:47" x14ac:dyDescent="0.25">
      <c r="AU382" s="8" t="str">
        <f>IF(TRIM($G382)="","",IF(COUNTIF(LISTS!$I$2:$I$16,TRIM($G382))&gt;0,"COUNTED",IF(COUNTIF(LISTS!$J$2:$J$16,TRIM($G382))&gt;0,"LEFT OUT","NEW")))</f>
        <v/>
      </c>
    </row>
    <row r="383" spans="47:47" x14ac:dyDescent="0.25">
      <c r="AU383" s="8" t="str">
        <f>IF(TRIM($G383)="","",IF(COUNTIF(LISTS!$I$2:$I$16,TRIM($G383))&gt;0,"COUNTED",IF(COUNTIF(LISTS!$J$2:$J$16,TRIM($G383))&gt;0,"LEFT OUT","NEW")))</f>
        <v/>
      </c>
    </row>
    <row r="384" spans="47:47" x14ac:dyDescent="0.25">
      <c r="AU384" s="8" t="str">
        <f>IF(TRIM($G384)="","",IF(COUNTIF(LISTS!$I$2:$I$16,TRIM($G384))&gt;0,"COUNTED",IF(COUNTIF(LISTS!$J$2:$J$16,TRIM($G384))&gt;0,"LEFT OUT","NEW")))</f>
        <v/>
      </c>
    </row>
    <row r="385" spans="47:47" x14ac:dyDescent="0.25">
      <c r="AU385" s="8" t="str">
        <f>IF(TRIM($G385)="","",IF(COUNTIF(LISTS!$I$2:$I$16,TRIM($G385))&gt;0,"COUNTED",IF(COUNTIF(LISTS!$J$2:$J$16,TRIM($G385))&gt;0,"LEFT OUT","NEW")))</f>
        <v/>
      </c>
    </row>
    <row r="386" spans="47:47" x14ac:dyDescent="0.25">
      <c r="AU386" s="8" t="str">
        <f>IF(TRIM($G386)="","",IF(COUNTIF(LISTS!$I$2:$I$16,TRIM($G386))&gt;0,"COUNTED",IF(COUNTIF(LISTS!$J$2:$J$16,TRIM($G386))&gt;0,"LEFT OUT","NEW")))</f>
        <v/>
      </c>
    </row>
    <row r="387" spans="47:47" x14ac:dyDescent="0.25">
      <c r="AU387" s="8" t="str">
        <f>IF(TRIM($G387)="","",IF(COUNTIF(LISTS!$I$2:$I$16,TRIM($G387))&gt;0,"COUNTED",IF(COUNTIF(LISTS!$J$2:$J$16,TRIM($G387))&gt;0,"LEFT OUT","NEW")))</f>
        <v/>
      </c>
    </row>
    <row r="388" spans="47:47" x14ac:dyDescent="0.25">
      <c r="AU388" s="8" t="str">
        <f>IF(TRIM($G388)="","",IF(COUNTIF(LISTS!$I$2:$I$16,TRIM($G388))&gt;0,"COUNTED",IF(COUNTIF(LISTS!$J$2:$J$16,TRIM($G388))&gt;0,"LEFT OUT","NEW")))</f>
        <v/>
      </c>
    </row>
    <row r="389" spans="47:47" x14ac:dyDescent="0.25">
      <c r="AU389" s="8" t="str">
        <f>IF(TRIM($G389)="","",IF(COUNTIF(LISTS!$I$2:$I$16,TRIM($G389))&gt;0,"COUNTED",IF(COUNTIF(LISTS!$J$2:$J$16,TRIM($G389))&gt;0,"LEFT OUT","NEW")))</f>
        <v/>
      </c>
    </row>
    <row r="390" spans="47:47" x14ac:dyDescent="0.25">
      <c r="AU390" s="8" t="str">
        <f>IF(TRIM($G390)="","",IF(COUNTIF(LISTS!$I$2:$I$16,TRIM($G390))&gt;0,"COUNTED",IF(COUNTIF(LISTS!$J$2:$J$16,TRIM($G390))&gt;0,"LEFT OUT","NEW")))</f>
        <v/>
      </c>
    </row>
    <row r="391" spans="47:47" x14ac:dyDescent="0.25">
      <c r="AU391" s="8" t="str">
        <f>IF(TRIM($G391)="","",IF(COUNTIF(LISTS!$I$2:$I$16,TRIM($G391))&gt;0,"COUNTED",IF(COUNTIF(LISTS!$J$2:$J$16,TRIM($G391))&gt;0,"LEFT OUT","NEW")))</f>
        <v/>
      </c>
    </row>
    <row r="392" spans="47:47" x14ac:dyDescent="0.25">
      <c r="AU392" s="8" t="str">
        <f>IF(TRIM($G392)="","",IF(COUNTIF(LISTS!$I$2:$I$16,TRIM($G392))&gt;0,"COUNTED",IF(COUNTIF(LISTS!$J$2:$J$16,TRIM($G392))&gt;0,"LEFT OUT","NEW")))</f>
        <v/>
      </c>
    </row>
    <row r="393" spans="47:47" x14ac:dyDescent="0.25">
      <c r="AU393" s="8" t="str">
        <f>IF(TRIM($G393)="","",IF(COUNTIF(LISTS!$I$2:$I$16,TRIM($G393))&gt;0,"COUNTED",IF(COUNTIF(LISTS!$J$2:$J$16,TRIM($G393))&gt;0,"LEFT OUT","NEW")))</f>
        <v/>
      </c>
    </row>
    <row r="394" spans="47:47" x14ac:dyDescent="0.25">
      <c r="AU394" s="8" t="str">
        <f>IF(TRIM($G394)="","",IF(COUNTIF(LISTS!$I$2:$I$16,TRIM($G394))&gt;0,"COUNTED",IF(COUNTIF(LISTS!$J$2:$J$16,TRIM($G394))&gt;0,"LEFT OUT","NEW")))</f>
        <v/>
      </c>
    </row>
    <row r="395" spans="47:47" x14ac:dyDescent="0.25">
      <c r="AU395" s="8" t="str">
        <f>IF(TRIM($G395)="","",IF(COUNTIF(LISTS!$I$2:$I$16,TRIM($G395))&gt;0,"COUNTED",IF(COUNTIF(LISTS!$J$2:$J$16,TRIM($G395))&gt;0,"LEFT OUT","NEW")))</f>
        <v/>
      </c>
    </row>
    <row r="396" spans="47:47" x14ac:dyDescent="0.25">
      <c r="AU396" s="8" t="str">
        <f>IF(TRIM($G396)="","",IF(COUNTIF(LISTS!$I$2:$I$16,TRIM($G396))&gt;0,"COUNTED",IF(COUNTIF(LISTS!$J$2:$J$16,TRIM($G396))&gt;0,"LEFT OUT","NEW")))</f>
        <v/>
      </c>
    </row>
    <row r="397" spans="47:47" x14ac:dyDescent="0.25">
      <c r="AU397" s="8" t="str">
        <f>IF(TRIM($G397)="","",IF(COUNTIF(LISTS!$I$2:$I$16,TRIM($G397))&gt;0,"COUNTED",IF(COUNTIF(LISTS!$J$2:$J$16,TRIM($G397))&gt;0,"LEFT OUT","NEW")))</f>
        <v/>
      </c>
    </row>
    <row r="398" spans="47:47" x14ac:dyDescent="0.25">
      <c r="AU398" s="8" t="str">
        <f>IF(TRIM($G398)="","",IF(COUNTIF(LISTS!$I$2:$I$16,TRIM($G398))&gt;0,"COUNTED",IF(COUNTIF(LISTS!$J$2:$J$16,TRIM($G398))&gt;0,"LEFT OUT","NEW")))</f>
        <v/>
      </c>
    </row>
    <row r="399" spans="47:47" x14ac:dyDescent="0.25">
      <c r="AU399" s="8" t="str">
        <f>IF(TRIM($G399)="","",IF(COUNTIF(LISTS!$I$2:$I$16,TRIM($G399))&gt;0,"COUNTED",IF(COUNTIF(LISTS!$J$2:$J$16,TRIM($G399))&gt;0,"LEFT OUT","NEW")))</f>
        <v/>
      </c>
    </row>
    <row r="400" spans="47:47" x14ac:dyDescent="0.25">
      <c r="AU400" s="8" t="str">
        <f>IF(TRIM($G400)="","",IF(COUNTIF(LISTS!$I$2:$I$16,TRIM($G400))&gt;0,"COUNTED",IF(COUNTIF(LISTS!$J$2:$J$16,TRIM($G400))&gt;0,"LEFT OUT","NEW")))</f>
        <v/>
      </c>
    </row>
    <row r="401" spans="47:47" x14ac:dyDescent="0.25">
      <c r="AU401" s="8" t="str">
        <f>IF(TRIM($G401)="","",IF(COUNTIF(LISTS!$I$2:$I$16,TRIM($G401))&gt;0,"COUNTED",IF(COUNTIF(LISTS!$J$2:$J$16,TRIM($G401))&gt;0,"LEFT OUT","NEW")))</f>
        <v/>
      </c>
    </row>
    <row r="402" spans="47:47" x14ac:dyDescent="0.25">
      <c r="AU402" s="8" t="str">
        <f>IF(TRIM($G402)="","",IF(COUNTIF(LISTS!$I$2:$I$16,TRIM($G402))&gt;0,"COUNTED",IF(COUNTIF(LISTS!$J$2:$J$16,TRIM($G402))&gt;0,"LEFT OUT","NEW")))</f>
        <v/>
      </c>
    </row>
    <row r="403" spans="47:47" x14ac:dyDescent="0.25">
      <c r="AU403" s="8" t="str">
        <f>IF(TRIM($G403)="","",IF(COUNTIF(LISTS!$I$2:$I$16,TRIM($G403))&gt;0,"COUNTED",IF(COUNTIF(LISTS!$J$2:$J$16,TRIM($G403))&gt;0,"LEFT OUT","NEW")))</f>
        <v/>
      </c>
    </row>
    <row r="404" spans="47:47" x14ac:dyDescent="0.25">
      <c r="AU404" s="8" t="str">
        <f>IF(TRIM($G404)="","",IF(COUNTIF(LISTS!$I$2:$I$16,TRIM($G404))&gt;0,"COUNTED",IF(COUNTIF(LISTS!$J$2:$J$16,TRIM($G404))&gt;0,"LEFT OUT","NEW")))</f>
        <v/>
      </c>
    </row>
    <row r="405" spans="47:47" x14ac:dyDescent="0.25">
      <c r="AU405" s="8" t="str">
        <f>IF(TRIM($G405)="","",IF(COUNTIF(LISTS!$I$2:$I$16,TRIM($G405))&gt;0,"COUNTED",IF(COUNTIF(LISTS!$J$2:$J$16,TRIM($G405))&gt;0,"LEFT OUT","NEW")))</f>
        <v/>
      </c>
    </row>
    <row r="406" spans="47:47" x14ac:dyDescent="0.25">
      <c r="AU406" s="8" t="str">
        <f>IF(TRIM($G406)="","",IF(COUNTIF(LISTS!$I$2:$I$16,TRIM($G406))&gt;0,"COUNTED",IF(COUNTIF(LISTS!$J$2:$J$16,TRIM($G406))&gt;0,"LEFT OUT","NEW")))</f>
        <v/>
      </c>
    </row>
    <row r="407" spans="47:47" x14ac:dyDescent="0.25">
      <c r="AU407" s="8" t="str">
        <f>IF(TRIM($G407)="","",IF(COUNTIF(LISTS!$I$2:$I$16,TRIM($G407))&gt;0,"COUNTED",IF(COUNTIF(LISTS!$J$2:$J$16,TRIM($G407))&gt;0,"LEFT OUT","NEW")))</f>
        <v/>
      </c>
    </row>
    <row r="408" spans="47:47" x14ac:dyDescent="0.25">
      <c r="AU408" s="8" t="str">
        <f>IF(TRIM($G408)="","",IF(COUNTIF(LISTS!$I$2:$I$16,TRIM($G408))&gt;0,"COUNTED",IF(COUNTIF(LISTS!$J$2:$J$16,TRIM($G408))&gt;0,"LEFT OUT","NEW")))</f>
        <v/>
      </c>
    </row>
    <row r="409" spans="47:47" x14ac:dyDescent="0.25">
      <c r="AU409" s="8" t="str">
        <f>IF(TRIM($G409)="","",IF(COUNTIF(LISTS!$I$2:$I$16,TRIM($G409))&gt;0,"COUNTED",IF(COUNTIF(LISTS!$J$2:$J$16,TRIM($G409))&gt;0,"LEFT OUT","NEW")))</f>
        <v/>
      </c>
    </row>
    <row r="410" spans="47:47" x14ac:dyDescent="0.25">
      <c r="AU410" s="8" t="str">
        <f>IF(TRIM($G410)="","",IF(COUNTIF(LISTS!$I$2:$I$16,TRIM($G410))&gt;0,"COUNTED",IF(COUNTIF(LISTS!$J$2:$J$16,TRIM($G410))&gt;0,"LEFT OUT","NEW")))</f>
        <v/>
      </c>
    </row>
    <row r="411" spans="47:47" x14ac:dyDescent="0.25">
      <c r="AU411" s="8" t="str">
        <f>IF(TRIM($G411)="","",IF(COUNTIF(LISTS!$I$2:$I$16,TRIM($G411))&gt;0,"COUNTED",IF(COUNTIF(LISTS!$J$2:$J$16,TRIM($G411))&gt;0,"LEFT OUT","NEW")))</f>
        <v/>
      </c>
    </row>
    <row r="412" spans="47:47" x14ac:dyDescent="0.25">
      <c r="AU412" s="8" t="str">
        <f>IF(TRIM($G412)="","",IF(COUNTIF(LISTS!$I$2:$I$16,TRIM($G412))&gt;0,"COUNTED",IF(COUNTIF(LISTS!$J$2:$J$16,TRIM($G412))&gt;0,"LEFT OUT","NEW")))</f>
        <v/>
      </c>
    </row>
    <row r="413" spans="47:47" x14ac:dyDescent="0.25">
      <c r="AU413" s="8" t="str">
        <f>IF(TRIM($G413)="","",IF(COUNTIF(LISTS!$I$2:$I$16,TRIM($G413))&gt;0,"COUNTED",IF(COUNTIF(LISTS!$J$2:$J$16,TRIM($G413))&gt;0,"LEFT OUT","NEW")))</f>
        <v/>
      </c>
    </row>
    <row r="414" spans="47:47" x14ac:dyDescent="0.25">
      <c r="AU414" s="8" t="str">
        <f>IF(TRIM($G414)="","",IF(COUNTIF(LISTS!$I$2:$I$16,TRIM($G414))&gt;0,"COUNTED",IF(COUNTIF(LISTS!$J$2:$J$16,TRIM($G414))&gt;0,"LEFT OUT","NEW")))</f>
        <v/>
      </c>
    </row>
    <row r="415" spans="47:47" x14ac:dyDescent="0.25">
      <c r="AU415" s="8" t="str">
        <f>IF(TRIM($G415)="","",IF(COUNTIF(LISTS!$I$2:$I$16,TRIM($G415))&gt;0,"COUNTED",IF(COUNTIF(LISTS!$J$2:$J$16,TRIM($G415))&gt;0,"LEFT OUT","NEW")))</f>
        <v/>
      </c>
    </row>
    <row r="416" spans="47:47" x14ac:dyDescent="0.25">
      <c r="AU416" s="8" t="str">
        <f>IF(TRIM($G416)="","",IF(COUNTIF(LISTS!$I$2:$I$16,TRIM($G416))&gt;0,"COUNTED",IF(COUNTIF(LISTS!$J$2:$J$16,TRIM($G416))&gt;0,"LEFT OUT","NEW")))</f>
        <v/>
      </c>
    </row>
    <row r="417" spans="47:47" x14ac:dyDescent="0.25">
      <c r="AU417" s="8" t="str">
        <f>IF(TRIM($G417)="","",IF(COUNTIF(LISTS!$I$2:$I$16,TRIM($G417))&gt;0,"COUNTED",IF(COUNTIF(LISTS!$J$2:$J$16,TRIM($G417))&gt;0,"LEFT OUT","NEW")))</f>
        <v/>
      </c>
    </row>
    <row r="418" spans="47:47" x14ac:dyDescent="0.25">
      <c r="AU418" s="8" t="str">
        <f>IF(TRIM($G418)="","",IF(COUNTIF(LISTS!$I$2:$I$16,TRIM($G418))&gt;0,"COUNTED",IF(COUNTIF(LISTS!$J$2:$J$16,TRIM($G418))&gt;0,"LEFT OUT","NEW")))</f>
        <v/>
      </c>
    </row>
    <row r="419" spans="47:47" x14ac:dyDescent="0.25">
      <c r="AU419" s="8" t="str">
        <f>IF(TRIM($G419)="","",IF(COUNTIF(LISTS!$I$2:$I$16,TRIM($G419))&gt;0,"COUNTED",IF(COUNTIF(LISTS!$J$2:$J$16,TRIM($G419))&gt;0,"LEFT OUT","NEW")))</f>
        <v/>
      </c>
    </row>
    <row r="420" spans="47:47" x14ac:dyDescent="0.25">
      <c r="AU420" s="8" t="str">
        <f>IF(TRIM($G420)="","",IF(COUNTIF(LISTS!$I$2:$I$16,TRIM($G420))&gt;0,"COUNTED",IF(COUNTIF(LISTS!$J$2:$J$16,TRIM($G420))&gt;0,"LEFT OUT","NEW")))</f>
        <v/>
      </c>
    </row>
    <row r="421" spans="47:47" x14ac:dyDescent="0.25">
      <c r="AU421" s="8" t="str">
        <f>IF(TRIM($G421)="","",IF(COUNTIF(LISTS!$I$2:$I$16,TRIM($G421))&gt;0,"COUNTED",IF(COUNTIF(LISTS!$J$2:$J$16,TRIM($G421))&gt;0,"LEFT OUT","NEW")))</f>
        <v/>
      </c>
    </row>
    <row r="422" spans="47:47" x14ac:dyDescent="0.25">
      <c r="AU422" s="8" t="str">
        <f>IF(TRIM($G422)="","",IF(COUNTIF(LISTS!$I$2:$I$16,TRIM($G422))&gt;0,"COUNTED",IF(COUNTIF(LISTS!$J$2:$J$16,TRIM($G422))&gt;0,"LEFT OUT","NEW")))</f>
        <v/>
      </c>
    </row>
    <row r="423" spans="47:47" x14ac:dyDescent="0.25">
      <c r="AU423" s="8" t="str">
        <f>IF(TRIM($G423)="","",IF(COUNTIF(LISTS!$I$2:$I$16,TRIM($G423))&gt;0,"COUNTED",IF(COUNTIF(LISTS!$J$2:$J$16,TRIM($G423))&gt;0,"LEFT OUT","NEW")))</f>
        <v/>
      </c>
    </row>
    <row r="424" spans="47:47" x14ac:dyDescent="0.25">
      <c r="AU424" s="8" t="str">
        <f>IF(TRIM($G424)="","",IF(COUNTIF(LISTS!$I$2:$I$16,TRIM($G424))&gt;0,"COUNTED",IF(COUNTIF(LISTS!$J$2:$J$16,TRIM($G424))&gt;0,"LEFT OUT","NEW")))</f>
        <v/>
      </c>
    </row>
    <row r="425" spans="47:47" x14ac:dyDescent="0.25">
      <c r="AU425" s="8" t="str">
        <f>IF(TRIM($G425)="","",IF(COUNTIF(LISTS!$I$2:$I$16,TRIM($G425))&gt;0,"COUNTED",IF(COUNTIF(LISTS!$J$2:$J$16,TRIM($G425))&gt;0,"LEFT OUT","NEW")))</f>
        <v/>
      </c>
    </row>
    <row r="426" spans="47:47" x14ac:dyDescent="0.25">
      <c r="AU426" s="8" t="str">
        <f>IF(TRIM($G426)="","",IF(COUNTIF(LISTS!$I$2:$I$16,TRIM($G426))&gt;0,"COUNTED",IF(COUNTIF(LISTS!$J$2:$J$16,TRIM($G426))&gt;0,"LEFT OUT","NEW")))</f>
        <v/>
      </c>
    </row>
    <row r="427" spans="47:47" x14ac:dyDescent="0.25">
      <c r="AU427" s="8" t="str">
        <f>IF(TRIM($G427)="","",IF(COUNTIF(LISTS!$I$2:$I$16,TRIM($G427))&gt;0,"COUNTED",IF(COUNTIF(LISTS!$J$2:$J$16,TRIM($G427))&gt;0,"LEFT OUT","NEW")))</f>
        <v/>
      </c>
    </row>
    <row r="428" spans="47:47" x14ac:dyDescent="0.25">
      <c r="AU428" s="8" t="str">
        <f>IF(TRIM($G428)="","",IF(COUNTIF(LISTS!$I$2:$I$16,TRIM($G428))&gt;0,"COUNTED",IF(COUNTIF(LISTS!$J$2:$J$16,TRIM($G428))&gt;0,"LEFT OUT","NEW")))</f>
        <v/>
      </c>
    </row>
    <row r="429" spans="47:47" x14ac:dyDescent="0.25">
      <c r="AU429" s="8" t="str">
        <f>IF(TRIM($G429)="","",IF(COUNTIF(LISTS!$I$2:$I$16,TRIM($G429))&gt;0,"COUNTED",IF(COUNTIF(LISTS!$J$2:$J$16,TRIM($G429))&gt;0,"LEFT OUT","NEW")))</f>
        <v/>
      </c>
    </row>
    <row r="430" spans="47:47" x14ac:dyDescent="0.25">
      <c r="AU430" s="8" t="str">
        <f>IF(TRIM($G430)="","",IF(COUNTIF(LISTS!$I$2:$I$16,TRIM($G430))&gt;0,"COUNTED",IF(COUNTIF(LISTS!$J$2:$J$16,TRIM($G430))&gt;0,"LEFT OUT","NEW")))</f>
        <v/>
      </c>
    </row>
    <row r="431" spans="47:47" x14ac:dyDescent="0.25">
      <c r="AU431" s="8" t="str">
        <f>IF(TRIM($G431)="","",IF(COUNTIF(LISTS!$I$2:$I$16,TRIM($G431))&gt;0,"COUNTED",IF(COUNTIF(LISTS!$J$2:$J$16,TRIM($G431))&gt;0,"LEFT OUT","NEW")))</f>
        <v/>
      </c>
    </row>
    <row r="432" spans="47:47" x14ac:dyDescent="0.25">
      <c r="AU432" s="8" t="str">
        <f>IF(TRIM($G432)="","",IF(COUNTIF(LISTS!$I$2:$I$16,TRIM($G432))&gt;0,"COUNTED",IF(COUNTIF(LISTS!$J$2:$J$16,TRIM($G432))&gt;0,"LEFT OUT","NEW")))</f>
        <v/>
      </c>
    </row>
    <row r="433" spans="47:47" x14ac:dyDescent="0.25">
      <c r="AU433" s="8" t="str">
        <f>IF(TRIM($G433)="","",IF(COUNTIF(LISTS!$I$2:$I$16,TRIM($G433))&gt;0,"COUNTED",IF(COUNTIF(LISTS!$J$2:$J$16,TRIM($G433))&gt;0,"LEFT OUT","NEW")))</f>
        <v/>
      </c>
    </row>
    <row r="434" spans="47:47" x14ac:dyDescent="0.25">
      <c r="AU434" s="8" t="str">
        <f>IF(TRIM($G434)="","",IF(COUNTIF(LISTS!$I$2:$I$16,TRIM($G434))&gt;0,"COUNTED",IF(COUNTIF(LISTS!$J$2:$J$16,TRIM($G434))&gt;0,"LEFT OUT","NEW")))</f>
        <v/>
      </c>
    </row>
    <row r="435" spans="47:47" x14ac:dyDescent="0.25">
      <c r="AU435" s="8" t="str">
        <f>IF(TRIM($G435)="","",IF(COUNTIF(LISTS!$I$2:$I$16,TRIM($G435))&gt;0,"COUNTED",IF(COUNTIF(LISTS!$J$2:$J$16,TRIM($G435))&gt;0,"LEFT OUT","NEW")))</f>
        <v/>
      </c>
    </row>
    <row r="436" spans="47:47" x14ac:dyDescent="0.25">
      <c r="AU436" s="8" t="str">
        <f>IF(TRIM($G436)="","",IF(COUNTIF(LISTS!$I$2:$I$16,TRIM($G436))&gt;0,"COUNTED",IF(COUNTIF(LISTS!$J$2:$J$16,TRIM($G436))&gt;0,"LEFT OUT","NEW")))</f>
        <v/>
      </c>
    </row>
    <row r="437" spans="47:47" x14ac:dyDescent="0.25">
      <c r="AU437" s="8" t="str">
        <f>IF(TRIM($G437)="","",IF(COUNTIF(LISTS!$I$2:$I$16,TRIM($G437))&gt;0,"COUNTED",IF(COUNTIF(LISTS!$J$2:$J$16,TRIM($G437))&gt;0,"LEFT OUT","NEW")))</f>
        <v/>
      </c>
    </row>
    <row r="438" spans="47:47" x14ac:dyDescent="0.25">
      <c r="AU438" s="8" t="str">
        <f>IF(TRIM($G438)="","",IF(COUNTIF(LISTS!$I$2:$I$16,TRIM($G438))&gt;0,"COUNTED",IF(COUNTIF(LISTS!$J$2:$J$16,TRIM($G438))&gt;0,"LEFT OUT","NEW")))</f>
        <v/>
      </c>
    </row>
    <row r="439" spans="47:47" x14ac:dyDescent="0.25">
      <c r="AU439" s="8" t="str">
        <f>IF(TRIM($G439)="","",IF(COUNTIF(LISTS!$I$2:$I$16,TRIM($G439))&gt;0,"COUNTED",IF(COUNTIF(LISTS!$J$2:$J$16,TRIM($G439))&gt;0,"LEFT OUT","NEW")))</f>
        <v/>
      </c>
    </row>
    <row r="440" spans="47:47" x14ac:dyDescent="0.25">
      <c r="AU440" s="8" t="str">
        <f>IF(TRIM($G440)="","",IF(COUNTIF(LISTS!$I$2:$I$16,TRIM($G440))&gt;0,"COUNTED",IF(COUNTIF(LISTS!$J$2:$J$16,TRIM($G440))&gt;0,"LEFT OUT","NEW")))</f>
        <v/>
      </c>
    </row>
    <row r="441" spans="47:47" x14ac:dyDescent="0.25">
      <c r="AU441" s="8" t="str">
        <f>IF(TRIM($G441)="","",IF(COUNTIF(LISTS!$I$2:$I$16,TRIM($G441))&gt;0,"COUNTED",IF(COUNTIF(LISTS!$J$2:$J$16,TRIM($G441))&gt;0,"LEFT OUT","NEW")))</f>
        <v/>
      </c>
    </row>
    <row r="442" spans="47:47" x14ac:dyDescent="0.25">
      <c r="AU442" s="8" t="str">
        <f>IF(TRIM($G442)="","",IF(COUNTIF(LISTS!$I$2:$I$16,TRIM($G442))&gt;0,"COUNTED",IF(COUNTIF(LISTS!$J$2:$J$16,TRIM($G442))&gt;0,"LEFT OUT","NEW")))</f>
        <v/>
      </c>
    </row>
    <row r="443" spans="47:47" x14ac:dyDescent="0.25">
      <c r="AU443" s="8" t="str">
        <f>IF(TRIM($G443)="","",IF(COUNTIF(LISTS!$I$2:$I$16,TRIM($G443))&gt;0,"COUNTED",IF(COUNTIF(LISTS!$J$2:$J$16,TRIM($G443))&gt;0,"LEFT OUT","NEW")))</f>
        <v/>
      </c>
    </row>
    <row r="444" spans="47:47" x14ac:dyDescent="0.25">
      <c r="AU444" s="8" t="str">
        <f>IF(TRIM($G444)="","",IF(COUNTIF(LISTS!$I$2:$I$16,TRIM($G444))&gt;0,"COUNTED",IF(COUNTIF(LISTS!$J$2:$J$16,TRIM($G444))&gt;0,"LEFT OUT","NEW")))</f>
        <v/>
      </c>
    </row>
    <row r="445" spans="47:47" x14ac:dyDescent="0.25">
      <c r="AU445" s="8" t="str">
        <f>IF(TRIM($G445)="","",IF(COUNTIF(LISTS!$I$2:$I$16,TRIM($G445))&gt;0,"COUNTED",IF(COUNTIF(LISTS!$J$2:$J$16,TRIM($G445))&gt;0,"LEFT OUT","NEW")))</f>
        <v/>
      </c>
    </row>
    <row r="446" spans="47:47" x14ac:dyDescent="0.25">
      <c r="AU446" s="8" t="str">
        <f>IF(TRIM($G446)="","",IF(COUNTIF(LISTS!$I$2:$I$16,TRIM($G446))&gt;0,"COUNTED",IF(COUNTIF(LISTS!$J$2:$J$16,TRIM($G446))&gt;0,"LEFT OUT","NEW")))</f>
        <v/>
      </c>
    </row>
    <row r="447" spans="47:47" x14ac:dyDescent="0.25">
      <c r="AU447" s="8" t="str">
        <f>IF(TRIM($G447)="","",IF(COUNTIF(LISTS!$I$2:$I$16,TRIM($G447))&gt;0,"COUNTED",IF(COUNTIF(LISTS!$J$2:$J$16,TRIM($G447))&gt;0,"LEFT OUT","NEW")))</f>
        <v/>
      </c>
    </row>
    <row r="448" spans="47:47" x14ac:dyDescent="0.25">
      <c r="AU448" s="8" t="str">
        <f>IF(TRIM($G448)="","",IF(COUNTIF(LISTS!$I$2:$I$16,TRIM($G448))&gt;0,"COUNTED",IF(COUNTIF(LISTS!$J$2:$J$16,TRIM($G448))&gt;0,"LEFT OUT","NEW")))</f>
        <v/>
      </c>
    </row>
    <row r="449" spans="47:47" x14ac:dyDescent="0.25">
      <c r="AU449" s="8" t="str">
        <f>IF(TRIM($G449)="","",IF(COUNTIF(LISTS!$I$2:$I$16,TRIM($G449))&gt;0,"COUNTED",IF(COUNTIF(LISTS!$J$2:$J$16,TRIM($G449))&gt;0,"LEFT OUT","NEW")))</f>
        <v/>
      </c>
    </row>
    <row r="450" spans="47:47" x14ac:dyDescent="0.25">
      <c r="AU450" s="8" t="str">
        <f>IF(TRIM($G450)="","",IF(COUNTIF(LISTS!$I$2:$I$16,TRIM($G450))&gt;0,"COUNTED",IF(COUNTIF(LISTS!$J$2:$J$16,TRIM($G450))&gt;0,"LEFT OUT","NEW")))</f>
        <v/>
      </c>
    </row>
    <row r="451" spans="47:47" x14ac:dyDescent="0.25">
      <c r="AU451" s="8" t="str">
        <f>IF(TRIM($G451)="","",IF(COUNTIF(LISTS!$I$2:$I$16,TRIM($G451))&gt;0,"COUNTED",IF(COUNTIF(LISTS!$J$2:$J$16,TRIM($G451))&gt;0,"LEFT OUT","NEW")))</f>
        <v/>
      </c>
    </row>
    <row r="452" spans="47:47" x14ac:dyDescent="0.25">
      <c r="AU452" s="8" t="str">
        <f>IF(TRIM($G452)="","",IF(COUNTIF(LISTS!$I$2:$I$16,TRIM($G452))&gt;0,"COUNTED",IF(COUNTIF(LISTS!$J$2:$J$16,TRIM($G452))&gt;0,"LEFT OUT","NEW")))</f>
        <v/>
      </c>
    </row>
    <row r="453" spans="47:47" x14ac:dyDescent="0.25">
      <c r="AU453" s="8" t="str">
        <f>IF(TRIM($G453)="","",IF(COUNTIF(LISTS!$I$2:$I$16,TRIM($G453))&gt;0,"COUNTED",IF(COUNTIF(LISTS!$J$2:$J$16,TRIM($G453))&gt;0,"LEFT OUT","NEW")))</f>
        <v/>
      </c>
    </row>
    <row r="454" spans="47:47" x14ac:dyDescent="0.25">
      <c r="AU454" s="8" t="str">
        <f>IF(TRIM($G454)="","",IF(COUNTIF(LISTS!$I$2:$I$16,TRIM($G454))&gt;0,"COUNTED",IF(COUNTIF(LISTS!$J$2:$J$16,TRIM($G454))&gt;0,"LEFT OUT","NEW")))</f>
        <v/>
      </c>
    </row>
    <row r="455" spans="47:47" x14ac:dyDescent="0.25">
      <c r="AU455" s="8" t="str">
        <f>IF(TRIM($G455)="","",IF(COUNTIF(LISTS!$I$2:$I$16,TRIM($G455))&gt;0,"COUNTED",IF(COUNTIF(LISTS!$J$2:$J$16,TRIM($G455))&gt;0,"LEFT OUT","NEW")))</f>
        <v/>
      </c>
    </row>
    <row r="456" spans="47:47" x14ac:dyDescent="0.25">
      <c r="AU456" s="8" t="str">
        <f>IF(TRIM($G456)="","",IF(COUNTIF(LISTS!$I$2:$I$16,TRIM($G456))&gt;0,"COUNTED",IF(COUNTIF(LISTS!$J$2:$J$16,TRIM($G456))&gt;0,"LEFT OUT","NEW")))</f>
        <v/>
      </c>
    </row>
    <row r="457" spans="47:47" x14ac:dyDescent="0.25">
      <c r="AU457" s="8" t="str">
        <f>IF(TRIM($G457)="","",IF(COUNTIF(LISTS!$I$2:$I$16,TRIM($G457))&gt;0,"COUNTED",IF(COUNTIF(LISTS!$J$2:$J$16,TRIM($G457))&gt;0,"LEFT OUT","NEW")))</f>
        <v/>
      </c>
    </row>
    <row r="458" spans="47:47" x14ac:dyDescent="0.25">
      <c r="AU458" s="8" t="str">
        <f>IF(TRIM($G458)="","",IF(COUNTIF(LISTS!$I$2:$I$16,TRIM($G458))&gt;0,"COUNTED",IF(COUNTIF(LISTS!$J$2:$J$16,TRIM($G458))&gt;0,"LEFT OUT","NEW")))</f>
        <v/>
      </c>
    </row>
    <row r="459" spans="47:47" x14ac:dyDescent="0.25">
      <c r="AU459" s="8" t="str">
        <f>IF(TRIM($G459)="","",IF(COUNTIF(LISTS!$I$2:$I$16,TRIM($G459))&gt;0,"COUNTED",IF(COUNTIF(LISTS!$J$2:$J$16,TRIM($G459))&gt;0,"LEFT OUT","NEW")))</f>
        <v/>
      </c>
    </row>
    <row r="460" spans="47:47" x14ac:dyDescent="0.25">
      <c r="AU460" s="8" t="str">
        <f>IF(TRIM($G460)="","",IF(COUNTIF(LISTS!$I$2:$I$16,TRIM($G460))&gt;0,"COUNTED",IF(COUNTIF(LISTS!$J$2:$J$16,TRIM($G460))&gt;0,"LEFT OUT","NEW")))</f>
        <v/>
      </c>
    </row>
    <row r="461" spans="47:47" x14ac:dyDescent="0.25">
      <c r="AU461" s="8" t="str">
        <f>IF(TRIM($G461)="","",IF(COUNTIF(LISTS!$I$2:$I$16,TRIM($G461))&gt;0,"COUNTED",IF(COUNTIF(LISTS!$J$2:$J$16,TRIM($G461))&gt;0,"LEFT OUT","NEW")))</f>
        <v/>
      </c>
    </row>
    <row r="462" spans="47:47" x14ac:dyDescent="0.25">
      <c r="AU462" s="8" t="str">
        <f>IF(TRIM($G462)="","",IF(COUNTIF(LISTS!$I$2:$I$16,TRIM($G462))&gt;0,"COUNTED",IF(COUNTIF(LISTS!$J$2:$J$16,TRIM($G462))&gt;0,"LEFT OUT","NEW")))</f>
        <v/>
      </c>
    </row>
    <row r="463" spans="47:47" x14ac:dyDescent="0.25">
      <c r="AU463" s="8" t="str">
        <f>IF(TRIM($G463)="","",IF(COUNTIF(LISTS!$I$2:$I$16,TRIM($G463))&gt;0,"COUNTED",IF(COUNTIF(LISTS!$J$2:$J$16,TRIM($G463))&gt;0,"LEFT OUT","NEW")))</f>
        <v/>
      </c>
    </row>
    <row r="464" spans="47:47" x14ac:dyDescent="0.25">
      <c r="AU464" s="8" t="str">
        <f>IF(TRIM($G464)="","",IF(COUNTIF(LISTS!$I$2:$I$16,TRIM($G464))&gt;0,"COUNTED",IF(COUNTIF(LISTS!$J$2:$J$16,TRIM($G464))&gt;0,"LEFT OUT","NEW")))</f>
        <v/>
      </c>
    </row>
    <row r="465" spans="47:47" x14ac:dyDescent="0.25">
      <c r="AU465" s="8" t="str">
        <f>IF(TRIM($G465)="","",IF(COUNTIF(LISTS!$I$2:$I$16,TRIM($G465))&gt;0,"COUNTED",IF(COUNTIF(LISTS!$J$2:$J$16,TRIM($G465))&gt;0,"LEFT OUT","NEW")))</f>
        <v/>
      </c>
    </row>
    <row r="466" spans="47:47" x14ac:dyDescent="0.25">
      <c r="AU466" s="8" t="str">
        <f>IF(TRIM($G466)="","",IF(COUNTIF(LISTS!$I$2:$I$16,TRIM($G466))&gt;0,"COUNTED",IF(COUNTIF(LISTS!$J$2:$J$16,TRIM($G466))&gt;0,"LEFT OUT","NEW")))</f>
        <v/>
      </c>
    </row>
    <row r="467" spans="47:47" x14ac:dyDescent="0.25">
      <c r="AU467" s="8" t="str">
        <f>IF(TRIM($G467)="","",IF(COUNTIF(LISTS!$I$2:$I$16,TRIM($G467))&gt;0,"COUNTED",IF(COUNTIF(LISTS!$J$2:$J$16,TRIM($G467))&gt;0,"LEFT OUT","NEW")))</f>
        <v/>
      </c>
    </row>
    <row r="468" spans="47:47" x14ac:dyDescent="0.25">
      <c r="AU468" s="8" t="str">
        <f>IF(TRIM($G468)="","",IF(COUNTIF(LISTS!$I$2:$I$16,TRIM($G468))&gt;0,"COUNTED",IF(COUNTIF(LISTS!$J$2:$J$16,TRIM($G468))&gt;0,"LEFT OUT","NEW")))</f>
        <v/>
      </c>
    </row>
    <row r="469" spans="47:47" x14ac:dyDescent="0.25">
      <c r="AU469" s="8" t="str">
        <f>IF(TRIM($G469)="","",IF(COUNTIF(LISTS!$I$2:$I$16,TRIM($G469))&gt;0,"COUNTED",IF(COUNTIF(LISTS!$J$2:$J$16,TRIM($G469))&gt;0,"LEFT OUT","NEW")))</f>
        <v/>
      </c>
    </row>
    <row r="470" spans="47:47" x14ac:dyDescent="0.25">
      <c r="AU470" s="8" t="str">
        <f>IF(TRIM($G470)="","",IF(COUNTIF(LISTS!$I$2:$I$16,TRIM($G470))&gt;0,"COUNTED",IF(COUNTIF(LISTS!$J$2:$J$16,TRIM($G470))&gt;0,"LEFT OUT","NEW")))</f>
        <v/>
      </c>
    </row>
    <row r="471" spans="47:47" x14ac:dyDescent="0.25">
      <c r="AU471" s="8" t="str">
        <f>IF(TRIM($G471)="","",IF(COUNTIF(LISTS!$I$2:$I$16,TRIM($G471))&gt;0,"COUNTED",IF(COUNTIF(LISTS!$J$2:$J$16,TRIM($G471))&gt;0,"LEFT OUT","NEW")))</f>
        <v/>
      </c>
    </row>
    <row r="472" spans="47:47" x14ac:dyDescent="0.25">
      <c r="AU472" s="8" t="str">
        <f>IF(TRIM($G472)="","",IF(COUNTIF(LISTS!$I$2:$I$16,TRIM($G472))&gt;0,"COUNTED",IF(COUNTIF(LISTS!$J$2:$J$16,TRIM($G472))&gt;0,"LEFT OUT","NEW")))</f>
        <v/>
      </c>
    </row>
    <row r="473" spans="47:47" x14ac:dyDescent="0.25">
      <c r="AU473" s="8" t="str">
        <f>IF(TRIM($G473)="","",IF(COUNTIF(LISTS!$I$2:$I$16,TRIM($G473))&gt;0,"COUNTED",IF(COUNTIF(LISTS!$J$2:$J$16,TRIM($G473))&gt;0,"LEFT OUT","NEW")))</f>
        <v/>
      </c>
    </row>
    <row r="474" spans="47:47" x14ac:dyDescent="0.25">
      <c r="AU474" s="8" t="str">
        <f>IF(TRIM($G474)="","",IF(COUNTIF(LISTS!$I$2:$I$16,TRIM($G474))&gt;0,"COUNTED",IF(COUNTIF(LISTS!$J$2:$J$16,TRIM($G474))&gt;0,"LEFT OUT","NEW")))</f>
        <v/>
      </c>
    </row>
    <row r="475" spans="47:47" x14ac:dyDescent="0.25">
      <c r="AU475" s="8" t="str">
        <f>IF(TRIM($G475)="","",IF(COUNTIF(LISTS!$I$2:$I$16,TRIM($G475))&gt;0,"COUNTED",IF(COUNTIF(LISTS!$J$2:$J$16,TRIM($G475))&gt;0,"LEFT OUT","NEW")))</f>
        <v/>
      </c>
    </row>
    <row r="476" spans="47:47" x14ac:dyDescent="0.25">
      <c r="AU476" s="8" t="str">
        <f>IF(TRIM($G476)="","",IF(COUNTIF(LISTS!$I$2:$I$16,TRIM($G476))&gt;0,"COUNTED",IF(COUNTIF(LISTS!$J$2:$J$16,TRIM($G476))&gt;0,"LEFT OUT","NEW")))</f>
        <v/>
      </c>
    </row>
    <row r="477" spans="47:47" x14ac:dyDescent="0.25">
      <c r="AU477" s="8" t="str">
        <f>IF(TRIM($G477)="","",IF(COUNTIF(LISTS!$I$2:$I$16,TRIM($G477))&gt;0,"COUNTED",IF(COUNTIF(LISTS!$J$2:$J$16,TRIM($G477))&gt;0,"LEFT OUT","NEW")))</f>
        <v/>
      </c>
    </row>
    <row r="478" spans="47:47" x14ac:dyDescent="0.25">
      <c r="AU478" s="8" t="str">
        <f>IF(TRIM($G478)="","",IF(COUNTIF(LISTS!$I$2:$I$16,TRIM($G478))&gt;0,"COUNTED",IF(COUNTIF(LISTS!$J$2:$J$16,TRIM($G478))&gt;0,"LEFT OUT","NEW")))</f>
        <v/>
      </c>
    </row>
    <row r="479" spans="47:47" x14ac:dyDescent="0.25">
      <c r="AU479" s="8" t="str">
        <f>IF(TRIM($G479)="","",IF(COUNTIF(LISTS!$I$2:$I$16,TRIM($G479))&gt;0,"COUNTED",IF(COUNTIF(LISTS!$J$2:$J$16,TRIM($G479))&gt;0,"LEFT OUT","NEW")))</f>
        <v/>
      </c>
    </row>
    <row r="480" spans="47:47" x14ac:dyDescent="0.25">
      <c r="AU480" s="8" t="str">
        <f>IF(TRIM($G480)="","",IF(COUNTIF(LISTS!$I$2:$I$16,TRIM($G480))&gt;0,"COUNTED",IF(COUNTIF(LISTS!$J$2:$J$16,TRIM($G480))&gt;0,"LEFT OUT","NEW")))</f>
        <v/>
      </c>
    </row>
    <row r="481" spans="47:47" x14ac:dyDescent="0.25">
      <c r="AU481" s="8" t="str">
        <f>IF(TRIM($G481)="","",IF(COUNTIF(LISTS!$I$2:$I$16,TRIM($G481))&gt;0,"COUNTED",IF(COUNTIF(LISTS!$J$2:$J$16,TRIM($G481))&gt;0,"LEFT OUT","NEW")))</f>
        <v/>
      </c>
    </row>
    <row r="482" spans="47:47" x14ac:dyDescent="0.25">
      <c r="AU482" s="8" t="str">
        <f>IF(TRIM($G482)="","",IF(COUNTIF(LISTS!$I$2:$I$16,TRIM($G482))&gt;0,"COUNTED",IF(COUNTIF(LISTS!$J$2:$J$16,TRIM($G482))&gt;0,"LEFT OUT","NEW")))</f>
        <v/>
      </c>
    </row>
    <row r="483" spans="47:47" x14ac:dyDescent="0.25">
      <c r="AU483" s="8" t="str">
        <f>IF(TRIM($G483)="","",IF(COUNTIF(LISTS!$I$2:$I$16,TRIM($G483))&gt;0,"COUNTED",IF(COUNTIF(LISTS!$J$2:$J$16,TRIM($G483))&gt;0,"LEFT OUT","NEW")))</f>
        <v/>
      </c>
    </row>
    <row r="484" spans="47:47" x14ac:dyDescent="0.25">
      <c r="AU484" s="8" t="str">
        <f>IF(TRIM($G484)="","",IF(COUNTIF(LISTS!$I$2:$I$16,TRIM($G484))&gt;0,"COUNTED",IF(COUNTIF(LISTS!$J$2:$J$16,TRIM($G484))&gt;0,"LEFT OUT","NEW")))</f>
        <v/>
      </c>
    </row>
    <row r="485" spans="47:47" x14ac:dyDescent="0.25">
      <c r="AU485" s="8" t="str">
        <f>IF(TRIM($G485)="","",IF(COUNTIF(LISTS!$I$2:$I$16,TRIM($G485))&gt;0,"COUNTED",IF(COUNTIF(LISTS!$J$2:$J$16,TRIM($G485))&gt;0,"LEFT OUT","NEW")))</f>
        <v/>
      </c>
    </row>
    <row r="486" spans="47:47" x14ac:dyDescent="0.25">
      <c r="AU486" s="8" t="str">
        <f>IF(TRIM($G486)="","",IF(COUNTIF(LISTS!$I$2:$I$16,TRIM($G486))&gt;0,"COUNTED",IF(COUNTIF(LISTS!$J$2:$J$16,TRIM($G486))&gt;0,"LEFT OUT","NEW")))</f>
        <v/>
      </c>
    </row>
    <row r="487" spans="47:47" x14ac:dyDescent="0.25">
      <c r="AU487" s="8" t="str">
        <f>IF(TRIM($G487)="","",IF(COUNTIF(LISTS!$I$2:$I$16,TRIM($G487))&gt;0,"COUNTED",IF(COUNTIF(LISTS!$J$2:$J$16,TRIM($G487))&gt;0,"LEFT OUT","NEW")))</f>
        <v/>
      </c>
    </row>
    <row r="488" spans="47:47" x14ac:dyDescent="0.25">
      <c r="AU488" s="8" t="str">
        <f>IF(TRIM($G488)="","",IF(COUNTIF(LISTS!$I$2:$I$16,TRIM($G488))&gt;0,"COUNTED",IF(COUNTIF(LISTS!$J$2:$J$16,TRIM($G488))&gt;0,"LEFT OUT","NEW")))</f>
        <v/>
      </c>
    </row>
    <row r="489" spans="47:47" x14ac:dyDescent="0.25">
      <c r="AU489" s="8" t="str">
        <f>IF(TRIM($G489)="","",IF(COUNTIF(LISTS!$I$2:$I$16,TRIM($G489))&gt;0,"COUNTED",IF(COUNTIF(LISTS!$J$2:$J$16,TRIM($G489))&gt;0,"LEFT OUT","NEW")))</f>
        <v/>
      </c>
    </row>
    <row r="490" spans="47:47" x14ac:dyDescent="0.25">
      <c r="AU490" s="8" t="str">
        <f>IF(TRIM($G490)="","",IF(COUNTIF(LISTS!$I$2:$I$16,TRIM($G490))&gt;0,"COUNTED",IF(COUNTIF(LISTS!$J$2:$J$16,TRIM($G490))&gt;0,"LEFT OUT","NEW")))</f>
        <v/>
      </c>
    </row>
    <row r="491" spans="47:47" x14ac:dyDescent="0.25">
      <c r="AU491" s="8" t="str">
        <f>IF(TRIM($G491)="","",IF(COUNTIF(LISTS!$I$2:$I$16,TRIM($G491))&gt;0,"COUNTED",IF(COUNTIF(LISTS!$J$2:$J$16,TRIM($G491))&gt;0,"LEFT OUT","NEW")))</f>
        <v/>
      </c>
    </row>
    <row r="492" spans="47:47" x14ac:dyDescent="0.25">
      <c r="AU492" s="8" t="str">
        <f>IF(TRIM($G492)="","",IF(COUNTIF(LISTS!$I$2:$I$16,TRIM($G492))&gt;0,"COUNTED",IF(COUNTIF(LISTS!$J$2:$J$16,TRIM($G492))&gt;0,"LEFT OUT","NEW")))</f>
        <v/>
      </c>
    </row>
    <row r="493" spans="47:47" x14ac:dyDescent="0.25">
      <c r="AU493" s="8" t="str">
        <f>IF(TRIM($G493)="","",IF(COUNTIF(LISTS!$I$2:$I$16,TRIM($G493))&gt;0,"COUNTED",IF(COUNTIF(LISTS!$J$2:$J$16,TRIM($G493))&gt;0,"LEFT OUT","NEW")))</f>
        <v/>
      </c>
    </row>
    <row r="494" spans="47:47" x14ac:dyDescent="0.25">
      <c r="AU494" s="8" t="str">
        <f>IF(TRIM($G494)="","",IF(COUNTIF(LISTS!$I$2:$I$16,TRIM($G494))&gt;0,"COUNTED",IF(COUNTIF(LISTS!$J$2:$J$16,TRIM($G494))&gt;0,"LEFT OUT","NEW")))</f>
        <v/>
      </c>
    </row>
    <row r="495" spans="47:47" x14ac:dyDescent="0.25">
      <c r="AU495" s="8" t="str">
        <f>IF(TRIM($G495)="","",IF(COUNTIF(LISTS!$I$2:$I$16,TRIM($G495))&gt;0,"COUNTED",IF(COUNTIF(LISTS!$J$2:$J$16,TRIM($G495))&gt;0,"LEFT OUT","NEW")))</f>
        <v/>
      </c>
    </row>
    <row r="496" spans="47:47" x14ac:dyDescent="0.25">
      <c r="AU496" s="8" t="str">
        <f>IF(TRIM($G496)="","",IF(COUNTIF(LISTS!$I$2:$I$16,TRIM($G496))&gt;0,"COUNTED",IF(COUNTIF(LISTS!$J$2:$J$16,TRIM($G496))&gt;0,"LEFT OUT","NEW")))</f>
        <v/>
      </c>
    </row>
    <row r="497" spans="47:47" x14ac:dyDescent="0.25">
      <c r="AU497" s="8" t="str">
        <f>IF(TRIM($G497)="","",IF(COUNTIF(LISTS!$I$2:$I$16,TRIM($G497))&gt;0,"COUNTED",IF(COUNTIF(LISTS!$J$2:$J$16,TRIM($G497))&gt;0,"LEFT OUT","NEW")))</f>
        <v/>
      </c>
    </row>
    <row r="498" spans="47:47" x14ac:dyDescent="0.25">
      <c r="AU498" s="8" t="str">
        <f>IF(TRIM($G498)="","",IF(COUNTIF(LISTS!$I$2:$I$16,TRIM($G498))&gt;0,"COUNTED",IF(COUNTIF(LISTS!$J$2:$J$16,TRIM($G498))&gt;0,"LEFT OUT","NEW")))</f>
        <v/>
      </c>
    </row>
    <row r="499" spans="47:47" x14ac:dyDescent="0.25">
      <c r="AU499" s="8" t="str">
        <f>IF(TRIM($G499)="","",IF(COUNTIF(LISTS!$I$2:$I$16,TRIM($G499))&gt;0,"COUNTED",IF(COUNTIF(LISTS!$J$2:$J$16,TRIM($G499))&gt;0,"LEFT OUT","NEW")))</f>
        <v/>
      </c>
    </row>
    <row r="500" spans="47:47" x14ac:dyDescent="0.25">
      <c r="AU500" s="8" t="str">
        <f>IF(TRIM($G500)="","",IF(COUNTIF(LISTS!$I$2:$I$16,TRIM($G500))&gt;0,"COUNTED",IF(COUNTIF(LISTS!$J$2:$J$16,TRIM($G500))&gt;0,"LEFT OUT","NEW")))</f>
        <v/>
      </c>
    </row>
    <row r="501" spans="47:47" x14ac:dyDescent="0.25">
      <c r="AU501" s="8" t="str">
        <f>IF(TRIM($G501)="","",IF(COUNTIF(LISTS!$I$2:$I$16,TRIM($G501))&gt;0,"COUNTED",IF(COUNTIF(LISTS!$J$2:$J$16,TRIM($G501))&gt;0,"LEFT OUT","NEW")))</f>
        <v/>
      </c>
    </row>
    <row r="502" spans="47:47" x14ac:dyDescent="0.25">
      <c r="AU502" s="8" t="str">
        <f>IF(TRIM($G502)="","",IF(COUNTIF(LISTS!$I$2:$I$16,TRIM($G502))&gt;0,"COUNTED",IF(COUNTIF(LISTS!$J$2:$J$16,TRIM($G502))&gt;0,"LEFT OUT","NEW")))</f>
        <v/>
      </c>
    </row>
    <row r="503" spans="47:47" x14ac:dyDescent="0.25">
      <c r="AU503" s="8" t="str">
        <f>IF(TRIM($G503)="","",IF(COUNTIF(LISTS!$I$2:$I$16,TRIM($G503))&gt;0,"COUNTED",IF(COUNTIF(LISTS!$J$2:$J$16,TRIM($G503))&gt;0,"LEFT OUT","NEW")))</f>
        <v/>
      </c>
    </row>
    <row r="504" spans="47:47" x14ac:dyDescent="0.25">
      <c r="AU504" s="8" t="str">
        <f>IF(TRIM($G504)="","",IF(COUNTIF(LISTS!$I$2:$I$16,TRIM($G504))&gt;0,"COUNTED",IF(COUNTIF(LISTS!$J$2:$J$16,TRIM($G504))&gt;0,"LEFT OUT","NEW")))</f>
        <v/>
      </c>
    </row>
    <row r="505" spans="47:47" x14ac:dyDescent="0.25">
      <c r="AU505" s="8" t="str">
        <f>IF(TRIM($G505)="","",IF(COUNTIF(LISTS!$I$2:$I$16,TRIM($G505))&gt;0,"COUNTED",IF(COUNTIF(LISTS!$J$2:$J$16,TRIM($G505))&gt;0,"LEFT OUT","NEW")))</f>
        <v/>
      </c>
    </row>
    <row r="506" spans="47:47" x14ac:dyDescent="0.25">
      <c r="AU506" s="8" t="str">
        <f>IF(TRIM($G506)="","",IF(COUNTIF(LISTS!$I$2:$I$16,TRIM($G506))&gt;0,"COUNTED",IF(COUNTIF(LISTS!$J$2:$J$16,TRIM($G506))&gt;0,"LEFT OUT","NEW")))</f>
        <v/>
      </c>
    </row>
    <row r="507" spans="47:47" x14ac:dyDescent="0.25">
      <c r="AU507" s="8" t="str">
        <f>IF(TRIM($G507)="","",IF(COUNTIF(LISTS!$I$2:$I$16,TRIM($G507))&gt;0,"COUNTED",IF(COUNTIF(LISTS!$J$2:$J$16,TRIM($G507))&gt;0,"LEFT OUT","NEW")))</f>
        <v/>
      </c>
    </row>
    <row r="508" spans="47:47" x14ac:dyDescent="0.25">
      <c r="AU508" s="8" t="str">
        <f>IF(TRIM($G508)="","",IF(COUNTIF(LISTS!$I$2:$I$16,TRIM($G508))&gt;0,"COUNTED",IF(COUNTIF(LISTS!$J$2:$J$16,TRIM($G508))&gt;0,"LEFT OUT","NEW")))</f>
        <v/>
      </c>
    </row>
    <row r="509" spans="47:47" x14ac:dyDescent="0.25">
      <c r="AU509" s="8" t="str">
        <f>IF(TRIM($G509)="","",IF(COUNTIF(LISTS!$I$2:$I$16,TRIM($G509))&gt;0,"COUNTED",IF(COUNTIF(LISTS!$J$2:$J$16,TRIM($G509))&gt;0,"LEFT OUT","NEW")))</f>
        <v/>
      </c>
    </row>
    <row r="510" spans="47:47" x14ac:dyDescent="0.25">
      <c r="AU510" s="8" t="str">
        <f>IF(TRIM($G510)="","",IF(COUNTIF(LISTS!$I$2:$I$16,TRIM($G510))&gt;0,"COUNTED",IF(COUNTIF(LISTS!$J$2:$J$16,TRIM($G510))&gt;0,"LEFT OUT","NEW")))</f>
        <v/>
      </c>
    </row>
    <row r="511" spans="47:47" x14ac:dyDescent="0.25">
      <c r="AU511" s="8" t="str">
        <f>IF(TRIM($G511)="","",IF(COUNTIF(LISTS!$I$2:$I$16,TRIM($G511))&gt;0,"COUNTED",IF(COUNTIF(LISTS!$J$2:$J$16,TRIM($G511))&gt;0,"LEFT OUT","NEW")))</f>
        <v/>
      </c>
    </row>
    <row r="512" spans="47:47" x14ac:dyDescent="0.25">
      <c r="AU512" s="8" t="str">
        <f>IF(TRIM($G512)="","",IF(COUNTIF(LISTS!$I$2:$I$16,TRIM($G512))&gt;0,"COUNTED",IF(COUNTIF(LISTS!$J$2:$J$16,TRIM($G512))&gt;0,"LEFT OUT","NEW")))</f>
        <v/>
      </c>
    </row>
    <row r="513" spans="47:47" x14ac:dyDescent="0.25">
      <c r="AU513" s="8" t="str">
        <f>IF(TRIM($G513)="","",IF(COUNTIF(LISTS!$I$2:$I$16,TRIM($G513))&gt;0,"COUNTED",IF(COUNTIF(LISTS!$J$2:$J$16,TRIM($G513))&gt;0,"LEFT OUT","NEW")))</f>
        <v/>
      </c>
    </row>
    <row r="514" spans="47:47" x14ac:dyDescent="0.25">
      <c r="AU514" s="8" t="str">
        <f>IF(TRIM($G514)="","",IF(COUNTIF(LISTS!$I$2:$I$16,TRIM($G514))&gt;0,"COUNTED",IF(COUNTIF(LISTS!$J$2:$J$16,TRIM($G514))&gt;0,"LEFT OUT","NEW")))</f>
        <v/>
      </c>
    </row>
    <row r="515" spans="47:47" x14ac:dyDescent="0.25">
      <c r="AU515" s="8" t="str">
        <f>IF(TRIM($G515)="","",IF(COUNTIF(LISTS!$I$2:$I$16,TRIM($G515))&gt;0,"COUNTED",IF(COUNTIF(LISTS!$J$2:$J$16,TRIM($G515))&gt;0,"LEFT OUT","NEW")))</f>
        <v/>
      </c>
    </row>
    <row r="516" spans="47:47" x14ac:dyDescent="0.25">
      <c r="AU516" s="8" t="str">
        <f>IF(TRIM($G516)="","",IF(COUNTIF(LISTS!$I$2:$I$16,TRIM($G516))&gt;0,"COUNTED",IF(COUNTIF(LISTS!$J$2:$J$16,TRIM($G516))&gt;0,"LEFT OUT","NEW")))</f>
        <v/>
      </c>
    </row>
    <row r="517" spans="47:47" x14ac:dyDescent="0.25">
      <c r="AU517" s="8" t="str">
        <f>IF(TRIM($G517)="","",IF(COUNTIF(LISTS!$I$2:$I$16,TRIM($G517))&gt;0,"COUNTED",IF(COUNTIF(LISTS!$J$2:$J$16,TRIM($G517))&gt;0,"LEFT OUT","NEW")))</f>
        <v/>
      </c>
    </row>
    <row r="518" spans="47:47" x14ac:dyDescent="0.25">
      <c r="AU518" s="8" t="str">
        <f>IF(TRIM($G518)="","",IF(COUNTIF(LISTS!$I$2:$I$16,TRIM($G518))&gt;0,"COUNTED",IF(COUNTIF(LISTS!$J$2:$J$16,TRIM($G518))&gt;0,"LEFT OUT","NEW")))</f>
        <v/>
      </c>
    </row>
    <row r="519" spans="47:47" x14ac:dyDescent="0.25">
      <c r="AU519" s="8" t="str">
        <f>IF(TRIM($G519)="","",IF(COUNTIF(LISTS!$I$2:$I$16,TRIM($G519))&gt;0,"COUNTED",IF(COUNTIF(LISTS!$J$2:$J$16,TRIM($G519))&gt;0,"LEFT OUT","NEW")))</f>
        <v/>
      </c>
    </row>
    <row r="520" spans="47:47" x14ac:dyDescent="0.25">
      <c r="AU520" s="8" t="str">
        <f>IF(TRIM($G520)="","",IF(COUNTIF(LISTS!$I$2:$I$16,TRIM($G520))&gt;0,"COUNTED",IF(COUNTIF(LISTS!$J$2:$J$16,TRIM($G520))&gt;0,"LEFT OUT","NEW")))</f>
        <v/>
      </c>
    </row>
    <row r="521" spans="47:47" x14ac:dyDescent="0.25">
      <c r="AU521" s="8" t="str">
        <f>IF(TRIM($G521)="","",IF(COUNTIF(LISTS!$I$2:$I$16,TRIM($G521))&gt;0,"COUNTED",IF(COUNTIF(LISTS!$J$2:$J$16,TRIM($G521))&gt;0,"LEFT OUT","NEW")))</f>
        <v/>
      </c>
    </row>
    <row r="522" spans="47:47" x14ac:dyDescent="0.25">
      <c r="AU522" s="8" t="str">
        <f>IF(TRIM($G522)="","",IF(COUNTIF(LISTS!$I$2:$I$16,TRIM($G522))&gt;0,"COUNTED",IF(COUNTIF(LISTS!$J$2:$J$16,TRIM($G522))&gt;0,"LEFT OUT","NEW")))</f>
        <v/>
      </c>
    </row>
    <row r="523" spans="47:47" x14ac:dyDescent="0.25">
      <c r="AU523" s="8" t="str">
        <f>IF(TRIM($G523)="","",IF(COUNTIF(LISTS!$I$2:$I$16,TRIM($G523))&gt;0,"COUNTED",IF(COUNTIF(LISTS!$J$2:$J$16,TRIM($G523))&gt;0,"LEFT OUT","NEW")))</f>
        <v/>
      </c>
    </row>
    <row r="524" spans="47:47" x14ac:dyDescent="0.25">
      <c r="AU524" s="8" t="str">
        <f>IF(TRIM($G524)="","",IF(COUNTIF(LISTS!$I$2:$I$16,TRIM($G524))&gt;0,"COUNTED",IF(COUNTIF(LISTS!$J$2:$J$16,TRIM($G524))&gt;0,"LEFT OUT","NEW")))</f>
        <v/>
      </c>
    </row>
    <row r="525" spans="47:47" x14ac:dyDescent="0.25">
      <c r="AU525" s="8" t="str">
        <f>IF(TRIM($G525)="","",IF(COUNTIF(LISTS!$I$2:$I$16,TRIM($G525))&gt;0,"COUNTED",IF(COUNTIF(LISTS!$J$2:$J$16,TRIM($G525))&gt;0,"LEFT OUT","NEW")))</f>
        <v/>
      </c>
    </row>
    <row r="526" spans="47:47" x14ac:dyDescent="0.25">
      <c r="AU526" s="8" t="str">
        <f>IF(TRIM($G526)="","",IF(COUNTIF(LISTS!$I$2:$I$16,TRIM($G526))&gt;0,"COUNTED",IF(COUNTIF(LISTS!$J$2:$J$16,TRIM($G526))&gt;0,"LEFT OUT","NEW")))</f>
        <v/>
      </c>
    </row>
    <row r="527" spans="47:47" x14ac:dyDescent="0.25">
      <c r="AU527" s="8" t="str">
        <f>IF(TRIM($G527)="","",IF(COUNTIF(LISTS!$I$2:$I$16,TRIM($G527))&gt;0,"COUNTED",IF(COUNTIF(LISTS!$J$2:$J$16,TRIM($G527))&gt;0,"LEFT OUT","NEW")))</f>
        <v/>
      </c>
    </row>
    <row r="528" spans="47:47" x14ac:dyDescent="0.25">
      <c r="AU528" s="8" t="str">
        <f>IF(TRIM($G528)="","",IF(COUNTIF(LISTS!$I$2:$I$16,TRIM($G528))&gt;0,"COUNTED",IF(COUNTIF(LISTS!$J$2:$J$16,TRIM($G528))&gt;0,"LEFT OUT","NEW")))</f>
        <v/>
      </c>
    </row>
    <row r="529" spans="47:47" x14ac:dyDescent="0.25">
      <c r="AU529" s="8" t="str">
        <f>IF(TRIM($G529)="","",IF(COUNTIF(LISTS!$I$2:$I$16,TRIM($G529))&gt;0,"COUNTED",IF(COUNTIF(LISTS!$J$2:$J$16,TRIM($G529))&gt;0,"LEFT OUT","NEW")))</f>
        <v/>
      </c>
    </row>
    <row r="530" spans="47:47" x14ac:dyDescent="0.25">
      <c r="AU530" s="8" t="str">
        <f>IF(TRIM($G530)="","",IF(COUNTIF(LISTS!$I$2:$I$16,TRIM($G530))&gt;0,"COUNTED",IF(COUNTIF(LISTS!$J$2:$J$16,TRIM($G530))&gt;0,"LEFT OUT","NEW")))</f>
        <v/>
      </c>
    </row>
    <row r="531" spans="47:47" x14ac:dyDescent="0.25">
      <c r="AU531" s="8" t="str">
        <f>IF(TRIM($G531)="","",IF(COUNTIF(LISTS!$I$2:$I$16,TRIM($G531))&gt;0,"COUNTED",IF(COUNTIF(LISTS!$J$2:$J$16,TRIM($G531))&gt;0,"LEFT OUT","NEW")))</f>
        <v/>
      </c>
    </row>
    <row r="532" spans="47:47" x14ac:dyDescent="0.25">
      <c r="AU532" s="8" t="str">
        <f>IF(TRIM($G532)="","",IF(COUNTIF(LISTS!$I$2:$I$16,TRIM($G532))&gt;0,"COUNTED",IF(COUNTIF(LISTS!$J$2:$J$16,TRIM($G532))&gt;0,"LEFT OUT","NEW")))</f>
        <v/>
      </c>
    </row>
    <row r="533" spans="47:47" x14ac:dyDescent="0.25">
      <c r="AU533" s="8" t="str">
        <f>IF(TRIM($G533)="","",IF(COUNTIF(LISTS!$I$2:$I$16,TRIM($G533))&gt;0,"COUNTED",IF(COUNTIF(LISTS!$J$2:$J$16,TRIM($G533))&gt;0,"LEFT OUT","NEW")))</f>
        <v/>
      </c>
    </row>
    <row r="534" spans="47:47" x14ac:dyDescent="0.25">
      <c r="AU534" s="8" t="str">
        <f>IF(TRIM($G534)="","",IF(COUNTIF(LISTS!$I$2:$I$16,TRIM($G534))&gt;0,"COUNTED",IF(COUNTIF(LISTS!$J$2:$J$16,TRIM($G534))&gt;0,"LEFT OUT","NEW")))</f>
        <v/>
      </c>
    </row>
    <row r="535" spans="47:47" x14ac:dyDescent="0.25">
      <c r="AU535" s="8" t="str">
        <f>IF(TRIM($G535)="","",IF(COUNTIF(LISTS!$I$2:$I$16,TRIM($G535))&gt;0,"COUNTED",IF(COUNTIF(LISTS!$J$2:$J$16,TRIM($G535))&gt;0,"LEFT OUT","NEW")))</f>
        <v/>
      </c>
    </row>
    <row r="536" spans="47:47" x14ac:dyDescent="0.25">
      <c r="AU536" s="8" t="str">
        <f>IF(TRIM($G536)="","",IF(COUNTIF(LISTS!$I$2:$I$16,TRIM($G536))&gt;0,"COUNTED",IF(COUNTIF(LISTS!$J$2:$J$16,TRIM($G536))&gt;0,"LEFT OUT","NEW")))</f>
        <v/>
      </c>
    </row>
    <row r="537" spans="47:47" x14ac:dyDescent="0.25">
      <c r="AU537" s="8" t="str">
        <f>IF(TRIM($G537)="","",IF(COUNTIF(LISTS!$I$2:$I$16,TRIM($G537))&gt;0,"COUNTED",IF(COUNTIF(LISTS!$J$2:$J$16,TRIM($G537))&gt;0,"LEFT OUT","NEW")))</f>
        <v/>
      </c>
    </row>
    <row r="538" spans="47:47" x14ac:dyDescent="0.25">
      <c r="AU538" s="8" t="str">
        <f>IF(TRIM($G538)="","",IF(COUNTIF(LISTS!$I$2:$I$16,TRIM($G538))&gt;0,"COUNTED",IF(COUNTIF(LISTS!$J$2:$J$16,TRIM($G538))&gt;0,"LEFT OUT","NEW")))</f>
        <v/>
      </c>
    </row>
    <row r="539" spans="47:47" x14ac:dyDescent="0.25">
      <c r="AU539" s="8" t="str">
        <f>IF(TRIM($G539)="","",IF(COUNTIF(LISTS!$I$2:$I$16,TRIM($G539))&gt;0,"COUNTED",IF(COUNTIF(LISTS!$J$2:$J$16,TRIM($G539))&gt;0,"LEFT OUT","NEW")))</f>
        <v/>
      </c>
    </row>
    <row r="540" spans="47:47" x14ac:dyDescent="0.25">
      <c r="AU540" s="8" t="str">
        <f>IF(TRIM($G540)="","",IF(COUNTIF(LISTS!$I$2:$I$16,TRIM($G540))&gt;0,"COUNTED",IF(COUNTIF(LISTS!$J$2:$J$16,TRIM($G540))&gt;0,"LEFT OUT","NEW")))</f>
        <v/>
      </c>
    </row>
    <row r="541" spans="47:47" x14ac:dyDescent="0.25">
      <c r="AU541" s="8" t="str">
        <f>IF(TRIM($G541)="","",IF(COUNTIF(LISTS!$I$2:$I$16,TRIM($G541))&gt;0,"COUNTED",IF(COUNTIF(LISTS!$J$2:$J$16,TRIM($G541))&gt;0,"LEFT OUT","NEW")))</f>
        <v/>
      </c>
    </row>
    <row r="542" spans="47:47" x14ac:dyDescent="0.25">
      <c r="AU542" s="8" t="str">
        <f>IF(TRIM($G542)="","",IF(COUNTIF(LISTS!$I$2:$I$16,TRIM($G542))&gt;0,"COUNTED",IF(COUNTIF(LISTS!$J$2:$J$16,TRIM($G542))&gt;0,"LEFT OUT","NEW")))</f>
        <v/>
      </c>
    </row>
    <row r="543" spans="47:47" x14ac:dyDescent="0.25">
      <c r="AU543" s="8" t="str">
        <f>IF(TRIM($G543)="","",IF(COUNTIF(LISTS!$I$2:$I$16,TRIM($G543))&gt;0,"COUNTED",IF(COUNTIF(LISTS!$J$2:$J$16,TRIM($G543))&gt;0,"LEFT OUT","NEW")))</f>
        <v/>
      </c>
    </row>
    <row r="544" spans="47:47" x14ac:dyDescent="0.25">
      <c r="AU544" s="8" t="str">
        <f>IF(TRIM($G544)="","",IF(COUNTIF(LISTS!$I$2:$I$16,TRIM($G544))&gt;0,"COUNTED",IF(COUNTIF(LISTS!$J$2:$J$16,TRIM($G544))&gt;0,"LEFT OUT","NEW")))</f>
        <v/>
      </c>
    </row>
    <row r="545" spans="47:47" x14ac:dyDescent="0.25">
      <c r="AU545" s="8" t="str">
        <f>IF(TRIM($G545)="","",IF(COUNTIF(LISTS!$I$2:$I$16,TRIM($G545))&gt;0,"COUNTED",IF(COUNTIF(LISTS!$J$2:$J$16,TRIM($G545))&gt;0,"LEFT OUT","NEW")))</f>
        <v/>
      </c>
    </row>
    <row r="546" spans="47:47" x14ac:dyDescent="0.25">
      <c r="AU546" s="8" t="str">
        <f>IF(TRIM($G546)="","",IF(COUNTIF(LISTS!$I$2:$I$16,TRIM($G546))&gt;0,"COUNTED",IF(COUNTIF(LISTS!$J$2:$J$16,TRIM($G546))&gt;0,"LEFT OUT","NEW")))</f>
        <v/>
      </c>
    </row>
    <row r="547" spans="47:47" x14ac:dyDescent="0.25">
      <c r="AU547" s="8" t="str">
        <f>IF(TRIM($G547)="","",IF(COUNTIF(LISTS!$I$2:$I$16,TRIM($G547))&gt;0,"COUNTED",IF(COUNTIF(LISTS!$J$2:$J$16,TRIM($G547))&gt;0,"LEFT OUT","NEW")))</f>
        <v/>
      </c>
    </row>
    <row r="548" spans="47:47" x14ac:dyDescent="0.25">
      <c r="AU548" s="8" t="str">
        <f>IF(TRIM($G548)="","",IF(COUNTIF(LISTS!$I$2:$I$16,TRIM($G548))&gt;0,"COUNTED",IF(COUNTIF(LISTS!$J$2:$J$16,TRIM($G548))&gt;0,"LEFT OUT","NEW")))</f>
        <v/>
      </c>
    </row>
    <row r="549" spans="47:47" x14ac:dyDescent="0.25">
      <c r="AU549" s="8" t="str">
        <f>IF(TRIM($G549)="","",IF(COUNTIF(LISTS!$I$2:$I$16,TRIM($G549))&gt;0,"COUNTED",IF(COUNTIF(LISTS!$J$2:$J$16,TRIM($G549))&gt;0,"LEFT OUT","NEW")))</f>
        <v/>
      </c>
    </row>
    <row r="550" spans="47:47" x14ac:dyDescent="0.25">
      <c r="AU550" s="8" t="str">
        <f>IF(TRIM($G550)="","",IF(COUNTIF(LISTS!$I$2:$I$16,TRIM($G550))&gt;0,"COUNTED",IF(COUNTIF(LISTS!$J$2:$J$16,TRIM($G550))&gt;0,"LEFT OUT","NEW")))</f>
        <v/>
      </c>
    </row>
    <row r="551" spans="47:47" x14ac:dyDescent="0.25">
      <c r="AU551" s="8" t="str">
        <f>IF(TRIM($G551)="","",IF(COUNTIF(LISTS!$I$2:$I$16,TRIM($G551))&gt;0,"COUNTED",IF(COUNTIF(LISTS!$J$2:$J$16,TRIM($G551))&gt;0,"LEFT OUT","NEW")))</f>
        <v/>
      </c>
    </row>
    <row r="552" spans="47:47" x14ac:dyDescent="0.25">
      <c r="AU552" s="8" t="str">
        <f>IF(TRIM($G552)="","",IF(COUNTIF(LISTS!$I$2:$I$16,TRIM($G552))&gt;0,"COUNTED",IF(COUNTIF(LISTS!$J$2:$J$16,TRIM($G552))&gt;0,"LEFT OUT","NEW")))</f>
        <v/>
      </c>
    </row>
    <row r="553" spans="47:47" x14ac:dyDescent="0.25">
      <c r="AU553" s="8" t="str">
        <f>IF(TRIM($G553)="","",IF(COUNTIF(LISTS!$I$2:$I$16,TRIM($G553))&gt;0,"COUNTED",IF(COUNTIF(LISTS!$J$2:$J$16,TRIM($G553))&gt;0,"LEFT OUT","NEW")))</f>
        <v/>
      </c>
    </row>
    <row r="554" spans="47:47" x14ac:dyDescent="0.25">
      <c r="AU554" s="8" t="str">
        <f>IF(TRIM($G554)="","",IF(COUNTIF(LISTS!$I$2:$I$16,TRIM($G554))&gt;0,"COUNTED",IF(COUNTIF(LISTS!$J$2:$J$16,TRIM($G554))&gt;0,"LEFT OUT","NEW")))</f>
        <v/>
      </c>
    </row>
    <row r="555" spans="47:47" x14ac:dyDescent="0.25">
      <c r="AU555" s="8" t="str">
        <f>IF(TRIM($G555)="","",IF(COUNTIF(LISTS!$I$2:$I$16,TRIM($G555))&gt;0,"COUNTED",IF(COUNTIF(LISTS!$J$2:$J$16,TRIM($G555))&gt;0,"LEFT OUT","NEW")))</f>
        <v/>
      </c>
    </row>
    <row r="556" spans="47:47" x14ac:dyDescent="0.25">
      <c r="AU556" s="8" t="str">
        <f>IF(TRIM($G556)="","",IF(COUNTIF(LISTS!$I$2:$I$16,TRIM($G556))&gt;0,"COUNTED",IF(COUNTIF(LISTS!$J$2:$J$16,TRIM($G556))&gt;0,"LEFT OUT","NEW")))</f>
        <v/>
      </c>
    </row>
    <row r="557" spans="47:47" x14ac:dyDescent="0.25">
      <c r="AU557" s="8" t="str">
        <f>IF(TRIM($G557)="","",IF(COUNTIF(LISTS!$I$2:$I$16,TRIM($G557))&gt;0,"COUNTED",IF(COUNTIF(LISTS!$J$2:$J$16,TRIM($G557))&gt;0,"LEFT OUT","NEW")))</f>
        <v/>
      </c>
    </row>
    <row r="558" spans="47:47" x14ac:dyDescent="0.25">
      <c r="AU558" s="8" t="str">
        <f>IF(TRIM($G558)="","",IF(COUNTIF(LISTS!$I$2:$I$16,TRIM($G558))&gt;0,"COUNTED",IF(COUNTIF(LISTS!$J$2:$J$16,TRIM($G558))&gt;0,"LEFT OUT","NEW")))</f>
        <v/>
      </c>
    </row>
    <row r="559" spans="47:47" x14ac:dyDescent="0.25">
      <c r="AU559" s="8" t="str">
        <f>IF(TRIM($G559)="","",IF(COUNTIF(LISTS!$I$2:$I$16,TRIM($G559))&gt;0,"COUNTED",IF(COUNTIF(LISTS!$J$2:$J$16,TRIM($G559))&gt;0,"LEFT OUT","NEW")))</f>
        <v/>
      </c>
    </row>
    <row r="560" spans="47:47" x14ac:dyDescent="0.25">
      <c r="AU560" s="8" t="str">
        <f>IF(TRIM($G560)="","",IF(COUNTIF(LISTS!$I$2:$I$16,TRIM($G560))&gt;0,"COUNTED",IF(COUNTIF(LISTS!$J$2:$J$16,TRIM($G560))&gt;0,"LEFT OUT","NEW")))</f>
        <v/>
      </c>
    </row>
    <row r="561" spans="47:47" x14ac:dyDescent="0.25">
      <c r="AU561" s="8" t="str">
        <f>IF(TRIM($G561)="","",IF(COUNTIF(LISTS!$I$2:$I$16,TRIM($G561))&gt;0,"COUNTED",IF(COUNTIF(LISTS!$J$2:$J$16,TRIM($G561))&gt;0,"LEFT OUT","NEW")))</f>
        <v/>
      </c>
    </row>
    <row r="562" spans="47:47" x14ac:dyDescent="0.25">
      <c r="AU562" s="8" t="str">
        <f>IF(TRIM($G562)="","",IF(COUNTIF(LISTS!$I$2:$I$16,TRIM($G562))&gt;0,"COUNTED",IF(COUNTIF(LISTS!$J$2:$J$16,TRIM($G562))&gt;0,"LEFT OUT","NEW")))</f>
        <v/>
      </c>
    </row>
    <row r="563" spans="47:47" x14ac:dyDescent="0.25">
      <c r="AU563" s="8" t="str">
        <f>IF(TRIM($G563)="","",IF(COUNTIF(LISTS!$I$2:$I$16,TRIM($G563))&gt;0,"COUNTED",IF(COUNTIF(LISTS!$J$2:$J$16,TRIM($G563))&gt;0,"LEFT OUT","NEW")))</f>
        <v/>
      </c>
    </row>
    <row r="564" spans="47:47" x14ac:dyDescent="0.25">
      <c r="AU564" s="8" t="str">
        <f>IF(TRIM($G564)="","",IF(COUNTIF(LISTS!$I$2:$I$16,TRIM($G564))&gt;0,"COUNTED",IF(COUNTIF(LISTS!$J$2:$J$16,TRIM($G564))&gt;0,"LEFT OUT","NEW")))</f>
        <v/>
      </c>
    </row>
    <row r="565" spans="47:47" x14ac:dyDescent="0.25">
      <c r="AU565" s="8" t="str">
        <f>IF(TRIM($G565)="","",IF(COUNTIF(LISTS!$I$2:$I$16,TRIM($G565))&gt;0,"COUNTED",IF(COUNTIF(LISTS!$J$2:$J$16,TRIM($G565))&gt;0,"LEFT OUT","NEW")))</f>
        <v/>
      </c>
    </row>
    <row r="566" spans="47:47" x14ac:dyDescent="0.25">
      <c r="AU566" s="8" t="str">
        <f>IF(TRIM($G566)="","",IF(COUNTIF(LISTS!$I$2:$I$16,TRIM($G566))&gt;0,"COUNTED",IF(COUNTIF(LISTS!$J$2:$J$16,TRIM($G566))&gt;0,"LEFT OUT","NEW")))</f>
        <v/>
      </c>
    </row>
    <row r="567" spans="47:47" x14ac:dyDescent="0.25">
      <c r="AU567" s="8" t="str">
        <f>IF(TRIM($G567)="","",IF(COUNTIF(LISTS!$I$2:$I$16,TRIM($G567))&gt;0,"COUNTED",IF(COUNTIF(LISTS!$J$2:$J$16,TRIM($G567))&gt;0,"LEFT OUT","NEW")))</f>
        <v/>
      </c>
    </row>
    <row r="568" spans="47:47" x14ac:dyDescent="0.25">
      <c r="AU568" s="8" t="str">
        <f>IF(TRIM($G568)="","",IF(COUNTIF(LISTS!$I$2:$I$16,TRIM($G568))&gt;0,"COUNTED",IF(COUNTIF(LISTS!$J$2:$J$16,TRIM($G568))&gt;0,"LEFT OUT","NEW")))</f>
        <v/>
      </c>
    </row>
    <row r="569" spans="47:47" x14ac:dyDescent="0.25">
      <c r="AU569" s="8" t="str">
        <f>IF(TRIM($G569)="","",IF(COUNTIF(LISTS!$I$2:$I$16,TRIM($G569))&gt;0,"COUNTED",IF(COUNTIF(LISTS!$J$2:$J$16,TRIM($G569))&gt;0,"LEFT OUT","NEW")))</f>
        <v/>
      </c>
    </row>
    <row r="570" spans="47:47" x14ac:dyDescent="0.25">
      <c r="AU570" s="8" t="str">
        <f>IF(TRIM($G570)="","",IF(COUNTIF(LISTS!$I$2:$I$16,TRIM($G570))&gt;0,"COUNTED",IF(COUNTIF(LISTS!$J$2:$J$16,TRIM($G570))&gt;0,"LEFT OUT","NEW")))</f>
        <v/>
      </c>
    </row>
    <row r="571" spans="47:47" x14ac:dyDescent="0.25">
      <c r="AU571" s="8" t="str">
        <f>IF(TRIM($G571)="","",IF(COUNTIF(LISTS!$I$2:$I$16,TRIM($G571))&gt;0,"COUNTED",IF(COUNTIF(LISTS!$J$2:$J$16,TRIM($G571))&gt;0,"LEFT OUT","NEW")))</f>
        <v/>
      </c>
    </row>
    <row r="572" spans="47:47" x14ac:dyDescent="0.25">
      <c r="AU572" s="8" t="str">
        <f>IF(TRIM($G572)="","",IF(COUNTIF(LISTS!$I$2:$I$16,TRIM($G572))&gt;0,"COUNTED",IF(COUNTIF(LISTS!$J$2:$J$16,TRIM($G572))&gt;0,"LEFT OUT","NEW")))</f>
        <v/>
      </c>
    </row>
    <row r="573" spans="47:47" x14ac:dyDescent="0.25">
      <c r="AU573" s="8" t="str">
        <f>IF(TRIM($G573)="","",IF(COUNTIF(LISTS!$I$2:$I$16,TRIM($G573))&gt;0,"COUNTED",IF(COUNTIF(LISTS!$J$2:$J$16,TRIM($G573))&gt;0,"LEFT OUT","NEW")))</f>
        <v/>
      </c>
    </row>
    <row r="574" spans="47:47" x14ac:dyDescent="0.25">
      <c r="AU574" s="8" t="str">
        <f>IF(TRIM($G574)="","",IF(COUNTIF(LISTS!$I$2:$I$16,TRIM($G574))&gt;0,"COUNTED",IF(COUNTIF(LISTS!$J$2:$J$16,TRIM($G574))&gt;0,"LEFT OUT","NEW")))</f>
        <v/>
      </c>
    </row>
    <row r="575" spans="47:47" x14ac:dyDescent="0.25">
      <c r="AU575" s="8" t="str">
        <f>IF(TRIM($G575)="","",IF(COUNTIF(LISTS!$I$2:$I$16,TRIM($G575))&gt;0,"COUNTED",IF(COUNTIF(LISTS!$J$2:$J$16,TRIM($G575))&gt;0,"LEFT OUT","NEW")))</f>
        <v/>
      </c>
    </row>
    <row r="576" spans="47:47" x14ac:dyDescent="0.25">
      <c r="AU576" s="8" t="str">
        <f>IF(TRIM($G576)="","",IF(COUNTIF(LISTS!$I$2:$I$16,TRIM($G576))&gt;0,"COUNTED",IF(COUNTIF(LISTS!$J$2:$J$16,TRIM($G576))&gt;0,"LEFT OUT","NEW")))</f>
        <v/>
      </c>
    </row>
    <row r="577" spans="47:47" x14ac:dyDescent="0.25">
      <c r="AU577" s="8" t="str">
        <f>IF(TRIM($G577)="","",IF(COUNTIF(LISTS!$I$2:$I$16,TRIM($G577))&gt;0,"COUNTED",IF(COUNTIF(LISTS!$J$2:$J$16,TRIM($G577))&gt;0,"LEFT OUT","NEW")))</f>
        <v/>
      </c>
    </row>
    <row r="578" spans="47:47" x14ac:dyDescent="0.25">
      <c r="AU578" s="8" t="str">
        <f>IF(TRIM($G578)="","",IF(COUNTIF(LISTS!$I$2:$I$16,TRIM($G578))&gt;0,"COUNTED",IF(COUNTIF(LISTS!$J$2:$J$16,TRIM($G578))&gt;0,"LEFT OUT","NEW")))</f>
        <v/>
      </c>
    </row>
    <row r="579" spans="47:47" x14ac:dyDescent="0.25">
      <c r="AU579" s="8" t="str">
        <f>IF(TRIM($G579)="","",IF(COUNTIF(LISTS!$I$2:$I$16,TRIM($G579))&gt;0,"COUNTED",IF(COUNTIF(LISTS!$J$2:$J$16,TRIM($G579))&gt;0,"LEFT OUT","NEW")))</f>
        <v/>
      </c>
    </row>
    <row r="580" spans="47:47" x14ac:dyDescent="0.25">
      <c r="AU580" s="8" t="str">
        <f>IF(TRIM($G580)="","",IF(COUNTIF(LISTS!$I$2:$I$16,TRIM($G580))&gt;0,"COUNTED",IF(COUNTIF(LISTS!$J$2:$J$16,TRIM($G580))&gt;0,"LEFT OUT","NEW")))</f>
        <v/>
      </c>
    </row>
    <row r="581" spans="47:47" x14ac:dyDescent="0.25">
      <c r="AU581" s="8" t="str">
        <f>IF(TRIM($G581)="","",IF(COUNTIF(LISTS!$I$2:$I$16,TRIM($G581))&gt;0,"COUNTED",IF(COUNTIF(LISTS!$J$2:$J$16,TRIM($G581))&gt;0,"LEFT OUT","NEW")))</f>
        <v/>
      </c>
    </row>
    <row r="582" spans="47:47" x14ac:dyDescent="0.25">
      <c r="AU582" s="8" t="str">
        <f>IF(TRIM($G582)="","",IF(COUNTIF(LISTS!$I$2:$I$16,TRIM($G582))&gt;0,"COUNTED",IF(COUNTIF(LISTS!$J$2:$J$16,TRIM($G582))&gt;0,"LEFT OUT","NEW")))</f>
        <v/>
      </c>
    </row>
    <row r="583" spans="47:47" x14ac:dyDescent="0.25">
      <c r="AU583" s="8" t="str">
        <f>IF(TRIM($G583)="","",IF(COUNTIF(LISTS!$I$2:$I$16,TRIM($G583))&gt;0,"COUNTED",IF(COUNTIF(LISTS!$J$2:$J$16,TRIM($G583))&gt;0,"LEFT OUT","NEW")))</f>
        <v/>
      </c>
    </row>
    <row r="584" spans="47:47" x14ac:dyDescent="0.25">
      <c r="AU584" s="8" t="str">
        <f>IF(TRIM($G584)="","",IF(COUNTIF(LISTS!$I$2:$I$16,TRIM($G584))&gt;0,"COUNTED",IF(COUNTIF(LISTS!$J$2:$J$16,TRIM($G584))&gt;0,"LEFT OUT","NEW")))</f>
        <v/>
      </c>
    </row>
    <row r="585" spans="47:47" x14ac:dyDescent="0.25">
      <c r="AU585" s="8" t="str">
        <f>IF(TRIM($G585)="","",IF(COUNTIF(LISTS!$I$2:$I$16,TRIM($G585))&gt;0,"COUNTED",IF(COUNTIF(LISTS!$J$2:$J$16,TRIM($G585))&gt;0,"LEFT OUT","NEW")))</f>
        <v/>
      </c>
    </row>
    <row r="586" spans="47:47" x14ac:dyDescent="0.25">
      <c r="AU586" s="8" t="str">
        <f>IF(TRIM($G586)="","",IF(COUNTIF(LISTS!$I$2:$I$16,TRIM($G586))&gt;0,"COUNTED",IF(COUNTIF(LISTS!$J$2:$J$16,TRIM($G586))&gt;0,"LEFT OUT","NEW")))</f>
        <v/>
      </c>
    </row>
    <row r="587" spans="47:47" x14ac:dyDescent="0.25">
      <c r="AU587" s="8" t="str">
        <f>IF(TRIM($G587)="","",IF(COUNTIF(LISTS!$I$2:$I$16,TRIM($G587))&gt;0,"COUNTED",IF(COUNTIF(LISTS!$J$2:$J$16,TRIM($G587))&gt;0,"LEFT OUT","NEW")))</f>
        <v/>
      </c>
    </row>
    <row r="588" spans="47:47" x14ac:dyDescent="0.25">
      <c r="AU588" s="8" t="str">
        <f>IF(TRIM($G588)="","",IF(COUNTIF(LISTS!$I$2:$I$16,TRIM($G588))&gt;0,"COUNTED",IF(COUNTIF(LISTS!$J$2:$J$16,TRIM($G588))&gt;0,"LEFT OUT","NEW")))</f>
        <v/>
      </c>
    </row>
    <row r="589" spans="47:47" x14ac:dyDescent="0.25">
      <c r="AU589" s="8" t="str">
        <f>IF(TRIM($G589)="","",IF(COUNTIF(LISTS!$I$2:$I$16,TRIM($G589))&gt;0,"COUNTED",IF(COUNTIF(LISTS!$J$2:$J$16,TRIM($G589))&gt;0,"LEFT OUT","NEW")))</f>
        <v/>
      </c>
    </row>
    <row r="590" spans="47:47" x14ac:dyDescent="0.25">
      <c r="AU590" s="8" t="str">
        <f>IF(TRIM($G590)="","",IF(COUNTIF(LISTS!$I$2:$I$16,TRIM($G590))&gt;0,"COUNTED",IF(COUNTIF(LISTS!$J$2:$J$16,TRIM($G590))&gt;0,"LEFT OUT","NEW")))</f>
        <v/>
      </c>
    </row>
    <row r="591" spans="47:47" x14ac:dyDescent="0.25">
      <c r="AU591" s="8" t="str">
        <f>IF(TRIM($G591)="","",IF(COUNTIF(LISTS!$I$2:$I$16,TRIM($G591))&gt;0,"COUNTED",IF(COUNTIF(LISTS!$J$2:$J$16,TRIM($G591))&gt;0,"LEFT OUT","NEW")))</f>
        <v/>
      </c>
    </row>
    <row r="592" spans="47:47" x14ac:dyDescent="0.25">
      <c r="AU592" s="8" t="str">
        <f>IF(TRIM($G592)="","",IF(COUNTIF(LISTS!$I$2:$I$16,TRIM($G592))&gt;0,"COUNTED",IF(COUNTIF(LISTS!$J$2:$J$16,TRIM($G592))&gt;0,"LEFT OUT","NEW")))</f>
        <v/>
      </c>
    </row>
    <row r="593" spans="47:47" x14ac:dyDescent="0.25">
      <c r="AU593" s="8" t="str">
        <f>IF(TRIM($G593)="","",IF(COUNTIF(LISTS!$I$2:$I$16,TRIM($G593))&gt;0,"COUNTED",IF(COUNTIF(LISTS!$J$2:$J$16,TRIM($G593))&gt;0,"LEFT OUT","NEW")))</f>
        <v/>
      </c>
    </row>
    <row r="594" spans="47:47" x14ac:dyDescent="0.25">
      <c r="AU594" s="8" t="str">
        <f>IF(TRIM($G594)="","",IF(COUNTIF(LISTS!$I$2:$I$16,TRIM($G594))&gt;0,"COUNTED",IF(COUNTIF(LISTS!$J$2:$J$16,TRIM($G594))&gt;0,"LEFT OUT","NEW")))</f>
        <v/>
      </c>
    </row>
    <row r="595" spans="47:47" x14ac:dyDescent="0.25">
      <c r="AU595" s="8" t="str">
        <f>IF(TRIM($G595)="","",IF(COUNTIF(LISTS!$I$2:$I$16,TRIM($G595))&gt;0,"COUNTED",IF(COUNTIF(LISTS!$J$2:$J$16,TRIM($G595))&gt;0,"LEFT OUT","NEW")))</f>
        <v/>
      </c>
    </row>
    <row r="596" spans="47:47" x14ac:dyDescent="0.25">
      <c r="AU596" s="8" t="str">
        <f>IF(TRIM($G596)="","",IF(COUNTIF(LISTS!$I$2:$I$16,TRIM($G596))&gt;0,"COUNTED",IF(COUNTIF(LISTS!$J$2:$J$16,TRIM($G596))&gt;0,"LEFT OUT","NEW")))</f>
        <v/>
      </c>
    </row>
    <row r="597" spans="47:47" x14ac:dyDescent="0.25">
      <c r="AU597" s="8" t="str">
        <f>IF(TRIM($G597)="","",IF(COUNTIF(LISTS!$I$2:$I$16,TRIM($G597))&gt;0,"COUNTED",IF(COUNTIF(LISTS!$J$2:$J$16,TRIM($G597))&gt;0,"LEFT OUT","NEW")))</f>
        <v/>
      </c>
    </row>
    <row r="598" spans="47:47" x14ac:dyDescent="0.25">
      <c r="AU598" s="8" t="str">
        <f>IF(TRIM($G598)="","",IF(COUNTIF(LISTS!$I$2:$I$16,TRIM($G598))&gt;0,"COUNTED",IF(COUNTIF(LISTS!$J$2:$J$16,TRIM($G598))&gt;0,"LEFT OUT","NEW")))</f>
        <v/>
      </c>
    </row>
    <row r="599" spans="47:47" x14ac:dyDescent="0.25">
      <c r="AU599" s="8" t="str">
        <f>IF(TRIM($G599)="","",IF(COUNTIF(LISTS!$I$2:$I$16,TRIM($G599))&gt;0,"COUNTED",IF(COUNTIF(LISTS!$J$2:$J$16,TRIM($G599))&gt;0,"LEFT OUT","NEW")))</f>
        <v/>
      </c>
    </row>
    <row r="600" spans="47:47" x14ac:dyDescent="0.25">
      <c r="AU600" s="8" t="str">
        <f>IF(TRIM($G600)="","",IF(COUNTIF(LISTS!$I$2:$I$16,TRIM($G600))&gt;0,"COUNTED",IF(COUNTIF(LISTS!$J$2:$J$16,TRIM($G600))&gt;0,"LEFT OUT","NEW")))</f>
        <v/>
      </c>
    </row>
    <row r="601" spans="47:47" x14ac:dyDescent="0.25">
      <c r="AU601" s="8" t="str">
        <f>IF(TRIM($G601)="","",IF(COUNTIF(LISTS!$I$2:$I$16,TRIM($G601))&gt;0,"COUNTED",IF(COUNTIF(LISTS!$J$2:$J$16,TRIM($G601))&gt;0,"LEFT OUT","NEW")))</f>
        <v/>
      </c>
    </row>
    <row r="602" spans="47:47" x14ac:dyDescent="0.25">
      <c r="AU602" s="8" t="str">
        <f>IF(TRIM($G602)="","",IF(COUNTIF(LISTS!$I$2:$I$16,TRIM($G602))&gt;0,"COUNTED",IF(COUNTIF(LISTS!$J$2:$J$16,TRIM($G602))&gt;0,"LEFT OUT","NEW")))</f>
        <v/>
      </c>
    </row>
    <row r="603" spans="47:47" x14ac:dyDescent="0.25">
      <c r="AU603" s="8" t="str">
        <f>IF(TRIM($G603)="","",IF(COUNTIF(LISTS!$I$2:$I$16,TRIM($G603))&gt;0,"COUNTED",IF(COUNTIF(LISTS!$J$2:$J$16,TRIM($G603))&gt;0,"LEFT OUT","NEW")))</f>
        <v/>
      </c>
    </row>
    <row r="604" spans="47:47" x14ac:dyDescent="0.25">
      <c r="AU604" s="8" t="str">
        <f>IF(TRIM($G604)="","",IF(COUNTIF(LISTS!$I$2:$I$16,TRIM($G604))&gt;0,"COUNTED",IF(COUNTIF(LISTS!$J$2:$J$16,TRIM($G604))&gt;0,"LEFT OUT","NEW")))</f>
        <v/>
      </c>
    </row>
    <row r="605" spans="47:47" x14ac:dyDescent="0.25">
      <c r="AU605" s="8" t="str">
        <f>IF(TRIM($G605)="","",IF(COUNTIF(LISTS!$I$2:$I$16,TRIM($G605))&gt;0,"COUNTED",IF(COUNTIF(LISTS!$J$2:$J$16,TRIM($G605))&gt;0,"LEFT OUT","NEW")))</f>
        <v/>
      </c>
    </row>
    <row r="606" spans="47:47" x14ac:dyDescent="0.25">
      <c r="AU606" s="8" t="str">
        <f>IF(TRIM($G606)="","",IF(COUNTIF(LISTS!$I$2:$I$16,TRIM($G606))&gt;0,"COUNTED",IF(COUNTIF(LISTS!$J$2:$J$16,TRIM($G606))&gt;0,"LEFT OUT","NEW")))</f>
        <v/>
      </c>
    </row>
    <row r="607" spans="47:47" x14ac:dyDescent="0.25">
      <c r="AU607" s="8" t="str">
        <f>IF(TRIM($G607)="","",IF(COUNTIF(LISTS!$I$2:$I$16,TRIM($G607))&gt;0,"COUNTED",IF(COUNTIF(LISTS!$J$2:$J$16,TRIM($G607))&gt;0,"LEFT OUT","NEW")))</f>
        <v/>
      </c>
    </row>
    <row r="608" spans="47:47" x14ac:dyDescent="0.25">
      <c r="AU608" s="8" t="str">
        <f>IF(TRIM($G608)="","",IF(COUNTIF(LISTS!$I$2:$I$16,TRIM($G608))&gt;0,"COUNTED",IF(COUNTIF(LISTS!$J$2:$J$16,TRIM($G608))&gt;0,"LEFT OUT","NEW")))</f>
        <v/>
      </c>
    </row>
    <row r="609" spans="47:47" x14ac:dyDescent="0.25">
      <c r="AU609" s="8" t="str">
        <f>IF(TRIM($G609)="","",IF(COUNTIF(LISTS!$I$2:$I$16,TRIM($G609))&gt;0,"COUNTED",IF(COUNTIF(LISTS!$J$2:$J$16,TRIM($G609))&gt;0,"LEFT OUT","NEW")))</f>
        <v/>
      </c>
    </row>
    <row r="610" spans="47:47" x14ac:dyDescent="0.25">
      <c r="AU610" s="8" t="str">
        <f>IF(TRIM($G610)="","",IF(COUNTIF(LISTS!$I$2:$I$16,TRIM($G610))&gt;0,"COUNTED",IF(COUNTIF(LISTS!$J$2:$J$16,TRIM($G610))&gt;0,"LEFT OUT","NEW")))</f>
        <v/>
      </c>
    </row>
    <row r="611" spans="47:47" x14ac:dyDescent="0.25">
      <c r="AU611" s="8" t="str">
        <f>IF(TRIM($G611)="","",IF(COUNTIF(LISTS!$I$2:$I$16,TRIM($G611))&gt;0,"COUNTED",IF(COUNTIF(LISTS!$J$2:$J$16,TRIM($G611))&gt;0,"LEFT OUT","NEW")))</f>
        <v/>
      </c>
    </row>
    <row r="612" spans="47:47" x14ac:dyDescent="0.25">
      <c r="AU612" s="8" t="str">
        <f>IF(TRIM($G612)="","",IF(COUNTIF(LISTS!$I$2:$I$16,TRIM($G612))&gt;0,"COUNTED",IF(COUNTIF(LISTS!$J$2:$J$16,TRIM($G612))&gt;0,"LEFT OUT","NEW")))</f>
        <v/>
      </c>
    </row>
    <row r="613" spans="47:47" x14ac:dyDescent="0.25">
      <c r="AU613" s="8" t="str">
        <f>IF(TRIM($G613)="","",IF(COUNTIF(LISTS!$I$2:$I$16,TRIM($G613))&gt;0,"COUNTED",IF(COUNTIF(LISTS!$J$2:$J$16,TRIM($G613))&gt;0,"LEFT OUT","NEW")))</f>
        <v/>
      </c>
    </row>
    <row r="614" spans="47:47" x14ac:dyDescent="0.25">
      <c r="AU614" s="8" t="str">
        <f>IF(TRIM($G614)="","",IF(COUNTIF(LISTS!$I$2:$I$16,TRIM($G614))&gt;0,"COUNTED",IF(COUNTIF(LISTS!$J$2:$J$16,TRIM($G614))&gt;0,"LEFT OUT","NEW")))</f>
        <v/>
      </c>
    </row>
    <row r="615" spans="47:47" x14ac:dyDescent="0.25">
      <c r="AU615" s="8" t="str">
        <f>IF(TRIM($G615)="","",IF(COUNTIF(LISTS!$I$2:$I$16,TRIM($G615))&gt;0,"COUNTED",IF(COUNTIF(LISTS!$J$2:$J$16,TRIM($G615))&gt;0,"LEFT OUT","NEW")))</f>
        <v/>
      </c>
    </row>
    <row r="616" spans="47:47" x14ac:dyDescent="0.25">
      <c r="AU616" s="8" t="str">
        <f>IF(TRIM($G616)="","",IF(COUNTIF(LISTS!$I$2:$I$16,TRIM($G616))&gt;0,"COUNTED",IF(COUNTIF(LISTS!$J$2:$J$16,TRIM($G616))&gt;0,"LEFT OUT","NEW")))</f>
        <v/>
      </c>
    </row>
    <row r="617" spans="47:47" x14ac:dyDescent="0.25">
      <c r="AU617" s="8" t="str">
        <f>IF(TRIM($G617)="","",IF(COUNTIF(LISTS!$I$2:$I$16,TRIM($G617))&gt;0,"COUNTED",IF(COUNTIF(LISTS!$J$2:$J$16,TRIM($G617))&gt;0,"LEFT OUT","NEW")))</f>
        <v/>
      </c>
    </row>
    <row r="618" spans="47:47" x14ac:dyDescent="0.25">
      <c r="AU618" s="8" t="str">
        <f>IF(TRIM($G618)="","",IF(COUNTIF(LISTS!$I$2:$I$16,TRIM($G618))&gt;0,"COUNTED",IF(COUNTIF(LISTS!$J$2:$J$16,TRIM($G618))&gt;0,"LEFT OUT","NEW")))</f>
        <v/>
      </c>
    </row>
    <row r="619" spans="47:47" x14ac:dyDescent="0.25">
      <c r="AU619" s="8" t="str">
        <f>IF(TRIM($G619)="","",IF(COUNTIF(LISTS!$I$2:$I$16,TRIM($G619))&gt;0,"COUNTED",IF(COUNTIF(LISTS!$J$2:$J$16,TRIM($G619))&gt;0,"LEFT OUT","NEW")))</f>
        <v/>
      </c>
    </row>
    <row r="620" spans="47:47" x14ac:dyDescent="0.25">
      <c r="AU620" s="8" t="str">
        <f>IF(TRIM($G620)="","",IF(COUNTIF(LISTS!$I$2:$I$16,TRIM($G620))&gt;0,"COUNTED",IF(COUNTIF(LISTS!$J$2:$J$16,TRIM($G620))&gt;0,"LEFT OUT","NEW")))</f>
        <v/>
      </c>
    </row>
    <row r="621" spans="47:47" x14ac:dyDescent="0.25">
      <c r="AU621" s="8" t="str">
        <f>IF(TRIM($G621)="","",IF(COUNTIF(LISTS!$I$2:$I$16,TRIM($G621))&gt;0,"COUNTED",IF(COUNTIF(LISTS!$J$2:$J$16,TRIM($G621))&gt;0,"LEFT OUT","NEW")))</f>
        <v/>
      </c>
    </row>
    <row r="622" spans="47:47" x14ac:dyDescent="0.25">
      <c r="AU622" s="8" t="str">
        <f>IF(TRIM($G622)="","",IF(COUNTIF(LISTS!$I$2:$I$16,TRIM($G622))&gt;0,"COUNTED",IF(COUNTIF(LISTS!$J$2:$J$16,TRIM($G622))&gt;0,"LEFT OUT","NEW")))</f>
        <v/>
      </c>
    </row>
    <row r="623" spans="47:47" x14ac:dyDescent="0.25">
      <c r="AU623" s="8" t="str">
        <f>IF(TRIM($G623)="","",IF(COUNTIF(LISTS!$I$2:$I$16,TRIM($G623))&gt;0,"COUNTED",IF(COUNTIF(LISTS!$J$2:$J$16,TRIM($G623))&gt;0,"LEFT OUT","NEW")))</f>
        <v/>
      </c>
    </row>
    <row r="624" spans="47:47" x14ac:dyDescent="0.25">
      <c r="AU624" s="8" t="str">
        <f>IF(TRIM($G624)="","",IF(COUNTIF(LISTS!$I$2:$I$16,TRIM($G624))&gt;0,"COUNTED",IF(COUNTIF(LISTS!$J$2:$J$16,TRIM($G624))&gt;0,"LEFT OUT","NEW")))</f>
        <v/>
      </c>
    </row>
    <row r="625" spans="47:47" x14ac:dyDescent="0.25">
      <c r="AU625" s="8" t="str">
        <f>IF(TRIM($G625)="","",IF(COUNTIF(LISTS!$I$2:$I$16,TRIM($G625))&gt;0,"COUNTED",IF(COUNTIF(LISTS!$J$2:$J$16,TRIM($G625))&gt;0,"LEFT OUT","NEW")))</f>
        <v/>
      </c>
    </row>
    <row r="626" spans="47:47" x14ac:dyDescent="0.25">
      <c r="AU626" s="8" t="str">
        <f>IF(TRIM($G626)="","",IF(COUNTIF(LISTS!$I$2:$I$16,TRIM($G626))&gt;0,"COUNTED",IF(COUNTIF(LISTS!$J$2:$J$16,TRIM($G626))&gt;0,"LEFT OUT","NEW")))</f>
        <v/>
      </c>
    </row>
    <row r="627" spans="47:47" x14ac:dyDescent="0.25">
      <c r="AU627" s="8" t="str">
        <f>IF(TRIM($G627)="","",IF(COUNTIF(LISTS!$I$2:$I$16,TRIM($G627))&gt;0,"COUNTED",IF(COUNTIF(LISTS!$J$2:$J$16,TRIM($G627))&gt;0,"LEFT OUT","NEW")))</f>
        <v/>
      </c>
    </row>
    <row r="628" spans="47:47" x14ac:dyDescent="0.25">
      <c r="AU628" s="8" t="str">
        <f>IF(TRIM($G628)="","",IF(COUNTIF(LISTS!$I$2:$I$16,TRIM($G628))&gt;0,"COUNTED",IF(COUNTIF(LISTS!$J$2:$J$16,TRIM($G628))&gt;0,"LEFT OUT","NEW")))</f>
        <v/>
      </c>
    </row>
    <row r="629" spans="47:47" x14ac:dyDescent="0.25">
      <c r="AU629" s="8" t="str">
        <f>IF(TRIM($G629)="","",IF(COUNTIF(LISTS!$I$2:$I$16,TRIM($G629))&gt;0,"COUNTED",IF(COUNTIF(LISTS!$J$2:$J$16,TRIM($G629))&gt;0,"LEFT OUT","NEW")))</f>
        <v/>
      </c>
    </row>
    <row r="630" spans="47:47" x14ac:dyDescent="0.25">
      <c r="AU630" s="8" t="str">
        <f>IF(TRIM($G630)="","",IF(COUNTIF(LISTS!$I$2:$I$16,TRIM($G630))&gt;0,"COUNTED",IF(COUNTIF(LISTS!$J$2:$J$16,TRIM($G630))&gt;0,"LEFT OUT","NEW")))</f>
        <v/>
      </c>
    </row>
    <row r="631" spans="47:47" x14ac:dyDescent="0.25">
      <c r="AU631" s="8" t="str">
        <f>IF(TRIM($G631)="","",IF(COUNTIF(LISTS!$I$2:$I$16,TRIM($G631))&gt;0,"COUNTED",IF(COUNTIF(LISTS!$J$2:$J$16,TRIM($G631))&gt;0,"LEFT OUT","NEW")))</f>
        <v/>
      </c>
    </row>
    <row r="632" spans="47:47" x14ac:dyDescent="0.25">
      <c r="AU632" s="8" t="str">
        <f>IF(TRIM($G632)="","",IF(COUNTIF(LISTS!$I$2:$I$16,TRIM($G632))&gt;0,"COUNTED",IF(COUNTIF(LISTS!$J$2:$J$16,TRIM($G632))&gt;0,"LEFT OUT","NEW")))</f>
        <v/>
      </c>
    </row>
    <row r="633" spans="47:47" x14ac:dyDescent="0.25">
      <c r="AU633" s="8" t="str">
        <f>IF(TRIM($G633)="","",IF(COUNTIF(LISTS!$I$2:$I$16,TRIM($G633))&gt;0,"COUNTED",IF(COUNTIF(LISTS!$J$2:$J$16,TRIM($G633))&gt;0,"LEFT OUT","NEW")))</f>
        <v/>
      </c>
    </row>
    <row r="634" spans="47:47" x14ac:dyDescent="0.25">
      <c r="AU634" s="8" t="str">
        <f>IF(TRIM($G634)="","",IF(COUNTIF(LISTS!$I$2:$I$16,TRIM($G634))&gt;0,"COUNTED",IF(COUNTIF(LISTS!$J$2:$J$16,TRIM($G634))&gt;0,"LEFT OUT","NEW")))</f>
        <v/>
      </c>
    </row>
    <row r="635" spans="47:47" x14ac:dyDescent="0.25">
      <c r="AU635" s="8" t="str">
        <f>IF(TRIM($G635)="","",IF(COUNTIF(LISTS!$I$2:$I$16,TRIM($G635))&gt;0,"COUNTED",IF(COUNTIF(LISTS!$J$2:$J$16,TRIM($G635))&gt;0,"LEFT OUT","NEW")))</f>
        <v/>
      </c>
    </row>
    <row r="636" spans="47:47" x14ac:dyDescent="0.25">
      <c r="AU636" s="8" t="str">
        <f>IF(TRIM($G636)="","",IF(COUNTIF(LISTS!$I$2:$I$16,TRIM($G636))&gt;0,"COUNTED",IF(COUNTIF(LISTS!$J$2:$J$16,TRIM($G636))&gt;0,"LEFT OUT","NEW")))</f>
        <v/>
      </c>
    </row>
    <row r="637" spans="47:47" x14ac:dyDescent="0.25">
      <c r="AU637" s="8" t="str">
        <f>IF(TRIM($G637)="","",IF(COUNTIF(LISTS!$I$2:$I$16,TRIM($G637))&gt;0,"COUNTED",IF(COUNTIF(LISTS!$J$2:$J$16,TRIM($G637))&gt;0,"LEFT OUT","NEW")))</f>
        <v/>
      </c>
    </row>
    <row r="638" spans="47:47" x14ac:dyDescent="0.25">
      <c r="AU638" s="8" t="str">
        <f>IF(TRIM($G638)="","",IF(COUNTIF(LISTS!$I$2:$I$16,TRIM($G638))&gt;0,"COUNTED",IF(COUNTIF(LISTS!$J$2:$J$16,TRIM($G638))&gt;0,"LEFT OUT","NEW")))</f>
        <v/>
      </c>
    </row>
    <row r="639" spans="47:47" x14ac:dyDescent="0.25">
      <c r="AU639" s="8" t="str">
        <f>IF(TRIM($G639)="","",IF(COUNTIF(LISTS!$I$2:$I$16,TRIM($G639))&gt;0,"COUNTED",IF(COUNTIF(LISTS!$J$2:$J$16,TRIM($G639))&gt;0,"LEFT OUT","NEW")))</f>
        <v/>
      </c>
    </row>
    <row r="640" spans="47:47" x14ac:dyDescent="0.25">
      <c r="AU640" s="8" t="str">
        <f>IF(TRIM($G640)="","",IF(COUNTIF(LISTS!$I$2:$I$16,TRIM($G640))&gt;0,"COUNTED",IF(COUNTIF(LISTS!$J$2:$J$16,TRIM($G640))&gt;0,"LEFT OUT","NEW")))</f>
        <v/>
      </c>
    </row>
    <row r="641" spans="47:47" x14ac:dyDescent="0.25">
      <c r="AU641" s="8" t="str">
        <f>IF(TRIM($G641)="","",IF(COUNTIF(LISTS!$I$2:$I$16,TRIM($G641))&gt;0,"COUNTED",IF(COUNTIF(LISTS!$J$2:$J$16,TRIM($G641))&gt;0,"LEFT OUT","NEW")))</f>
        <v/>
      </c>
    </row>
    <row r="642" spans="47:47" x14ac:dyDescent="0.25">
      <c r="AU642" s="8" t="str">
        <f>IF(TRIM($G642)="","",IF(COUNTIF(LISTS!$I$2:$I$16,TRIM($G642))&gt;0,"COUNTED",IF(COUNTIF(LISTS!$J$2:$J$16,TRIM($G642))&gt;0,"LEFT OUT","NEW")))</f>
        <v/>
      </c>
    </row>
    <row r="643" spans="47:47" x14ac:dyDescent="0.25">
      <c r="AU643" s="8" t="str">
        <f>IF(TRIM($G643)="","",IF(COUNTIF(LISTS!$I$2:$I$16,TRIM($G643))&gt;0,"COUNTED",IF(COUNTIF(LISTS!$J$2:$J$16,TRIM($G643))&gt;0,"LEFT OUT","NEW")))</f>
        <v/>
      </c>
    </row>
    <row r="644" spans="47:47" x14ac:dyDescent="0.25">
      <c r="AU644" s="8" t="str">
        <f>IF(TRIM($G644)="","",IF(COUNTIF(LISTS!$I$2:$I$16,TRIM($G644))&gt;0,"COUNTED",IF(COUNTIF(LISTS!$J$2:$J$16,TRIM($G644))&gt;0,"LEFT OUT","NEW")))</f>
        <v/>
      </c>
    </row>
    <row r="645" spans="47:47" x14ac:dyDescent="0.25">
      <c r="AU645" s="8" t="str">
        <f>IF(TRIM($G645)="","",IF(COUNTIF(LISTS!$I$2:$I$16,TRIM($G645))&gt;0,"COUNTED",IF(COUNTIF(LISTS!$J$2:$J$16,TRIM($G645))&gt;0,"LEFT OUT","NEW")))</f>
        <v/>
      </c>
    </row>
    <row r="646" spans="47:47" x14ac:dyDescent="0.25">
      <c r="AU646" s="8" t="str">
        <f>IF(TRIM($G646)="","",IF(COUNTIF(LISTS!$I$2:$I$16,TRIM($G646))&gt;0,"COUNTED",IF(COUNTIF(LISTS!$J$2:$J$16,TRIM($G646))&gt;0,"LEFT OUT","NEW")))</f>
        <v/>
      </c>
    </row>
    <row r="647" spans="47:47" x14ac:dyDescent="0.25">
      <c r="AU647" s="8" t="str">
        <f>IF(TRIM($G647)="","",IF(COUNTIF(LISTS!$I$2:$I$16,TRIM($G647))&gt;0,"COUNTED",IF(COUNTIF(LISTS!$J$2:$J$16,TRIM($G647))&gt;0,"LEFT OUT","NEW")))</f>
        <v/>
      </c>
    </row>
    <row r="648" spans="47:47" x14ac:dyDescent="0.25">
      <c r="AU648" s="8" t="str">
        <f>IF(TRIM($G648)="","",IF(COUNTIF(LISTS!$I$2:$I$16,TRIM($G648))&gt;0,"COUNTED",IF(COUNTIF(LISTS!$J$2:$J$16,TRIM($G648))&gt;0,"LEFT OUT","NEW")))</f>
        <v/>
      </c>
    </row>
    <row r="649" spans="47:47" x14ac:dyDescent="0.25">
      <c r="AU649" s="8" t="str">
        <f>IF(TRIM($G649)="","",IF(COUNTIF(LISTS!$I$2:$I$16,TRIM($G649))&gt;0,"COUNTED",IF(COUNTIF(LISTS!$J$2:$J$16,TRIM($G649))&gt;0,"LEFT OUT","NEW")))</f>
        <v/>
      </c>
    </row>
    <row r="650" spans="47:47" x14ac:dyDescent="0.25">
      <c r="AU650" s="8" t="str">
        <f>IF(TRIM($G650)="","",IF(COUNTIF(LISTS!$I$2:$I$16,TRIM($G650))&gt;0,"COUNTED",IF(COUNTIF(LISTS!$J$2:$J$16,TRIM($G650))&gt;0,"LEFT OUT","NEW")))</f>
        <v/>
      </c>
    </row>
    <row r="651" spans="47:47" x14ac:dyDescent="0.25">
      <c r="AU651" s="8" t="str">
        <f>IF(TRIM($G651)="","",IF(COUNTIF(LISTS!$I$2:$I$16,TRIM($G651))&gt;0,"COUNTED",IF(COUNTIF(LISTS!$J$2:$J$16,TRIM($G651))&gt;0,"LEFT OUT","NEW")))</f>
        <v/>
      </c>
    </row>
    <row r="652" spans="47:47" x14ac:dyDescent="0.25">
      <c r="AU652" s="8" t="str">
        <f>IF(TRIM($G652)="","",IF(COUNTIF(LISTS!$I$2:$I$16,TRIM($G652))&gt;0,"COUNTED",IF(COUNTIF(LISTS!$J$2:$J$16,TRIM($G652))&gt;0,"LEFT OUT","NEW")))</f>
        <v/>
      </c>
    </row>
    <row r="653" spans="47:47" x14ac:dyDescent="0.25">
      <c r="AU653" s="8" t="str">
        <f>IF(TRIM($G653)="","",IF(COUNTIF(LISTS!$I$2:$I$16,TRIM($G653))&gt;0,"COUNTED",IF(COUNTIF(LISTS!$J$2:$J$16,TRIM($G653))&gt;0,"LEFT OUT","NEW")))</f>
        <v/>
      </c>
    </row>
    <row r="654" spans="47:47" x14ac:dyDescent="0.25">
      <c r="AU654" s="8" t="str">
        <f>IF(TRIM($G654)="","",IF(COUNTIF(LISTS!$I$2:$I$16,TRIM($G654))&gt;0,"COUNTED",IF(COUNTIF(LISTS!$J$2:$J$16,TRIM($G654))&gt;0,"LEFT OUT","NEW")))</f>
        <v/>
      </c>
    </row>
    <row r="655" spans="47:47" x14ac:dyDescent="0.25">
      <c r="AU655" s="8" t="str">
        <f>IF(TRIM($G655)="","",IF(COUNTIF(LISTS!$I$2:$I$16,TRIM($G655))&gt;0,"COUNTED",IF(COUNTIF(LISTS!$J$2:$J$16,TRIM($G655))&gt;0,"LEFT OUT","NEW")))</f>
        <v/>
      </c>
    </row>
    <row r="656" spans="47:47" x14ac:dyDescent="0.25">
      <c r="AU656" s="8" t="str">
        <f>IF(TRIM($G656)="","",IF(COUNTIF(LISTS!$I$2:$I$16,TRIM($G656))&gt;0,"COUNTED",IF(COUNTIF(LISTS!$J$2:$J$16,TRIM($G656))&gt;0,"LEFT OUT","NEW")))</f>
        <v/>
      </c>
    </row>
    <row r="657" spans="47:47" x14ac:dyDescent="0.25">
      <c r="AU657" s="8" t="str">
        <f>IF(TRIM($G657)="","",IF(COUNTIF(LISTS!$I$2:$I$16,TRIM($G657))&gt;0,"COUNTED",IF(COUNTIF(LISTS!$J$2:$J$16,TRIM($G657))&gt;0,"LEFT OUT","NEW")))</f>
        <v/>
      </c>
    </row>
    <row r="658" spans="47:47" x14ac:dyDescent="0.25">
      <c r="AU658" s="8" t="str">
        <f>IF(TRIM($G658)="","",IF(COUNTIF(LISTS!$I$2:$I$16,TRIM($G658))&gt;0,"COUNTED",IF(COUNTIF(LISTS!$J$2:$J$16,TRIM($G658))&gt;0,"LEFT OUT","NEW")))</f>
        <v/>
      </c>
    </row>
    <row r="659" spans="47:47" x14ac:dyDescent="0.25">
      <c r="AU659" s="8" t="str">
        <f>IF(TRIM($G659)="","",IF(COUNTIF(LISTS!$I$2:$I$16,TRIM($G659))&gt;0,"COUNTED",IF(COUNTIF(LISTS!$J$2:$J$16,TRIM($G659))&gt;0,"LEFT OUT","NEW")))</f>
        <v/>
      </c>
    </row>
    <row r="660" spans="47:47" x14ac:dyDescent="0.25">
      <c r="AU660" s="8" t="str">
        <f>IF(TRIM($G660)="","",IF(COUNTIF(LISTS!$I$2:$I$16,TRIM($G660))&gt;0,"COUNTED",IF(COUNTIF(LISTS!$J$2:$J$16,TRIM($G660))&gt;0,"LEFT OUT","NEW")))</f>
        <v/>
      </c>
    </row>
    <row r="661" spans="47:47" x14ac:dyDescent="0.25">
      <c r="AU661" s="8" t="str">
        <f>IF(TRIM($G661)="","",IF(COUNTIF(LISTS!$I$2:$I$16,TRIM($G661))&gt;0,"COUNTED",IF(COUNTIF(LISTS!$J$2:$J$16,TRIM($G661))&gt;0,"LEFT OUT","NEW")))</f>
        <v/>
      </c>
    </row>
    <row r="662" spans="47:47" x14ac:dyDescent="0.25">
      <c r="AU662" s="8" t="str">
        <f>IF(TRIM($G662)="","",IF(COUNTIF(LISTS!$I$2:$I$16,TRIM($G662))&gt;0,"COUNTED",IF(COUNTIF(LISTS!$J$2:$J$16,TRIM($G662))&gt;0,"LEFT OUT","NEW")))</f>
        <v/>
      </c>
    </row>
    <row r="663" spans="47:47" x14ac:dyDescent="0.25">
      <c r="AU663" s="8" t="str">
        <f>IF(TRIM($G663)="","",IF(COUNTIF(LISTS!$I$2:$I$16,TRIM($G663))&gt;0,"COUNTED",IF(COUNTIF(LISTS!$J$2:$J$16,TRIM($G663))&gt;0,"LEFT OUT","NEW")))</f>
        <v/>
      </c>
    </row>
    <row r="664" spans="47:47" x14ac:dyDescent="0.25">
      <c r="AU664" s="8" t="str">
        <f>IF(TRIM($G664)="","",IF(COUNTIF(LISTS!$I$2:$I$16,TRIM($G664))&gt;0,"COUNTED",IF(COUNTIF(LISTS!$J$2:$J$16,TRIM($G664))&gt;0,"LEFT OUT","NEW")))</f>
        <v/>
      </c>
    </row>
    <row r="665" spans="47:47" x14ac:dyDescent="0.25">
      <c r="AU665" s="8" t="str">
        <f>IF(TRIM($G665)="","",IF(COUNTIF(LISTS!$I$2:$I$16,TRIM($G665))&gt;0,"COUNTED",IF(COUNTIF(LISTS!$J$2:$J$16,TRIM($G665))&gt;0,"LEFT OUT","NEW")))</f>
        <v/>
      </c>
    </row>
    <row r="666" spans="47:47" x14ac:dyDescent="0.25">
      <c r="AU666" s="8" t="str">
        <f>IF(TRIM($G666)="","",IF(COUNTIF(LISTS!$I$2:$I$16,TRIM($G666))&gt;0,"COUNTED",IF(COUNTIF(LISTS!$J$2:$J$16,TRIM($G666))&gt;0,"LEFT OUT","NEW")))</f>
        <v/>
      </c>
    </row>
    <row r="667" spans="47:47" x14ac:dyDescent="0.25">
      <c r="AU667" s="8" t="str">
        <f>IF(TRIM($G667)="","",IF(COUNTIF(LISTS!$I$2:$I$16,TRIM($G667))&gt;0,"COUNTED",IF(COUNTIF(LISTS!$J$2:$J$16,TRIM($G667))&gt;0,"LEFT OUT","NEW")))</f>
        <v/>
      </c>
    </row>
    <row r="668" spans="47:47" x14ac:dyDescent="0.25">
      <c r="AU668" s="8" t="str">
        <f>IF(TRIM($G668)="","",IF(COUNTIF(LISTS!$I$2:$I$16,TRIM($G668))&gt;0,"COUNTED",IF(COUNTIF(LISTS!$J$2:$J$16,TRIM($G668))&gt;0,"LEFT OUT","NEW")))</f>
        <v/>
      </c>
    </row>
    <row r="669" spans="47:47" x14ac:dyDescent="0.25">
      <c r="AU669" s="8" t="str">
        <f>IF(TRIM($G669)="","",IF(COUNTIF(LISTS!$I$2:$I$16,TRIM($G669))&gt;0,"COUNTED",IF(COUNTIF(LISTS!$J$2:$J$16,TRIM($G669))&gt;0,"LEFT OUT","NEW")))</f>
        <v/>
      </c>
    </row>
    <row r="670" spans="47:47" x14ac:dyDescent="0.25">
      <c r="AU670" s="8" t="str">
        <f>IF(TRIM($G670)="","",IF(COUNTIF(LISTS!$I$2:$I$16,TRIM($G670))&gt;0,"COUNTED",IF(COUNTIF(LISTS!$J$2:$J$16,TRIM($G670))&gt;0,"LEFT OUT","NEW")))</f>
        <v/>
      </c>
    </row>
    <row r="671" spans="47:47" x14ac:dyDescent="0.25">
      <c r="AU671" s="8" t="str">
        <f>IF(TRIM($G671)="","",IF(COUNTIF(LISTS!$I$2:$I$16,TRIM($G671))&gt;0,"COUNTED",IF(COUNTIF(LISTS!$J$2:$J$16,TRIM($G671))&gt;0,"LEFT OUT","NEW")))</f>
        <v/>
      </c>
    </row>
    <row r="672" spans="47:47" x14ac:dyDescent="0.25">
      <c r="AU672" s="8" t="str">
        <f>IF(TRIM($G672)="","",IF(COUNTIF(LISTS!$I$2:$I$16,TRIM($G672))&gt;0,"COUNTED",IF(COUNTIF(LISTS!$J$2:$J$16,TRIM($G672))&gt;0,"LEFT OUT","NEW")))</f>
        <v/>
      </c>
    </row>
    <row r="673" spans="47:47" x14ac:dyDescent="0.25">
      <c r="AU673" s="8" t="str">
        <f>IF(TRIM($G673)="","",IF(COUNTIF(LISTS!$I$2:$I$16,TRIM($G673))&gt;0,"COUNTED",IF(COUNTIF(LISTS!$J$2:$J$16,TRIM($G673))&gt;0,"LEFT OUT","NEW")))</f>
        <v/>
      </c>
    </row>
    <row r="674" spans="47:47" x14ac:dyDescent="0.25">
      <c r="AU674" s="8" t="str">
        <f>IF(TRIM($G674)="","",IF(COUNTIF(LISTS!$I$2:$I$16,TRIM($G674))&gt;0,"COUNTED",IF(COUNTIF(LISTS!$J$2:$J$16,TRIM($G674))&gt;0,"LEFT OUT","NEW")))</f>
        <v/>
      </c>
    </row>
    <row r="675" spans="47:47" x14ac:dyDescent="0.25">
      <c r="AU675" s="8" t="str">
        <f>IF(TRIM($G675)="","",IF(COUNTIF(LISTS!$I$2:$I$16,TRIM($G675))&gt;0,"COUNTED",IF(COUNTIF(LISTS!$J$2:$J$16,TRIM($G675))&gt;0,"LEFT OUT","NEW")))</f>
        <v/>
      </c>
    </row>
    <row r="676" spans="47:47" x14ac:dyDescent="0.25">
      <c r="AU676" s="8" t="str">
        <f>IF(TRIM($G676)="","",IF(COUNTIF(LISTS!$I$2:$I$16,TRIM($G676))&gt;0,"COUNTED",IF(COUNTIF(LISTS!$J$2:$J$16,TRIM($G676))&gt;0,"LEFT OUT","NEW")))</f>
        <v/>
      </c>
    </row>
    <row r="677" spans="47:47" x14ac:dyDescent="0.25">
      <c r="AU677" s="8" t="str">
        <f>IF(TRIM($G677)="","",IF(COUNTIF(LISTS!$I$2:$I$16,TRIM($G677))&gt;0,"COUNTED",IF(COUNTIF(LISTS!$J$2:$J$16,TRIM($G677))&gt;0,"LEFT OUT","NEW")))</f>
        <v/>
      </c>
    </row>
    <row r="678" spans="47:47" x14ac:dyDescent="0.25">
      <c r="AU678" s="8" t="str">
        <f>IF(TRIM($G678)="","",IF(COUNTIF(LISTS!$I$2:$I$16,TRIM($G678))&gt;0,"COUNTED",IF(COUNTIF(LISTS!$J$2:$J$16,TRIM($G678))&gt;0,"LEFT OUT","NEW")))</f>
        <v/>
      </c>
    </row>
    <row r="679" spans="47:47" x14ac:dyDescent="0.25">
      <c r="AU679" s="8" t="str">
        <f>IF(TRIM($G679)="","",IF(COUNTIF(LISTS!$I$2:$I$16,TRIM($G679))&gt;0,"COUNTED",IF(COUNTIF(LISTS!$J$2:$J$16,TRIM($G679))&gt;0,"LEFT OUT","NEW")))</f>
        <v/>
      </c>
    </row>
    <row r="680" spans="47:47" x14ac:dyDescent="0.25">
      <c r="AU680" s="8" t="str">
        <f>IF(TRIM($G680)="","",IF(COUNTIF(LISTS!$I$2:$I$16,TRIM($G680))&gt;0,"COUNTED",IF(COUNTIF(LISTS!$J$2:$J$16,TRIM($G680))&gt;0,"LEFT OUT","NEW")))</f>
        <v/>
      </c>
    </row>
    <row r="681" spans="47:47" x14ac:dyDescent="0.25">
      <c r="AU681" s="8" t="str">
        <f>IF(TRIM($G681)="","",IF(COUNTIF(LISTS!$I$2:$I$16,TRIM($G681))&gt;0,"COUNTED",IF(COUNTIF(LISTS!$J$2:$J$16,TRIM($G681))&gt;0,"LEFT OUT","NEW")))</f>
        <v/>
      </c>
    </row>
    <row r="682" spans="47:47" x14ac:dyDescent="0.25">
      <c r="AU682" s="8" t="str">
        <f>IF(TRIM($G682)="","",IF(COUNTIF(LISTS!$I$2:$I$16,TRIM($G682))&gt;0,"COUNTED",IF(COUNTIF(LISTS!$J$2:$J$16,TRIM($G682))&gt;0,"LEFT OUT","NEW")))</f>
        <v/>
      </c>
    </row>
    <row r="683" spans="47:47" x14ac:dyDescent="0.25">
      <c r="AU683" s="8" t="str">
        <f>IF(TRIM($G683)="","",IF(COUNTIF(LISTS!$I$2:$I$16,TRIM($G683))&gt;0,"COUNTED",IF(COUNTIF(LISTS!$J$2:$J$16,TRIM($G683))&gt;0,"LEFT OUT","NEW")))</f>
        <v/>
      </c>
    </row>
    <row r="684" spans="47:47" x14ac:dyDescent="0.25">
      <c r="AU684" s="8" t="str">
        <f>IF(TRIM($G684)="","",IF(COUNTIF(LISTS!$I$2:$I$16,TRIM($G684))&gt;0,"COUNTED",IF(COUNTIF(LISTS!$J$2:$J$16,TRIM($G684))&gt;0,"LEFT OUT","NEW")))</f>
        <v/>
      </c>
    </row>
    <row r="685" spans="47:47" x14ac:dyDescent="0.25">
      <c r="AU685" s="8" t="str">
        <f>IF(TRIM($G685)="","",IF(COUNTIF(LISTS!$I$2:$I$16,TRIM($G685))&gt;0,"COUNTED",IF(COUNTIF(LISTS!$J$2:$J$16,TRIM($G685))&gt;0,"LEFT OUT","NEW")))</f>
        <v/>
      </c>
    </row>
    <row r="686" spans="47:47" x14ac:dyDescent="0.25">
      <c r="AU686" s="8" t="str">
        <f>IF(TRIM($G686)="","",IF(COUNTIF(LISTS!$I$2:$I$16,TRIM($G686))&gt;0,"COUNTED",IF(COUNTIF(LISTS!$J$2:$J$16,TRIM($G686))&gt;0,"LEFT OUT","NEW")))</f>
        <v/>
      </c>
    </row>
    <row r="687" spans="47:47" x14ac:dyDescent="0.25">
      <c r="AU687" s="8" t="str">
        <f>IF(TRIM($G687)="","",IF(COUNTIF(LISTS!$I$2:$I$16,TRIM($G687))&gt;0,"COUNTED",IF(COUNTIF(LISTS!$J$2:$J$16,TRIM($G687))&gt;0,"LEFT OUT","NEW")))</f>
        <v/>
      </c>
    </row>
    <row r="688" spans="47:47" x14ac:dyDescent="0.25">
      <c r="AU688" s="8" t="str">
        <f>IF(TRIM($G688)="","",IF(COUNTIF(LISTS!$I$2:$I$16,TRIM($G688))&gt;0,"COUNTED",IF(COUNTIF(LISTS!$J$2:$J$16,TRIM($G688))&gt;0,"LEFT OUT","NEW")))</f>
        <v/>
      </c>
    </row>
    <row r="689" spans="47:47" x14ac:dyDescent="0.25">
      <c r="AU689" s="8" t="str">
        <f>IF(TRIM($G689)="","",IF(COUNTIF(LISTS!$I$2:$I$16,TRIM($G689))&gt;0,"COUNTED",IF(COUNTIF(LISTS!$J$2:$J$16,TRIM($G689))&gt;0,"LEFT OUT","NEW")))</f>
        <v/>
      </c>
    </row>
    <row r="690" spans="47:47" x14ac:dyDescent="0.25">
      <c r="AU690" s="8" t="str">
        <f>IF(TRIM($G690)="","",IF(COUNTIF(LISTS!$I$2:$I$16,TRIM($G690))&gt;0,"COUNTED",IF(COUNTIF(LISTS!$J$2:$J$16,TRIM($G690))&gt;0,"LEFT OUT","NEW")))</f>
        <v/>
      </c>
    </row>
    <row r="691" spans="47:47" x14ac:dyDescent="0.25">
      <c r="AU691" s="8" t="str">
        <f>IF(TRIM($G691)="","",IF(COUNTIF(LISTS!$I$2:$I$16,TRIM($G691))&gt;0,"COUNTED",IF(COUNTIF(LISTS!$J$2:$J$16,TRIM($G691))&gt;0,"LEFT OUT","NEW")))</f>
        <v/>
      </c>
    </row>
    <row r="692" spans="47:47" x14ac:dyDescent="0.25">
      <c r="AU692" s="8" t="str">
        <f>IF(TRIM($G692)="","",IF(COUNTIF(LISTS!$I$2:$I$16,TRIM($G692))&gt;0,"COUNTED",IF(COUNTIF(LISTS!$J$2:$J$16,TRIM($G692))&gt;0,"LEFT OUT","NEW")))</f>
        <v/>
      </c>
    </row>
    <row r="693" spans="47:47" x14ac:dyDescent="0.25">
      <c r="AU693" s="8" t="str">
        <f>IF(TRIM($G693)="","",IF(COUNTIF(LISTS!$I$2:$I$16,TRIM($G693))&gt;0,"COUNTED",IF(COUNTIF(LISTS!$J$2:$J$16,TRIM($G693))&gt;0,"LEFT OUT","NEW")))</f>
        <v/>
      </c>
    </row>
    <row r="694" spans="47:47" x14ac:dyDescent="0.25">
      <c r="AU694" s="8" t="str">
        <f>IF(TRIM($G694)="","",IF(COUNTIF(LISTS!$I$2:$I$16,TRIM($G694))&gt;0,"COUNTED",IF(COUNTIF(LISTS!$J$2:$J$16,TRIM($G694))&gt;0,"LEFT OUT","NEW")))</f>
        <v/>
      </c>
    </row>
    <row r="695" spans="47:47" x14ac:dyDescent="0.25">
      <c r="AU695" s="8" t="str">
        <f>IF(TRIM($G695)="","",IF(COUNTIF(LISTS!$I$2:$I$16,TRIM($G695))&gt;0,"COUNTED",IF(COUNTIF(LISTS!$J$2:$J$16,TRIM($G695))&gt;0,"LEFT OUT","NEW")))</f>
        <v/>
      </c>
    </row>
    <row r="696" spans="47:47" x14ac:dyDescent="0.25">
      <c r="AU696" s="8" t="str">
        <f>IF(TRIM($G696)="","",IF(COUNTIF(LISTS!$I$2:$I$16,TRIM($G696))&gt;0,"COUNTED",IF(COUNTIF(LISTS!$J$2:$J$16,TRIM($G696))&gt;0,"LEFT OUT","NEW")))</f>
        <v/>
      </c>
    </row>
    <row r="697" spans="47:47" x14ac:dyDescent="0.25">
      <c r="AU697" s="8" t="str">
        <f>IF(TRIM($G697)="","",IF(COUNTIF(LISTS!$I$2:$I$16,TRIM($G697))&gt;0,"COUNTED",IF(COUNTIF(LISTS!$J$2:$J$16,TRIM($G697))&gt;0,"LEFT OUT","NEW")))</f>
        <v/>
      </c>
    </row>
    <row r="698" spans="47:47" x14ac:dyDescent="0.25">
      <c r="AU698" s="8" t="str">
        <f>IF(TRIM($G698)="","",IF(COUNTIF(LISTS!$I$2:$I$16,TRIM($G698))&gt;0,"COUNTED",IF(COUNTIF(LISTS!$J$2:$J$16,TRIM($G698))&gt;0,"LEFT OUT","NEW")))</f>
        <v/>
      </c>
    </row>
    <row r="699" spans="47:47" x14ac:dyDescent="0.25">
      <c r="AU699" s="8" t="str">
        <f>IF(TRIM($G699)="","",IF(COUNTIF(LISTS!$I$2:$I$16,TRIM($G699))&gt;0,"COUNTED",IF(COUNTIF(LISTS!$J$2:$J$16,TRIM($G699))&gt;0,"LEFT OUT","NEW")))</f>
        <v/>
      </c>
    </row>
    <row r="700" spans="47:47" x14ac:dyDescent="0.25">
      <c r="AU700" s="8" t="str">
        <f>IF(TRIM($G700)="","",IF(COUNTIF(LISTS!$I$2:$I$16,TRIM($G700))&gt;0,"COUNTED",IF(COUNTIF(LISTS!$J$2:$J$16,TRIM($G700))&gt;0,"LEFT OUT","NEW")))</f>
        <v/>
      </c>
    </row>
    <row r="701" spans="47:47" x14ac:dyDescent="0.25">
      <c r="AU701" s="8" t="str">
        <f>IF(TRIM($G701)="","",IF(COUNTIF(LISTS!$I$2:$I$16,TRIM($G701))&gt;0,"COUNTED",IF(COUNTIF(LISTS!$J$2:$J$16,TRIM($G701))&gt;0,"LEFT OUT","NEW")))</f>
        <v/>
      </c>
    </row>
    <row r="702" spans="47:47" x14ac:dyDescent="0.25">
      <c r="AU702" s="8" t="str">
        <f>IF(TRIM($G702)="","",IF(COUNTIF(LISTS!$I$2:$I$16,TRIM($G702))&gt;0,"COUNTED",IF(COUNTIF(LISTS!$J$2:$J$16,TRIM($G702))&gt;0,"LEFT OUT","NEW")))</f>
        <v/>
      </c>
    </row>
    <row r="703" spans="47:47" x14ac:dyDescent="0.25">
      <c r="AU703" s="8" t="str">
        <f>IF(TRIM($G703)="","",IF(COUNTIF(LISTS!$I$2:$I$16,TRIM($G703))&gt;0,"COUNTED",IF(COUNTIF(LISTS!$J$2:$J$16,TRIM($G703))&gt;0,"LEFT OUT","NEW")))</f>
        <v/>
      </c>
    </row>
    <row r="704" spans="47:47" x14ac:dyDescent="0.25">
      <c r="AU704" s="8" t="str">
        <f>IF(TRIM($G704)="","",IF(COUNTIF(LISTS!$I$2:$I$16,TRIM($G704))&gt;0,"COUNTED",IF(COUNTIF(LISTS!$J$2:$J$16,TRIM($G704))&gt;0,"LEFT OUT","NEW")))</f>
        <v/>
      </c>
    </row>
    <row r="705" spans="47:47" x14ac:dyDescent="0.25">
      <c r="AU705" s="8" t="str">
        <f>IF(TRIM($G705)="","",IF(COUNTIF(LISTS!$I$2:$I$16,TRIM($G705))&gt;0,"COUNTED",IF(COUNTIF(LISTS!$J$2:$J$16,TRIM($G705))&gt;0,"LEFT OUT","NEW")))</f>
        <v/>
      </c>
    </row>
    <row r="706" spans="47:47" x14ac:dyDescent="0.25">
      <c r="AU706" s="8" t="str">
        <f>IF(TRIM($G706)="","",IF(COUNTIF(LISTS!$I$2:$I$16,TRIM($G706))&gt;0,"COUNTED",IF(COUNTIF(LISTS!$J$2:$J$16,TRIM($G706))&gt;0,"LEFT OUT","NEW")))</f>
        <v/>
      </c>
    </row>
    <row r="707" spans="47:47" x14ac:dyDescent="0.25">
      <c r="AU707" s="8" t="str">
        <f>IF(TRIM($G707)="","",IF(COUNTIF(LISTS!$I$2:$I$16,TRIM($G707))&gt;0,"COUNTED",IF(COUNTIF(LISTS!$J$2:$J$16,TRIM($G707))&gt;0,"LEFT OUT","NEW")))</f>
        <v/>
      </c>
    </row>
    <row r="708" spans="47:47" x14ac:dyDescent="0.25">
      <c r="AU708" s="8" t="str">
        <f>IF(TRIM($G708)="","",IF(COUNTIF(LISTS!$I$2:$I$16,TRIM($G708))&gt;0,"COUNTED",IF(COUNTIF(LISTS!$J$2:$J$16,TRIM($G708))&gt;0,"LEFT OUT","NEW")))</f>
        <v/>
      </c>
    </row>
    <row r="709" spans="47:47" x14ac:dyDescent="0.25">
      <c r="AU709" s="8" t="str">
        <f>IF(TRIM($G709)="","",IF(COUNTIF(LISTS!$I$2:$I$16,TRIM($G709))&gt;0,"COUNTED",IF(COUNTIF(LISTS!$J$2:$J$16,TRIM($G709))&gt;0,"LEFT OUT","NEW")))</f>
        <v/>
      </c>
    </row>
    <row r="710" spans="47:47" x14ac:dyDescent="0.25">
      <c r="AU710" s="8" t="str">
        <f>IF(TRIM($G710)="","",IF(COUNTIF(LISTS!$I$2:$I$16,TRIM($G710))&gt;0,"COUNTED",IF(COUNTIF(LISTS!$J$2:$J$16,TRIM($G710))&gt;0,"LEFT OUT","NEW")))</f>
        <v/>
      </c>
    </row>
    <row r="711" spans="47:47" x14ac:dyDescent="0.25">
      <c r="AU711" s="8" t="str">
        <f>IF(TRIM($G711)="","",IF(COUNTIF(LISTS!$I$2:$I$16,TRIM($G711))&gt;0,"COUNTED",IF(COUNTIF(LISTS!$J$2:$J$16,TRIM($G711))&gt;0,"LEFT OUT","NEW")))</f>
        <v/>
      </c>
    </row>
    <row r="712" spans="47:47" x14ac:dyDescent="0.25">
      <c r="AU712" s="8" t="str">
        <f>IF(TRIM($G712)="","",IF(COUNTIF(LISTS!$I$2:$I$16,TRIM($G712))&gt;0,"COUNTED",IF(COUNTIF(LISTS!$J$2:$J$16,TRIM($G712))&gt;0,"LEFT OUT","NEW")))</f>
        <v/>
      </c>
    </row>
    <row r="713" spans="47:47" x14ac:dyDescent="0.25">
      <c r="AU713" s="8" t="str">
        <f>IF(TRIM($G713)="","",IF(COUNTIF(LISTS!$I$2:$I$16,TRIM($G713))&gt;0,"COUNTED",IF(COUNTIF(LISTS!$J$2:$J$16,TRIM($G713))&gt;0,"LEFT OUT","NEW")))</f>
        <v/>
      </c>
    </row>
    <row r="714" spans="47:47" x14ac:dyDescent="0.25">
      <c r="AU714" s="8" t="str">
        <f>IF(TRIM($G714)="","",IF(COUNTIF(LISTS!$I$2:$I$16,TRIM($G714))&gt;0,"COUNTED",IF(COUNTIF(LISTS!$J$2:$J$16,TRIM($G714))&gt;0,"LEFT OUT","NEW")))</f>
        <v/>
      </c>
    </row>
    <row r="715" spans="47:47" x14ac:dyDescent="0.25">
      <c r="AU715" s="8" t="str">
        <f>IF(TRIM($G715)="","",IF(COUNTIF(LISTS!$I$2:$I$16,TRIM($G715))&gt;0,"COUNTED",IF(COUNTIF(LISTS!$J$2:$J$16,TRIM($G715))&gt;0,"LEFT OUT","NEW")))</f>
        <v/>
      </c>
    </row>
    <row r="716" spans="47:47" x14ac:dyDescent="0.25">
      <c r="AU716" s="8" t="str">
        <f>IF(TRIM($G716)="","",IF(COUNTIF(LISTS!$I$2:$I$16,TRIM($G716))&gt;0,"COUNTED",IF(COUNTIF(LISTS!$J$2:$J$16,TRIM($G716))&gt;0,"LEFT OUT","NEW")))</f>
        <v/>
      </c>
    </row>
    <row r="717" spans="47:47" x14ac:dyDescent="0.25">
      <c r="AU717" s="8" t="str">
        <f>IF(TRIM($G717)="","",IF(COUNTIF(LISTS!$I$2:$I$16,TRIM($G717))&gt;0,"COUNTED",IF(COUNTIF(LISTS!$J$2:$J$16,TRIM($G717))&gt;0,"LEFT OUT","NEW")))</f>
        <v/>
      </c>
    </row>
    <row r="718" spans="47:47" x14ac:dyDescent="0.25">
      <c r="AU718" s="8" t="str">
        <f>IF(TRIM($G718)="","",IF(COUNTIF(LISTS!$I$2:$I$16,TRIM($G718))&gt;0,"COUNTED",IF(COUNTIF(LISTS!$J$2:$J$16,TRIM($G718))&gt;0,"LEFT OUT","NEW")))</f>
        <v/>
      </c>
    </row>
    <row r="719" spans="47:47" x14ac:dyDescent="0.25">
      <c r="AU719" s="8" t="str">
        <f>IF(TRIM($G719)="","",IF(COUNTIF(LISTS!$I$2:$I$16,TRIM($G719))&gt;0,"COUNTED",IF(COUNTIF(LISTS!$J$2:$J$16,TRIM($G719))&gt;0,"LEFT OUT","NEW")))</f>
        <v/>
      </c>
    </row>
    <row r="720" spans="47:47" x14ac:dyDescent="0.25">
      <c r="AU720" s="8" t="str">
        <f>IF(TRIM($G720)="","",IF(COUNTIF(LISTS!$I$2:$I$16,TRIM($G720))&gt;0,"COUNTED",IF(COUNTIF(LISTS!$J$2:$J$16,TRIM($G720))&gt;0,"LEFT OUT","NEW")))</f>
        <v/>
      </c>
    </row>
    <row r="721" spans="47:47" x14ac:dyDescent="0.25">
      <c r="AU721" s="8" t="str">
        <f>IF(TRIM($G721)="","",IF(COUNTIF(LISTS!$I$2:$I$16,TRIM($G721))&gt;0,"COUNTED",IF(COUNTIF(LISTS!$J$2:$J$16,TRIM($G721))&gt;0,"LEFT OUT","NEW")))</f>
        <v/>
      </c>
    </row>
    <row r="722" spans="47:47" x14ac:dyDescent="0.25">
      <c r="AU722" s="8" t="str">
        <f>IF(TRIM($G722)="","",IF(COUNTIF(LISTS!$I$2:$I$16,TRIM($G722))&gt;0,"COUNTED",IF(COUNTIF(LISTS!$J$2:$J$16,TRIM($G722))&gt;0,"LEFT OUT","NEW")))</f>
        <v/>
      </c>
    </row>
    <row r="723" spans="47:47" x14ac:dyDescent="0.25">
      <c r="AU723" s="8" t="str">
        <f>IF(TRIM($G723)="","",IF(COUNTIF(LISTS!$I$2:$I$16,TRIM($G723))&gt;0,"COUNTED",IF(COUNTIF(LISTS!$J$2:$J$16,TRIM($G723))&gt;0,"LEFT OUT","NEW")))</f>
        <v/>
      </c>
    </row>
    <row r="724" spans="47:47" x14ac:dyDescent="0.25">
      <c r="AU724" s="8" t="str">
        <f>IF(TRIM($G724)="","",IF(COUNTIF(LISTS!$I$2:$I$16,TRIM($G724))&gt;0,"COUNTED",IF(COUNTIF(LISTS!$J$2:$J$16,TRIM($G724))&gt;0,"LEFT OUT","NEW")))</f>
        <v/>
      </c>
    </row>
    <row r="725" spans="47:47" x14ac:dyDescent="0.25">
      <c r="AU725" s="8" t="str">
        <f>IF(TRIM($G725)="","",IF(COUNTIF(LISTS!$I$2:$I$16,TRIM($G725))&gt;0,"COUNTED",IF(COUNTIF(LISTS!$J$2:$J$16,TRIM($G725))&gt;0,"LEFT OUT","NEW")))</f>
        <v/>
      </c>
    </row>
    <row r="726" spans="47:47" x14ac:dyDescent="0.25">
      <c r="AU726" s="8" t="str">
        <f>IF(TRIM($G726)="","",IF(COUNTIF(LISTS!$I$2:$I$16,TRIM($G726))&gt;0,"COUNTED",IF(COUNTIF(LISTS!$J$2:$J$16,TRIM($G726))&gt;0,"LEFT OUT","NEW")))</f>
        <v/>
      </c>
    </row>
    <row r="727" spans="47:47" x14ac:dyDescent="0.25">
      <c r="AU727" s="8" t="str">
        <f>IF(TRIM($G727)="","",IF(COUNTIF(LISTS!$I$2:$I$16,TRIM($G727))&gt;0,"COUNTED",IF(COUNTIF(LISTS!$J$2:$J$16,TRIM($G727))&gt;0,"LEFT OUT","NEW")))</f>
        <v/>
      </c>
    </row>
    <row r="728" spans="47:47" x14ac:dyDescent="0.25">
      <c r="AU728" s="8" t="str">
        <f>IF(TRIM($G728)="","",IF(COUNTIF(LISTS!$I$2:$I$16,TRIM($G728))&gt;0,"COUNTED",IF(COUNTIF(LISTS!$J$2:$J$16,TRIM($G728))&gt;0,"LEFT OUT","NEW")))</f>
        <v/>
      </c>
    </row>
    <row r="729" spans="47:47" x14ac:dyDescent="0.25">
      <c r="AU729" s="8" t="str">
        <f>IF(TRIM($G729)="","",IF(COUNTIF(LISTS!$I$2:$I$16,TRIM($G729))&gt;0,"COUNTED",IF(COUNTIF(LISTS!$J$2:$J$16,TRIM($G729))&gt;0,"LEFT OUT","NEW")))</f>
        <v/>
      </c>
    </row>
    <row r="730" spans="47:47" x14ac:dyDescent="0.25">
      <c r="AU730" s="8" t="str">
        <f>IF(TRIM($G730)="","",IF(COUNTIF(LISTS!$I$2:$I$16,TRIM($G730))&gt;0,"COUNTED",IF(COUNTIF(LISTS!$J$2:$J$16,TRIM($G730))&gt;0,"LEFT OUT","NEW")))</f>
        <v/>
      </c>
    </row>
    <row r="731" spans="47:47" x14ac:dyDescent="0.25">
      <c r="AU731" s="8" t="str">
        <f>IF(TRIM($G731)="","",IF(COUNTIF(LISTS!$I$2:$I$16,TRIM($G731))&gt;0,"COUNTED",IF(COUNTIF(LISTS!$J$2:$J$16,TRIM($G731))&gt;0,"LEFT OUT","NEW")))</f>
        <v/>
      </c>
    </row>
    <row r="732" spans="47:47" x14ac:dyDescent="0.25">
      <c r="AU732" s="8" t="str">
        <f>IF(TRIM($G732)="","",IF(COUNTIF(LISTS!$I$2:$I$16,TRIM($G732))&gt;0,"COUNTED",IF(COUNTIF(LISTS!$J$2:$J$16,TRIM($G732))&gt;0,"LEFT OUT","NEW")))</f>
        <v/>
      </c>
    </row>
    <row r="733" spans="47:47" x14ac:dyDescent="0.25">
      <c r="AU733" s="8" t="str">
        <f>IF(TRIM($G733)="","",IF(COUNTIF(LISTS!$I$2:$I$16,TRIM($G733))&gt;0,"COUNTED",IF(COUNTIF(LISTS!$J$2:$J$16,TRIM($G733))&gt;0,"LEFT OUT","NEW")))</f>
        <v/>
      </c>
    </row>
    <row r="734" spans="47:47" x14ac:dyDescent="0.25">
      <c r="AU734" s="8" t="str">
        <f>IF(TRIM($G734)="","",IF(COUNTIF(LISTS!$I$2:$I$16,TRIM($G734))&gt;0,"COUNTED",IF(COUNTIF(LISTS!$J$2:$J$16,TRIM($G734))&gt;0,"LEFT OUT","NEW")))</f>
        <v/>
      </c>
    </row>
    <row r="735" spans="47:47" x14ac:dyDescent="0.25">
      <c r="AU735" s="8" t="str">
        <f>IF(TRIM($G735)="","",IF(COUNTIF(LISTS!$I$2:$I$16,TRIM($G735))&gt;0,"COUNTED",IF(COUNTIF(LISTS!$J$2:$J$16,TRIM($G735))&gt;0,"LEFT OUT","NEW")))</f>
        <v/>
      </c>
    </row>
    <row r="736" spans="47:47" x14ac:dyDescent="0.25">
      <c r="AU736" s="8" t="str">
        <f>IF(TRIM($G736)="","",IF(COUNTIF(LISTS!$I$2:$I$16,TRIM($G736))&gt;0,"COUNTED",IF(COUNTIF(LISTS!$J$2:$J$16,TRIM($G736))&gt;0,"LEFT OUT","NEW")))</f>
        <v/>
      </c>
    </row>
    <row r="737" spans="47:47" x14ac:dyDescent="0.25">
      <c r="AU737" s="8" t="str">
        <f>IF(TRIM($G737)="","",IF(COUNTIF(LISTS!$I$2:$I$16,TRIM($G737))&gt;0,"COUNTED",IF(COUNTIF(LISTS!$J$2:$J$16,TRIM($G737))&gt;0,"LEFT OUT","NEW")))</f>
        <v/>
      </c>
    </row>
    <row r="738" spans="47:47" x14ac:dyDescent="0.25">
      <c r="AU738" s="8" t="str">
        <f>IF(TRIM($G738)="","",IF(COUNTIF(LISTS!$I$2:$I$16,TRIM($G738))&gt;0,"COUNTED",IF(COUNTIF(LISTS!$J$2:$J$16,TRIM($G738))&gt;0,"LEFT OUT","NEW")))</f>
        <v/>
      </c>
    </row>
    <row r="739" spans="47:47" x14ac:dyDescent="0.25">
      <c r="AU739" s="8" t="str">
        <f>IF(TRIM($G739)="","",IF(COUNTIF(LISTS!$I$2:$I$16,TRIM($G739))&gt;0,"COUNTED",IF(COUNTIF(LISTS!$J$2:$J$16,TRIM($G739))&gt;0,"LEFT OUT","NEW")))</f>
        <v/>
      </c>
    </row>
    <row r="740" spans="47:47" x14ac:dyDescent="0.25">
      <c r="AU740" s="8" t="str">
        <f>IF(TRIM($G740)="","",IF(COUNTIF(LISTS!$I$2:$I$16,TRIM($G740))&gt;0,"COUNTED",IF(COUNTIF(LISTS!$J$2:$J$16,TRIM($G740))&gt;0,"LEFT OUT","NEW")))</f>
        <v/>
      </c>
    </row>
    <row r="741" spans="47:47" x14ac:dyDescent="0.25">
      <c r="AU741" s="8" t="str">
        <f>IF(TRIM($G741)="","",IF(COUNTIF(LISTS!$I$2:$I$16,TRIM($G741))&gt;0,"COUNTED",IF(COUNTIF(LISTS!$J$2:$J$16,TRIM($G741))&gt;0,"LEFT OUT","NEW")))</f>
        <v/>
      </c>
    </row>
    <row r="742" spans="47:47" x14ac:dyDescent="0.25">
      <c r="AU742" s="8" t="str">
        <f>IF(TRIM($G742)="","",IF(COUNTIF(LISTS!$I$2:$I$16,TRIM($G742))&gt;0,"COUNTED",IF(COUNTIF(LISTS!$J$2:$J$16,TRIM($G742))&gt;0,"LEFT OUT","NEW")))</f>
        <v/>
      </c>
    </row>
    <row r="743" spans="47:47" x14ac:dyDescent="0.25">
      <c r="AU743" s="8" t="str">
        <f>IF(TRIM($G743)="","",IF(COUNTIF(LISTS!$I$2:$I$16,TRIM($G743))&gt;0,"COUNTED",IF(COUNTIF(LISTS!$J$2:$J$16,TRIM($G743))&gt;0,"LEFT OUT","NEW")))</f>
        <v/>
      </c>
    </row>
    <row r="744" spans="47:47" x14ac:dyDescent="0.25">
      <c r="AU744" s="8" t="str">
        <f>IF(TRIM($G744)="","",IF(COUNTIF(LISTS!$I$2:$I$16,TRIM($G744))&gt;0,"COUNTED",IF(COUNTIF(LISTS!$J$2:$J$16,TRIM($G744))&gt;0,"LEFT OUT","NEW")))</f>
        <v/>
      </c>
    </row>
    <row r="745" spans="47:47" x14ac:dyDescent="0.25">
      <c r="AU745" s="8" t="str">
        <f>IF(TRIM($G745)="","",IF(COUNTIF(LISTS!$I$2:$I$16,TRIM($G745))&gt;0,"COUNTED",IF(COUNTIF(LISTS!$J$2:$J$16,TRIM($G745))&gt;0,"LEFT OUT","NEW")))</f>
        <v/>
      </c>
    </row>
    <row r="746" spans="47:47" x14ac:dyDescent="0.25">
      <c r="AU746" s="8" t="str">
        <f>IF(TRIM($G746)="","",IF(COUNTIF(LISTS!$I$2:$I$16,TRIM($G746))&gt;0,"COUNTED",IF(COUNTIF(LISTS!$J$2:$J$16,TRIM($G746))&gt;0,"LEFT OUT","NEW")))</f>
        <v/>
      </c>
    </row>
    <row r="747" spans="47:47" x14ac:dyDescent="0.25">
      <c r="AU747" s="8" t="str">
        <f>IF(TRIM($G747)="","",IF(COUNTIF(LISTS!$I$2:$I$16,TRIM($G747))&gt;0,"COUNTED",IF(COUNTIF(LISTS!$J$2:$J$16,TRIM($G747))&gt;0,"LEFT OUT","NEW")))</f>
        <v/>
      </c>
    </row>
    <row r="748" spans="47:47" x14ac:dyDescent="0.25">
      <c r="AU748" s="8" t="str">
        <f>IF(TRIM($G748)="","",IF(COUNTIF(LISTS!$I$2:$I$16,TRIM($G748))&gt;0,"COUNTED",IF(COUNTIF(LISTS!$J$2:$J$16,TRIM($G748))&gt;0,"LEFT OUT","NEW")))</f>
        <v/>
      </c>
    </row>
    <row r="749" spans="47:47" x14ac:dyDescent="0.25">
      <c r="AU749" s="8" t="str">
        <f>IF(TRIM($G749)="","",IF(COUNTIF(LISTS!$I$2:$I$16,TRIM($G749))&gt;0,"COUNTED",IF(COUNTIF(LISTS!$J$2:$J$16,TRIM($G749))&gt;0,"LEFT OUT","NEW")))</f>
        <v/>
      </c>
    </row>
    <row r="750" spans="47:47" x14ac:dyDescent="0.25">
      <c r="AU750" s="8" t="str">
        <f>IF(TRIM($G750)="","",IF(COUNTIF(LISTS!$I$2:$I$16,TRIM($G750))&gt;0,"COUNTED",IF(COUNTIF(LISTS!$J$2:$J$16,TRIM($G750))&gt;0,"LEFT OUT","NEW")))</f>
        <v/>
      </c>
    </row>
    <row r="751" spans="47:47" x14ac:dyDescent="0.25">
      <c r="AU751" s="8" t="str">
        <f>IF(TRIM($G751)="","",IF(COUNTIF(LISTS!$I$2:$I$16,TRIM($G751))&gt;0,"COUNTED",IF(COUNTIF(LISTS!$J$2:$J$16,TRIM($G751))&gt;0,"LEFT OUT","NEW")))</f>
        <v/>
      </c>
    </row>
    <row r="752" spans="47:47" x14ac:dyDescent="0.25">
      <c r="AU752" s="8" t="str">
        <f>IF(TRIM($G752)="","",IF(COUNTIF(LISTS!$I$2:$I$16,TRIM($G752))&gt;0,"COUNTED",IF(COUNTIF(LISTS!$J$2:$J$16,TRIM($G752))&gt;0,"LEFT OUT","NEW")))</f>
        <v/>
      </c>
    </row>
    <row r="753" spans="47:47" x14ac:dyDescent="0.25">
      <c r="AU753" s="8" t="str">
        <f>IF(TRIM($G753)="","",IF(COUNTIF(LISTS!$I$2:$I$16,TRIM($G753))&gt;0,"COUNTED",IF(COUNTIF(LISTS!$J$2:$J$16,TRIM($G753))&gt;0,"LEFT OUT","NEW")))</f>
        <v/>
      </c>
    </row>
    <row r="754" spans="47:47" x14ac:dyDescent="0.25">
      <c r="AU754" s="8" t="str">
        <f>IF(TRIM($G754)="","",IF(COUNTIF(LISTS!$I$2:$I$16,TRIM($G754))&gt;0,"COUNTED",IF(COUNTIF(LISTS!$J$2:$J$16,TRIM($G754))&gt;0,"LEFT OUT","NEW")))</f>
        <v/>
      </c>
    </row>
    <row r="755" spans="47:47" x14ac:dyDescent="0.25">
      <c r="AU755" s="8" t="str">
        <f>IF(TRIM($G755)="","",IF(COUNTIF(LISTS!$I$2:$I$16,TRIM($G755))&gt;0,"COUNTED",IF(COUNTIF(LISTS!$J$2:$J$16,TRIM($G755))&gt;0,"LEFT OUT","NEW")))</f>
        <v/>
      </c>
    </row>
    <row r="756" spans="47:47" x14ac:dyDescent="0.25">
      <c r="AU756" s="8" t="str">
        <f>IF(TRIM($G756)="","",IF(COUNTIF(LISTS!$I$2:$I$16,TRIM($G756))&gt;0,"COUNTED",IF(COUNTIF(LISTS!$J$2:$J$16,TRIM($G756))&gt;0,"LEFT OUT","NEW")))</f>
        <v/>
      </c>
    </row>
    <row r="757" spans="47:47" x14ac:dyDescent="0.25">
      <c r="AU757" s="8" t="str">
        <f>IF(TRIM($G757)="","",IF(COUNTIF(LISTS!$I$2:$I$16,TRIM($G757))&gt;0,"COUNTED",IF(COUNTIF(LISTS!$J$2:$J$16,TRIM($G757))&gt;0,"LEFT OUT","NEW")))</f>
        <v/>
      </c>
    </row>
    <row r="758" spans="47:47" x14ac:dyDescent="0.25">
      <c r="AU758" s="8" t="str">
        <f>IF(TRIM($G758)="","",IF(COUNTIF(LISTS!$I$2:$I$16,TRIM($G758))&gt;0,"COUNTED",IF(COUNTIF(LISTS!$J$2:$J$16,TRIM($G758))&gt;0,"LEFT OUT","NEW")))</f>
        <v/>
      </c>
    </row>
    <row r="759" spans="47:47" x14ac:dyDescent="0.25">
      <c r="AU759" s="8" t="str">
        <f>IF(TRIM($G759)="","",IF(COUNTIF(LISTS!$I$2:$I$16,TRIM($G759))&gt;0,"COUNTED",IF(COUNTIF(LISTS!$J$2:$J$16,TRIM($G759))&gt;0,"LEFT OUT","NEW")))</f>
        <v/>
      </c>
    </row>
    <row r="760" spans="47:47" x14ac:dyDescent="0.25">
      <c r="AU760" s="8" t="str">
        <f>IF(TRIM($G760)="","",IF(COUNTIF(LISTS!$I$2:$I$16,TRIM($G760))&gt;0,"COUNTED",IF(COUNTIF(LISTS!$J$2:$J$16,TRIM($G760))&gt;0,"LEFT OUT","NEW")))</f>
        <v/>
      </c>
    </row>
    <row r="761" spans="47:47" x14ac:dyDescent="0.25">
      <c r="AU761" s="8" t="str">
        <f>IF(TRIM($G761)="","",IF(COUNTIF(LISTS!$I$2:$I$16,TRIM($G761))&gt;0,"COUNTED",IF(COUNTIF(LISTS!$J$2:$J$16,TRIM($G761))&gt;0,"LEFT OUT","NEW")))</f>
        <v/>
      </c>
    </row>
    <row r="762" spans="47:47" x14ac:dyDescent="0.25">
      <c r="AU762" s="8" t="str">
        <f>IF(TRIM($G762)="","",IF(COUNTIF(LISTS!$I$2:$I$16,TRIM($G762))&gt;0,"COUNTED",IF(COUNTIF(LISTS!$J$2:$J$16,TRIM($G762))&gt;0,"LEFT OUT","NEW")))</f>
        <v/>
      </c>
    </row>
    <row r="763" spans="47:47" x14ac:dyDescent="0.25">
      <c r="AU763" s="8" t="str">
        <f>IF(TRIM($G763)="","",IF(COUNTIF(LISTS!$I$2:$I$16,TRIM($G763))&gt;0,"COUNTED",IF(COUNTIF(LISTS!$J$2:$J$16,TRIM($G763))&gt;0,"LEFT OUT","NEW")))</f>
        <v/>
      </c>
    </row>
    <row r="764" spans="47:47" x14ac:dyDescent="0.25">
      <c r="AU764" s="8" t="str">
        <f>IF(TRIM($G764)="","",IF(COUNTIF(LISTS!$I$2:$I$16,TRIM($G764))&gt;0,"COUNTED",IF(COUNTIF(LISTS!$J$2:$J$16,TRIM($G764))&gt;0,"LEFT OUT","NEW")))</f>
        <v/>
      </c>
    </row>
    <row r="765" spans="47:47" x14ac:dyDescent="0.25">
      <c r="AU765" s="8" t="str">
        <f>IF(TRIM($G765)="","",IF(COUNTIF(LISTS!$I$2:$I$16,TRIM($G765))&gt;0,"COUNTED",IF(COUNTIF(LISTS!$J$2:$J$16,TRIM($G765))&gt;0,"LEFT OUT","NEW")))</f>
        <v/>
      </c>
    </row>
    <row r="766" spans="47:47" x14ac:dyDescent="0.25">
      <c r="AU766" s="8" t="str">
        <f>IF(TRIM($G766)="","",IF(COUNTIF(LISTS!$I$2:$I$16,TRIM($G766))&gt;0,"COUNTED",IF(COUNTIF(LISTS!$J$2:$J$16,TRIM($G766))&gt;0,"LEFT OUT","NEW")))</f>
        <v/>
      </c>
    </row>
    <row r="767" spans="47:47" x14ac:dyDescent="0.25">
      <c r="AU767" s="8" t="str">
        <f>IF(TRIM($G767)="","",IF(COUNTIF(LISTS!$I$2:$I$16,TRIM($G767))&gt;0,"COUNTED",IF(COUNTIF(LISTS!$J$2:$J$16,TRIM($G767))&gt;0,"LEFT OUT","NEW")))</f>
        <v/>
      </c>
    </row>
    <row r="768" spans="47:47" x14ac:dyDescent="0.25">
      <c r="AU768" s="8" t="str">
        <f>IF(TRIM($G768)="","",IF(COUNTIF(LISTS!$I$2:$I$16,TRIM($G768))&gt;0,"COUNTED",IF(COUNTIF(LISTS!$J$2:$J$16,TRIM($G768))&gt;0,"LEFT OUT","NEW")))</f>
        <v/>
      </c>
    </row>
    <row r="769" spans="47:47" x14ac:dyDescent="0.25">
      <c r="AU769" s="8" t="str">
        <f>IF(TRIM($G769)="","",IF(COUNTIF(LISTS!$I$2:$I$16,TRIM($G769))&gt;0,"COUNTED",IF(COUNTIF(LISTS!$J$2:$J$16,TRIM($G769))&gt;0,"LEFT OUT","NEW")))</f>
        <v/>
      </c>
    </row>
    <row r="770" spans="47:47" x14ac:dyDescent="0.25">
      <c r="AU770" s="8" t="str">
        <f>IF(TRIM($G770)="","",IF(COUNTIF(LISTS!$I$2:$I$16,TRIM($G770))&gt;0,"COUNTED",IF(COUNTIF(LISTS!$J$2:$J$16,TRIM($G770))&gt;0,"LEFT OUT","NEW")))</f>
        <v/>
      </c>
    </row>
    <row r="771" spans="47:47" x14ac:dyDescent="0.25">
      <c r="AU771" s="8" t="str">
        <f>IF(TRIM($G771)="","",IF(COUNTIF(LISTS!$I$2:$I$16,TRIM($G771))&gt;0,"COUNTED",IF(COUNTIF(LISTS!$J$2:$J$16,TRIM($G771))&gt;0,"LEFT OUT","NEW")))</f>
        <v/>
      </c>
    </row>
    <row r="772" spans="47:47" x14ac:dyDescent="0.25">
      <c r="AU772" s="8" t="str">
        <f>IF(TRIM($G772)="","",IF(COUNTIF(LISTS!$I$2:$I$16,TRIM($G772))&gt;0,"COUNTED",IF(COUNTIF(LISTS!$J$2:$J$16,TRIM($G772))&gt;0,"LEFT OUT","NEW")))</f>
        <v/>
      </c>
    </row>
    <row r="773" spans="47:47" x14ac:dyDescent="0.25">
      <c r="AU773" s="8" t="str">
        <f>IF(TRIM($G773)="","",IF(COUNTIF(LISTS!$I$2:$I$16,TRIM($G773))&gt;0,"COUNTED",IF(COUNTIF(LISTS!$J$2:$J$16,TRIM($G773))&gt;0,"LEFT OUT","NEW")))</f>
        <v/>
      </c>
    </row>
    <row r="774" spans="47:47" x14ac:dyDescent="0.25">
      <c r="AU774" s="8" t="str">
        <f>IF(TRIM($G774)="","",IF(COUNTIF(LISTS!$I$2:$I$16,TRIM($G774))&gt;0,"COUNTED",IF(COUNTIF(LISTS!$J$2:$J$16,TRIM($G774))&gt;0,"LEFT OUT","NEW")))</f>
        <v/>
      </c>
    </row>
    <row r="775" spans="47:47" x14ac:dyDescent="0.25">
      <c r="AU775" s="8" t="str">
        <f>IF(TRIM($G775)="","",IF(COUNTIF(LISTS!$I$2:$I$16,TRIM($G775))&gt;0,"COUNTED",IF(COUNTIF(LISTS!$J$2:$J$16,TRIM($G775))&gt;0,"LEFT OUT","NEW")))</f>
        <v/>
      </c>
    </row>
    <row r="776" spans="47:47" x14ac:dyDescent="0.25">
      <c r="AU776" s="8" t="str">
        <f>IF(TRIM($G776)="","",IF(COUNTIF(LISTS!$I$2:$I$16,TRIM($G776))&gt;0,"COUNTED",IF(COUNTIF(LISTS!$J$2:$J$16,TRIM($G776))&gt;0,"LEFT OUT","NEW")))</f>
        <v/>
      </c>
    </row>
    <row r="777" spans="47:47" x14ac:dyDescent="0.25">
      <c r="AU777" s="8" t="str">
        <f>IF(TRIM($G777)="","",IF(COUNTIF(LISTS!$I$2:$I$16,TRIM($G777))&gt;0,"COUNTED",IF(COUNTIF(LISTS!$J$2:$J$16,TRIM($G777))&gt;0,"LEFT OUT","NEW")))</f>
        <v/>
      </c>
    </row>
    <row r="778" spans="47:47" x14ac:dyDescent="0.25">
      <c r="AU778" s="8" t="str">
        <f>IF(TRIM($G778)="","",IF(COUNTIF(LISTS!$I$2:$I$16,TRIM($G778))&gt;0,"COUNTED",IF(COUNTIF(LISTS!$J$2:$J$16,TRIM($G778))&gt;0,"LEFT OUT","NEW")))</f>
        <v/>
      </c>
    </row>
    <row r="779" spans="47:47" x14ac:dyDescent="0.25">
      <c r="AU779" s="8" t="str">
        <f>IF(TRIM($G779)="","",IF(COUNTIF(LISTS!$I$2:$I$16,TRIM($G779))&gt;0,"COUNTED",IF(COUNTIF(LISTS!$J$2:$J$16,TRIM($G779))&gt;0,"LEFT OUT","NEW")))</f>
        <v/>
      </c>
    </row>
    <row r="780" spans="47:47" x14ac:dyDescent="0.25">
      <c r="AU780" s="8" t="str">
        <f>IF(TRIM($G780)="","",IF(COUNTIF(LISTS!$I$2:$I$16,TRIM($G780))&gt;0,"COUNTED",IF(COUNTIF(LISTS!$J$2:$J$16,TRIM($G780))&gt;0,"LEFT OUT","NEW")))</f>
        <v/>
      </c>
    </row>
    <row r="781" spans="47:47" x14ac:dyDescent="0.25">
      <c r="AU781" s="8" t="str">
        <f>IF(TRIM($G781)="","",IF(COUNTIF(LISTS!$I$2:$I$16,TRIM($G781))&gt;0,"COUNTED",IF(COUNTIF(LISTS!$J$2:$J$16,TRIM($G781))&gt;0,"LEFT OUT","NEW")))</f>
        <v/>
      </c>
    </row>
    <row r="782" spans="47:47" x14ac:dyDescent="0.25">
      <c r="AU782" s="8" t="str">
        <f>IF(TRIM($G782)="","",IF(COUNTIF(LISTS!$I$2:$I$16,TRIM($G782))&gt;0,"COUNTED",IF(COUNTIF(LISTS!$J$2:$J$16,TRIM($G782))&gt;0,"LEFT OUT","NEW")))</f>
        <v/>
      </c>
    </row>
    <row r="783" spans="47:47" x14ac:dyDescent="0.25">
      <c r="AU783" s="8" t="str">
        <f>IF(TRIM($G783)="","",IF(COUNTIF(LISTS!$I$2:$I$16,TRIM($G783))&gt;0,"COUNTED",IF(COUNTIF(LISTS!$J$2:$J$16,TRIM($G783))&gt;0,"LEFT OUT","NEW")))</f>
        <v/>
      </c>
    </row>
    <row r="784" spans="47:47" x14ac:dyDescent="0.25">
      <c r="AU784" s="8" t="str">
        <f>IF(TRIM($G784)="","",IF(COUNTIF(LISTS!$I$2:$I$16,TRIM($G784))&gt;0,"COUNTED",IF(COUNTIF(LISTS!$J$2:$J$16,TRIM($G784))&gt;0,"LEFT OUT","NEW")))</f>
        <v/>
      </c>
    </row>
    <row r="785" spans="47:47" x14ac:dyDescent="0.25">
      <c r="AU785" s="8" t="str">
        <f>IF(TRIM($G785)="","",IF(COUNTIF(LISTS!$I$2:$I$16,TRIM($G785))&gt;0,"COUNTED",IF(COUNTIF(LISTS!$J$2:$J$16,TRIM($G785))&gt;0,"LEFT OUT","NEW")))</f>
        <v/>
      </c>
    </row>
    <row r="786" spans="47:47" x14ac:dyDescent="0.25">
      <c r="AU786" s="8" t="str">
        <f>IF(TRIM($G786)="","",IF(COUNTIF(LISTS!$I$2:$I$16,TRIM($G786))&gt;0,"COUNTED",IF(COUNTIF(LISTS!$J$2:$J$16,TRIM($G786))&gt;0,"LEFT OUT","NEW")))</f>
        <v/>
      </c>
    </row>
    <row r="787" spans="47:47" x14ac:dyDescent="0.25">
      <c r="AU787" s="8" t="str">
        <f>IF(TRIM($G787)="","",IF(COUNTIF(LISTS!$I$2:$I$16,TRIM($G787))&gt;0,"COUNTED",IF(COUNTIF(LISTS!$J$2:$J$16,TRIM($G787))&gt;0,"LEFT OUT","NEW")))</f>
        <v/>
      </c>
    </row>
    <row r="788" spans="47:47" x14ac:dyDescent="0.25">
      <c r="AU788" s="8" t="str">
        <f>IF(TRIM($G788)="","",IF(COUNTIF(LISTS!$I$2:$I$16,TRIM($G788))&gt;0,"COUNTED",IF(COUNTIF(LISTS!$J$2:$J$16,TRIM($G788))&gt;0,"LEFT OUT","NEW")))</f>
        <v/>
      </c>
    </row>
    <row r="789" spans="47:47" x14ac:dyDescent="0.25">
      <c r="AU789" s="8" t="str">
        <f>IF(TRIM($G789)="","",IF(COUNTIF(LISTS!$I$2:$I$16,TRIM($G789))&gt;0,"COUNTED",IF(COUNTIF(LISTS!$J$2:$J$16,TRIM($G789))&gt;0,"LEFT OUT","NEW")))</f>
        <v/>
      </c>
    </row>
    <row r="790" spans="47:47" x14ac:dyDescent="0.25">
      <c r="AU790" s="8" t="str">
        <f>IF(TRIM($G790)="","",IF(COUNTIF(LISTS!$I$2:$I$16,TRIM($G790))&gt;0,"COUNTED",IF(COUNTIF(LISTS!$J$2:$J$16,TRIM($G790))&gt;0,"LEFT OUT","NEW")))</f>
        <v/>
      </c>
    </row>
    <row r="791" spans="47:47" x14ac:dyDescent="0.25">
      <c r="AU791" s="8" t="str">
        <f>IF(TRIM($G791)="","",IF(COUNTIF(LISTS!$I$2:$I$16,TRIM($G791))&gt;0,"COUNTED",IF(COUNTIF(LISTS!$J$2:$J$16,TRIM($G791))&gt;0,"LEFT OUT","NEW")))</f>
        <v/>
      </c>
    </row>
    <row r="792" spans="47:47" x14ac:dyDescent="0.25">
      <c r="AU792" s="8" t="str">
        <f>IF(TRIM($G792)="","",IF(COUNTIF(LISTS!$I$2:$I$16,TRIM($G792))&gt;0,"COUNTED",IF(COUNTIF(LISTS!$J$2:$J$16,TRIM($G792))&gt;0,"LEFT OUT","NEW")))</f>
        <v/>
      </c>
    </row>
    <row r="793" spans="47:47" x14ac:dyDescent="0.25">
      <c r="AU793" s="8" t="str">
        <f>IF(TRIM($G793)="","",IF(COUNTIF(LISTS!$I$2:$I$16,TRIM($G793))&gt;0,"COUNTED",IF(COUNTIF(LISTS!$J$2:$J$16,TRIM($G793))&gt;0,"LEFT OUT","NEW")))</f>
        <v/>
      </c>
    </row>
    <row r="794" spans="47:47" x14ac:dyDescent="0.25">
      <c r="AU794" s="8" t="str">
        <f>IF(TRIM($G794)="","",IF(COUNTIF(LISTS!$I$2:$I$16,TRIM($G794))&gt;0,"COUNTED",IF(COUNTIF(LISTS!$J$2:$J$16,TRIM($G794))&gt;0,"LEFT OUT","NEW")))</f>
        <v/>
      </c>
    </row>
    <row r="795" spans="47:47" x14ac:dyDescent="0.25">
      <c r="AU795" s="8" t="str">
        <f>IF(TRIM($G795)="","",IF(COUNTIF(LISTS!$I$2:$I$16,TRIM($G795))&gt;0,"COUNTED",IF(COUNTIF(LISTS!$J$2:$J$16,TRIM($G795))&gt;0,"LEFT OUT","NEW")))</f>
        <v/>
      </c>
    </row>
    <row r="796" spans="47:47" x14ac:dyDescent="0.25">
      <c r="AU796" s="8" t="str">
        <f>IF(TRIM($G796)="","",IF(COUNTIF(LISTS!$I$2:$I$16,TRIM($G796))&gt;0,"COUNTED",IF(COUNTIF(LISTS!$J$2:$J$16,TRIM($G796))&gt;0,"LEFT OUT","NEW")))</f>
        <v/>
      </c>
    </row>
    <row r="797" spans="47:47" x14ac:dyDescent="0.25">
      <c r="AU797" s="8" t="str">
        <f>IF(TRIM($G797)="","",IF(COUNTIF(LISTS!$I$2:$I$16,TRIM($G797))&gt;0,"COUNTED",IF(COUNTIF(LISTS!$J$2:$J$16,TRIM($G797))&gt;0,"LEFT OUT","NEW")))</f>
        <v/>
      </c>
    </row>
    <row r="798" spans="47:47" x14ac:dyDescent="0.25">
      <c r="AU798" s="8" t="str">
        <f>IF(TRIM($G798)="","",IF(COUNTIF(LISTS!$I$2:$I$16,TRIM($G798))&gt;0,"COUNTED",IF(COUNTIF(LISTS!$J$2:$J$16,TRIM($G798))&gt;0,"LEFT OUT","NEW")))</f>
        <v/>
      </c>
    </row>
    <row r="799" spans="47:47" x14ac:dyDescent="0.25">
      <c r="AU799" s="8" t="str">
        <f>IF(TRIM($G799)="","",IF(COUNTIF(LISTS!$I$2:$I$16,TRIM($G799))&gt;0,"COUNTED",IF(COUNTIF(LISTS!$J$2:$J$16,TRIM($G799))&gt;0,"LEFT OUT","NEW")))</f>
        <v/>
      </c>
    </row>
    <row r="800" spans="47:47" x14ac:dyDescent="0.25">
      <c r="AU800" s="8" t="str">
        <f>IF(TRIM($G800)="","",IF(COUNTIF(LISTS!$I$2:$I$16,TRIM($G800))&gt;0,"COUNTED",IF(COUNTIF(LISTS!$J$2:$J$16,TRIM($G800))&gt;0,"LEFT OUT","NEW")))</f>
        <v/>
      </c>
    </row>
    <row r="801" spans="47:47" x14ac:dyDescent="0.25">
      <c r="AU801" s="8" t="str">
        <f>IF(TRIM($G801)="","",IF(COUNTIF(LISTS!$I$2:$I$16,TRIM($G801))&gt;0,"COUNTED",IF(COUNTIF(LISTS!$J$2:$J$16,TRIM($G801))&gt;0,"LEFT OUT","NEW")))</f>
        <v/>
      </c>
    </row>
    <row r="802" spans="47:47" x14ac:dyDescent="0.25">
      <c r="AU802" s="8" t="str">
        <f>IF(TRIM($G802)="","",IF(COUNTIF(LISTS!$I$2:$I$16,TRIM($G802))&gt;0,"COUNTED",IF(COUNTIF(LISTS!$J$2:$J$16,TRIM($G802))&gt;0,"LEFT OUT","NEW")))</f>
        <v/>
      </c>
    </row>
    <row r="803" spans="47:47" x14ac:dyDescent="0.25">
      <c r="AU803" s="8" t="str">
        <f>IF(TRIM($G803)="","",IF(COUNTIF(LISTS!$I$2:$I$16,TRIM($G803))&gt;0,"COUNTED",IF(COUNTIF(LISTS!$J$2:$J$16,TRIM($G803))&gt;0,"LEFT OUT","NEW")))</f>
        <v/>
      </c>
    </row>
    <row r="804" spans="47:47" x14ac:dyDescent="0.25">
      <c r="AU804" s="8" t="str">
        <f>IF(TRIM($G804)="","",IF(COUNTIF(LISTS!$I$2:$I$16,TRIM($G804))&gt;0,"COUNTED",IF(COUNTIF(LISTS!$J$2:$J$16,TRIM($G804))&gt;0,"LEFT OUT","NEW")))</f>
        <v/>
      </c>
    </row>
    <row r="805" spans="47:47" x14ac:dyDescent="0.25">
      <c r="AU805" s="8" t="str">
        <f>IF(TRIM($G805)="","",IF(COUNTIF(LISTS!$I$2:$I$16,TRIM($G805))&gt;0,"COUNTED",IF(COUNTIF(LISTS!$J$2:$J$16,TRIM($G805))&gt;0,"LEFT OUT","NEW")))</f>
        <v/>
      </c>
    </row>
    <row r="806" spans="47:47" x14ac:dyDescent="0.25">
      <c r="AU806" s="8" t="str">
        <f>IF(TRIM($G806)="","",IF(COUNTIF(LISTS!$I$2:$I$16,TRIM($G806))&gt;0,"COUNTED",IF(COUNTIF(LISTS!$J$2:$J$16,TRIM($G806))&gt;0,"LEFT OUT","NEW")))</f>
        <v/>
      </c>
    </row>
    <row r="807" spans="47:47" x14ac:dyDescent="0.25">
      <c r="AU807" s="8" t="str">
        <f>IF(TRIM($G807)="","",IF(COUNTIF(LISTS!$I$2:$I$16,TRIM($G807))&gt;0,"COUNTED",IF(COUNTIF(LISTS!$J$2:$J$16,TRIM($G807))&gt;0,"LEFT OUT","NEW")))</f>
        <v/>
      </c>
    </row>
    <row r="808" spans="47:47" x14ac:dyDescent="0.25">
      <c r="AU808" s="8" t="str">
        <f>IF(TRIM($G808)="","",IF(COUNTIF(LISTS!$I$2:$I$16,TRIM($G808))&gt;0,"COUNTED",IF(COUNTIF(LISTS!$J$2:$J$16,TRIM($G808))&gt;0,"LEFT OUT","NEW")))</f>
        <v/>
      </c>
    </row>
    <row r="809" spans="47:47" x14ac:dyDescent="0.25">
      <c r="AU809" s="8" t="str">
        <f>IF(TRIM($G809)="","",IF(COUNTIF(LISTS!$I$2:$I$16,TRIM($G809))&gt;0,"COUNTED",IF(COUNTIF(LISTS!$J$2:$J$16,TRIM($G809))&gt;0,"LEFT OUT","NEW")))</f>
        <v/>
      </c>
    </row>
    <row r="810" spans="47:47" x14ac:dyDescent="0.25">
      <c r="AU810" s="8" t="str">
        <f>IF(TRIM($G810)="","",IF(COUNTIF(LISTS!$I$2:$I$16,TRIM($G810))&gt;0,"COUNTED",IF(COUNTIF(LISTS!$J$2:$J$16,TRIM($G810))&gt;0,"LEFT OUT","NEW")))</f>
        <v/>
      </c>
    </row>
    <row r="811" spans="47:47" x14ac:dyDescent="0.25">
      <c r="AU811" s="8" t="str">
        <f>IF(TRIM($G811)="","",IF(COUNTIF(LISTS!$I$2:$I$16,TRIM($G811))&gt;0,"COUNTED",IF(COUNTIF(LISTS!$J$2:$J$16,TRIM($G811))&gt;0,"LEFT OUT","NEW")))</f>
        <v/>
      </c>
    </row>
    <row r="812" spans="47:47" x14ac:dyDescent="0.25">
      <c r="AU812" s="8" t="str">
        <f>IF(TRIM($G812)="","",IF(COUNTIF(LISTS!$I$2:$I$16,TRIM($G812))&gt;0,"COUNTED",IF(COUNTIF(LISTS!$J$2:$J$16,TRIM($G812))&gt;0,"LEFT OUT","NEW")))</f>
        <v/>
      </c>
    </row>
    <row r="813" spans="47:47" x14ac:dyDescent="0.25">
      <c r="AU813" s="8" t="str">
        <f>IF(TRIM($G813)="","",IF(COUNTIF(LISTS!$I$2:$I$16,TRIM($G813))&gt;0,"COUNTED",IF(COUNTIF(LISTS!$J$2:$J$16,TRIM($G813))&gt;0,"LEFT OUT","NEW")))</f>
        <v/>
      </c>
    </row>
    <row r="814" spans="47:47" x14ac:dyDescent="0.25">
      <c r="AU814" s="8" t="str">
        <f>IF(TRIM($G814)="","",IF(COUNTIF(LISTS!$I$2:$I$16,TRIM($G814))&gt;0,"COUNTED",IF(COUNTIF(LISTS!$J$2:$J$16,TRIM($G814))&gt;0,"LEFT OUT","NEW")))</f>
        <v/>
      </c>
    </row>
    <row r="815" spans="47:47" x14ac:dyDescent="0.25">
      <c r="AU815" s="8" t="str">
        <f>IF(TRIM($G815)="","",IF(COUNTIF(LISTS!$I$2:$I$16,TRIM($G815))&gt;0,"COUNTED",IF(COUNTIF(LISTS!$J$2:$J$16,TRIM($G815))&gt;0,"LEFT OUT","NEW")))</f>
        <v/>
      </c>
    </row>
    <row r="816" spans="47:47" x14ac:dyDescent="0.25">
      <c r="AU816" s="8" t="str">
        <f>IF(TRIM($G816)="","",IF(COUNTIF(LISTS!$I$2:$I$16,TRIM($G816))&gt;0,"COUNTED",IF(COUNTIF(LISTS!$J$2:$J$16,TRIM($G816))&gt;0,"LEFT OUT","NEW")))</f>
        <v/>
      </c>
    </row>
    <row r="817" spans="47:47" x14ac:dyDescent="0.25">
      <c r="AU817" s="8" t="str">
        <f>IF(TRIM($G817)="","",IF(COUNTIF(LISTS!$I$2:$I$16,TRIM($G817))&gt;0,"COUNTED",IF(COUNTIF(LISTS!$J$2:$J$16,TRIM($G817))&gt;0,"LEFT OUT","NEW")))</f>
        <v/>
      </c>
    </row>
    <row r="818" spans="47:47" x14ac:dyDescent="0.25">
      <c r="AU818" s="8" t="str">
        <f>IF(TRIM($G818)="","",IF(COUNTIF(LISTS!$I$2:$I$16,TRIM($G818))&gt;0,"COUNTED",IF(COUNTIF(LISTS!$J$2:$J$16,TRIM($G818))&gt;0,"LEFT OUT","NEW")))</f>
        <v/>
      </c>
    </row>
    <row r="819" spans="47:47" x14ac:dyDescent="0.25">
      <c r="AU819" s="8" t="str">
        <f>IF(TRIM($G819)="","",IF(COUNTIF(LISTS!$I$2:$I$16,TRIM($G819))&gt;0,"COUNTED",IF(COUNTIF(LISTS!$J$2:$J$16,TRIM($G819))&gt;0,"LEFT OUT","NEW")))</f>
        <v/>
      </c>
    </row>
    <row r="820" spans="47:47" x14ac:dyDescent="0.25">
      <c r="AU820" s="8" t="str">
        <f>IF(TRIM($G820)="","",IF(COUNTIF(LISTS!$I$2:$I$16,TRIM($G820))&gt;0,"COUNTED",IF(COUNTIF(LISTS!$J$2:$J$16,TRIM($G820))&gt;0,"LEFT OUT","NEW")))</f>
        <v/>
      </c>
    </row>
    <row r="821" spans="47:47" x14ac:dyDescent="0.25">
      <c r="AU821" s="8" t="str">
        <f>IF(TRIM($G821)="","",IF(COUNTIF(LISTS!$I$2:$I$16,TRIM($G821))&gt;0,"COUNTED",IF(COUNTIF(LISTS!$J$2:$J$16,TRIM($G821))&gt;0,"LEFT OUT","NEW")))</f>
        <v/>
      </c>
    </row>
    <row r="822" spans="47:47" x14ac:dyDescent="0.25">
      <c r="AU822" s="8" t="str">
        <f>IF(TRIM($G822)="","",IF(COUNTIF(LISTS!$I$2:$I$16,TRIM($G822))&gt;0,"COUNTED",IF(COUNTIF(LISTS!$J$2:$J$16,TRIM($G822))&gt;0,"LEFT OUT","NEW")))</f>
        <v/>
      </c>
    </row>
    <row r="823" spans="47:47" x14ac:dyDescent="0.25">
      <c r="AU823" s="8" t="str">
        <f>IF(TRIM($G823)="","",IF(COUNTIF(LISTS!$I$2:$I$16,TRIM($G823))&gt;0,"COUNTED",IF(COUNTIF(LISTS!$J$2:$J$16,TRIM($G823))&gt;0,"LEFT OUT","NEW")))</f>
        <v/>
      </c>
    </row>
    <row r="824" spans="47:47" x14ac:dyDescent="0.25">
      <c r="AU824" s="8" t="str">
        <f>IF(TRIM($G824)="","",IF(COUNTIF(LISTS!$I$2:$I$16,TRIM($G824))&gt;0,"COUNTED",IF(COUNTIF(LISTS!$J$2:$J$16,TRIM($G824))&gt;0,"LEFT OUT","NEW")))</f>
        <v/>
      </c>
    </row>
    <row r="825" spans="47:47" x14ac:dyDescent="0.25">
      <c r="AU825" s="8" t="str">
        <f>IF(TRIM($G825)="","",IF(COUNTIF(LISTS!$I$2:$I$16,TRIM($G825))&gt;0,"COUNTED",IF(COUNTIF(LISTS!$J$2:$J$16,TRIM($G825))&gt;0,"LEFT OUT","NEW")))</f>
        <v/>
      </c>
    </row>
    <row r="826" spans="47:47" x14ac:dyDescent="0.25">
      <c r="AU826" s="8" t="str">
        <f>IF(TRIM($G826)="","",IF(COUNTIF(LISTS!$I$2:$I$16,TRIM($G826))&gt;0,"COUNTED",IF(COUNTIF(LISTS!$J$2:$J$16,TRIM($G826))&gt;0,"LEFT OUT","NEW")))</f>
        <v/>
      </c>
    </row>
    <row r="827" spans="47:47" x14ac:dyDescent="0.25">
      <c r="AU827" s="8" t="str">
        <f>IF(TRIM($G827)="","",IF(COUNTIF(LISTS!$I$2:$I$16,TRIM($G827))&gt;0,"COUNTED",IF(COUNTIF(LISTS!$J$2:$J$16,TRIM($G827))&gt;0,"LEFT OUT","NEW")))</f>
        <v/>
      </c>
    </row>
    <row r="828" spans="47:47" x14ac:dyDescent="0.25">
      <c r="AU828" s="8" t="str">
        <f>IF(TRIM($G828)="","",IF(COUNTIF(LISTS!$I$2:$I$16,TRIM($G828))&gt;0,"COUNTED",IF(COUNTIF(LISTS!$J$2:$J$16,TRIM($G828))&gt;0,"LEFT OUT","NEW")))</f>
        <v/>
      </c>
    </row>
    <row r="829" spans="47:47" x14ac:dyDescent="0.25">
      <c r="AU829" s="8" t="str">
        <f>IF(TRIM($G829)="","",IF(COUNTIF(LISTS!$I$2:$I$16,TRIM($G829))&gt;0,"COUNTED",IF(COUNTIF(LISTS!$J$2:$J$16,TRIM($G829))&gt;0,"LEFT OUT","NEW")))</f>
        <v/>
      </c>
    </row>
    <row r="830" spans="47:47" x14ac:dyDescent="0.25">
      <c r="AU830" s="8" t="str">
        <f>IF(TRIM($G830)="","",IF(COUNTIF(LISTS!$I$2:$I$16,TRIM($G830))&gt;0,"COUNTED",IF(COUNTIF(LISTS!$J$2:$J$16,TRIM($G830))&gt;0,"LEFT OUT","NEW")))</f>
        <v/>
      </c>
    </row>
    <row r="831" spans="47:47" x14ac:dyDescent="0.25">
      <c r="AU831" s="8" t="str">
        <f>IF(TRIM($G831)="","",IF(COUNTIF(LISTS!$I$2:$I$16,TRIM($G831))&gt;0,"COUNTED",IF(COUNTIF(LISTS!$J$2:$J$16,TRIM($G831))&gt;0,"LEFT OUT","NEW")))</f>
        <v/>
      </c>
    </row>
    <row r="832" spans="47:47" x14ac:dyDescent="0.25">
      <c r="AU832" s="8" t="str">
        <f>IF(TRIM($G832)="","",IF(COUNTIF(LISTS!$I$2:$I$16,TRIM($G832))&gt;0,"COUNTED",IF(COUNTIF(LISTS!$J$2:$J$16,TRIM($G832))&gt;0,"LEFT OUT","NEW")))</f>
        <v/>
      </c>
    </row>
    <row r="833" spans="47:47" x14ac:dyDescent="0.25">
      <c r="AU833" s="8" t="str">
        <f>IF(TRIM($G833)="","",IF(COUNTIF(LISTS!$I$2:$I$16,TRIM($G833))&gt;0,"COUNTED",IF(COUNTIF(LISTS!$J$2:$J$16,TRIM($G833))&gt;0,"LEFT OUT","NEW")))</f>
        <v/>
      </c>
    </row>
    <row r="834" spans="47:47" x14ac:dyDescent="0.25">
      <c r="AU834" s="8" t="str">
        <f>IF(TRIM($G834)="","",IF(COUNTIF(LISTS!$I$2:$I$16,TRIM($G834))&gt;0,"COUNTED",IF(COUNTIF(LISTS!$J$2:$J$16,TRIM($G834))&gt;0,"LEFT OUT","NEW")))</f>
        <v/>
      </c>
    </row>
    <row r="835" spans="47:47" x14ac:dyDescent="0.25">
      <c r="AU835" s="8" t="str">
        <f>IF(TRIM($G835)="","",IF(COUNTIF(LISTS!$I$2:$I$16,TRIM($G835))&gt;0,"COUNTED",IF(COUNTIF(LISTS!$J$2:$J$16,TRIM($G835))&gt;0,"LEFT OUT","NEW")))</f>
        <v/>
      </c>
    </row>
    <row r="836" spans="47:47" x14ac:dyDescent="0.25">
      <c r="AU836" s="8" t="str">
        <f>IF(TRIM($G836)="","",IF(COUNTIF(LISTS!$I$2:$I$16,TRIM($G836))&gt;0,"COUNTED",IF(COUNTIF(LISTS!$J$2:$J$16,TRIM($G836))&gt;0,"LEFT OUT","NEW")))</f>
        <v/>
      </c>
    </row>
    <row r="837" spans="47:47" x14ac:dyDescent="0.25">
      <c r="AU837" s="8" t="str">
        <f>IF(TRIM($G837)="","",IF(COUNTIF(LISTS!$I$2:$I$16,TRIM($G837))&gt;0,"COUNTED",IF(COUNTIF(LISTS!$J$2:$J$16,TRIM($G837))&gt;0,"LEFT OUT","NEW")))</f>
        <v/>
      </c>
    </row>
    <row r="838" spans="47:47" x14ac:dyDescent="0.25">
      <c r="AU838" s="8" t="str">
        <f>IF(TRIM($G838)="","",IF(COUNTIF(LISTS!$I$2:$I$16,TRIM($G838))&gt;0,"COUNTED",IF(COUNTIF(LISTS!$J$2:$J$16,TRIM($G838))&gt;0,"LEFT OUT","NEW")))</f>
        <v/>
      </c>
    </row>
    <row r="839" spans="47:47" x14ac:dyDescent="0.25">
      <c r="AU839" s="8" t="str">
        <f>IF(TRIM($G839)="","",IF(COUNTIF(LISTS!$I$2:$I$16,TRIM($G839))&gt;0,"COUNTED",IF(COUNTIF(LISTS!$J$2:$J$16,TRIM($G839))&gt;0,"LEFT OUT","NEW")))</f>
        <v/>
      </c>
    </row>
    <row r="840" spans="47:47" x14ac:dyDescent="0.25">
      <c r="AU840" s="8" t="str">
        <f>IF(TRIM($G840)="","",IF(COUNTIF(LISTS!$I$2:$I$16,TRIM($G840))&gt;0,"COUNTED",IF(COUNTIF(LISTS!$J$2:$J$16,TRIM($G840))&gt;0,"LEFT OUT","NEW")))</f>
        <v/>
      </c>
    </row>
    <row r="841" spans="47:47" x14ac:dyDescent="0.25">
      <c r="AU841" s="8" t="str">
        <f>IF(TRIM($G841)="","",IF(COUNTIF(LISTS!$I$2:$I$16,TRIM($G841))&gt;0,"COUNTED",IF(COUNTIF(LISTS!$J$2:$J$16,TRIM($G841))&gt;0,"LEFT OUT","NEW")))</f>
        <v/>
      </c>
    </row>
    <row r="842" spans="47:47" x14ac:dyDescent="0.25">
      <c r="AU842" s="8" t="str">
        <f>IF(TRIM($G842)="","",IF(COUNTIF(LISTS!$I$2:$I$16,TRIM($G842))&gt;0,"COUNTED",IF(COUNTIF(LISTS!$J$2:$J$16,TRIM($G842))&gt;0,"LEFT OUT","NEW")))</f>
        <v/>
      </c>
    </row>
    <row r="843" spans="47:47" x14ac:dyDescent="0.25">
      <c r="AU843" s="8" t="str">
        <f>IF(TRIM($G843)="","",IF(COUNTIF(LISTS!$I$2:$I$16,TRIM($G843))&gt;0,"COUNTED",IF(COUNTIF(LISTS!$J$2:$J$16,TRIM($G843))&gt;0,"LEFT OUT","NEW")))</f>
        <v/>
      </c>
    </row>
    <row r="844" spans="47:47" x14ac:dyDescent="0.25">
      <c r="AU844" s="8" t="str">
        <f>IF(TRIM($G844)="","",IF(COUNTIF(LISTS!$I$2:$I$16,TRIM($G844))&gt;0,"COUNTED",IF(COUNTIF(LISTS!$J$2:$J$16,TRIM($G844))&gt;0,"LEFT OUT","NEW")))</f>
        <v/>
      </c>
    </row>
    <row r="845" spans="47:47" x14ac:dyDescent="0.25">
      <c r="AU845" s="8" t="str">
        <f>IF(TRIM($G845)="","",IF(COUNTIF(LISTS!$I$2:$I$16,TRIM($G845))&gt;0,"COUNTED",IF(COUNTIF(LISTS!$J$2:$J$16,TRIM($G845))&gt;0,"LEFT OUT","NEW")))</f>
        <v/>
      </c>
    </row>
    <row r="846" spans="47:47" x14ac:dyDescent="0.25">
      <c r="AU846" s="8" t="str">
        <f>IF(TRIM($G846)="","",IF(COUNTIF(LISTS!$I$2:$I$16,TRIM($G846))&gt;0,"COUNTED",IF(COUNTIF(LISTS!$J$2:$J$16,TRIM($G846))&gt;0,"LEFT OUT","NEW")))</f>
        <v/>
      </c>
    </row>
    <row r="847" spans="47:47" x14ac:dyDescent="0.25">
      <c r="AU847" s="8" t="str">
        <f>IF(TRIM($G847)="","",IF(COUNTIF(LISTS!$I$2:$I$16,TRIM($G847))&gt;0,"COUNTED",IF(COUNTIF(LISTS!$J$2:$J$16,TRIM($G847))&gt;0,"LEFT OUT","NEW")))</f>
        <v/>
      </c>
    </row>
    <row r="848" spans="47:47" x14ac:dyDescent="0.25">
      <c r="AU848" s="8" t="str">
        <f>IF(TRIM($G848)="","",IF(COUNTIF(LISTS!$I$2:$I$16,TRIM($G848))&gt;0,"COUNTED",IF(COUNTIF(LISTS!$J$2:$J$16,TRIM($G848))&gt;0,"LEFT OUT","NEW")))</f>
        <v/>
      </c>
    </row>
    <row r="849" spans="47:47" x14ac:dyDescent="0.25">
      <c r="AU849" s="8" t="str">
        <f>IF(TRIM($G849)="","",IF(COUNTIF(LISTS!$I$2:$I$16,TRIM($G849))&gt;0,"COUNTED",IF(COUNTIF(LISTS!$J$2:$J$16,TRIM($G849))&gt;0,"LEFT OUT","NEW")))</f>
        <v/>
      </c>
    </row>
    <row r="850" spans="47:47" x14ac:dyDescent="0.25">
      <c r="AU850" s="8" t="str">
        <f>IF(TRIM($G850)="","",IF(COUNTIF(LISTS!$I$2:$I$16,TRIM($G850))&gt;0,"COUNTED",IF(COUNTIF(LISTS!$J$2:$J$16,TRIM($G850))&gt;0,"LEFT OUT","NEW")))</f>
        <v/>
      </c>
    </row>
    <row r="851" spans="47:47" x14ac:dyDescent="0.25">
      <c r="AU851" s="8" t="str">
        <f>IF(TRIM($G851)="","",IF(COUNTIF(LISTS!$I$2:$I$16,TRIM($G851))&gt;0,"COUNTED",IF(COUNTIF(LISTS!$J$2:$J$16,TRIM($G851))&gt;0,"LEFT OUT","NEW")))</f>
        <v/>
      </c>
    </row>
    <row r="852" spans="47:47" x14ac:dyDescent="0.25">
      <c r="AU852" s="8" t="str">
        <f>IF(TRIM($G852)="","",IF(COUNTIF(LISTS!$I$2:$I$16,TRIM($G852))&gt;0,"COUNTED",IF(COUNTIF(LISTS!$J$2:$J$16,TRIM($G852))&gt;0,"LEFT OUT","NEW")))</f>
        <v/>
      </c>
    </row>
    <row r="853" spans="47:47" x14ac:dyDescent="0.25">
      <c r="AU853" s="8" t="str">
        <f>IF(TRIM($G853)="","",IF(COUNTIF(LISTS!$I$2:$I$16,TRIM($G853))&gt;0,"COUNTED",IF(COUNTIF(LISTS!$J$2:$J$16,TRIM($G853))&gt;0,"LEFT OUT","NEW")))</f>
        <v/>
      </c>
    </row>
    <row r="854" spans="47:47" x14ac:dyDescent="0.25">
      <c r="AU854" s="8" t="str">
        <f>IF(TRIM($G854)="","",IF(COUNTIF(LISTS!$I$2:$I$16,TRIM($G854))&gt;0,"COUNTED",IF(COUNTIF(LISTS!$J$2:$J$16,TRIM($G854))&gt;0,"LEFT OUT","NEW")))</f>
        <v/>
      </c>
    </row>
    <row r="855" spans="47:47" x14ac:dyDescent="0.25">
      <c r="AU855" s="8" t="str">
        <f>IF(TRIM($G855)="","",IF(COUNTIF(LISTS!$I$2:$I$16,TRIM($G855))&gt;0,"COUNTED",IF(COUNTIF(LISTS!$J$2:$J$16,TRIM($G855))&gt;0,"LEFT OUT","NEW")))</f>
        <v/>
      </c>
    </row>
    <row r="856" spans="47:47" x14ac:dyDescent="0.25">
      <c r="AU856" s="8" t="str">
        <f>IF(TRIM($G856)="","",IF(COUNTIF(LISTS!$I$2:$I$16,TRIM($G856))&gt;0,"COUNTED",IF(COUNTIF(LISTS!$J$2:$J$16,TRIM($G856))&gt;0,"LEFT OUT","NEW")))</f>
        <v/>
      </c>
    </row>
    <row r="857" spans="47:47" x14ac:dyDescent="0.25">
      <c r="AU857" s="8" t="str">
        <f>IF(TRIM($G857)="","",IF(COUNTIF(LISTS!$I$2:$I$16,TRIM($G857))&gt;0,"COUNTED",IF(COUNTIF(LISTS!$J$2:$J$16,TRIM($G857))&gt;0,"LEFT OUT","NEW")))</f>
        <v/>
      </c>
    </row>
    <row r="858" spans="47:47" x14ac:dyDescent="0.25">
      <c r="AU858" s="8" t="str">
        <f>IF(TRIM($G858)="","",IF(COUNTIF(LISTS!$I$2:$I$16,TRIM($G858))&gt;0,"COUNTED",IF(COUNTIF(LISTS!$J$2:$J$16,TRIM($G858))&gt;0,"LEFT OUT","NEW")))</f>
        <v/>
      </c>
    </row>
    <row r="859" spans="47:47" x14ac:dyDescent="0.25">
      <c r="AU859" s="8" t="str">
        <f>IF(TRIM($G859)="","",IF(COUNTIF(LISTS!$I$2:$I$16,TRIM($G859))&gt;0,"COUNTED",IF(COUNTIF(LISTS!$J$2:$J$16,TRIM($G859))&gt;0,"LEFT OUT","NEW")))</f>
        <v/>
      </c>
    </row>
    <row r="860" spans="47:47" x14ac:dyDescent="0.25">
      <c r="AU860" s="8" t="str">
        <f>IF(TRIM($G860)="","",IF(COUNTIF(LISTS!$I$2:$I$16,TRIM($G860))&gt;0,"COUNTED",IF(COUNTIF(LISTS!$J$2:$J$16,TRIM($G860))&gt;0,"LEFT OUT","NEW")))</f>
        <v/>
      </c>
    </row>
    <row r="861" spans="47:47" x14ac:dyDescent="0.25">
      <c r="AU861" s="8" t="str">
        <f>IF(TRIM($G861)="","",IF(COUNTIF(LISTS!$I$2:$I$16,TRIM($G861))&gt;0,"COUNTED",IF(COUNTIF(LISTS!$J$2:$J$16,TRIM($G861))&gt;0,"LEFT OUT","NEW")))</f>
        <v/>
      </c>
    </row>
    <row r="862" spans="47:47" x14ac:dyDescent="0.25">
      <c r="AU862" s="8" t="str">
        <f>IF(TRIM($G862)="","",IF(COUNTIF(LISTS!$I$2:$I$16,TRIM($G862))&gt;0,"COUNTED",IF(COUNTIF(LISTS!$J$2:$J$16,TRIM($G862))&gt;0,"LEFT OUT","NEW")))</f>
        <v/>
      </c>
    </row>
    <row r="863" spans="47:47" x14ac:dyDescent="0.25">
      <c r="AU863" s="8" t="str">
        <f>IF(TRIM($G863)="","",IF(COUNTIF(LISTS!$I$2:$I$16,TRIM($G863))&gt;0,"COUNTED",IF(COUNTIF(LISTS!$J$2:$J$16,TRIM($G863))&gt;0,"LEFT OUT","NEW")))</f>
        <v/>
      </c>
    </row>
    <row r="864" spans="47:47" x14ac:dyDescent="0.25">
      <c r="AU864" s="8" t="str">
        <f>IF(TRIM($G864)="","",IF(COUNTIF(LISTS!$I$2:$I$16,TRIM($G864))&gt;0,"COUNTED",IF(COUNTIF(LISTS!$J$2:$J$16,TRIM($G864))&gt;0,"LEFT OUT","NEW")))</f>
        <v/>
      </c>
    </row>
    <row r="865" spans="47:47" x14ac:dyDescent="0.25">
      <c r="AU865" s="8" t="str">
        <f>IF(TRIM($G865)="","",IF(COUNTIF(LISTS!$I$2:$I$16,TRIM($G865))&gt;0,"COUNTED",IF(COUNTIF(LISTS!$J$2:$J$16,TRIM($G865))&gt;0,"LEFT OUT","NEW")))</f>
        <v/>
      </c>
    </row>
    <row r="866" spans="47:47" x14ac:dyDescent="0.25">
      <c r="AU866" s="8" t="str">
        <f>IF(TRIM($G866)="","",IF(COUNTIF(LISTS!$I$2:$I$16,TRIM($G866))&gt;0,"COUNTED",IF(COUNTIF(LISTS!$J$2:$J$16,TRIM($G866))&gt;0,"LEFT OUT","NEW")))</f>
        <v/>
      </c>
    </row>
    <row r="867" spans="47:47" x14ac:dyDescent="0.25">
      <c r="AU867" s="8" t="str">
        <f>IF(TRIM($G867)="","",IF(COUNTIF(LISTS!$I$2:$I$16,TRIM($G867))&gt;0,"COUNTED",IF(COUNTIF(LISTS!$J$2:$J$16,TRIM($G867))&gt;0,"LEFT OUT","NEW")))</f>
        <v/>
      </c>
    </row>
    <row r="868" spans="47:47" x14ac:dyDescent="0.25">
      <c r="AU868" s="8" t="str">
        <f>IF(TRIM($G868)="","",IF(COUNTIF(LISTS!$I$2:$I$16,TRIM($G868))&gt;0,"COUNTED",IF(COUNTIF(LISTS!$J$2:$J$16,TRIM($G868))&gt;0,"LEFT OUT","NEW")))</f>
        <v/>
      </c>
    </row>
    <row r="869" spans="47:47" x14ac:dyDescent="0.25">
      <c r="AU869" s="8" t="str">
        <f>IF(TRIM($G869)="","",IF(COUNTIF(LISTS!$I$2:$I$16,TRIM($G869))&gt;0,"COUNTED",IF(COUNTIF(LISTS!$J$2:$J$16,TRIM($G869))&gt;0,"LEFT OUT","NEW")))</f>
        <v/>
      </c>
    </row>
    <row r="870" spans="47:47" x14ac:dyDescent="0.25">
      <c r="AU870" s="8" t="str">
        <f>IF(TRIM($G870)="","",IF(COUNTIF(LISTS!$I$2:$I$16,TRIM($G870))&gt;0,"COUNTED",IF(COUNTIF(LISTS!$J$2:$J$16,TRIM($G870))&gt;0,"LEFT OUT","NEW")))</f>
        <v/>
      </c>
    </row>
    <row r="871" spans="47:47" x14ac:dyDescent="0.25">
      <c r="AU871" s="8" t="str">
        <f>IF(TRIM($G871)="","",IF(COUNTIF(LISTS!$I$2:$I$16,TRIM($G871))&gt;0,"COUNTED",IF(COUNTIF(LISTS!$J$2:$J$16,TRIM($G871))&gt;0,"LEFT OUT","NEW")))</f>
        <v/>
      </c>
    </row>
    <row r="872" spans="47:47" x14ac:dyDescent="0.25">
      <c r="AU872" s="8" t="str">
        <f>IF(TRIM($G872)="","",IF(COUNTIF(LISTS!$I$2:$I$16,TRIM($G872))&gt;0,"COUNTED",IF(COUNTIF(LISTS!$J$2:$J$16,TRIM($G872))&gt;0,"LEFT OUT","NEW")))</f>
        <v/>
      </c>
    </row>
    <row r="873" spans="47:47" x14ac:dyDescent="0.25">
      <c r="AU873" s="8" t="str">
        <f>IF(TRIM($G873)="","",IF(COUNTIF(LISTS!$I$2:$I$16,TRIM($G873))&gt;0,"COUNTED",IF(COUNTIF(LISTS!$J$2:$J$16,TRIM($G873))&gt;0,"LEFT OUT","NEW")))</f>
        <v/>
      </c>
    </row>
    <row r="874" spans="47:47" x14ac:dyDescent="0.25">
      <c r="AU874" s="8" t="str">
        <f>IF(TRIM($G874)="","",IF(COUNTIF(LISTS!$I$2:$I$16,TRIM($G874))&gt;0,"COUNTED",IF(COUNTIF(LISTS!$J$2:$J$16,TRIM($G874))&gt;0,"LEFT OUT","NEW")))</f>
        <v/>
      </c>
    </row>
    <row r="875" spans="47:47" x14ac:dyDescent="0.25">
      <c r="AU875" s="8" t="str">
        <f>IF(TRIM($G875)="","",IF(COUNTIF(LISTS!$I$2:$I$16,TRIM($G875))&gt;0,"COUNTED",IF(COUNTIF(LISTS!$J$2:$J$16,TRIM($G875))&gt;0,"LEFT OUT","NEW")))</f>
        <v/>
      </c>
    </row>
    <row r="876" spans="47:47" x14ac:dyDescent="0.25">
      <c r="AU876" s="8" t="str">
        <f>IF(TRIM($G876)="","",IF(COUNTIF(LISTS!$I$2:$I$16,TRIM($G876))&gt;0,"COUNTED",IF(COUNTIF(LISTS!$J$2:$J$16,TRIM($G876))&gt;0,"LEFT OUT","NEW")))</f>
        <v/>
      </c>
    </row>
    <row r="877" spans="47:47" x14ac:dyDescent="0.25">
      <c r="AU877" s="8" t="str">
        <f>IF(TRIM($G877)="","",IF(COUNTIF(LISTS!$I$2:$I$16,TRIM($G877))&gt;0,"COUNTED",IF(COUNTIF(LISTS!$J$2:$J$16,TRIM($G877))&gt;0,"LEFT OUT","NEW")))</f>
        <v/>
      </c>
    </row>
    <row r="878" spans="47:47" x14ac:dyDescent="0.25">
      <c r="AU878" s="8" t="str">
        <f>IF(TRIM($G878)="","",IF(COUNTIF(LISTS!$I$2:$I$16,TRIM($G878))&gt;0,"COUNTED",IF(COUNTIF(LISTS!$J$2:$J$16,TRIM($G878))&gt;0,"LEFT OUT","NEW")))</f>
        <v/>
      </c>
    </row>
    <row r="879" spans="47:47" x14ac:dyDescent="0.25">
      <c r="AU879" s="8" t="str">
        <f>IF(TRIM($G879)="","",IF(COUNTIF(LISTS!$I$2:$I$16,TRIM($G879))&gt;0,"COUNTED",IF(COUNTIF(LISTS!$J$2:$J$16,TRIM($G879))&gt;0,"LEFT OUT","NEW")))</f>
        <v/>
      </c>
    </row>
    <row r="880" spans="47:47" x14ac:dyDescent="0.25">
      <c r="AU880" s="8" t="str">
        <f>IF(TRIM($G880)="","",IF(COUNTIF(LISTS!$I$2:$I$16,TRIM($G880))&gt;0,"COUNTED",IF(COUNTIF(LISTS!$J$2:$J$16,TRIM($G880))&gt;0,"LEFT OUT","NEW")))</f>
        <v/>
      </c>
    </row>
    <row r="881" spans="47:47" x14ac:dyDescent="0.25">
      <c r="AU881" s="8" t="str">
        <f>IF(TRIM($G881)="","",IF(COUNTIF(LISTS!$I$2:$I$16,TRIM($G881))&gt;0,"COUNTED",IF(COUNTIF(LISTS!$J$2:$J$16,TRIM($G881))&gt;0,"LEFT OUT","NEW")))</f>
        <v/>
      </c>
    </row>
    <row r="882" spans="47:47" x14ac:dyDescent="0.25">
      <c r="AU882" s="8" t="str">
        <f>IF(TRIM($G882)="","",IF(COUNTIF(LISTS!$I$2:$I$16,TRIM($G882))&gt;0,"COUNTED",IF(COUNTIF(LISTS!$J$2:$J$16,TRIM($G882))&gt;0,"LEFT OUT","NEW")))</f>
        <v/>
      </c>
    </row>
    <row r="883" spans="47:47" x14ac:dyDescent="0.25">
      <c r="AU883" s="8" t="str">
        <f>IF(TRIM($G883)="","",IF(COUNTIF(LISTS!$I$2:$I$16,TRIM($G883))&gt;0,"COUNTED",IF(COUNTIF(LISTS!$J$2:$J$16,TRIM($G883))&gt;0,"LEFT OUT","NEW")))</f>
        <v/>
      </c>
    </row>
    <row r="884" spans="47:47" x14ac:dyDescent="0.25">
      <c r="AU884" s="8" t="str">
        <f>IF(TRIM($G884)="","",IF(COUNTIF(LISTS!$I$2:$I$16,TRIM($G884))&gt;0,"COUNTED",IF(COUNTIF(LISTS!$J$2:$J$16,TRIM($G884))&gt;0,"LEFT OUT","NEW")))</f>
        <v/>
      </c>
    </row>
    <row r="885" spans="47:47" x14ac:dyDescent="0.25">
      <c r="AU885" s="8" t="str">
        <f>IF(TRIM($G885)="","",IF(COUNTIF(LISTS!$I$2:$I$16,TRIM($G885))&gt;0,"COUNTED",IF(COUNTIF(LISTS!$J$2:$J$16,TRIM($G885))&gt;0,"LEFT OUT","NEW")))</f>
        <v/>
      </c>
    </row>
    <row r="886" spans="47:47" x14ac:dyDescent="0.25">
      <c r="AU886" s="8" t="str">
        <f>IF(TRIM($G886)="","",IF(COUNTIF(LISTS!$I$2:$I$16,TRIM($G886))&gt;0,"COUNTED",IF(COUNTIF(LISTS!$J$2:$J$16,TRIM($G886))&gt;0,"LEFT OUT","NEW")))</f>
        <v/>
      </c>
    </row>
    <row r="887" spans="47:47" x14ac:dyDescent="0.25">
      <c r="AU887" s="8" t="str">
        <f>IF(TRIM($G887)="","",IF(COUNTIF(LISTS!$I$2:$I$16,TRIM($G887))&gt;0,"COUNTED",IF(COUNTIF(LISTS!$J$2:$J$16,TRIM($G887))&gt;0,"LEFT OUT","NEW")))</f>
        <v/>
      </c>
    </row>
    <row r="888" spans="47:47" x14ac:dyDescent="0.25">
      <c r="AU888" s="8" t="str">
        <f>IF(TRIM($G888)="","",IF(COUNTIF(LISTS!$I$2:$I$16,TRIM($G888))&gt;0,"COUNTED",IF(COUNTIF(LISTS!$J$2:$J$16,TRIM($G888))&gt;0,"LEFT OUT","NEW")))</f>
        <v/>
      </c>
    </row>
    <row r="889" spans="47:47" x14ac:dyDescent="0.25">
      <c r="AU889" s="8" t="str">
        <f>IF(TRIM($G889)="","",IF(COUNTIF(LISTS!$I$2:$I$16,TRIM($G889))&gt;0,"COUNTED",IF(COUNTIF(LISTS!$J$2:$J$16,TRIM($G889))&gt;0,"LEFT OUT","NEW")))</f>
        <v/>
      </c>
    </row>
    <row r="890" spans="47:47" x14ac:dyDescent="0.25">
      <c r="AU890" s="8" t="str">
        <f>IF(TRIM($G890)="","",IF(COUNTIF(LISTS!$I$2:$I$16,TRIM($G890))&gt;0,"COUNTED",IF(COUNTIF(LISTS!$J$2:$J$16,TRIM($G890))&gt;0,"LEFT OUT","NEW")))</f>
        <v/>
      </c>
    </row>
    <row r="891" spans="47:47" x14ac:dyDescent="0.25">
      <c r="AU891" s="8" t="str">
        <f>IF(TRIM($G891)="","",IF(COUNTIF(LISTS!$I$2:$I$16,TRIM($G891))&gt;0,"COUNTED",IF(COUNTIF(LISTS!$J$2:$J$16,TRIM($G891))&gt;0,"LEFT OUT","NEW")))</f>
        <v/>
      </c>
    </row>
    <row r="892" spans="47:47" x14ac:dyDescent="0.25">
      <c r="AU892" s="8" t="str">
        <f>IF(TRIM($G892)="","",IF(COUNTIF(LISTS!$I$2:$I$16,TRIM($G892))&gt;0,"COUNTED",IF(COUNTIF(LISTS!$J$2:$J$16,TRIM($G892))&gt;0,"LEFT OUT","NEW")))</f>
        <v/>
      </c>
    </row>
    <row r="893" spans="47:47" x14ac:dyDescent="0.25">
      <c r="AU893" s="8" t="str">
        <f>IF(TRIM($G893)="","",IF(COUNTIF(LISTS!$I$2:$I$16,TRIM($G893))&gt;0,"COUNTED",IF(COUNTIF(LISTS!$J$2:$J$16,TRIM($G893))&gt;0,"LEFT OUT","NEW")))</f>
        <v/>
      </c>
    </row>
    <row r="894" spans="47:47" x14ac:dyDescent="0.25">
      <c r="AU894" s="8" t="str">
        <f>IF(TRIM($G894)="","",IF(COUNTIF(LISTS!$I$2:$I$16,TRIM($G894))&gt;0,"COUNTED",IF(COUNTIF(LISTS!$J$2:$J$16,TRIM($G894))&gt;0,"LEFT OUT","NEW")))</f>
        <v/>
      </c>
    </row>
    <row r="895" spans="47:47" x14ac:dyDescent="0.25">
      <c r="AU895" s="8" t="str">
        <f>IF(TRIM($G895)="","",IF(COUNTIF(LISTS!$I$2:$I$16,TRIM($G895))&gt;0,"COUNTED",IF(COUNTIF(LISTS!$J$2:$J$16,TRIM($G895))&gt;0,"LEFT OUT","NEW")))</f>
        <v/>
      </c>
    </row>
    <row r="896" spans="47:47" x14ac:dyDescent="0.25">
      <c r="AU896" s="8" t="str">
        <f>IF(TRIM($G896)="","",IF(COUNTIF(LISTS!$I$2:$I$16,TRIM($G896))&gt;0,"COUNTED",IF(COUNTIF(LISTS!$J$2:$J$16,TRIM($G896))&gt;0,"LEFT OUT","NEW")))</f>
        <v/>
      </c>
    </row>
    <row r="897" spans="47:47" x14ac:dyDescent="0.25">
      <c r="AU897" s="8" t="str">
        <f>IF(TRIM($G897)="","",IF(COUNTIF(LISTS!$I$2:$I$16,TRIM($G897))&gt;0,"COUNTED",IF(COUNTIF(LISTS!$J$2:$J$16,TRIM($G897))&gt;0,"LEFT OUT","NEW")))</f>
        <v/>
      </c>
    </row>
    <row r="898" spans="47:47" x14ac:dyDescent="0.25">
      <c r="AU898" s="8" t="str">
        <f>IF(TRIM($G898)="","",IF(COUNTIF(LISTS!$I$2:$I$16,TRIM($G898))&gt;0,"COUNTED",IF(COUNTIF(LISTS!$J$2:$J$16,TRIM($G898))&gt;0,"LEFT OUT","NEW")))</f>
        <v/>
      </c>
    </row>
    <row r="899" spans="47:47" x14ac:dyDescent="0.25">
      <c r="AU899" s="8" t="str">
        <f>IF(TRIM($G899)="","",IF(COUNTIF(LISTS!$I$2:$I$16,TRIM($G899))&gt;0,"COUNTED",IF(COUNTIF(LISTS!$J$2:$J$16,TRIM($G899))&gt;0,"LEFT OUT","NEW")))</f>
        <v/>
      </c>
    </row>
    <row r="900" spans="47:47" x14ac:dyDescent="0.25">
      <c r="AU900" s="8" t="str">
        <f>IF(TRIM($G900)="","",IF(COUNTIF(LISTS!$I$2:$I$16,TRIM($G900))&gt;0,"COUNTED",IF(COUNTIF(LISTS!$J$2:$J$16,TRIM($G900))&gt;0,"LEFT OUT","NEW")))</f>
        <v/>
      </c>
    </row>
    <row r="901" spans="47:47" x14ac:dyDescent="0.25">
      <c r="AU901" s="8" t="str">
        <f>IF(TRIM($G901)="","",IF(COUNTIF(LISTS!$I$2:$I$16,TRIM($G901))&gt;0,"COUNTED",IF(COUNTIF(LISTS!$J$2:$J$16,TRIM($G901))&gt;0,"LEFT OUT","NEW")))</f>
        <v/>
      </c>
    </row>
    <row r="902" spans="47:47" x14ac:dyDescent="0.25">
      <c r="AU902" s="8" t="str">
        <f>IF(TRIM($G902)="","",IF(COUNTIF(LISTS!$I$2:$I$16,TRIM($G902))&gt;0,"COUNTED",IF(COUNTIF(LISTS!$J$2:$J$16,TRIM($G902))&gt;0,"LEFT OUT","NEW")))</f>
        <v/>
      </c>
    </row>
    <row r="903" spans="47:47" x14ac:dyDescent="0.25">
      <c r="AU903" s="8" t="str">
        <f>IF(TRIM($G903)="","",IF(COUNTIF(LISTS!$I$2:$I$16,TRIM($G903))&gt;0,"COUNTED",IF(COUNTIF(LISTS!$J$2:$J$16,TRIM($G903))&gt;0,"LEFT OUT","NEW")))</f>
        <v/>
      </c>
    </row>
    <row r="904" spans="47:47" x14ac:dyDescent="0.25">
      <c r="AU904" s="8" t="str">
        <f>IF(TRIM($G904)="","",IF(COUNTIF(LISTS!$I$2:$I$16,TRIM($G904))&gt;0,"COUNTED",IF(COUNTIF(LISTS!$J$2:$J$16,TRIM($G904))&gt;0,"LEFT OUT","NEW")))</f>
        <v/>
      </c>
    </row>
    <row r="905" spans="47:47" x14ac:dyDescent="0.25">
      <c r="AU905" s="8" t="str">
        <f>IF(TRIM($G905)="","",IF(COUNTIF(LISTS!$I$2:$I$16,TRIM($G905))&gt;0,"COUNTED",IF(COUNTIF(LISTS!$J$2:$J$16,TRIM($G905))&gt;0,"LEFT OUT","NEW")))</f>
        <v/>
      </c>
    </row>
    <row r="906" spans="47:47" x14ac:dyDescent="0.25">
      <c r="AU906" s="8" t="str">
        <f>IF(TRIM($G906)="","",IF(COUNTIF(LISTS!$I$2:$I$16,TRIM($G906))&gt;0,"COUNTED",IF(COUNTIF(LISTS!$J$2:$J$16,TRIM($G906))&gt;0,"LEFT OUT","NEW")))</f>
        <v/>
      </c>
    </row>
    <row r="907" spans="47:47" x14ac:dyDescent="0.25">
      <c r="AU907" s="8" t="str">
        <f>IF(TRIM($G907)="","",IF(COUNTIF(LISTS!$I$2:$I$16,TRIM($G907))&gt;0,"COUNTED",IF(COUNTIF(LISTS!$J$2:$J$16,TRIM($G907))&gt;0,"LEFT OUT","NEW")))</f>
        <v/>
      </c>
    </row>
    <row r="908" spans="47:47" x14ac:dyDescent="0.25">
      <c r="AU908" s="8" t="str">
        <f>IF(TRIM($G908)="","",IF(COUNTIF(LISTS!$I$2:$I$16,TRIM($G908))&gt;0,"COUNTED",IF(COUNTIF(LISTS!$J$2:$J$16,TRIM($G908))&gt;0,"LEFT OUT","NEW")))</f>
        <v/>
      </c>
    </row>
    <row r="909" spans="47:47" x14ac:dyDescent="0.25">
      <c r="AU909" s="8" t="str">
        <f>IF(TRIM($G909)="","",IF(COUNTIF(LISTS!$I$2:$I$16,TRIM($G909))&gt;0,"COUNTED",IF(COUNTIF(LISTS!$J$2:$J$16,TRIM($G909))&gt;0,"LEFT OUT","NEW")))</f>
        <v/>
      </c>
    </row>
    <row r="910" spans="47:47" x14ac:dyDescent="0.25">
      <c r="AU910" s="8" t="str">
        <f>IF(TRIM($G910)="","",IF(COUNTIF(LISTS!$I$2:$I$16,TRIM($G910))&gt;0,"COUNTED",IF(COUNTIF(LISTS!$J$2:$J$16,TRIM($G910))&gt;0,"LEFT OUT","NEW")))</f>
        <v/>
      </c>
    </row>
    <row r="911" spans="47:47" x14ac:dyDescent="0.25">
      <c r="AU911" s="8" t="str">
        <f>IF(TRIM($G911)="","",IF(COUNTIF(LISTS!$I$2:$I$16,TRIM($G911))&gt;0,"COUNTED",IF(COUNTIF(LISTS!$J$2:$J$16,TRIM($G911))&gt;0,"LEFT OUT","NEW")))</f>
        <v/>
      </c>
    </row>
    <row r="912" spans="47:47" x14ac:dyDescent="0.25">
      <c r="AU912" s="8" t="str">
        <f>IF(TRIM($G912)="","",IF(COUNTIF(LISTS!$I$2:$I$16,TRIM($G912))&gt;0,"COUNTED",IF(COUNTIF(LISTS!$J$2:$J$16,TRIM($G912))&gt;0,"LEFT OUT","NEW")))</f>
        <v/>
      </c>
    </row>
    <row r="913" spans="47:47" x14ac:dyDescent="0.25">
      <c r="AU913" s="8" t="str">
        <f>IF(TRIM($G913)="","",IF(COUNTIF(LISTS!$I$2:$I$16,TRIM($G913))&gt;0,"COUNTED",IF(COUNTIF(LISTS!$J$2:$J$16,TRIM($G913))&gt;0,"LEFT OUT","NEW")))</f>
        <v/>
      </c>
    </row>
    <row r="914" spans="47:47" x14ac:dyDescent="0.25">
      <c r="AU914" s="8" t="str">
        <f>IF(TRIM($G914)="","",IF(COUNTIF(LISTS!$I$2:$I$16,TRIM($G914))&gt;0,"COUNTED",IF(COUNTIF(LISTS!$J$2:$J$16,TRIM($G914))&gt;0,"LEFT OUT","NEW")))</f>
        <v/>
      </c>
    </row>
    <row r="915" spans="47:47" x14ac:dyDescent="0.25">
      <c r="AU915" s="8" t="str">
        <f>IF(TRIM($G915)="","",IF(COUNTIF(LISTS!$I$2:$I$16,TRIM($G915))&gt;0,"COUNTED",IF(COUNTIF(LISTS!$J$2:$J$16,TRIM($G915))&gt;0,"LEFT OUT","NEW")))</f>
        <v/>
      </c>
    </row>
    <row r="916" spans="47:47" x14ac:dyDescent="0.25">
      <c r="AU916" s="8" t="str">
        <f>IF(TRIM($G916)="","",IF(COUNTIF(LISTS!$I$2:$I$16,TRIM($G916))&gt;0,"COUNTED",IF(COUNTIF(LISTS!$J$2:$J$16,TRIM($G916))&gt;0,"LEFT OUT","NEW")))</f>
        <v/>
      </c>
    </row>
    <row r="917" spans="47:47" x14ac:dyDescent="0.25">
      <c r="AU917" s="8" t="str">
        <f>IF(TRIM($G917)="","",IF(COUNTIF(LISTS!$I$2:$I$16,TRIM($G917))&gt;0,"COUNTED",IF(COUNTIF(LISTS!$J$2:$J$16,TRIM($G917))&gt;0,"LEFT OUT","NEW")))</f>
        <v/>
      </c>
    </row>
    <row r="918" spans="47:47" x14ac:dyDescent="0.25">
      <c r="AU918" s="8" t="str">
        <f>IF(TRIM($G918)="","",IF(COUNTIF(LISTS!$I$2:$I$16,TRIM($G918))&gt;0,"COUNTED",IF(COUNTIF(LISTS!$J$2:$J$16,TRIM($G918))&gt;0,"LEFT OUT","NEW")))</f>
        <v/>
      </c>
    </row>
    <row r="919" spans="47:47" x14ac:dyDescent="0.25">
      <c r="AU919" s="8" t="str">
        <f>IF(TRIM($G919)="","",IF(COUNTIF(LISTS!$I$2:$I$16,TRIM($G919))&gt;0,"COUNTED",IF(COUNTIF(LISTS!$J$2:$J$16,TRIM($G919))&gt;0,"LEFT OUT","NEW")))</f>
        <v/>
      </c>
    </row>
    <row r="920" spans="47:47" x14ac:dyDescent="0.25">
      <c r="AU920" s="8" t="str">
        <f>IF(TRIM($G920)="","",IF(COUNTIF(LISTS!$I$2:$I$16,TRIM($G920))&gt;0,"COUNTED",IF(COUNTIF(LISTS!$J$2:$J$16,TRIM($G920))&gt;0,"LEFT OUT","NEW")))</f>
        <v/>
      </c>
    </row>
    <row r="921" spans="47:47" x14ac:dyDescent="0.25">
      <c r="AU921" s="8" t="str">
        <f>IF(TRIM($G921)="","",IF(COUNTIF(LISTS!$I$2:$I$16,TRIM($G921))&gt;0,"COUNTED",IF(COUNTIF(LISTS!$J$2:$J$16,TRIM($G921))&gt;0,"LEFT OUT","NEW")))</f>
        <v/>
      </c>
    </row>
    <row r="922" spans="47:47" x14ac:dyDescent="0.25">
      <c r="AU922" s="8" t="str">
        <f>IF(TRIM($G922)="","",IF(COUNTIF(LISTS!$I$2:$I$16,TRIM($G922))&gt;0,"COUNTED",IF(COUNTIF(LISTS!$J$2:$J$16,TRIM($G922))&gt;0,"LEFT OUT","NEW")))</f>
        <v/>
      </c>
    </row>
    <row r="923" spans="47:47" x14ac:dyDescent="0.25">
      <c r="AU923" s="8" t="str">
        <f>IF(TRIM($G923)="","",IF(COUNTIF(LISTS!$I$2:$I$16,TRIM($G923))&gt;0,"COUNTED",IF(COUNTIF(LISTS!$J$2:$J$16,TRIM($G923))&gt;0,"LEFT OUT","NEW")))</f>
        <v/>
      </c>
    </row>
    <row r="924" spans="47:47" x14ac:dyDescent="0.25">
      <c r="AU924" s="8" t="str">
        <f>IF(TRIM($G924)="","",IF(COUNTIF(LISTS!$I$2:$I$16,TRIM($G924))&gt;0,"COUNTED",IF(COUNTIF(LISTS!$J$2:$J$16,TRIM($G924))&gt;0,"LEFT OUT","NEW")))</f>
        <v/>
      </c>
    </row>
    <row r="925" spans="47:47" x14ac:dyDescent="0.25">
      <c r="AU925" s="8" t="str">
        <f>IF(TRIM($G925)="","",IF(COUNTIF(LISTS!$I$2:$I$16,TRIM($G925))&gt;0,"COUNTED",IF(COUNTIF(LISTS!$J$2:$J$16,TRIM($G925))&gt;0,"LEFT OUT","NEW")))</f>
        <v/>
      </c>
    </row>
    <row r="926" spans="47:47" x14ac:dyDescent="0.25">
      <c r="AU926" s="8" t="str">
        <f>IF(TRIM($G926)="","",IF(COUNTIF(LISTS!$I$2:$I$16,TRIM($G926))&gt;0,"COUNTED",IF(COUNTIF(LISTS!$J$2:$J$16,TRIM($G926))&gt;0,"LEFT OUT","NEW")))</f>
        <v/>
      </c>
    </row>
    <row r="927" spans="47:47" x14ac:dyDescent="0.25">
      <c r="AU927" s="8" t="str">
        <f>IF(TRIM($G927)="","",IF(COUNTIF(LISTS!$I$2:$I$16,TRIM($G927))&gt;0,"COUNTED",IF(COUNTIF(LISTS!$J$2:$J$16,TRIM($G927))&gt;0,"LEFT OUT","NEW")))</f>
        <v/>
      </c>
    </row>
    <row r="928" spans="47:47" x14ac:dyDescent="0.25">
      <c r="AU928" s="8" t="str">
        <f>IF(TRIM($G928)="","",IF(COUNTIF(LISTS!$I$2:$I$16,TRIM($G928))&gt;0,"COUNTED",IF(COUNTIF(LISTS!$J$2:$J$16,TRIM($G928))&gt;0,"LEFT OUT","NEW")))</f>
        <v/>
      </c>
    </row>
    <row r="929" spans="47:47" x14ac:dyDescent="0.25">
      <c r="AU929" s="8" t="str">
        <f>IF(TRIM($G929)="","",IF(COUNTIF(LISTS!$I$2:$I$16,TRIM($G929))&gt;0,"COUNTED",IF(COUNTIF(LISTS!$J$2:$J$16,TRIM($G929))&gt;0,"LEFT OUT","NEW")))</f>
        <v/>
      </c>
    </row>
    <row r="930" spans="47:47" x14ac:dyDescent="0.25">
      <c r="AU930" s="8" t="str">
        <f>IF(TRIM($G930)="","",IF(COUNTIF(LISTS!$I$2:$I$16,TRIM($G930))&gt;0,"COUNTED",IF(COUNTIF(LISTS!$J$2:$J$16,TRIM($G930))&gt;0,"LEFT OUT","NEW")))</f>
        <v/>
      </c>
    </row>
    <row r="931" spans="47:47" x14ac:dyDescent="0.25">
      <c r="AU931" s="8" t="str">
        <f>IF(TRIM($G931)="","",IF(COUNTIF(LISTS!$I$2:$I$16,TRIM($G931))&gt;0,"COUNTED",IF(COUNTIF(LISTS!$J$2:$J$16,TRIM($G931))&gt;0,"LEFT OUT","NEW")))</f>
        <v/>
      </c>
    </row>
    <row r="932" spans="47:47" x14ac:dyDescent="0.25">
      <c r="AU932" s="8" t="str">
        <f>IF(TRIM($G932)="","",IF(COUNTIF(LISTS!$I$2:$I$16,TRIM($G932))&gt;0,"COUNTED",IF(COUNTIF(LISTS!$J$2:$J$16,TRIM($G932))&gt;0,"LEFT OUT","NEW")))</f>
        <v/>
      </c>
    </row>
    <row r="933" spans="47:47" x14ac:dyDescent="0.25">
      <c r="AU933" s="8" t="str">
        <f>IF(TRIM($G933)="","",IF(COUNTIF(LISTS!$I$2:$I$16,TRIM($G933))&gt;0,"COUNTED",IF(COUNTIF(LISTS!$J$2:$J$16,TRIM($G933))&gt;0,"LEFT OUT","NEW")))</f>
        <v/>
      </c>
    </row>
    <row r="934" spans="47:47" x14ac:dyDescent="0.25">
      <c r="AU934" s="8" t="str">
        <f>IF(TRIM($G934)="","",IF(COUNTIF(LISTS!$I$2:$I$16,TRIM($G934))&gt;0,"COUNTED",IF(COUNTIF(LISTS!$J$2:$J$16,TRIM($G934))&gt;0,"LEFT OUT","NEW")))</f>
        <v/>
      </c>
    </row>
    <row r="935" spans="47:47" x14ac:dyDescent="0.25">
      <c r="AU935" s="8" t="str">
        <f>IF(TRIM($G935)="","",IF(COUNTIF(LISTS!$I$2:$I$16,TRIM($G935))&gt;0,"COUNTED",IF(COUNTIF(LISTS!$J$2:$J$16,TRIM($G935))&gt;0,"LEFT OUT","NEW")))</f>
        <v/>
      </c>
    </row>
    <row r="936" spans="47:47" x14ac:dyDescent="0.25">
      <c r="AU936" s="8" t="str">
        <f>IF(TRIM($G936)="","",IF(COUNTIF(LISTS!$I$2:$I$16,TRIM($G936))&gt;0,"COUNTED",IF(COUNTIF(LISTS!$J$2:$J$16,TRIM($G936))&gt;0,"LEFT OUT","NEW")))</f>
        <v/>
      </c>
    </row>
    <row r="937" spans="47:47" x14ac:dyDescent="0.25">
      <c r="AU937" s="8" t="str">
        <f>IF(TRIM($G937)="","",IF(COUNTIF(LISTS!$I$2:$I$16,TRIM($G937))&gt;0,"COUNTED",IF(COUNTIF(LISTS!$J$2:$J$16,TRIM($G937))&gt;0,"LEFT OUT","NEW")))</f>
        <v/>
      </c>
    </row>
    <row r="938" spans="47:47" x14ac:dyDescent="0.25">
      <c r="AU938" s="8" t="str">
        <f>IF(TRIM($G938)="","",IF(COUNTIF(LISTS!$I$2:$I$16,TRIM($G938))&gt;0,"COUNTED",IF(COUNTIF(LISTS!$J$2:$J$16,TRIM($G938))&gt;0,"LEFT OUT","NEW")))</f>
        <v/>
      </c>
    </row>
    <row r="939" spans="47:47" x14ac:dyDescent="0.25">
      <c r="AU939" s="8" t="str">
        <f>IF(TRIM($G939)="","",IF(COUNTIF(LISTS!$I$2:$I$16,TRIM($G939))&gt;0,"COUNTED",IF(COUNTIF(LISTS!$J$2:$J$16,TRIM($G939))&gt;0,"LEFT OUT","NEW")))</f>
        <v/>
      </c>
    </row>
    <row r="940" spans="47:47" x14ac:dyDescent="0.25">
      <c r="AU940" s="8" t="str">
        <f>IF(TRIM($G940)="","",IF(COUNTIF(LISTS!$I$2:$I$16,TRIM($G940))&gt;0,"COUNTED",IF(COUNTIF(LISTS!$J$2:$J$16,TRIM($G940))&gt;0,"LEFT OUT","NEW")))</f>
        <v/>
      </c>
    </row>
    <row r="941" spans="47:47" x14ac:dyDescent="0.25">
      <c r="AU941" s="8" t="str">
        <f>IF(TRIM($G941)="","",IF(COUNTIF(LISTS!$I$2:$I$16,TRIM($G941))&gt;0,"COUNTED",IF(COUNTIF(LISTS!$J$2:$J$16,TRIM($G941))&gt;0,"LEFT OUT","NEW")))</f>
        <v/>
      </c>
    </row>
    <row r="942" spans="47:47" x14ac:dyDescent="0.25">
      <c r="AU942" s="8" t="str">
        <f>IF(TRIM($G942)="","",IF(COUNTIF(LISTS!$I$2:$I$16,TRIM($G942))&gt;0,"COUNTED",IF(COUNTIF(LISTS!$J$2:$J$16,TRIM($G942))&gt;0,"LEFT OUT","NEW")))</f>
        <v/>
      </c>
    </row>
    <row r="943" spans="47:47" x14ac:dyDescent="0.25">
      <c r="AU943" s="8" t="str">
        <f>IF(TRIM($G943)="","",IF(COUNTIF(LISTS!$I$2:$I$16,TRIM($G943))&gt;0,"COUNTED",IF(COUNTIF(LISTS!$J$2:$J$16,TRIM($G943))&gt;0,"LEFT OUT","NEW")))</f>
        <v/>
      </c>
    </row>
    <row r="944" spans="47:47" x14ac:dyDescent="0.25">
      <c r="AU944" s="8" t="str">
        <f>IF(TRIM($G944)="","",IF(COUNTIF(LISTS!$I$2:$I$16,TRIM($G944))&gt;0,"COUNTED",IF(COUNTIF(LISTS!$J$2:$J$16,TRIM($G944))&gt;0,"LEFT OUT","NEW")))</f>
        <v/>
      </c>
    </row>
    <row r="945" spans="47:47" x14ac:dyDescent="0.25">
      <c r="AU945" s="8" t="str">
        <f>IF(TRIM($G945)="","",IF(COUNTIF(LISTS!$I$2:$I$16,TRIM($G945))&gt;0,"COUNTED",IF(COUNTIF(LISTS!$J$2:$J$16,TRIM($G945))&gt;0,"LEFT OUT","NEW")))</f>
        <v/>
      </c>
    </row>
    <row r="946" spans="47:47" x14ac:dyDescent="0.25">
      <c r="AU946" s="8" t="str">
        <f>IF(TRIM($G946)="","",IF(COUNTIF(LISTS!$I$2:$I$16,TRIM($G946))&gt;0,"COUNTED",IF(COUNTIF(LISTS!$J$2:$J$16,TRIM($G946))&gt;0,"LEFT OUT","NEW")))</f>
        <v/>
      </c>
    </row>
    <row r="947" spans="47:47" x14ac:dyDescent="0.25">
      <c r="AU947" s="8" t="str">
        <f>IF(TRIM($G947)="","",IF(COUNTIF(LISTS!$I$2:$I$16,TRIM($G947))&gt;0,"COUNTED",IF(COUNTIF(LISTS!$J$2:$J$16,TRIM($G947))&gt;0,"LEFT OUT","NEW")))</f>
        <v/>
      </c>
    </row>
    <row r="948" spans="47:47" x14ac:dyDescent="0.25">
      <c r="AU948" s="8" t="str">
        <f>IF(TRIM($G948)="","",IF(COUNTIF(LISTS!$I$2:$I$16,TRIM($G948))&gt;0,"COUNTED",IF(COUNTIF(LISTS!$J$2:$J$16,TRIM($G948))&gt;0,"LEFT OUT","NEW")))</f>
        <v/>
      </c>
    </row>
    <row r="949" spans="47:47" x14ac:dyDescent="0.25">
      <c r="AU949" s="8" t="str">
        <f>IF(TRIM($G949)="","",IF(COUNTIF(LISTS!$I$2:$I$16,TRIM($G949))&gt;0,"COUNTED",IF(COUNTIF(LISTS!$J$2:$J$16,TRIM($G949))&gt;0,"LEFT OUT","NEW")))</f>
        <v/>
      </c>
    </row>
    <row r="950" spans="47:47" x14ac:dyDescent="0.25">
      <c r="AU950" s="8" t="str">
        <f>IF(TRIM($G950)="","",IF(COUNTIF(LISTS!$I$2:$I$16,TRIM($G950))&gt;0,"COUNTED",IF(COUNTIF(LISTS!$J$2:$J$16,TRIM($G950))&gt;0,"LEFT OUT","NEW")))</f>
        <v/>
      </c>
    </row>
    <row r="951" spans="47:47" x14ac:dyDescent="0.25">
      <c r="AU951" s="8" t="str">
        <f>IF(TRIM($G951)="","",IF(COUNTIF(LISTS!$I$2:$I$16,TRIM($G951))&gt;0,"COUNTED",IF(COUNTIF(LISTS!$J$2:$J$16,TRIM($G951))&gt;0,"LEFT OUT","NEW")))</f>
        <v/>
      </c>
    </row>
    <row r="952" spans="47:47" x14ac:dyDescent="0.25">
      <c r="AU952" s="8" t="str">
        <f>IF(TRIM($G952)="","",IF(COUNTIF(LISTS!$I$2:$I$16,TRIM($G952))&gt;0,"COUNTED",IF(COUNTIF(LISTS!$J$2:$J$16,TRIM($G952))&gt;0,"LEFT OUT","NEW")))</f>
        <v/>
      </c>
    </row>
    <row r="953" spans="47:47" x14ac:dyDescent="0.25">
      <c r="AU953" s="8" t="str">
        <f>IF(TRIM($G953)="","",IF(COUNTIF(LISTS!$I$2:$I$16,TRIM($G953))&gt;0,"COUNTED",IF(COUNTIF(LISTS!$J$2:$J$16,TRIM($G953))&gt;0,"LEFT OUT","NEW")))</f>
        <v/>
      </c>
    </row>
    <row r="954" spans="47:47" x14ac:dyDescent="0.25">
      <c r="AU954" s="8" t="str">
        <f>IF(TRIM($G954)="","",IF(COUNTIF(LISTS!$I$2:$I$16,TRIM($G954))&gt;0,"COUNTED",IF(COUNTIF(LISTS!$J$2:$J$16,TRIM($G954))&gt;0,"LEFT OUT","NEW")))</f>
        <v/>
      </c>
    </row>
    <row r="955" spans="47:47" x14ac:dyDescent="0.25">
      <c r="AU955" s="8" t="str">
        <f>IF(TRIM($G955)="","",IF(COUNTIF(LISTS!$I$2:$I$16,TRIM($G955))&gt;0,"COUNTED",IF(COUNTIF(LISTS!$J$2:$J$16,TRIM($G955))&gt;0,"LEFT OUT","NEW")))</f>
        <v/>
      </c>
    </row>
    <row r="956" spans="47:47" x14ac:dyDescent="0.25">
      <c r="AU956" s="8" t="str">
        <f>IF(TRIM($G956)="","",IF(COUNTIF(LISTS!$I$2:$I$16,TRIM($G956))&gt;0,"COUNTED",IF(COUNTIF(LISTS!$J$2:$J$16,TRIM($G956))&gt;0,"LEFT OUT","NEW")))</f>
        <v/>
      </c>
    </row>
    <row r="957" spans="47:47" x14ac:dyDescent="0.25">
      <c r="AU957" s="8" t="str">
        <f>IF(TRIM($G957)="","",IF(COUNTIF(LISTS!$I$2:$I$16,TRIM($G957))&gt;0,"COUNTED",IF(COUNTIF(LISTS!$J$2:$J$16,TRIM($G957))&gt;0,"LEFT OUT","NEW")))</f>
        <v/>
      </c>
    </row>
    <row r="958" spans="47:47" x14ac:dyDescent="0.25">
      <c r="AU958" s="8" t="str">
        <f>IF(TRIM($G958)="","",IF(COUNTIF(LISTS!$I$2:$I$16,TRIM($G958))&gt;0,"COUNTED",IF(COUNTIF(LISTS!$J$2:$J$16,TRIM($G958))&gt;0,"LEFT OUT","NEW")))</f>
        <v/>
      </c>
    </row>
    <row r="959" spans="47:47" x14ac:dyDescent="0.25">
      <c r="AU959" s="8" t="str">
        <f>IF(TRIM($G959)="","",IF(COUNTIF(LISTS!$I$2:$I$16,TRIM($G959))&gt;0,"COUNTED",IF(COUNTIF(LISTS!$J$2:$J$16,TRIM($G959))&gt;0,"LEFT OUT","NEW")))</f>
        <v/>
      </c>
    </row>
    <row r="960" spans="47:47" x14ac:dyDescent="0.25">
      <c r="AU960" s="8" t="str">
        <f>IF(TRIM($G960)="","",IF(COUNTIF(LISTS!$I$2:$I$16,TRIM($G960))&gt;0,"COUNTED",IF(COUNTIF(LISTS!$J$2:$J$16,TRIM($G960))&gt;0,"LEFT OUT","NEW")))</f>
        <v/>
      </c>
    </row>
    <row r="961" spans="47:47" x14ac:dyDescent="0.25">
      <c r="AU961" s="8" t="str">
        <f>IF(TRIM($G961)="","",IF(COUNTIF(LISTS!$I$2:$I$16,TRIM($G961))&gt;0,"COUNTED",IF(COUNTIF(LISTS!$J$2:$J$16,TRIM($G961))&gt;0,"LEFT OUT","NEW")))</f>
        <v/>
      </c>
    </row>
    <row r="962" spans="47:47" x14ac:dyDescent="0.25">
      <c r="AU962" s="8" t="str">
        <f>IF(TRIM($G962)="","",IF(COUNTIF(LISTS!$I$2:$I$16,TRIM($G962))&gt;0,"COUNTED",IF(COUNTIF(LISTS!$J$2:$J$16,TRIM($G962))&gt;0,"LEFT OUT","NEW")))</f>
        <v/>
      </c>
    </row>
    <row r="963" spans="47:47" x14ac:dyDescent="0.25">
      <c r="AU963" s="8" t="str">
        <f>IF(TRIM($G963)="","",IF(COUNTIF(LISTS!$I$2:$I$16,TRIM($G963))&gt;0,"COUNTED",IF(COUNTIF(LISTS!$J$2:$J$16,TRIM($G963))&gt;0,"LEFT OUT","NEW")))</f>
        <v/>
      </c>
    </row>
    <row r="964" spans="47:47" x14ac:dyDescent="0.25">
      <c r="AU964" s="8" t="str">
        <f>IF(TRIM($G964)="","",IF(COUNTIF(LISTS!$I$2:$I$16,TRIM($G964))&gt;0,"COUNTED",IF(COUNTIF(LISTS!$J$2:$J$16,TRIM($G964))&gt;0,"LEFT OUT","NEW")))</f>
        <v/>
      </c>
    </row>
    <row r="965" spans="47:47" x14ac:dyDescent="0.25">
      <c r="AU965" s="8" t="str">
        <f>IF(TRIM($G965)="","",IF(COUNTIF(LISTS!$I$2:$I$16,TRIM($G965))&gt;0,"COUNTED",IF(COUNTIF(LISTS!$J$2:$J$16,TRIM($G965))&gt;0,"LEFT OUT","NEW")))</f>
        <v/>
      </c>
    </row>
    <row r="966" spans="47:47" x14ac:dyDescent="0.25">
      <c r="AU966" s="8" t="str">
        <f>IF(TRIM($G966)="","",IF(COUNTIF(LISTS!$I$2:$I$16,TRIM($G966))&gt;0,"COUNTED",IF(COUNTIF(LISTS!$J$2:$J$16,TRIM($G966))&gt;0,"LEFT OUT","NEW")))</f>
        <v/>
      </c>
    </row>
    <row r="967" spans="47:47" x14ac:dyDescent="0.25">
      <c r="AU967" s="8" t="str">
        <f>IF(TRIM($G967)="","",IF(COUNTIF(LISTS!$I$2:$I$16,TRIM($G967))&gt;0,"COUNTED",IF(COUNTIF(LISTS!$J$2:$J$16,TRIM($G967))&gt;0,"LEFT OUT","NEW")))</f>
        <v/>
      </c>
    </row>
    <row r="968" spans="47:47" x14ac:dyDescent="0.25">
      <c r="AU968" s="8" t="str">
        <f>IF(TRIM($G968)="","",IF(COUNTIF(LISTS!$I$2:$I$16,TRIM($G968))&gt;0,"COUNTED",IF(COUNTIF(LISTS!$J$2:$J$16,TRIM($G968))&gt;0,"LEFT OUT","NEW")))</f>
        <v/>
      </c>
    </row>
    <row r="969" spans="47:47" x14ac:dyDescent="0.25">
      <c r="AU969" s="8" t="str">
        <f>IF(TRIM($G969)="","",IF(COUNTIF(LISTS!$I$2:$I$16,TRIM($G969))&gt;0,"COUNTED",IF(COUNTIF(LISTS!$J$2:$J$16,TRIM($G969))&gt;0,"LEFT OUT","NEW")))</f>
        <v/>
      </c>
    </row>
    <row r="970" spans="47:47" x14ac:dyDescent="0.25">
      <c r="AU970" s="8" t="str">
        <f>IF(TRIM($G970)="","",IF(COUNTIF(LISTS!$I$2:$I$16,TRIM($G970))&gt;0,"COUNTED",IF(COUNTIF(LISTS!$J$2:$J$16,TRIM($G970))&gt;0,"LEFT OUT","NEW")))</f>
        <v/>
      </c>
    </row>
    <row r="971" spans="47:47" x14ac:dyDescent="0.25">
      <c r="AU971" s="8" t="str">
        <f>IF(TRIM($G971)="","",IF(COUNTIF(LISTS!$I$2:$I$16,TRIM($G971))&gt;0,"COUNTED",IF(COUNTIF(LISTS!$J$2:$J$16,TRIM($G971))&gt;0,"LEFT OUT","NEW")))</f>
        <v/>
      </c>
    </row>
    <row r="972" spans="47:47" x14ac:dyDescent="0.25">
      <c r="AU972" s="8" t="str">
        <f>IF(TRIM($G972)="","",IF(COUNTIF(LISTS!$I$2:$I$16,TRIM($G972))&gt;0,"COUNTED",IF(COUNTIF(LISTS!$J$2:$J$16,TRIM($G972))&gt;0,"LEFT OUT","NEW")))</f>
        <v/>
      </c>
    </row>
    <row r="973" spans="47:47" x14ac:dyDescent="0.25">
      <c r="AU973" s="8" t="str">
        <f>IF(TRIM($G973)="","",IF(COUNTIF(LISTS!$I$2:$I$16,TRIM($G973))&gt;0,"COUNTED",IF(COUNTIF(LISTS!$J$2:$J$16,TRIM($G973))&gt;0,"LEFT OUT","NEW")))</f>
        <v/>
      </c>
    </row>
    <row r="974" spans="47:47" x14ac:dyDescent="0.25">
      <c r="AU974" s="8" t="str">
        <f>IF(TRIM($G974)="","",IF(COUNTIF(LISTS!$I$2:$I$16,TRIM($G974))&gt;0,"COUNTED",IF(COUNTIF(LISTS!$J$2:$J$16,TRIM($G974))&gt;0,"LEFT OUT","NEW")))</f>
        <v/>
      </c>
    </row>
    <row r="975" spans="47:47" x14ac:dyDescent="0.25">
      <c r="AU975" s="8" t="str">
        <f>IF(TRIM($G975)="","",IF(COUNTIF(LISTS!$I$2:$I$16,TRIM($G975))&gt;0,"COUNTED",IF(COUNTIF(LISTS!$J$2:$J$16,TRIM($G975))&gt;0,"LEFT OUT","NEW")))</f>
        <v/>
      </c>
    </row>
    <row r="976" spans="47:47" x14ac:dyDescent="0.25">
      <c r="AU976" s="8" t="str">
        <f>IF(TRIM($G976)="","",IF(COUNTIF(LISTS!$I$2:$I$16,TRIM($G976))&gt;0,"COUNTED",IF(COUNTIF(LISTS!$J$2:$J$16,TRIM($G976))&gt;0,"LEFT OUT","NEW")))</f>
        <v/>
      </c>
    </row>
    <row r="977" spans="47:47" x14ac:dyDescent="0.25">
      <c r="AU977" s="8" t="str">
        <f>IF(TRIM($G977)="","",IF(COUNTIF(LISTS!$I$2:$I$16,TRIM($G977))&gt;0,"COUNTED",IF(COUNTIF(LISTS!$J$2:$J$16,TRIM($G977))&gt;0,"LEFT OUT","NEW")))</f>
        <v/>
      </c>
    </row>
    <row r="978" spans="47:47" x14ac:dyDescent="0.25">
      <c r="AU978" s="8" t="str">
        <f>IF(TRIM($G978)="","",IF(COUNTIF(LISTS!$I$2:$I$16,TRIM($G978))&gt;0,"COUNTED",IF(COUNTIF(LISTS!$J$2:$J$16,TRIM($G978))&gt;0,"LEFT OUT","NEW")))</f>
        <v/>
      </c>
    </row>
    <row r="979" spans="47:47" x14ac:dyDescent="0.25">
      <c r="AU979" s="8" t="str">
        <f>IF(TRIM($G979)="","",IF(COUNTIF(LISTS!$I$2:$I$16,TRIM($G979))&gt;0,"COUNTED",IF(COUNTIF(LISTS!$J$2:$J$16,TRIM($G979))&gt;0,"LEFT OUT","NEW")))</f>
        <v/>
      </c>
    </row>
    <row r="980" spans="47:47" x14ac:dyDescent="0.25">
      <c r="AU980" s="8" t="str">
        <f>IF(TRIM($G980)="","",IF(COUNTIF(LISTS!$I$2:$I$16,TRIM($G980))&gt;0,"COUNTED",IF(COUNTIF(LISTS!$J$2:$J$16,TRIM($G980))&gt;0,"LEFT OUT","NEW")))</f>
        <v/>
      </c>
    </row>
    <row r="981" spans="47:47" x14ac:dyDescent="0.25">
      <c r="AU981" s="8" t="str">
        <f>IF(TRIM($G981)="","",IF(COUNTIF(LISTS!$I$2:$I$16,TRIM($G981))&gt;0,"COUNTED",IF(COUNTIF(LISTS!$J$2:$J$16,TRIM($G981))&gt;0,"LEFT OUT","NEW")))</f>
        <v/>
      </c>
    </row>
    <row r="982" spans="47:47" x14ac:dyDescent="0.25">
      <c r="AU982" s="8" t="str">
        <f>IF(TRIM($G982)="","",IF(COUNTIF(LISTS!$I$2:$I$16,TRIM($G982))&gt;0,"COUNTED",IF(COUNTIF(LISTS!$J$2:$J$16,TRIM($G982))&gt;0,"LEFT OUT","NEW")))</f>
        <v/>
      </c>
    </row>
    <row r="983" spans="47:47" x14ac:dyDescent="0.25">
      <c r="AU983" s="8" t="str">
        <f>IF(TRIM($G983)="","",IF(COUNTIF(LISTS!$I$2:$I$16,TRIM($G983))&gt;0,"COUNTED",IF(COUNTIF(LISTS!$J$2:$J$16,TRIM($G983))&gt;0,"LEFT OUT","NEW")))</f>
        <v/>
      </c>
    </row>
    <row r="984" spans="47:47" x14ac:dyDescent="0.25">
      <c r="AU984" s="8" t="str">
        <f>IF(TRIM($G984)="","",IF(COUNTIF(LISTS!$I$2:$I$16,TRIM($G984))&gt;0,"COUNTED",IF(COUNTIF(LISTS!$J$2:$J$16,TRIM($G984))&gt;0,"LEFT OUT","NEW")))</f>
        <v/>
      </c>
    </row>
    <row r="985" spans="47:47" x14ac:dyDescent="0.25">
      <c r="AU985" s="8" t="str">
        <f>IF(TRIM($G985)="","",IF(COUNTIF(LISTS!$I$2:$I$16,TRIM($G985))&gt;0,"COUNTED",IF(COUNTIF(LISTS!$J$2:$J$16,TRIM($G985))&gt;0,"LEFT OUT","NEW")))</f>
        <v/>
      </c>
    </row>
    <row r="986" spans="47:47" x14ac:dyDescent="0.25">
      <c r="AU986" s="8" t="str">
        <f>IF(TRIM($G986)="","",IF(COUNTIF(LISTS!$I$2:$I$16,TRIM($G986))&gt;0,"COUNTED",IF(COUNTIF(LISTS!$J$2:$J$16,TRIM($G986))&gt;0,"LEFT OUT","NEW")))</f>
        <v/>
      </c>
    </row>
    <row r="987" spans="47:47" x14ac:dyDescent="0.25">
      <c r="AU987" s="8" t="str">
        <f>IF(TRIM($G987)="","",IF(COUNTIF(LISTS!$I$2:$I$16,TRIM($G987))&gt;0,"COUNTED",IF(COUNTIF(LISTS!$J$2:$J$16,TRIM($G987))&gt;0,"LEFT OUT","NEW")))</f>
        <v/>
      </c>
    </row>
    <row r="988" spans="47:47" x14ac:dyDescent="0.25">
      <c r="AU988" s="8" t="str">
        <f>IF(TRIM($G988)="","",IF(COUNTIF(LISTS!$I$2:$I$16,TRIM($G988))&gt;0,"COUNTED",IF(COUNTIF(LISTS!$J$2:$J$16,TRIM($G988))&gt;0,"LEFT OUT","NEW")))</f>
        <v/>
      </c>
    </row>
    <row r="989" spans="47:47" x14ac:dyDescent="0.25">
      <c r="AU989" s="8" t="str">
        <f>IF(TRIM($G989)="","",IF(COUNTIF(LISTS!$I$2:$I$16,TRIM($G989))&gt;0,"COUNTED",IF(COUNTIF(LISTS!$J$2:$J$16,TRIM($G989))&gt;0,"LEFT OUT","NEW")))</f>
        <v/>
      </c>
    </row>
    <row r="990" spans="47:47" x14ac:dyDescent="0.25">
      <c r="AU990" s="8" t="str">
        <f>IF(TRIM($G990)="","",IF(COUNTIF(LISTS!$I$2:$I$16,TRIM($G990))&gt;0,"COUNTED",IF(COUNTIF(LISTS!$J$2:$J$16,TRIM($G990))&gt;0,"LEFT OUT","NEW")))</f>
        <v/>
      </c>
    </row>
    <row r="991" spans="47:47" x14ac:dyDescent="0.25">
      <c r="AU991" s="8" t="str">
        <f>IF(TRIM($G991)="","",IF(COUNTIF(LISTS!$I$2:$I$16,TRIM($G991))&gt;0,"COUNTED",IF(COUNTIF(LISTS!$J$2:$J$16,TRIM($G991))&gt;0,"LEFT OUT","NEW")))</f>
        <v/>
      </c>
    </row>
    <row r="992" spans="47:47" x14ac:dyDescent="0.25">
      <c r="AU992" s="8" t="str">
        <f>IF(TRIM($G992)="","",IF(COUNTIF(LISTS!$I$2:$I$16,TRIM($G992))&gt;0,"COUNTED",IF(COUNTIF(LISTS!$J$2:$J$16,TRIM($G992))&gt;0,"LEFT OUT","NEW")))</f>
        <v/>
      </c>
    </row>
    <row r="993" spans="47:47" x14ac:dyDescent="0.25">
      <c r="AU993" s="8" t="str">
        <f>IF(TRIM($G993)="","",IF(COUNTIF(LISTS!$I$2:$I$16,TRIM($G993))&gt;0,"COUNTED",IF(COUNTIF(LISTS!$J$2:$J$16,TRIM($G993))&gt;0,"LEFT OUT","NEW")))</f>
        <v/>
      </c>
    </row>
    <row r="994" spans="47:47" x14ac:dyDescent="0.25">
      <c r="AU994" s="8" t="str">
        <f>IF(TRIM($G994)="","",IF(COUNTIF(LISTS!$I$2:$I$16,TRIM($G994))&gt;0,"COUNTED",IF(COUNTIF(LISTS!$J$2:$J$16,TRIM($G994))&gt;0,"LEFT OUT","NEW")))</f>
        <v/>
      </c>
    </row>
    <row r="995" spans="47:47" x14ac:dyDescent="0.25">
      <c r="AU995" s="8" t="str">
        <f>IF(TRIM($G995)="","",IF(COUNTIF(LISTS!$I$2:$I$16,TRIM($G995))&gt;0,"COUNTED",IF(COUNTIF(LISTS!$J$2:$J$16,TRIM($G995))&gt;0,"LEFT OUT","NEW")))</f>
        <v/>
      </c>
    </row>
    <row r="996" spans="47:47" x14ac:dyDescent="0.25">
      <c r="AU996" s="8" t="str">
        <f>IF(TRIM($G996)="","",IF(COUNTIF(LISTS!$I$2:$I$16,TRIM($G996))&gt;0,"COUNTED",IF(COUNTIF(LISTS!$J$2:$J$16,TRIM($G996))&gt;0,"LEFT OUT","NEW")))</f>
        <v/>
      </c>
    </row>
    <row r="997" spans="47:47" x14ac:dyDescent="0.25">
      <c r="AU997" s="8" t="str">
        <f>IF(TRIM($G997)="","",IF(COUNTIF(LISTS!$I$2:$I$16,TRIM($G997))&gt;0,"COUNTED",IF(COUNTIF(LISTS!$J$2:$J$16,TRIM($G997))&gt;0,"LEFT OUT","NEW")))</f>
        <v/>
      </c>
    </row>
    <row r="998" spans="47:47" x14ac:dyDescent="0.25">
      <c r="AU998" s="8" t="str">
        <f>IF(TRIM($G998)="","",IF(COUNTIF(LISTS!$I$2:$I$16,TRIM($G998))&gt;0,"COUNTED",IF(COUNTIF(LISTS!$J$2:$J$16,TRIM($G998))&gt;0,"LEFT OUT","NEW")))</f>
        <v/>
      </c>
    </row>
    <row r="999" spans="47:47" x14ac:dyDescent="0.25">
      <c r="AU999" s="8" t="str">
        <f>IF(TRIM($G999)="","",IF(COUNTIF(LISTS!$I$2:$I$16,TRIM($G999))&gt;0,"COUNTED",IF(COUNTIF(LISTS!$J$2:$J$16,TRIM($G999))&gt;0,"LEFT OUT","NEW")))</f>
        <v/>
      </c>
    </row>
    <row r="1000" spans="47:47" x14ac:dyDescent="0.25">
      <c r="AU1000" s="8" t="str">
        <f>IF(TRIM($G1000)="","",IF(COUNTIF(LISTS!$I$2:$I$16,TRIM($G1000))&gt;0,"COUNTED",IF(COUNTIF(LISTS!$J$2:$J$16,TRIM($G1000))&gt;0,"LEFT OUT","NEW")))</f>
        <v/>
      </c>
    </row>
    <row r="1001" spans="47:47" x14ac:dyDescent="0.25">
      <c r="AU1001" s="8" t="str">
        <f>IF(TRIM($G1001)="","",IF(COUNTIF(LISTS!$I$2:$I$16,TRIM($G1001))&gt;0,"COUNTED",IF(COUNTIF(LISTS!$J$2:$J$16,TRIM($G1001))&gt;0,"LEFT OUT","NEW")))</f>
        <v/>
      </c>
    </row>
    <row r="1002" spans="47:47" x14ac:dyDescent="0.25">
      <c r="AU1002" s="8" t="str">
        <f>IF(TRIM($G1002)="","",IF(COUNTIF(LISTS!$I$2:$I$16,TRIM($G1002))&gt;0,"COUNTED",IF(COUNTIF(LISTS!$J$2:$J$16,TRIM($G1002))&gt;0,"LEFT OUT","NEW")))</f>
        <v/>
      </c>
    </row>
    <row r="1003" spans="47:47" x14ac:dyDescent="0.25">
      <c r="AU1003" s="8" t="str">
        <f>IF(TRIM($G1003)="","",IF(COUNTIF(LISTS!$I$2:$I$16,TRIM($G1003))&gt;0,"COUNTED",IF(COUNTIF(LISTS!$J$2:$J$16,TRIM($G1003))&gt;0,"LEFT OUT","NEW")))</f>
        <v/>
      </c>
    </row>
    <row r="1004" spans="47:47" x14ac:dyDescent="0.25">
      <c r="AU1004" s="8" t="str">
        <f>IF(TRIM($G1004)="","",IF(COUNTIF(LISTS!$I$2:$I$16,TRIM($G1004))&gt;0,"COUNTED",IF(COUNTIF(LISTS!$J$2:$J$16,TRIM($G1004))&gt;0,"LEFT OUT","NEW")))</f>
        <v/>
      </c>
    </row>
    <row r="1005" spans="47:47" x14ac:dyDescent="0.25">
      <c r="AU1005" s="8" t="str">
        <f>IF(TRIM($G1005)="","",IF(COUNTIF(LISTS!$I$2:$I$16,TRIM($G1005))&gt;0,"COUNTED",IF(COUNTIF(LISTS!$J$2:$J$16,TRIM($G1005))&gt;0,"LEFT OUT","NEW")))</f>
        <v/>
      </c>
    </row>
    <row r="1006" spans="47:47" x14ac:dyDescent="0.25">
      <c r="AU1006" s="8" t="str">
        <f>IF(TRIM($G1006)="","",IF(COUNTIF(LISTS!$I$2:$I$16,TRIM($G1006))&gt;0,"COUNTED",IF(COUNTIF(LISTS!$J$2:$J$16,TRIM($G1006))&gt;0,"LEFT OUT","NEW")))</f>
        <v/>
      </c>
    </row>
    <row r="1007" spans="47:47" x14ac:dyDescent="0.25">
      <c r="AU1007" s="8" t="str">
        <f>IF(TRIM($G1007)="","",IF(COUNTIF(LISTS!$I$2:$I$16,TRIM($G1007))&gt;0,"COUNTED",IF(COUNTIF(LISTS!$J$2:$J$16,TRIM($G1007))&gt;0,"LEFT OUT","NEW")))</f>
        <v/>
      </c>
    </row>
    <row r="1008" spans="47:47" x14ac:dyDescent="0.25">
      <c r="AU1008" s="8" t="str">
        <f>IF(TRIM($G1008)="","",IF(COUNTIF(LISTS!$I$2:$I$16,TRIM($G1008))&gt;0,"COUNTED",IF(COUNTIF(LISTS!$J$2:$J$16,TRIM($G1008))&gt;0,"LEFT OUT","NEW")))</f>
        <v/>
      </c>
    </row>
    <row r="1009" spans="47:47" x14ac:dyDescent="0.25">
      <c r="AU1009" s="8" t="str">
        <f>IF(TRIM($G1009)="","",IF(COUNTIF(LISTS!$I$2:$I$16,TRIM($G1009))&gt;0,"COUNTED",IF(COUNTIF(LISTS!$J$2:$J$16,TRIM($G1009))&gt;0,"LEFT OUT","NEW")))</f>
        <v/>
      </c>
    </row>
    <row r="1010" spans="47:47" x14ac:dyDescent="0.25">
      <c r="AU1010" s="8" t="str">
        <f>IF(TRIM($G1010)="","",IF(COUNTIF(LISTS!$I$2:$I$16,TRIM($G1010))&gt;0,"COUNTED",IF(COUNTIF(LISTS!$J$2:$J$16,TRIM($G1010))&gt;0,"LEFT OUT","NEW")))</f>
        <v/>
      </c>
    </row>
    <row r="1011" spans="47:47" x14ac:dyDescent="0.25">
      <c r="AU1011" s="8" t="str">
        <f>IF(TRIM($G1011)="","",IF(COUNTIF(LISTS!$I$2:$I$16,TRIM($G1011))&gt;0,"COUNTED",IF(COUNTIF(LISTS!$J$2:$J$16,TRIM($G1011))&gt;0,"LEFT OUT","NEW")))</f>
        <v/>
      </c>
    </row>
    <row r="1012" spans="47:47" x14ac:dyDescent="0.25">
      <c r="AU1012" s="8" t="str">
        <f>IF(TRIM($G1012)="","",IF(COUNTIF(LISTS!$I$2:$I$16,TRIM($G1012))&gt;0,"COUNTED",IF(COUNTIF(LISTS!$J$2:$J$16,TRIM($G1012))&gt;0,"LEFT OUT","NEW")))</f>
        <v/>
      </c>
    </row>
    <row r="1013" spans="47:47" x14ac:dyDescent="0.25">
      <c r="AU1013" s="8" t="str">
        <f>IF(TRIM($G1013)="","",IF(COUNTIF(LISTS!$I$2:$I$16,TRIM($G1013))&gt;0,"COUNTED",IF(COUNTIF(LISTS!$J$2:$J$16,TRIM($G1013))&gt;0,"LEFT OUT","NEW")))</f>
        <v/>
      </c>
    </row>
    <row r="1014" spans="47:47" x14ac:dyDescent="0.25">
      <c r="AU1014" s="8" t="str">
        <f>IF(TRIM($G1014)="","",IF(COUNTIF(LISTS!$I$2:$I$16,TRIM($G1014))&gt;0,"COUNTED",IF(COUNTIF(LISTS!$J$2:$J$16,TRIM($G1014))&gt;0,"LEFT OUT","NEW")))</f>
        <v/>
      </c>
    </row>
    <row r="1015" spans="47:47" x14ac:dyDescent="0.25">
      <c r="AU1015" s="8" t="str">
        <f>IF(TRIM($G1015)="","",IF(COUNTIF(LISTS!$I$2:$I$16,TRIM($G1015))&gt;0,"COUNTED",IF(COUNTIF(LISTS!$J$2:$J$16,TRIM($G1015))&gt;0,"LEFT OUT","NEW")))</f>
        <v/>
      </c>
    </row>
    <row r="1016" spans="47:47" x14ac:dyDescent="0.25">
      <c r="AU1016" s="8" t="str">
        <f>IF(TRIM($G1016)="","",IF(COUNTIF(LISTS!$I$2:$I$16,TRIM($G1016))&gt;0,"COUNTED",IF(COUNTIF(LISTS!$J$2:$J$16,TRIM($G1016))&gt;0,"LEFT OUT","NEW")))</f>
        <v/>
      </c>
    </row>
    <row r="1017" spans="47:47" x14ac:dyDescent="0.25">
      <c r="AU1017" s="8" t="str">
        <f>IF(TRIM($G1017)="","",IF(COUNTIF(LISTS!$I$2:$I$16,TRIM($G1017))&gt;0,"COUNTED",IF(COUNTIF(LISTS!$J$2:$J$16,TRIM($G1017))&gt;0,"LEFT OUT","NEW")))</f>
        <v/>
      </c>
    </row>
    <row r="1018" spans="47:47" x14ac:dyDescent="0.25">
      <c r="AU1018" s="8" t="str">
        <f>IF(TRIM($G1018)="","",IF(COUNTIF(LISTS!$I$2:$I$16,TRIM($G1018))&gt;0,"COUNTED",IF(COUNTIF(LISTS!$J$2:$J$16,TRIM($G1018))&gt;0,"LEFT OUT","NEW")))</f>
        <v/>
      </c>
    </row>
    <row r="1019" spans="47:47" x14ac:dyDescent="0.25">
      <c r="AU1019" s="8" t="str">
        <f>IF(TRIM($G1019)="","",IF(COUNTIF(LISTS!$I$2:$I$16,TRIM($G1019))&gt;0,"COUNTED",IF(COUNTIF(LISTS!$J$2:$J$16,TRIM($G1019))&gt;0,"LEFT OUT","NEW")))</f>
        <v/>
      </c>
    </row>
    <row r="1020" spans="47:47" x14ac:dyDescent="0.25">
      <c r="AU1020" s="8" t="str">
        <f>IF(TRIM($G1020)="","",IF(COUNTIF(LISTS!$I$2:$I$16,TRIM($G1020))&gt;0,"COUNTED",IF(COUNTIF(LISTS!$J$2:$J$16,TRIM($G1020))&gt;0,"LEFT OUT","NEW")))</f>
        <v/>
      </c>
    </row>
    <row r="1021" spans="47:47" x14ac:dyDescent="0.25">
      <c r="AU1021" s="8" t="str">
        <f>IF(TRIM($G1021)="","",IF(COUNTIF(LISTS!$I$2:$I$16,TRIM($G1021))&gt;0,"COUNTED",IF(COUNTIF(LISTS!$J$2:$J$16,TRIM($G1021))&gt;0,"LEFT OUT","NEW")))</f>
        <v/>
      </c>
    </row>
    <row r="1022" spans="47:47" x14ac:dyDescent="0.25">
      <c r="AU1022" s="8" t="str">
        <f>IF(TRIM($G1022)="","",IF(COUNTIF(LISTS!$I$2:$I$16,TRIM($G1022))&gt;0,"COUNTED",IF(COUNTIF(LISTS!$J$2:$J$16,TRIM($G1022))&gt;0,"LEFT OUT","NEW")))</f>
        <v/>
      </c>
    </row>
    <row r="1023" spans="47:47" x14ac:dyDescent="0.25">
      <c r="AU1023" s="8" t="str">
        <f>IF(TRIM($G1023)="","",IF(COUNTIF(LISTS!$I$2:$I$16,TRIM($G1023))&gt;0,"COUNTED",IF(COUNTIF(LISTS!$J$2:$J$16,TRIM($G1023))&gt;0,"LEFT OUT","NEW")))</f>
        <v/>
      </c>
    </row>
    <row r="1024" spans="47:47" x14ac:dyDescent="0.25">
      <c r="AU1024" s="8" t="str">
        <f>IF(TRIM($G1024)="","",IF(COUNTIF(LISTS!$I$2:$I$16,TRIM($G1024))&gt;0,"COUNTED",IF(COUNTIF(LISTS!$J$2:$J$16,TRIM($G1024))&gt;0,"LEFT OUT","NEW")))</f>
        <v/>
      </c>
    </row>
    <row r="1025" spans="47:47" x14ac:dyDescent="0.25">
      <c r="AU1025" s="8" t="str">
        <f>IF(TRIM($G1025)="","",IF(COUNTIF(LISTS!$I$2:$I$16,TRIM($G1025))&gt;0,"COUNTED",IF(COUNTIF(LISTS!$J$2:$J$16,TRIM($G1025))&gt;0,"LEFT OUT","NEW")))</f>
        <v/>
      </c>
    </row>
    <row r="1026" spans="47:47" x14ac:dyDescent="0.25">
      <c r="AU1026" s="8" t="str">
        <f>IF(TRIM($G1026)="","",IF(COUNTIF(LISTS!$I$2:$I$16,TRIM($G1026))&gt;0,"COUNTED",IF(COUNTIF(LISTS!$J$2:$J$16,TRIM($G1026))&gt;0,"LEFT OUT","NEW")))</f>
        <v/>
      </c>
    </row>
    <row r="1027" spans="47:47" x14ac:dyDescent="0.25">
      <c r="AU1027" s="8" t="str">
        <f>IF(TRIM($G1027)="","",IF(COUNTIF(LISTS!$I$2:$I$16,TRIM($G1027))&gt;0,"COUNTED",IF(COUNTIF(LISTS!$J$2:$J$16,TRIM($G1027))&gt;0,"LEFT OUT","NEW")))</f>
        <v/>
      </c>
    </row>
    <row r="1028" spans="47:47" x14ac:dyDescent="0.25">
      <c r="AU1028" s="8" t="str">
        <f>IF(TRIM($G1028)="","",IF(COUNTIF(LISTS!$I$2:$I$16,TRIM($G1028))&gt;0,"COUNTED",IF(COUNTIF(LISTS!$J$2:$J$16,TRIM($G1028))&gt;0,"LEFT OUT","NEW")))</f>
        <v/>
      </c>
    </row>
    <row r="1029" spans="47:47" x14ac:dyDescent="0.25">
      <c r="AU1029" s="8" t="str">
        <f>IF(TRIM($G1029)="","",IF(COUNTIF(LISTS!$I$2:$I$16,TRIM($G1029))&gt;0,"COUNTED",IF(COUNTIF(LISTS!$J$2:$J$16,TRIM($G1029))&gt;0,"LEFT OUT","NEW")))</f>
        <v/>
      </c>
    </row>
    <row r="1030" spans="47:47" x14ac:dyDescent="0.25">
      <c r="AU1030" s="8" t="str">
        <f>IF(TRIM($G1030)="","",IF(COUNTIF(LISTS!$I$2:$I$16,TRIM($G1030))&gt;0,"COUNTED",IF(COUNTIF(LISTS!$J$2:$J$16,TRIM($G1030))&gt;0,"LEFT OUT","NEW")))</f>
        <v/>
      </c>
    </row>
    <row r="1031" spans="47:47" x14ac:dyDescent="0.25">
      <c r="AU1031" s="8" t="str">
        <f>IF(TRIM($G1031)="","",IF(COUNTIF(LISTS!$I$2:$I$16,TRIM($G1031))&gt;0,"COUNTED",IF(COUNTIF(LISTS!$J$2:$J$16,TRIM($G1031))&gt;0,"LEFT OUT","NEW")))</f>
        <v/>
      </c>
    </row>
    <row r="1032" spans="47:47" x14ac:dyDescent="0.25">
      <c r="AU1032" s="8" t="str">
        <f>IF(TRIM($G1032)="","",IF(COUNTIF(LISTS!$I$2:$I$16,TRIM($G1032))&gt;0,"COUNTED",IF(COUNTIF(LISTS!$J$2:$J$16,TRIM($G1032))&gt;0,"LEFT OUT","NEW")))</f>
        <v/>
      </c>
    </row>
    <row r="1033" spans="47:47" x14ac:dyDescent="0.25">
      <c r="AU1033" s="8" t="str">
        <f>IF(TRIM($G1033)="","",IF(COUNTIF(LISTS!$I$2:$I$16,TRIM($G1033))&gt;0,"COUNTED",IF(COUNTIF(LISTS!$J$2:$J$16,TRIM($G1033))&gt;0,"LEFT OUT","NEW")))</f>
        <v/>
      </c>
    </row>
    <row r="1034" spans="47:47" x14ac:dyDescent="0.25">
      <c r="AU1034" s="8" t="str">
        <f>IF(TRIM($G1034)="","",IF(COUNTIF(LISTS!$I$2:$I$16,TRIM($G1034))&gt;0,"COUNTED",IF(COUNTIF(LISTS!$J$2:$J$16,TRIM($G1034))&gt;0,"LEFT OUT","NEW")))</f>
        <v/>
      </c>
    </row>
    <row r="1035" spans="47:47" x14ac:dyDescent="0.25">
      <c r="AU1035" s="8" t="str">
        <f>IF(TRIM($G1035)="","",IF(COUNTIF(LISTS!$I$2:$I$16,TRIM($G1035))&gt;0,"COUNTED",IF(COUNTIF(LISTS!$J$2:$J$16,TRIM($G1035))&gt;0,"LEFT OUT","NEW")))</f>
        <v/>
      </c>
    </row>
    <row r="1036" spans="47:47" x14ac:dyDescent="0.25">
      <c r="AU1036" s="8" t="str">
        <f>IF(TRIM($G1036)="","",IF(COUNTIF(LISTS!$I$2:$I$16,TRIM($G1036))&gt;0,"COUNTED",IF(COUNTIF(LISTS!$J$2:$J$16,TRIM($G1036))&gt;0,"LEFT OUT","NEW")))</f>
        <v/>
      </c>
    </row>
    <row r="1037" spans="47:47" x14ac:dyDescent="0.25">
      <c r="AU1037" s="8" t="str">
        <f>IF(TRIM($G1037)="","",IF(COUNTIF(LISTS!$I$2:$I$16,TRIM($G1037))&gt;0,"COUNTED",IF(COUNTIF(LISTS!$J$2:$J$16,TRIM($G1037))&gt;0,"LEFT OUT","NEW")))</f>
        <v/>
      </c>
    </row>
    <row r="1038" spans="47:47" x14ac:dyDescent="0.25">
      <c r="AU1038" s="8" t="str">
        <f>IF(TRIM($G1038)="","",IF(COUNTIF(LISTS!$I$2:$I$16,TRIM($G1038))&gt;0,"COUNTED",IF(COUNTIF(LISTS!$J$2:$J$16,TRIM($G1038))&gt;0,"LEFT OUT","NEW")))</f>
        <v/>
      </c>
    </row>
    <row r="1039" spans="47:47" x14ac:dyDescent="0.25">
      <c r="AU1039" s="8" t="str">
        <f>IF(TRIM($G1039)="","",IF(COUNTIF(LISTS!$I$2:$I$16,TRIM($G1039))&gt;0,"COUNTED",IF(COUNTIF(LISTS!$J$2:$J$16,TRIM($G1039))&gt;0,"LEFT OUT","NEW")))</f>
        <v/>
      </c>
    </row>
    <row r="1040" spans="47:47" x14ac:dyDescent="0.25">
      <c r="AU1040" s="8" t="str">
        <f>IF(TRIM($G1040)="","",IF(COUNTIF(LISTS!$I$2:$I$16,TRIM($G1040))&gt;0,"COUNTED",IF(COUNTIF(LISTS!$J$2:$J$16,TRIM($G1040))&gt;0,"LEFT OUT","NEW")))</f>
        <v/>
      </c>
    </row>
    <row r="1041" spans="47:47" x14ac:dyDescent="0.25">
      <c r="AU1041" s="8" t="str">
        <f>IF(TRIM($G1041)="","",IF(COUNTIF(LISTS!$I$2:$I$16,TRIM($G1041))&gt;0,"COUNTED",IF(COUNTIF(LISTS!$J$2:$J$16,TRIM($G1041))&gt;0,"LEFT OUT","NEW")))</f>
        <v/>
      </c>
    </row>
    <row r="1042" spans="47:47" x14ac:dyDescent="0.25">
      <c r="AU1042" s="8" t="str">
        <f>IF(TRIM($G1042)="","",IF(COUNTIF(LISTS!$I$2:$I$16,TRIM($G1042))&gt;0,"COUNTED",IF(COUNTIF(LISTS!$J$2:$J$16,TRIM($G1042))&gt;0,"LEFT OUT","NEW")))</f>
        <v/>
      </c>
    </row>
    <row r="1043" spans="47:47" x14ac:dyDescent="0.25">
      <c r="AU1043" s="8" t="str">
        <f>IF(TRIM($G1043)="","",IF(COUNTIF(LISTS!$I$2:$I$16,TRIM($G1043))&gt;0,"COUNTED",IF(COUNTIF(LISTS!$J$2:$J$16,TRIM($G1043))&gt;0,"LEFT OUT","NEW")))</f>
        <v/>
      </c>
    </row>
    <row r="1044" spans="47:47" x14ac:dyDescent="0.25">
      <c r="AU1044" s="8" t="str">
        <f>IF(TRIM($G1044)="","",IF(COUNTIF(LISTS!$I$2:$I$16,TRIM($G1044))&gt;0,"COUNTED",IF(COUNTIF(LISTS!$J$2:$J$16,TRIM($G1044))&gt;0,"LEFT OUT","NEW")))</f>
        <v/>
      </c>
    </row>
    <row r="1045" spans="47:47" x14ac:dyDescent="0.25">
      <c r="AU1045" s="8" t="str">
        <f>IF(TRIM($G1045)="","",IF(COUNTIF(LISTS!$I$2:$I$16,TRIM($G1045))&gt;0,"COUNTED",IF(COUNTIF(LISTS!$J$2:$J$16,TRIM($G1045))&gt;0,"LEFT OUT","NEW")))</f>
        <v/>
      </c>
    </row>
    <row r="1046" spans="47:47" x14ac:dyDescent="0.25">
      <c r="AU1046" s="8" t="str">
        <f>IF(TRIM($G1046)="","",IF(COUNTIF(LISTS!$I$2:$I$16,TRIM($G1046))&gt;0,"COUNTED",IF(COUNTIF(LISTS!$J$2:$J$16,TRIM($G1046))&gt;0,"LEFT OUT","NEW")))</f>
        <v/>
      </c>
    </row>
    <row r="1047" spans="47:47" x14ac:dyDescent="0.25">
      <c r="AU1047" s="8" t="str">
        <f>IF(TRIM($G1047)="","",IF(COUNTIF(LISTS!$I$2:$I$16,TRIM($G1047))&gt;0,"COUNTED",IF(COUNTIF(LISTS!$J$2:$J$16,TRIM($G1047))&gt;0,"LEFT OUT","NEW")))</f>
        <v/>
      </c>
    </row>
    <row r="1048" spans="47:47" x14ac:dyDescent="0.25">
      <c r="AU1048" s="8" t="str">
        <f>IF(TRIM($G1048)="","",IF(COUNTIF(LISTS!$I$2:$I$16,TRIM($G1048))&gt;0,"COUNTED",IF(COUNTIF(LISTS!$J$2:$J$16,TRIM($G1048))&gt;0,"LEFT OUT","NEW")))</f>
        <v/>
      </c>
    </row>
    <row r="1049" spans="47:47" x14ac:dyDescent="0.25">
      <c r="AU1049" s="8" t="str">
        <f>IF(TRIM($G1049)="","",IF(COUNTIF(LISTS!$I$2:$I$16,TRIM($G1049))&gt;0,"COUNTED",IF(COUNTIF(LISTS!$J$2:$J$16,TRIM($G1049))&gt;0,"LEFT OUT","NEW")))</f>
        <v/>
      </c>
    </row>
    <row r="1050" spans="47:47" x14ac:dyDescent="0.25">
      <c r="AU1050" s="8" t="str">
        <f>IF(TRIM($G1050)="","",IF(COUNTIF(LISTS!$I$2:$I$16,TRIM($G1050))&gt;0,"COUNTED",IF(COUNTIF(LISTS!$J$2:$J$16,TRIM($G1050))&gt;0,"LEFT OUT","NEW")))</f>
        <v/>
      </c>
    </row>
    <row r="1051" spans="47:47" x14ac:dyDescent="0.25">
      <c r="AU1051" s="8" t="str">
        <f>IF(TRIM($G1051)="","",IF(COUNTIF(LISTS!$I$2:$I$16,TRIM($G1051))&gt;0,"COUNTED",IF(COUNTIF(LISTS!$J$2:$J$16,TRIM($G1051))&gt;0,"LEFT OUT","NEW")))</f>
        <v/>
      </c>
    </row>
    <row r="1052" spans="47:47" x14ac:dyDescent="0.25">
      <c r="AU1052" s="8" t="str">
        <f>IF(TRIM($G1052)="","",IF(COUNTIF(LISTS!$I$2:$I$16,TRIM($G1052))&gt;0,"COUNTED",IF(COUNTIF(LISTS!$J$2:$J$16,TRIM($G1052))&gt;0,"LEFT OUT","NEW")))</f>
        <v/>
      </c>
    </row>
    <row r="1053" spans="47:47" x14ac:dyDescent="0.25">
      <c r="AU1053" s="8" t="str">
        <f>IF(TRIM($G1053)="","",IF(COUNTIF(LISTS!$I$2:$I$16,TRIM($G1053))&gt;0,"COUNTED",IF(COUNTIF(LISTS!$J$2:$J$16,TRIM($G1053))&gt;0,"LEFT OUT","NEW")))</f>
        <v/>
      </c>
    </row>
    <row r="1054" spans="47:47" x14ac:dyDescent="0.25">
      <c r="AU1054" s="8" t="str">
        <f>IF(TRIM($G1054)="","",IF(COUNTIF(LISTS!$I$2:$I$16,TRIM($G1054))&gt;0,"COUNTED",IF(COUNTIF(LISTS!$J$2:$J$16,TRIM($G1054))&gt;0,"LEFT OUT","NEW")))</f>
        <v/>
      </c>
    </row>
    <row r="1055" spans="47:47" x14ac:dyDescent="0.25">
      <c r="AU1055" s="8" t="str">
        <f>IF(TRIM($G1055)="","",IF(COUNTIF(LISTS!$I$2:$I$16,TRIM($G1055))&gt;0,"COUNTED",IF(COUNTIF(LISTS!$J$2:$J$16,TRIM($G1055))&gt;0,"LEFT OUT","NEW")))</f>
        <v/>
      </c>
    </row>
    <row r="1056" spans="47:47" x14ac:dyDescent="0.25">
      <c r="AU1056" s="8" t="str">
        <f>IF(TRIM($G1056)="","",IF(COUNTIF(LISTS!$I$2:$I$16,TRIM($G1056))&gt;0,"COUNTED",IF(COUNTIF(LISTS!$J$2:$J$16,TRIM($G1056))&gt;0,"LEFT OUT","NEW")))</f>
        <v/>
      </c>
    </row>
    <row r="1057" spans="47:47" x14ac:dyDescent="0.25">
      <c r="AU1057" s="8" t="str">
        <f>IF(TRIM($G1057)="","",IF(COUNTIF(LISTS!$I$2:$I$16,TRIM($G1057))&gt;0,"COUNTED",IF(COUNTIF(LISTS!$J$2:$J$16,TRIM($G1057))&gt;0,"LEFT OUT","NEW")))</f>
        <v/>
      </c>
    </row>
    <row r="1058" spans="47:47" x14ac:dyDescent="0.25">
      <c r="AU1058" s="8" t="str">
        <f>IF(TRIM($G1058)="","",IF(COUNTIF(LISTS!$I$2:$I$16,TRIM($G1058))&gt;0,"COUNTED",IF(COUNTIF(LISTS!$J$2:$J$16,TRIM($G1058))&gt;0,"LEFT OUT","NEW")))</f>
        <v/>
      </c>
    </row>
    <row r="1059" spans="47:47" x14ac:dyDescent="0.25">
      <c r="AU1059" s="8" t="str">
        <f>IF(TRIM($G1059)="","",IF(COUNTIF(LISTS!$I$2:$I$16,TRIM($G1059))&gt;0,"COUNTED",IF(COUNTIF(LISTS!$J$2:$J$16,TRIM($G1059))&gt;0,"LEFT OUT","NEW")))</f>
        <v/>
      </c>
    </row>
    <row r="1060" spans="47:47" x14ac:dyDescent="0.25">
      <c r="AU1060" s="8" t="str">
        <f>IF(TRIM($G1060)="","",IF(COUNTIF(LISTS!$I$2:$I$16,TRIM($G1060))&gt;0,"COUNTED",IF(COUNTIF(LISTS!$J$2:$J$16,TRIM($G1060))&gt;0,"LEFT OUT","NEW")))</f>
        <v/>
      </c>
    </row>
    <row r="1061" spans="47:47" x14ac:dyDescent="0.25">
      <c r="AU1061" s="8" t="str">
        <f>IF(TRIM($G1061)="","",IF(COUNTIF(LISTS!$I$2:$I$16,TRIM($G1061))&gt;0,"COUNTED",IF(COUNTIF(LISTS!$J$2:$J$16,TRIM($G1061))&gt;0,"LEFT OUT","NEW")))</f>
        <v/>
      </c>
    </row>
    <row r="1062" spans="47:47" x14ac:dyDescent="0.25">
      <c r="AU1062" s="8" t="str">
        <f>IF(TRIM($G1062)="","",IF(COUNTIF(LISTS!$I$2:$I$16,TRIM($G1062))&gt;0,"COUNTED",IF(COUNTIF(LISTS!$J$2:$J$16,TRIM($G1062))&gt;0,"LEFT OUT","NEW")))</f>
        <v/>
      </c>
    </row>
    <row r="1063" spans="47:47" x14ac:dyDescent="0.25">
      <c r="AU1063" s="8" t="str">
        <f>IF(TRIM($G1063)="","",IF(COUNTIF(LISTS!$I$2:$I$16,TRIM($G1063))&gt;0,"COUNTED",IF(COUNTIF(LISTS!$J$2:$J$16,TRIM($G1063))&gt;0,"LEFT OUT","NEW")))</f>
        <v/>
      </c>
    </row>
    <row r="1064" spans="47:47" x14ac:dyDescent="0.25">
      <c r="AU1064" s="8" t="str">
        <f>IF(TRIM($G1064)="","",IF(COUNTIF(LISTS!$I$2:$I$16,TRIM($G1064))&gt;0,"COUNTED",IF(COUNTIF(LISTS!$J$2:$J$16,TRIM($G1064))&gt;0,"LEFT OUT","NEW")))</f>
        <v/>
      </c>
    </row>
    <row r="1065" spans="47:47" x14ac:dyDescent="0.25">
      <c r="AU1065" s="8" t="str">
        <f>IF(TRIM($G1065)="","",IF(COUNTIF(LISTS!$I$2:$I$16,TRIM($G1065))&gt;0,"COUNTED",IF(COUNTIF(LISTS!$J$2:$J$16,TRIM($G1065))&gt;0,"LEFT OUT","NEW")))</f>
        <v/>
      </c>
    </row>
    <row r="1066" spans="47:47" x14ac:dyDescent="0.25">
      <c r="AU1066" s="8" t="str">
        <f>IF(TRIM($G1066)="","",IF(COUNTIF(LISTS!$I$2:$I$16,TRIM($G1066))&gt;0,"COUNTED",IF(COUNTIF(LISTS!$J$2:$J$16,TRIM($G1066))&gt;0,"LEFT OUT","NEW")))</f>
        <v/>
      </c>
    </row>
    <row r="1067" spans="47:47" x14ac:dyDescent="0.25">
      <c r="AU1067" s="8" t="str">
        <f>IF(TRIM($G1067)="","",IF(COUNTIF(LISTS!$I$2:$I$16,TRIM($G1067))&gt;0,"COUNTED",IF(COUNTIF(LISTS!$J$2:$J$16,TRIM($G1067))&gt;0,"LEFT OUT","NEW")))</f>
        <v/>
      </c>
    </row>
    <row r="1068" spans="47:47" x14ac:dyDescent="0.25">
      <c r="AU1068" s="8" t="str">
        <f>IF(TRIM($G1068)="","",IF(COUNTIF(LISTS!$I$2:$I$16,TRIM($G1068))&gt;0,"COUNTED",IF(COUNTIF(LISTS!$J$2:$J$16,TRIM($G1068))&gt;0,"LEFT OUT","NEW")))</f>
        <v/>
      </c>
    </row>
    <row r="1069" spans="47:47" x14ac:dyDescent="0.25">
      <c r="AU1069" s="8" t="str">
        <f>IF(TRIM($G1069)="","",IF(COUNTIF(LISTS!$I$2:$I$16,TRIM($G1069))&gt;0,"COUNTED",IF(COUNTIF(LISTS!$J$2:$J$16,TRIM($G1069))&gt;0,"LEFT OUT","NEW")))</f>
        <v/>
      </c>
    </row>
    <row r="1070" spans="47:47" x14ac:dyDescent="0.25">
      <c r="AU1070" s="8" t="str">
        <f>IF(TRIM($G1070)="","",IF(COUNTIF(LISTS!$I$2:$I$16,TRIM($G1070))&gt;0,"COUNTED",IF(COUNTIF(LISTS!$J$2:$J$16,TRIM($G1070))&gt;0,"LEFT OUT","NEW")))</f>
        <v/>
      </c>
    </row>
    <row r="1071" spans="47:47" x14ac:dyDescent="0.25">
      <c r="AU1071" s="8" t="str">
        <f>IF(TRIM($G1071)="","",IF(COUNTIF(LISTS!$I$2:$I$16,TRIM($G1071))&gt;0,"COUNTED",IF(COUNTIF(LISTS!$J$2:$J$16,TRIM($G1071))&gt;0,"LEFT OUT","NEW")))</f>
        <v/>
      </c>
    </row>
    <row r="1072" spans="47:47" x14ac:dyDescent="0.25">
      <c r="AU1072" s="8" t="str">
        <f>IF(TRIM($G1072)="","",IF(COUNTIF(LISTS!$I$2:$I$16,TRIM($G1072))&gt;0,"COUNTED",IF(COUNTIF(LISTS!$J$2:$J$16,TRIM($G1072))&gt;0,"LEFT OUT","NEW")))</f>
        <v/>
      </c>
    </row>
    <row r="1073" spans="47:47" x14ac:dyDescent="0.25">
      <c r="AU1073" s="8" t="str">
        <f>IF(TRIM($G1073)="","",IF(COUNTIF(LISTS!$I$2:$I$16,TRIM($G1073))&gt;0,"COUNTED",IF(COUNTIF(LISTS!$J$2:$J$16,TRIM($G1073))&gt;0,"LEFT OUT","NEW")))</f>
        <v/>
      </c>
    </row>
    <row r="1074" spans="47:47" x14ac:dyDescent="0.25">
      <c r="AU1074" s="8" t="str">
        <f>IF(TRIM($G1074)="","",IF(COUNTIF(LISTS!$I$2:$I$16,TRIM($G1074))&gt;0,"COUNTED",IF(COUNTIF(LISTS!$J$2:$J$16,TRIM($G1074))&gt;0,"LEFT OUT","NEW")))</f>
        <v/>
      </c>
    </row>
    <row r="1075" spans="47:47" x14ac:dyDescent="0.25">
      <c r="AU1075" s="8" t="str">
        <f>IF(TRIM($G1075)="","",IF(COUNTIF(LISTS!$I$2:$I$16,TRIM($G1075))&gt;0,"COUNTED",IF(COUNTIF(LISTS!$J$2:$J$16,TRIM($G1075))&gt;0,"LEFT OUT","NEW")))</f>
        <v/>
      </c>
    </row>
    <row r="1076" spans="47:47" x14ac:dyDescent="0.25">
      <c r="AU1076" s="8" t="str">
        <f>IF(TRIM($G1076)="","",IF(COUNTIF(LISTS!$I$2:$I$16,TRIM($G1076))&gt;0,"COUNTED",IF(COUNTIF(LISTS!$J$2:$J$16,TRIM($G1076))&gt;0,"LEFT OUT","NEW")))</f>
        <v/>
      </c>
    </row>
    <row r="1077" spans="47:47" x14ac:dyDescent="0.25">
      <c r="AU1077" s="8" t="str">
        <f>IF(TRIM($G1077)="","",IF(COUNTIF(LISTS!$I$2:$I$16,TRIM($G1077))&gt;0,"COUNTED",IF(COUNTIF(LISTS!$J$2:$J$16,TRIM($G1077))&gt;0,"LEFT OUT","NEW")))</f>
        <v/>
      </c>
    </row>
    <row r="1078" spans="47:47" x14ac:dyDescent="0.25">
      <c r="AU1078" s="8" t="str">
        <f>IF(TRIM($G1078)="","",IF(COUNTIF(LISTS!$I$2:$I$16,TRIM($G1078))&gt;0,"COUNTED",IF(COUNTIF(LISTS!$J$2:$J$16,TRIM($G1078))&gt;0,"LEFT OUT","NEW")))</f>
        <v/>
      </c>
    </row>
    <row r="1079" spans="47:47" x14ac:dyDescent="0.25">
      <c r="AU1079" s="8" t="str">
        <f>IF(TRIM($G1079)="","",IF(COUNTIF(LISTS!$I$2:$I$16,TRIM($G1079))&gt;0,"COUNTED",IF(COUNTIF(LISTS!$J$2:$J$16,TRIM($G1079))&gt;0,"LEFT OUT","NEW")))</f>
        <v/>
      </c>
    </row>
    <row r="1080" spans="47:47" x14ac:dyDescent="0.25">
      <c r="AU1080" s="8" t="str">
        <f>IF(TRIM($G1080)="","",IF(COUNTIF(LISTS!$I$2:$I$16,TRIM($G1080))&gt;0,"COUNTED",IF(COUNTIF(LISTS!$J$2:$J$16,TRIM($G1080))&gt;0,"LEFT OUT","NEW")))</f>
        <v/>
      </c>
    </row>
    <row r="1081" spans="47:47" x14ac:dyDescent="0.25">
      <c r="AU1081" s="8" t="str">
        <f>IF(TRIM($G1081)="","",IF(COUNTIF(LISTS!$I$2:$I$16,TRIM($G1081))&gt;0,"COUNTED",IF(COUNTIF(LISTS!$J$2:$J$16,TRIM($G1081))&gt;0,"LEFT OUT","NEW")))</f>
        <v/>
      </c>
    </row>
    <row r="1082" spans="47:47" x14ac:dyDescent="0.25">
      <c r="AU1082" s="8" t="str">
        <f>IF(TRIM($G1082)="","",IF(COUNTIF(LISTS!$I$2:$I$16,TRIM($G1082))&gt;0,"COUNTED",IF(COUNTIF(LISTS!$J$2:$J$16,TRIM($G1082))&gt;0,"LEFT OUT","NEW")))</f>
        <v/>
      </c>
    </row>
    <row r="1083" spans="47:47" x14ac:dyDescent="0.25">
      <c r="AU1083" s="8" t="str">
        <f>IF(TRIM($G1083)="","",IF(COUNTIF(LISTS!$I$2:$I$16,TRIM($G1083))&gt;0,"COUNTED",IF(COUNTIF(LISTS!$J$2:$J$16,TRIM($G1083))&gt;0,"LEFT OUT","NEW")))</f>
        <v/>
      </c>
    </row>
    <row r="1084" spans="47:47" x14ac:dyDescent="0.25">
      <c r="AU1084" s="8" t="str">
        <f>IF(TRIM($G1084)="","",IF(COUNTIF(LISTS!$I$2:$I$16,TRIM($G1084))&gt;0,"COUNTED",IF(COUNTIF(LISTS!$J$2:$J$16,TRIM($G1084))&gt;0,"LEFT OUT","NEW")))</f>
        <v/>
      </c>
    </row>
    <row r="1085" spans="47:47" x14ac:dyDescent="0.25">
      <c r="AU1085" s="8" t="str">
        <f>IF(TRIM($G1085)="","",IF(COUNTIF(LISTS!$I$2:$I$16,TRIM($G1085))&gt;0,"COUNTED",IF(COUNTIF(LISTS!$J$2:$J$16,TRIM($G1085))&gt;0,"LEFT OUT","NEW")))</f>
        <v/>
      </c>
    </row>
    <row r="1086" spans="47:47" x14ac:dyDescent="0.25">
      <c r="AU1086" s="8" t="str">
        <f>IF(TRIM($G1086)="","",IF(COUNTIF(LISTS!$I$2:$I$16,TRIM($G1086))&gt;0,"COUNTED",IF(COUNTIF(LISTS!$J$2:$J$16,TRIM($G1086))&gt;0,"LEFT OUT","NEW")))</f>
        <v/>
      </c>
    </row>
    <row r="1087" spans="47:47" x14ac:dyDescent="0.25">
      <c r="AU1087" s="8" t="str">
        <f>IF(TRIM($G1087)="","",IF(COUNTIF(LISTS!$I$2:$I$16,TRIM($G1087))&gt;0,"COUNTED",IF(COUNTIF(LISTS!$J$2:$J$16,TRIM($G1087))&gt;0,"LEFT OUT","NEW")))</f>
        <v/>
      </c>
    </row>
    <row r="1088" spans="47:47" x14ac:dyDescent="0.25">
      <c r="AU1088" s="8" t="str">
        <f>IF(TRIM($G1088)="","",IF(COUNTIF(LISTS!$I$2:$I$16,TRIM($G1088))&gt;0,"COUNTED",IF(COUNTIF(LISTS!$J$2:$J$16,TRIM($G1088))&gt;0,"LEFT OUT","NEW")))</f>
        <v/>
      </c>
    </row>
    <row r="1089" spans="47:47" x14ac:dyDescent="0.25">
      <c r="AU1089" s="8" t="str">
        <f>IF(TRIM($G1089)="","",IF(COUNTIF(LISTS!$I$2:$I$16,TRIM($G1089))&gt;0,"COUNTED",IF(COUNTIF(LISTS!$J$2:$J$16,TRIM($G1089))&gt;0,"LEFT OUT","NEW")))</f>
        <v/>
      </c>
    </row>
    <row r="1090" spans="47:47" x14ac:dyDescent="0.25">
      <c r="AU1090" s="8" t="str">
        <f>IF(TRIM($G1090)="","",IF(COUNTIF(LISTS!$I$2:$I$16,TRIM($G1090))&gt;0,"COUNTED",IF(COUNTIF(LISTS!$J$2:$J$16,TRIM($G1090))&gt;0,"LEFT OUT","NEW")))</f>
        <v/>
      </c>
    </row>
    <row r="1091" spans="47:47" x14ac:dyDescent="0.25">
      <c r="AU1091" s="8" t="str">
        <f>IF(TRIM($G1091)="","",IF(COUNTIF(LISTS!$I$2:$I$16,TRIM($G1091))&gt;0,"COUNTED",IF(COUNTIF(LISTS!$J$2:$J$16,TRIM($G1091))&gt;0,"LEFT OUT","NEW")))</f>
        <v/>
      </c>
    </row>
    <row r="1092" spans="47:47" x14ac:dyDescent="0.25">
      <c r="AU1092" s="8" t="str">
        <f>IF(TRIM($G1092)="","",IF(COUNTIF(LISTS!$I$2:$I$16,TRIM($G1092))&gt;0,"COUNTED",IF(COUNTIF(LISTS!$J$2:$J$16,TRIM($G1092))&gt;0,"LEFT OUT","NEW")))</f>
        <v/>
      </c>
    </row>
    <row r="1093" spans="47:47" x14ac:dyDescent="0.25">
      <c r="AU1093" s="8" t="str">
        <f>IF(TRIM($G1093)="","",IF(COUNTIF(LISTS!$I$2:$I$16,TRIM($G1093))&gt;0,"COUNTED",IF(COUNTIF(LISTS!$J$2:$J$16,TRIM($G1093))&gt;0,"LEFT OUT","NEW")))</f>
        <v/>
      </c>
    </row>
    <row r="1094" spans="47:47" x14ac:dyDescent="0.25">
      <c r="AU1094" s="8" t="str">
        <f>IF(TRIM($G1094)="","",IF(COUNTIF(LISTS!$I$2:$I$16,TRIM($G1094))&gt;0,"COUNTED",IF(COUNTIF(LISTS!$J$2:$J$16,TRIM($G1094))&gt;0,"LEFT OUT","NEW")))</f>
        <v/>
      </c>
    </row>
    <row r="1095" spans="47:47" x14ac:dyDescent="0.25">
      <c r="AU1095" s="8" t="str">
        <f>IF(TRIM($G1095)="","",IF(COUNTIF(LISTS!$I$2:$I$16,TRIM($G1095))&gt;0,"COUNTED",IF(COUNTIF(LISTS!$J$2:$J$16,TRIM($G1095))&gt;0,"LEFT OUT","NEW")))</f>
        <v/>
      </c>
    </row>
    <row r="1096" spans="47:47" x14ac:dyDescent="0.25">
      <c r="AU1096" s="8" t="str">
        <f>IF(TRIM($G1096)="","",IF(COUNTIF(LISTS!$I$2:$I$16,TRIM($G1096))&gt;0,"COUNTED",IF(COUNTIF(LISTS!$J$2:$J$16,TRIM($G1096))&gt;0,"LEFT OUT","NEW")))</f>
        <v/>
      </c>
    </row>
    <row r="1097" spans="47:47" x14ac:dyDescent="0.25">
      <c r="AU1097" s="8" t="str">
        <f>IF(TRIM($G1097)="","",IF(COUNTIF(LISTS!$I$2:$I$16,TRIM($G1097))&gt;0,"COUNTED",IF(COUNTIF(LISTS!$J$2:$J$16,TRIM($G1097))&gt;0,"LEFT OUT","NEW")))</f>
        <v/>
      </c>
    </row>
    <row r="1098" spans="47:47" x14ac:dyDescent="0.25">
      <c r="AU1098" s="8" t="str">
        <f>IF(TRIM($G1098)="","",IF(COUNTIF(LISTS!$I$2:$I$16,TRIM($G1098))&gt;0,"COUNTED",IF(COUNTIF(LISTS!$J$2:$J$16,TRIM($G1098))&gt;0,"LEFT OUT","NEW")))</f>
        <v/>
      </c>
    </row>
    <row r="1099" spans="47:47" x14ac:dyDescent="0.25">
      <c r="AU1099" s="8" t="str">
        <f>IF(TRIM($G1099)="","",IF(COUNTIF(LISTS!$I$2:$I$16,TRIM($G1099))&gt;0,"COUNTED",IF(COUNTIF(LISTS!$J$2:$J$16,TRIM($G1099))&gt;0,"LEFT OUT","NEW")))</f>
        <v/>
      </c>
    </row>
    <row r="1100" spans="47:47" x14ac:dyDescent="0.25">
      <c r="AU1100" s="8" t="str">
        <f>IF(TRIM($G1100)="","",IF(COUNTIF(LISTS!$I$2:$I$16,TRIM($G1100))&gt;0,"COUNTED",IF(COUNTIF(LISTS!$J$2:$J$16,TRIM($G1100))&gt;0,"LEFT OUT","NEW")))</f>
        <v/>
      </c>
    </row>
    <row r="1101" spans="47:47" x14ac:dyDescent="0.25">
      <c r="AU1101" s="8" t="str">
        <f>IF(TRIM($G1101)="","",IF(COUNTIF(LISTS!$I$2:$I$16,TRIM($G1101))&gt;0,"COUNTED",IF(COUNTIF(LISTS!$J$2:$J$16,TRIM($G1101))&gt;0,"LEFT OUT","NEW")))</f>
        <v/>
      </c>
    </row>
    <row r="1102" spans="47:47" x14ac:dyDescent="0.25">
      <c r="AU1102" s="8" t="str">
        <f>IF(TRIM($G1102)="","",IF(COUNTIF(LISTS!$I$2:$I$16,TRIM($G1102))&gt;0,"COUNTED",IF(COUNTIF(LISTS!$J$2:$J$16,TRIM($G1102))&gt;0,"LEFT OUT","NEW")))</f>
        <v/>
      </c>
    </row>
    <row r="1103" spans="47:47" x14ac:dyDescent="0.25">
      <c r="AU1103" s="8" t="str">
        <f>IF(TRIM($G1103)="","",IF(COUNTIF(LISTS!$I$2:$I$16,TRIM($G1103))&gt;0,"COUNTED",IF(COUNTIF(LISTS!$J$2:$J$16,TRIM($G1103))&gt;0,"LEFT OUT","NEW")))</f>
        <v/>
      </c>
    </row>
    <row r="1104" spans="47:47" x14ac:dyDescent="0.25">
      <c r="AU1104" s="8" t="str">
        <f>IF(TRIM($G1104)="","",IF(COUNTIF(LISTS!$I$2:$I$16,TRIM($G1104))&gt;0,"COUNTED",IF(COUNTIF(LISTS!$J$2:$J$16,TRIM($G1104))&gt;0,"LEFT OUT","NEW")))</f>
        <v/>
      </c>
    </row>
    <row r="1105" spans="47:47" x14ac:dyDescent="0.25">
      <c r="AU1105" s="8" t="str">
        <f>IF(TRIM($G1105)="","",IF(COUNTIF(LISTS!$I$2:$I$16,TRIM($G1105))&gt;0,"COUNTED",IF(COUNTIF(LISTS!$J$2:$J$16,TRIM($G1105))&gt;0,"LEFT OUT","NEW")))</f>
        <v/>
      </c>
    </row>
    <row r="1106" spans="47:47" x14ac:dyDescent="0.25">
      <c r="AU1106" s="8" t="str">
        <f>IF(TRIM($G1106)="","",IF(COUNTIF(LISTS!$I$2:$I$16,TRIM($G1106))&gt;0,"COUNTED",IF(COUNTIF(LISTS!$J$2:$J$16,TRIM($G1106))&gt;0,"LEFT OUT","NEW")))</f>
        <v/>
      </c>
    </row>
    <row r="1107" spans="47:47" x14ac:dyDescent="0.25">
      <c r="AU1107" s="8" t="str">
        <f>IF(TRIM($G1107)="","",IF(COUNTIF(LISTS!$I$2:$I$16,TRIM($G1107))&gt;0,"COUNTED",IF(COUNTIF(LISTS!$J$2:$J$16,TRIM($G1107))&gt;0,"LEFT OUT","NEW")))</f>
        <v/>
      </c>
    </row>
    <row r="1108" spans="47:47" x14ac:dyDescent="0.25">
      <c r="AU1108" s="8" t="str">
        <f>IF(TRIM($G1108)="","",IF(COUNTIF(LISTS!$I$2:$I$16,TRIM($G1108))&gt;0,"COUNTED",IF(COUNTIF(LISTS!$J$2:$J$16,TRIM($G1108))&gt;0,"LEFT OUT","NEW")))</f>
        <v/>
      </c>
    </row>
    <row r="1109" spans="47:47" x14ac:dyDescent="0.25">
      <c r="AU1109" s="8" t="str">
        <f>IF(TRIM($G1109)="","",IF(COUNTIF(LISTS!$I$2:$I$16,TRIM($G1109))&gt;0,"COUNTED",IF(COUNTIF(LISTS!$J$2:$J$16,TRIM($G1109))&gt;0,"LEFT OUT","NEW")))</f>
        <v/>
      </c>
    </row>
    <row r="1110" spans="47:47" x14ac:dyDescent="0.25">
      <c r="AU1110" s="8" t="str">
        <f>IF(TRIM($G1110)="","",IF(COUNTIF(LISTS!$I$2:$I$16,TRIM($G1110))&gt;0,"COUNTED",IF(COUNTIF(LISTS!$J$2:$J$16,TRIM($G1110))&gt;0,"LEFT OUT","NEW")))</f>
        <v/>
      </c>
    </row>
    <row r="1111" spans="47:47" x14ac:dyDescent="0.25">
      <c r="AU1111" s="8" t="str">
        <f>IF(TRIM($G1111)="","",IF(COUNTIF(LISTS!$I$2:$I$16,TRIM($G1111))&gt;0,"COUNTED",IF(COUNTIF(LISTS!$J$2:$J$16,TRIM($G1111))&gt;0,"LEFT OUT","NEW")))</f>
        <v/>
      </c>
    </row>
    <row r="1112" spans="47:47" x14ac:dyDescent="0.25">
      <c r="AU1112" s="8" t="str">
        <f>IF(TRIM($G1112)="","",IF(COUNTIF(LISTS!$I$2:$I$16,TRIM($G1112))&gt;0,"COUNTED",IF(COUNTIF(LISTS!$J$2:$J$16,TRIM($G1112))&gt;0,"LEFT OUT","NEW")))</f>
        <v/>
      </c>
    </row>
    <row r="1113" spans="47:47" x14ac:dyDescent="0.25">
      <c r="AU1113" s="8" t="str">
        <f>IF(TRIM($G1113)="","",IF(COUNTIF(LISTS!$I$2:$I$16,TRIM($G1113))&gt;0,"COUNTED",IF(COUNTIF(LISTS!$J$2:$J$16,TRIM($G1113))&gt;0,"LEFT OUT","NEW")))</f>
        <v/>
      </c>
    </row>
    <row r="1114" spans="47:47" x14ac:dyDescent="0.25">
      <c r="AU1114" s="8" t="str">
        <f>IF(TRIM($G1114)="","",IF(COUNTIF(LISTS!$I$2:$I$16,TRIM($G1114))&gt;0,"COUNTED",IF(COUNTIF(LISTS!$J$2:$J$16,TRIM($G1114))&gt;0,"LEFT OUT","NEW")))</f>
        <v/>
      </c>
    </row>
    <row r="1115" spans="47:47" x14ac:dyDescent="0.25">
      <c r="AU1115" s="8" t="str">
        <f>IF(TRIM($G1115)="","",IF(COUNTIF(LISTS!$I$2:$I$16,TRIM($G1115))&gt;0,"COUNTED",IF(COUNTIF(LISTS!$J$2:$J$16,TRIM($G1115))&gt;0,"LEFT OUT","NEW")))</f>
        <v/>
      </c>
    </row>
    <row r="1116" spans="47:47" x14ac:dyDescent="0.25">
      <c r="AU1116" s="8" t="str">
        <f>IF(TRIM($G1116)="","",IF(COUNTIF(LISTS!$I$2:$I$16,TRIM($G1116))&gt;0,"COUNTED",IF(COUNTIF(LISTS!$J$2:$J$16,TRIM($G1116))&gt;0,"LEFT OUT","NEW")))</f>
        <v/>
      </c>
    </row>
    <row r="1117" spans="47:47" x14ac:dyDescent="0.25">
      <c r="AU1117" s="8" t="str">
        <f>IF(TRIM($G1117)="","",IF(COUNTIF(LISTS!$I$2:$I$16,TRIM($G1117))&gt;0,"COUNTED",IF(COUNTIF(LISTS!$J$2:$J$16,TRIM($G1117))&gt;0,"LEFT OUT","NEW")))</f>
        <v/>
      </c>
    </row>
    <row r="1118" spans="47:47" x14ac:dyDescent="0.25">
      <c r="AU1118" s="8" t="str">
        <f>IF(TRIM($G1118)="","",IF(COUNTIF(LISTS!$I$2:$I$16,TRIM($G1118))&gt;0,"COUNTED",IF(COUNTIF(LISTS!$J$2:$J$16,TRIM($G1118))&gt;0,"LEFT OUT","NEW")))</f>
        <v/>
      </c>
    </row>
    <row r="1119" spans="47:47" x14ac:dyDescent="0.25">
      <c r="AU1119" s="8" t="str">
        <f>IF(TRIM($G1119)="","",IF(COUNTIF(LISTS!$I$2:$I$16,TRIM($G1119))&gt;0,"COUNTED",IF(COUNTIF(LISTS!$J$2:$J$16,TRIM($G1119))&gt;0,"LEFT OUT","NEW")))</f>
        <v/>
      </c>
    </row>
    <row r="1120" spans="47:47" x14ac:dyDescent="0.25">
      <c r="AU1120" s="8" t="str">
        <f>IF(TRIM($G1120)="","",IF(COUNTIF(LISTS!$I$2:$I$16,TRIM($G1120))&gt;0,"COUNTED",IF(COUNTIF(LISTS!$J$2:$J$16,TRIM($G1120))&gt;0,"LEFT OUT","NEW")))</f>
        <v/>
      </c>
    </row>
    <row r="1121" spans="47:47" x14ac:dyDescent="0.25">
      <c r="AU1121" s="8" t="str">
        <f>IF(TRIM($G1121)="","",IF(COUNTIF(LISTS!$I$2:$I$16,TRIM($G1121))&gt;0,"COUNTED",IF(COUNTIF(LISTS!$J$2:$J$16,TRIM($G1121))&gt;0,"LEFT OUT","NEW")))</f>
        <v/>
      </c>
    </row>
    <row r="1122" spans="47:47" x14ac:dyDescent="0.25">
      <c r="AU1122" s="8" t="str">
        <f>IF(TRIM($G1122)="","",IF(COUNTIF(LISTS!$I$2:$I$16,TRIM($G1122))&gt;0,"COUNTED",IF(COUNTIF(LISTS!$J$2:$J$16,TRIM($G1122))&gt;0,"LEFT OUT","NEW")))</f>
        <v/>
      </c>
    </row>
    <row r="1123" spans="47:47" x14ac:dyDescent="0.25">
      <c r="AU1123" s="8" t="str">
        <f>IF(TRIM($G1123)="","",IF(COUNTIF(LISTS!$I$2:$I$16,TRIM($G1123))&gt;0,"COUNTED",IF(COUNTIF(LISTS!$J$2:$J$16,TRIM($G1123))&gt;0,"LEFT OUT","NEW")))</f>
        <v/>
      </c>
    </row>
    <row r="1124" spans="47:47" x14ac:dyDescent="0.25">
      <c r="AU1124" s="8" t="str">
        <f>IF(TRIM($G1124)="","",IF(COUNTIF(LISTS!$I$2:$I$16,TRIM($G1124))&gt;0,"COUNTED",IF(COUNTIF(LISTS!$J$2:$J$16,TRIM($G1124))&gt;0,"LEFT OUT","NEW")))</f>
        <v/>
      </c>
    </row>
    <row r="1125" spans="47:47" x14ac:dyDescent="0.25">
      <c r="AU1125" s="8" t="str">
        <f>IF(TRIM($G1125)="","",IF(COUNTIF(LISTS!$I$2:$I$16,TRIM($G1125))&gt;0,"COUNTED",IF(COUNTIF(LISTS!$J$2:$J$16,TRIM($G1125))&gt;0,"LEFT OUT","NEW")))</f>
        <v/>
      </c>
    </row>
    <row r="1126" spans="47:47" x14ac:dyDescent="0.25">
      <c r="AU1126" s="8" t="str">
        <f>IF(TRIM($G1126)="","",IF(COUNTIF(LISTS!$I$2:$I$16,TRIM($G1126))&gt;0,"COUNTED",IF(COUNTIF(LISTS!$J$2:$J$16,TRIM($G1126))&gt;0,"LEFT OUT","NEW")))</f>
        <v/>
      </c>
    </row>
    <row r="1127" spans="47:47" x14ac:dyDescent="0.25">
      <c r="AU1127" s="8" t="str">
        <f>IF(TRIM($G1127)="","",IF(COUNTIF(LISTS!$I$2:$I$16,TRIM($G1127))&gt;0,"COUNTED",IF(COUNTIF(LISTS!$J$2:$J$16,TRIM($G1127))&gt;0,"LEFT OUT","NEW")))</f>
        <v/>
      </c>
    </row>
    <row r="1128" spans="47:47" x14ac:dyDescent="0.25">
      <c r="AU1128" s="8" t="str">
        <f>IF(TRIM($G1128)="","",IF(COUNTIF(LISTS!$I$2:$I$16,TRIM($G1128))&gt;0,"COUNTED",IF(COUNTIF(LISTS!$J$2:$J$16,TRIM($G1128))&gt;0,"LEFT OUT","NEW")))</f>
        <v/>
      </c>
    </row>
    <row r="1129" spans="47:47" x14ac:dyDescent="0.25">
      <c r="AU1129" s="8" t="str">
        <f>IF(TRIM($G1129)="","",IF(COUNTIF(LISTS!$I$2:$I$16,TRIM($G1129))&gt;0,"COUNTED",IF(COUNTIF(LISTS!$J$2:$J$16,TRIM($G1129))&gt;0,"LEFT OUT","NEW")))</f>
        <v/>
      </c>
    </row>
    <row r="1130" spans="47:47" x14ac:dyDescent="0.25">
      <c r="AU1130" s="8" t="str">
        <f>IF(TRIM($G1130)="","",IF(COUNTIF(LISTS!$I$2:$I$16,TRIM($G1130))&gt;0,"COUNTED",IF(COUNTIF(LISTS!$J$2:$J$16,TRIM($G1130))&gt;0,"LEFT OUT","NEW")))</f>
        <v/>
      </c>
    </row>
    <row r="1131" spans="47:47" x14ac:dyDescent="0.25">
      <c r="AU1131" s="8" t="str">
        <f>IF(TRIM($G1131)="","",IF(COUNTIF(LISTS!$I$2:$I$16,TRIM($G1131))&gt;0,"COUNTED",IF(COUNTIF(LISTS!$J$2:$J$16,TRIM($G1131))&gt;0,"LEFT OUT","NEW")))</f>
        <v/>
      </c>
    </row>
    <row r="1132" spans="47:47" x14ac:dyDescent="0.25">
      <c r="AU1132" s="8" t="str">
        <f>IF(TRIM($G1132)="","",IF(COUNTIF(LISTS!$I$2:$I$16,TRIM($G1132))&gt;0,"COUNTED",IF(COUNTIF(LISTS!$J$2:$J$16,TRIM($G1132))&gt;0,"LEFT OUT","NEW")))</f>
        <v/>
      </c>
    </row>
    <row r="1133" spans="47:47" x14ac:dyDescent="0.25">
      <c r="AU1133" s="8" t="str">
        <f>IF(TRIM($G1133)="","",IF(COUNTIF(LISTS!$I$2:$I$16,TRIM($G1133))&gt;0,"COUNTED",IF(COUNTIF(LISTS!$J$2:$J$16,TRIM($G1133))&gt;0,"LEFT OUT","NEW")))</f>
        <v/>
      </c>
    </row>
    <row r="1134" spans="47:47" x14ac:dyDescent="0.25">
      <c r="AU1134" s="8" t="str">
        <f>IF(TRIM($G1134)="","",IF(COUNTIF(LISTS!$I$2:$I$16,TRIM($G1134))&gt;0,"COUNTED",IF(COUNTIF(LISTS!$J$2:$J$16,TRIM($G1134))&gt;0,"LEFT OUT","NEW")))</f>
        <v/>
      </c>
    </row>
    <row r="1135" spans="47:47" x14ac:dyDescent="0.25">
      <c r="AU1135" s="8" t="str">
        <f>IF(TRIM($G1135)="","",IF(COUNTIF(LISTS!$I$2:$I$16,TRIM($G1135))&gt;0,"COUNTED",IF(COUNTIF(LISTS!$J$2:$J$16,TRIM($G1135))&gt;0,"LEFT OUT","NEW")))</f>
        <v/>
      </c>
    </row>
    <row r="1136" spans="47:47" x14ac:dyDescent="0.25">
      <c r="AU1136" s="8" t="str">
        <f>IF(TRIM($G1136)="","",IF(COUNTIF(LISTS!$I$2:$I$16,TRIM($G1136))&gt;0,"COUNTED",IF(COUNTIF(LISTS!$J$2:$J$16,TRIM($G1136))&gt;0,"LEFT OUT","NEW")))</f>
        <v/>
      </c>
    </row>
    <row r="1137" spans="47:47" x14ac:dyDescent="0.25">
      <c r="AU1137" s="8" t="str">
        <f>IF(TRIM($G1137)="","",IF(COUNTIF(LISTS!$I$2:$I$16,TRIM($G1137))&gt;0,"COUNTED",IF(COUNTIF(LISTS!$J$2:$J$16,TRIM($G1137))&gt;0,"LEFT OUT","NEW")))</f>
        <v/>
      </c>
    </row>
    <row r="1138" spans="47:47" x14ac:dyDescent="0.25">
      <c r="AU1138" s="8" t="str">
        <f>IF(TRIM($G1138)="","",IF(COUNTIF(LISTS!$I$2:$I$16,TRIM($G1138))&gt;0,"COUNTED",IF(COUNTIF(LISTS!$J$2:$J$16,TRIM($G1138))&gt;0,"LEFT OUT","NEW")))</f>
        <v/>
      </c>
    </row>
    <row r="1139" spans="47:47" x14ac:dyDescent="0.25">
      <c r="AU1139" s="8" t="str">
        <f>IF(TRIM($G1139)="","",IF(COUNTIF(LISTS!$I$2:$I$16,TRIM($G1139))&gt;0,"COUNTED",IF(COUNTIF(LISTS!$J$2:$J$16,TRIM($G1139))&gt;0,"LEFT OUT","NEW")))</f>
        <v/>
      </c>
    </row>
    <row r="1140" spans="47:47" x14ac:dyDescent="0.25">
      <c r="AU1140" s="8" t="str">
        <f>IF(TRIM($G1140)="","",IF(COUNTIF(LISTS!$I$2:$I$16,TRIM($G1140))&gt;0,"COUNTED",IF(COUNTIF(LISTS!$J$2:$J$16,TRIM($G1140))&gt;0,"LEFT OUT","NEW")))</f>
        <v/>
      </c>
    </row>
    <row r="1141" spans="47:47" x14ac:dyDescent="0.25">
      <c r="AU1141" s="8" t="str">
        <f>IF(TRIM($G1141)="","",IF(COUNTIF(LISTS!$I$2:$I$16,TRIM($G1141))&gt;0,"COUNTED",IF(COUNTIF(LISTS!$J$2:$J$16,TRIM($G1141))&gt;0,"LEFT OUT","NEW")))</f>
        <v/>
      </c>
    </row>
    <row r="1142" spans="47:47" x14ac:dyDescent="0.25">
      <c r="AU1142" s="8" t="str">
        <f>IF(TRIM($G1142)="","",IF(COUNTIF(LISTS!$I$2:$I$16,TRIM($G1142))&gt;0,"COUNTED",IF(COUNTIF(LISTS!$J$2:$J$16,TRIM($G1142))&gt;0,"LEFT OUT","NEW")))</f>
        <v/>
      </c>
    </row>
    <row r="1143" spans="47:47" x14ac:dyDescent="0.25">
      <c r="AU1143" s="8" t="str">
        <f>IF(TRIM($G1143)="","",IF(COUNTIF(LISTS!$I$2:$I$16,TRIM($G1143))&gt;0,"COUNTED",IF(COUNTIF(LISTS!$J$2:$J$16,TRIM($G1143))&gt;0,"LEFT OUT","NEW")))</f>
        <v/>
      </c>
    </row>
    <row r="1144" spans="47:47" x14ac:dyDescent="0.25">
      <c r="AU1144" s="8" t="str">
        <f>IF(TRIM($G1144)="","",IF(COUNTIF(LISTS!$I$2:$I$16,TRIM($G1144))&gt;0,"COUNTED",IF(COUNTIF(LISTS!$J$2:$J$16,TRIM($G1144))&gt;0,"LEFT OUT","NEW")))</f>
        <v/>
      </c>
    </row>
    <row r="1145" spans="47:47" x14ac:dyDescent="0.25">
      <c r="AU1145" s="8" t="str">
        <f>IF(TRIM($G1145)="","",IF(COUNTIF(LISTS!$I$2:$I$16,TRIM($G1145))&gt;0,"COUNTED",IF(COUNTIF(LISTS!$J$2:$J$16,TRIM($G1145))&gt;0,"LEFT OUT","NEW")))</f>
        <v/>
      </c>
    </row>
    <row r="1146" spans="47:47" x14ac:dyDescent="0.25">
      <c r="AU1146" s="8" t="str">
        <f>IF(TRIM($G1146)="","",IF(COUNTIF(LISTS!$I$2:$I$16,TRIM($G1146))&gt;0,"COUNTED",IF(COUNTIF(LISTS!$J$2:$J$16,TRIM($G1146))&gt;0,"LEFT OUT","NEW")))</f>
        <v/>
      </c>
    </row>
    <row r="1147" spans="47:47" x14ac:dyDescent="0.25">
      <c r="AU1147" s="8" t="str">
        <f>IF(TRIM($G1147)="","",IF(COUNTIF(LISTS!$I$2:$I$16,TRIM($G1147))&gt;0,"COUNTED",IF(COUNTIF(LISTS!$J$2:$J$16,TRIM($G1147))&gt;0,"LEFT OUT","NEW")))</f>
        <v/>
      </c>
    </row>
    <row r="1148" spans="47:47" x14ac:dyDescent="0.25">
      <c r="AU1148" s="8" t="str">
        <f>IF(TRIM($G1148)="","",IF(COUNTIF(LISTS!$I$2:$I$16,TRIM($G1148))&gt;0,"COUNTED",IF(COUNTIF(LISTS!$J$2:$J$16,TRIM($G1148))&gt;0,"LEFT OUT","NEW")))</f>
        <v/>
      </c>
    </row>
    <row r="1149" spans="47:47" x14ac:dyDescent="0.25">
      <c r="AU1149" s="8" t="str">
        <f>IF(TRIM($G1149)="","",IF(COUNTIF(LISTS!$I$2:$I$16,TRIM($G1149))&gt;0,"COUNTED",IF(COUNTIF(LISTS!$J$2:$J$16,TRIM($G1149))&gt;0,"LEFT OUT","NEW")))</f>
        <v/>
      </c>
    </row>
    <row r="1150" spans="47:47" x14ac:dyDescent="0.25">
      <c r="AU1150" s="8" t="str">
        <f>IF(TRIM($G1150)="","",IF(COUNTIF(LISTS!$I$2:$I$16,TRIM($G1150))&gt;0,"COUNTED",IF(COUNTIF(LISTS!$J$2:$J$16,TRIM($G1150))&gt;0,"LEFT OUT","NEW")))</f>
        <v/>
      </c>
    </row>
    <row r="1151" spans="47:47" x14ac:dyDescent="0.25">
      <c r="AU1151" s="8" t="str">
        <f>IF(TRIM($G1151)="","",IF(COUNTIF(LISTS!$I$2:$I$16,TRIM($G1151))&gt;0,"COUNTED",IF(COUNTIF(LISTS!$J$2:$J$16,TRIM($G1151))&gt;0,"LEFT OUT","NEW")))</f>
        <v/>
      </c>
    </row>
    <row r="1152" spans="47:47" x14ac:dyDescent="0.25">
      <c r="AU1152" s="8" t="str">
        <f>IF(TRIM($G1152)="","",IF(COUNTIF(LISTS!$I$2:$I$16,TRIM($G1152))&gt;0,"COUNTED",IF(COUNTIF(LISTS!$J$2:$J$16,TRIM($G1152))&gt;0,"LEFT OUT","NEW")))</f>
        <v/>
      </c>
    </row>
    <row r="1153" spans="47:47" x14ac:dyDescent="0.25">
      <c r="AU1153" s="8" t="str">
        <f>IF(TRIM($G1153)="","",IF(COUNTIF(LISTS!$I$2:$I$16,TRIM($G1153))&gt;0,"COUNTED",IF(COUNTIF(LISTS!$J$2:$J$16,TRIM($G1153))&gt;0,"LEFT OUT","NEW")))</f>
        <v/>
      </c>
    </row>
    <row r="1154" spans="47:47" x14ac:dyDescent="0.25">
      <c r="AU1154" s="8" t="str">
        <f>IF(TRIM($G1154)="","",IF(COUNTIF(LISTS!$I$2:$I$16,TRIM($G1154))&gt;0,"COUNTED",IF(COUNTIF(LISTS!$J$2:$J$16,TRIM($G1154))&gt;0,"LEFT OUT","NEW")))</f>
        <v/>
      </c>
    </row>
    <row r="1155" spans="47:47" x14ac:dyDescent="0.25">
      <c r="AU1155" s="8" t="str">
        <f>IF(TRIM($G1155)="","",IF(COUNTIF(LISTS!$I$2:$I$16,TRIM($G1155))&gt;0,"COUNTED",IF(COUNTIF(LISTS!$J$2:$J$16,TRIM($G1155))&gt;0,"LEFT OUT","NEW")))</f>
        <v/>
      </c>
    </row>
    <row r="1156" spans="47:47" x14ac:dyDescent="0.25">
      <c r="AU1156" s="8" t="str">
        <f>IF(TRIM($G1156)="","",IF(COUNTIF(LISTS!$I$2:$I$16,TRIM($G1156))&gt;0,"COUNTED",IF(COUNTIF(LISTS!$J$2:$J$16,TRIM($G1156))&gt;0,"LEFT OUT","NEW")))</f>
        <v/>
      </c>
    </row>
    <row r="1157" spans="47:47" x14ac:dyDescent="0.25">
      <c r="AU1157" s="8" t="str">
        <f>IF(TRIM($G1157)="","",IF(COUNTIF(LISTS!$I$2:$I$16,TRIM($G1157))&gt;0,"COUNTED",IF(COUNTIF(LISTS!$J$2:$J$16,TRIM($G1157))&gt;0,"LEFT OUT","NEW")))</f>
        <v/>
      </c>
    </row>
    <row r="1158" spans="47:47" x14ac:dyDescent="0.25">
      <c r="AU1158" s="8" t="str">
        <f>IF(TRIM($G1158)="","",IF(COUNTIF(LISTS!$I$2:$I$16,TRIM($G1158))&gt;0,"COUNTED",IF(COUNTIF(LISTS!$J$2:$J$16,TRIM($G1158))&gt;0,"LEFT OUT","NEW")))</f>
        <v/>
      </c>
    </row>
    <row r="1159" spans="47:47" x14ac:dyDescent="0.25">
      <c r="AU1159" s="8" t="str">
        <f>IF(TRIM($G1159)="","",IF(COUNTIF(LISTS!$I$2:$I$16,TRIM($G1159))&gt;0,"COUNTED",IF(COUNTIF(LISTS!$J$2:$J$16,TRIM($G1159))&gt;0,"LEFT OUT","NEW")))</f>
        <v/>
      </c>
    </row>
    <row r="1160" spans="47:47" x14ac:dyDescent="0.25">
      <c r="AU1160" s="8" t="str">
        <f>IF(TRIM($G1160)="","",IF(COUNTIF(LISTS!$I$2:$I$16,TRIM($G1160))&gt;0,"COUNTED",IF(COUNTIF(LISTS!$J$2:$J$16,TRIM($G1160))&gt;0,"LEFT OUT","NEW")))</f>
        <v/>
      </c>
    </row>
    <row r="1161" spans="47:47" x14ac:dyDescent="0.25">
      <c r="AU1161" s="8" t="str">
        <f>IF(TRIM($G1161)="","",IF(COUNTIF(LISTS!$I$2:$I$16,TRIM($G1161))&gt;0,"COUNTED",IF(COUNTIF(LISTS!$J$2:$J$16,TRIM($G1161))&gt;0,"LEFT OUT","NEW")))</f>
        <v/>
      </c>
    </row>
    <row r="1162" spans="47:47" x14ac:dyDescent="0.25">
      <c r="AU1162" s="8" t="str">
        <f>IF(TRIM($G1162)="","",IF(COUNTIF(LISTS!$I$2:$I$16,TRIM($G1162))&gt;0,"COUNTED",IF(COUNTIF(LISTS!$J$2:$J$16,TRIM($G1162))&gt;0,"LEFT OUT","NEW")))</f>
        <v/>
      </c>
    </row>
    <row r="1163" spans="47:47" x14ac:dyDescent="0.25">
      <c r="AU1163" s="8" t="str">
        <f>IF(TRIM($G1163)="","",IF(COUNTIF(LISTS!$I$2:$I$16,TRIM($G1163))&gt;0,"COUNTED",IF(COUNTIF(LISTS!$J$2:$J$16,TRIM($G1163))&gt;0,"LEFT OUT","NEW")))</f>
        <v/>
      </c>
    </row>
    <row r="1164" spans="47:47" x14ac:dyDescent="0.25">
      <c r="AU1164" s="8" t="str">
        <f>IF(TRIM($G1164)="","",IF(COUNTIF(LISTS!$I$2:$I$16,TRIM($G1164))&gt;0,"COUNTED",IF(COUNTIF(LISTS!$J$2:$J$16,TRIM($G1164))&gt;0,"LEFT OUT","NEW")))</f>
        <v/>
      </c>
    </row>
    <row r="1165" spans="47:47" x14ac:dyDescent="0.25">
      <c r="AU1165" s="8" t="str">
        <f>IF(TRIM($G1165)="","",IF(COUNTIF(LISTS!$I$2:$I$16,TRIM($G1165))&gt;0,"COUNTED",IF(COUNTIF(LISTS!$J$2:$J$16,TRIM($G1165))&gt;0,"LEFT OUT","NEW")))</f>
        <v/>
      </c>
    </row>
    <row r="1166" spans="47:47" x14ac:dyDescent="0.25">
      <c r="AU1166" s="8" t="str">
        <f>IF(TRIM($G1166)="","",IF(COUNTIF(LISTS!$I$2:$I$16,TRIM($G1166))&gt;0,"COUNTED",IF(COUNTIF(LISTS!$J$2:$J$16,TRIM($G1166))&gt;0,"LEFT OUT","NEW")))</f>
        <v/>
      </c>
    </row>
    <row r="1167" spans="47:47" x14ac:dyDescent="0.25">
      <c r="AU1167" s="8" t="str">
        <f>IF(TRIM($G1167)="","",IF(COUNTIF(LISTS!$I$2:$I$16,TRIM($G1167))&gt;0,"COUNTED",IF(COUNTIF(LISTS!$J$2:$J$16,TRIM($G1167))&gt;0,"LEFT OUT","NEW")))</f>
        <v/>
      </c>
    </row>
    <row r="1168" spans="47:47" x14ac:dyDescent="0.25">
      <c r="AU1168" s="8" t="str">
        <f>IF(TRIM($G1168)="","",IF(COUNTIF(LISTS!$I$2:$I$16,TRIM($G1168))&gt;0,"COUNTED",IF(COUNTIF(LISTS!$J$2:$J$16,TRIM($G1168))&gt;0,"LEFT OUT","NEW")))</f>
        <v/>
      </c>
    </row>
    <row r="1169" spans="47:47" x14ac:dyDescent="0.25">
      <c r="AU1169" s="8" t="str">
        <f>IF(TRIM($G1169)="","",IF(COUNTIF(LISTS!$I$2:$I$16,TRIM($G1169))&gt;0,"COUNTED",IF(COUNTIF(LISTS!$J$2:$J$16,TRIM($G1169))&gt;0,"LEFT OUT","NEW")))</f>
        <v/>
      </c>
    </row>
    <row r="1170" spans="47:47" x14ac:dyDescent="0.25">
      <c r="AU1170" s="8" t="str">
        <f>IF(TRIM($G1170)="","",IF(COUNTIF(LISTS!$I$2:$I$16,TRIM($G1170))&gt;0,"COUNTED",IF(COUNTIF(LISTS!$J$2:$J$16,TRIM($G1170))&gt;0,"LEFT OUT","NEW")))</f>
        <v/>
      </c>
    </row>
    <row r="1171" spans="47:47" x14ac:dyDescent="0.25">
      <c r="AU1171" s="8" t="str">
        <f>IF(TRIM($G1171)="","",IF(COUNTIF(LISTS!$I$2:$I$16,TRIM($G1171))&gt;0,"COUNTED",IF(COUNTIF(LISTS!$J$2:$J$16,TRIM($G1171))&gt;0,"LEFT OUT","NEW")))</f>
        <v/>
      </c>
    </row>
    <row r="1172" spans="47:47" x14ac:dyDescent="0.25">
      <c r="AU1172" s="8" t="str">
        <f>IF(TRIM($G1172)="","",IF(COUNTIF(LISTS!$I$2:$I$16,TRIM($G1172))&gt;0,"COUNTED",IF(COUNTIF(LISTS!$J$2:$J$16,TRIM($G1172))&gt;0,"LEFT OUT","NEW")))</f>
        <v/>
      </c>
    </row>
    <row r="1173" spans="47:47" x14ac:dyDescent="0.25">
      <c r="AU1173" s="8" t="str">
        <f>IF(TRIM($G1173)="","",IF(COUNTIF(LISTS!$I$2:$I$16,TRIM($G1173))&gt;0,"COUNTED",IF(COUNTIF(LISTS!$J$2:$J$16,TRIM($G1173))&gt;0,"LEFT OUT","NEW")))</f>
        <v/>
      </c>
    </row>
    <row r="1174" spans="47:47" x14ac:dyDescent="0.25">
      <c r="AU1174" s="8" t="str">
        <f>IF(TRIM($G1174)="","",IF(COUNTIF(LISTS!$I$2:$I$16,TRIM($G1174))&gt;0,"COUNTED",IF(COUNTIF(LISTS!$J$2:$J$16,TRIM($G1174))&gt;0,"LEFT OUT","NEW")))</f>
        <v/>
      </c>
    </row>
    <row r="1175" spans="47:47" x14ac:dyDescent="0.25">
      <c r="AU1175" s="8" t="str">
        <f>IF(TRIM($G1175)="","",IF(COUNTIF(LISTS!$I$2:$I$16,TRIM($G1175))&gt;0,"COUNTED",IF(COUNTIF(LISTS!$J$2:$J$16,TRIM($G1175))&gt;0,"LEFT OUT","NEW")))</f>
        <v/>
      </c>
    </row>
    <row r="1176" spans="47:47" x14ac:dyDescent="0.25">
      <c r="AU1176" s="8" t="str">
        <f>IF(TRIM($G1176)="","",IF(COUNTIF(LISTS!$I$2:$I$16,TRIM($G1176))&gt;0,"COUNTED",IF(COUNTIF(LISTS!$J$2:$J$16,TRIM($G1176))&gt;0,"LEFT OUT","NEW")))</f>
        <v/>
      </c>
    </row>
    <row r="1177" spans="47:47" x14ac:dyDescent="0.25">
      <c r="AU1177" s="8" t="str">
        <f>IF(TRIM($G1177)="","",IF(COUNTIF(LISTS!$I$2:$I$16,TRIM($G1177))&gt;0,"COUNTED",IF(COUNTIF(LISTS!$J$2:$J$16,TRIM($G1177))&gt;0,"LEFT OUT","NEW")))</f>
        <v/>
      </c>
    </row>
    <row r="1178" spans="47:47" x14ac:dyDescent="0.25">
      <c r="AU1178" s="8" t="str">
        <f>IF(TRIM($G1178)="","",IF(COUNTIF(LISTS!$I$2:$I$16,TRIM($G1178))&gt;0,"COUNTED",IF(COUNTIF(LISTS!$J$2:$J$16,TRIM($G1178))&gt;0,"LEFT OUT","NEW")))</f>
        <v/>
      </c>
    </row>
    <row r="1179" spans="47:47" x14ac:dyDescent="0.25">
      <c r="AU1179" s="8" t="str">
        <f>IF(TRIM($G1179)="","",IF(COUNTIF(LISTS!$I$2:$I$16,TRIM($G1179))&gt;0,"COUNTED",IF(COUNTIF(LISTS!$J$2:$J$16,TRIM($G1179))&gt;0,"LEFT OUT","NEW")))</f>
        <v/>
      </c>
    </row>
    <row r="1180" spans="47:47" x14ac:dyDescent="0.25">
      <c r="AU1180" s="8" t="str">
        <f>IF(TRIM($G1180)="","",IF(COUNTIF(LISTS!$I$2:$I$16,TRIM($G1180))&gt;0,"COUNTED",IF(COUNTIF(LISTS!$J$2:$J$16,TRIM($G1180))&gt;0,"LEFT OUT","NEW")))</f>
        <v/>
      </c>
    </row>
    <row r="1181" spans="47:47" x14ac:dyDescent="0.25">
      <c r="AU1181" s="8" t="str">
        <f>IF(TRIM($G1181)="","",IF(COUNTIF(LISTS!$I$2:$I$16,TRIM($G1181))&gt;0,"COUNTED",IF(COUNTIF(LISTS!$J$2:$J$16,TRIM($G1181))&gt;0,"LEFT OUT","NEW")))</f>
        <v/>
      </c>
    </row>
    <row r="1182" spans="47:47" x14ac:dyDescent="0.25">
      <c r="AU1182" s="8" t="str">
        <f>IF(TRIM($G1182)="","",IF(COUNTIF(LISTS!$I$2:$I$16,TRIM($G1182))&gt;0,"COUNTED",IF(COUNTIF(LISTS!$J$2:$J$16,TRIM($G1182))&gt;0,"LEFT OUT","NEW")))</f>
        <v/>
      </c>
    </row>
    <row r="1183" spans="47:47" x14ac:dyDescent="0.25">
      <c r="AU1183" s="8" t="str">
        <f>IF(TRIM($G1183)="","",IF(COUNTIF(LISTS!$I$2:$I$16,TRIM($G1183))&gt;0,"COUNTED",IF(COUNTIF(LISTS!$J$2:$J$16,TRIM($G1183))&gt;0,"LEFT OUT","NEW")))</f>
        <v/>
      </c>
    </row>
    <row r="1184" spans="47:47" x14ac:dyDescent="0.25">
      <c r="AU1184" s="8" t="str">
        <f>IF(TRIM($G1184)="","",IF(COUNTIF(LISTS!$I$2:$I$16,TRIM($G1184))&gt;0,"COUNTED",IF(COUNTIF(LISTS!$J$2:$J$16,TRIM($G1184))&gt;0,"LEFT OUT","NEW")))</f>
        <v/>
      </c>
    </row>
    <row r="1185" spans="47:47" x14ac:dyDescent="0.25">
      <c r="AU1185" s="8" t="str">
        <f>IF(TRIM($G1185)="","",IF(COUNTIF(LISTS!$I$2:$I$16,TRIM($G1185))&gt;0,"COUNTED",IF(COUNTIF(LISTS!$J$2:$J$16,TRIM($G1185))&gt;0,"LEFT OUT","NEW")))</f>
        <v/>
      </c>
    </row>
    <row r="1186" spans="47:47" x14ac:dyDescent="0.25">
      <c r="AU1186" s="8" t="str">
        <f>IF(TRIM($G1186)="","",IF(COUNTIF(LISTS!$I$2:$I$16,TRIM($G1186))&gt;0,"COUNTED",IF(COUNTIF(LISTS!$J$2:$J$16,TRIM($G1186))&gt;0,"LEFT OUT","NEW")))</f>
        <v/>
      </c>
    </row>
    <row r="1187" spans="47:47" x14ac:dyDescent="0.25">
      <c r="AU1187" s="8" t="str">
        <f>IF(TRIM($G1187)="","",IF(COUNTIF(LISTS!$I$2:$I$16,TRIM($G1187))&gt;0,"COUNTED",IF(COUNTIF(LISTS!$J$2:$J$16,TRIM($G1187))&gt;0,"LEFT OUT","NEW")))</f>
        <v/>
      </c>
    </row>
    <row r="1188" spans="47:47" x14ac:dyDescent="0.25">
      <c r="AU1188" s="8" t="str">
        <f>IF(TRIM($G1188)="","",IF(COUNTIF(LISTS!$I$2:$I$16,TRIM($G1188))&gt;0,"COUNTED",IF(COUNTIF(LISTS!$J$2:$J$16,TRIM($G1188))&gt;0,"LEFT OUT","NEW")))</f>
        <v/>
      </c>
    </row>
    <row r="1189" spans="47:47" x14ac:dyDescent="0.25">
      <c r="AU1189" s="8" t="str">
        <f>IF(TRIM($G1189)="","",IF(COUNTIF(LISTS!$I$2:$I$16,TRIM($G1189))&gt;0,"COUNTED",IF(COUNTIF(LISTS!$J$2:$J$16,TRIM($G1189))&gt;0,"LEFT OUT","NEW")))</f>
        <v/>
      </c>
    </row>
    <row r="1190" spans="47:47" x14ac:dyDescent="0.25">
      <c r="AU1190" s="8" t="str">
        <f>IF(TRIM($G1190)="","",IF(COUNTIF(LISTS!$I$2:$I$16,TRIM($G1190))&gt;0,"COUNTED",IF(COUNTIF(LISTS!$J$2:$J$16,TRIM($G1190))&gt;0,"LEFT OUT","NEW")))</f>
        <v/>
      </c>
    </row>
    <row r="1191" spans="47:47" x14ac:dyDescent="0.25">
      <c r="AU1191" s="8" t="str">
        <f>IF(TRIM($G1191)="","",IF(COUNTIF(LISTS!$I$2:$I$16,TRIM($G1191))&gt;0,"COUNTED",IF(COUNTIF(LISTS!$J$2:$J$16,TRIM($G1191))&gt;0,"LEFT OUT","NEW")))</f>
        <v/>
      </c>
    </row>
    <row r="1192" spans="47:47" x14ac:dyDescent="0.25">
      <c r="AU1192" s="8" t="str">
        <f>IF(TRIM($G1192)="","",IF(COUNTIF(LISTS!$I$2:$I$16,TRIM($G1192))&gt;0,"COUNTED",IF(COUNTIF(LISTS!$J$2:$J$16,TRIM($G1192))&gt;0,"LEFT OUT","NEW")))</f>
        <v/>
      </c>
    </row>
    <row r="1193" spans="47:47" x14ac:dyDescent="0.25">
      <c r="AU1193" s="8" t="str">
        <f>IF(TRIM($G1193)="","",IF(COUNTIF(LISTS!$I$2:$I$16,TRIM($G1193))&gt;0,"COUNTED",IF(COUNTIF(LISTS!$J$2:$J$16,TRIM($G1193))&gt;0,"LEFT OUT","NEW")))</f>
        <v/>
      </c>
    </row>
    <row r="1194" spans="47:47" x14ac:dyDescent="0.25">
      <c r="AU1194" s="8" t="str">
        <f>IF(TRIM($G1194)="","",IF(COUNTIF(LISTS!$I$2:$I$16,TRIM($G1194))&gt;0,"COUNTED",IF(COUNTIF(LISTS!$J$2:$J$16,TRIM($G1194))&gt;0,"LEFT OUT","NEW")))</f>
        <v/>
      </c>
    </row>
    <row r="1195" spans="47:47" x14ac:dyDescent="0.25">
      <c r="AU1195" s="8" t="str">
        <f>IF(TRIM($G1195)="","",IF(COUNTIF(LISTS!$I$2:$I$16,TRIM($G1195))&gt;0,"COUNTED",IF(COUNTIF(LISTS!$J$2:$J$16,TRIM($G1195))&gt;0,"LEFT OUT","NEW")))</f>
        <v/>
      </c>
    </row>
    <row r="1196" spans="47:47" x14ac:dyDescent="0.25">
      <c r="AU1196" s="8" t="str">
        <f>IF(TRIM($G1196)="","",IF(COUNTIF(LISTS!$I$2:$I$16,TRIM($G1196))&gt;0,"COUNTED",IF(COUNTIF(LISTS!$J$2:$J$16,TRIM($G1196))&gt;0,"LEFT OUT","NEW")))</f>
        <v/>
      </c>
    </row>
    <row r="1197" spans="47:47" x14ac:dyDescent="0.25">
      <c r="AU1197" s="8" t="str">
        <f>IF(TRIM($G1197)="","",IF(COUNTIF(LISTS!$I$2:$I$16,TRIM($G1197))&gt;0,"COUNTED",IF(COUNTIF(LISTS!$J$2:$J$16,TRIM($G1197))&gt;0,"LEFT OUT","NEW")))</f>
        <v/>
      </c>
    </row>
    <row r="1198" spans="47:47" x14ac:dyDescent="0.25">
      <c r="AU1198" s="8" t="str">
        <f>IF(TRIM($G1198)="","",IF(COUNTIF(LISTS!$I$2:$I$16,TRIM($G1198))&gt;0,"COUNTED",IF(COUNTIF(LISTS!$J$2:$J$16,TRIM($G1198))&gt;0,"LEFT OUT","NEW")))</f>
        <v/>
      </c>
    </row>
    <row r="1199" spans="47:47" x14ac:dyDescent="0.25">
      <c r="AU1199" s="8" t="str">
        <f>IF(TRIM($G1199)="","",IF(COUNTIF(LISTS!$I$2:$I$16,TRIM($G1199))&gt;0,"COUNTED",IF(COUNTIF(LISTS!$J$2:$J$16,TRIM($G1199))&gt;0,"LEFT OUT","NEW")))</f>
        <v/>
      </c>
    </row>
    <row r="1200" spans="47:47" x14ac:dyDescent="0.25">
      <c r="AU1200" s="8" t="str">
        <f>IF(TRIM($G1200)="","",IF(COUNTIF(LISTS!$I$2:$I$16,TRIM($G1200))&gt;0,"COUNTED",IF(COUNTIF(LISTS!$J$2:$J$16,TRIM($G1200))&gt;0,"LEFT OUT","NEW")))</f>
        <v/>
      </c>
    </row>
    <row r="1201" spans="47:47" x14ac:dyDescent="0.25">
      <c r="AU1201" s="8" t="str">
        <f>IF(TRIM($G1201)="","",IF(COUNTIF(LISTS!$I$2:$I$16,TRIM($G1201))&gt;0,"COUNTED",IF(COUNTIF(LISTS!$J$2:$J$16,TRIM($G1201))&gt;0,"LEFT OUT","NEW")))</f>
        <v/>
      </c>
    </row>
    <row r="1202" spans="47:47" x14ac:dyDescent="0.25">
      <c r="AU1202" s="8" t="str">
        <f>IF(TRIM($G1202)="","",IF(COUNTIF(LISTS!$I$2:$I$16,TRIM($G1202))&gt;0,"COUNTED",IF(COUNTIF(LISTS!$J$2:$J$16,TRIM($G1202))&gt;0,"LEFT OUT","NEW")))</f>
        <v/>
      </c>
    </row>
    <row r="1203" spans="47:47" x14ac:dyDescent="0.25">
      <c r="AU1203" s="8" t="str">
        <f>IF(TRIM($G1203)="","",IF(COUNTIF(LISTS!$I$2:$I$16,TRIM($G1203))&gt;0,"COUNTED",IF(COUNTIF(LISTS!$J$2:$J$16,TRIM($G1203))&gt;0,"LEFT OUT","NEW")))</f>
        <v/>
      </c>
    </row>
    <row r="1204" spans="47:47" x14ac:dyDescent="0.25">
      <c r="AU1204" s="8" t="str">
        <f>IF(TRIM($G1204)="","",IF(COUNTIF(LISTS!$I$2:$I$16,TRIM($G1204))&gt;0,"COUNTED",IF(COUNTIF(LISTS!$J$2:$J$16,TRIM($G1204))&gt;0,"LEFT OUT","NEW")))</f>
        <v/>
      </c>
    </row>
    <row r="1205" spans="47:47" x14ac:dyDescent="0.25">
      <c r="AU1205" s="8" t="str">
        <f>IF(TRIM($G1205)="","",IF(COUNTIF(LISTS!$I$2:$I$16,TRIM($G1205))&gt;0,"COUNTED",IF(COUNTIF(LISTS!$J$2:$J$16,TRIM($G1205))&gt;0,"LEFT OUT","NEW")))</f>
        <v/>
      </c>
    </row>
    <row r="1206" spans="47:47" x14ac:dyDescent="0.25">
      <c r="AU1206" s="8" t="str">
        <f>IF(TRIM($G1206)="","",IF(COUNTIF(LISTS!$I$2:$I$16,TRIM($G1206))&gt;0,"COUNTED",IF(COUNTIF(LISTS!$J$2:$J$16,TRIM($G1206))&gt;0,"LEFT OUT","NEW")))</f>
        <v/>
      </c>
    </row>
    <row r="1207" spans="47:47" x14ac:dyDescent="0.25">
      <c r="AU1207" s="8" t="str">
        <f>IF(TRIM($G1207)="","",IF(COUNTIF(LISTS!$I$2:$I$16,TRIM($G1207))&gt;0,"COUNTED",IF(COUNTIF(LISTS!$J$2:$J$16,TRIM($G1207))&gt;0,"LEFT OUT","NEW")))</f>
        <v/>
      </c>
    </row>
    <row r="1208" spans="47:47" x14ac:dyDescent="0.25">
      <c r="AU1208" s="8" t="str">
        <f>IF(TRIM($G1208)="","",IF(COUNTIF(LISTS!$I$2:$I$16,TRIM($G1208))&gt;0,"COUNTED",IF(COUNTIF(LISTS!$J$2:$J$16,TRIM($G1208))&gt;0,"LEFT OUT","NEW")))</f>
        <v/>
      </c>
    </row>
    <row r="1209" spans="47:47" x14ac:dyDescent="0.25">
      <c r="AU1209" s="8" t="str">
        <f>IF(TRIM($G1209)="","",IF(COUNTIF(LISTS!$I$2:$I$16,TRIM($G1209))&gt;0,"COUNTED",IF(COUNTIF(LISTS!$J$2:$J$16,TRIM($G1209))&gt;0,"LEFT OUT","NEW")))</f>
        <v/>
      </c>
    </row>
    <row r="1210" spans="47:47" x14ac:dyDescent="0.25">
      <c r="AU1210" s="8" t="str">
        <f>IF(TRIM($G1210)="","",IF(COUNTIF(LISTS!$I$2:$I$16,TRIM($G1210))&gt;0,"COUNTED",IF(COUNTIF(LISTS!$J$2:$J$16,TRIM($G1210))&gt;0,"LEFT OUT","NEW")))</f>
        <v/>
      </c>
    </row>
    <row r="1211" spans="47:47" x14ac:dyDescent="0.25">
      <c r="AU1211" s="8" t="str">
        <f>IF(TRIM($G1211)="","",IF(COUNTIF(LISTS!$I$2:$I$16,TRIM($G1211))&gt;0,"COUNTED",IF(COUNTIF(LISTS!$J$2:$J$16,TRIM($G1211))&gt;0,"LEFT OUT","NEW")))</f>
        <v/>
      </c>
    </row>
    <row r="1212" spans="47:47" x14ac:dyDescent="0.25">
      <c r="AU1212" s="8" t="str">
        <f>IF(TRIM($G1212)="","",IF(COUNTIF(LISTS!$I$2:$I$16,TRIM($G1212))&gt;0,"COUNTED",IF(COUNTIF(LISTS!$J$2:$J$16,TRIM($G1212))&gt;0,"LEFT OUT","NEW")))</f>
        <v/>
      </c>
    </row>
    <row r="1213" spans="47:47" x14ac:dyDescent="0.25">
      <c r="AU1213" s="8" t="str">
        <f>IF(TRIM($G1213)="","",IF(COUNTIF(LISTS!$I$2:$I$16,TRIM($G1213))&gt;0,"COUNTED",IF(COUNTIF(LISTS!$J$2:$J$16,TRIM($G1213))&gt;0,"LEFT OUT","NEW")))</f>
        <v/>
      </c>
    </row>
    <row r="1214" spans="47:47" x14ac:dyDescent="0.25">
      <c r="AU1214" s="8" t="str">
        <f>IF(TRIM($G1214)="","",IF(COUNTIF(LISTS!$I$2:$I$16,TRIM($G1214))&gt;0,"COUNTED",IF(COUNTIF(LISTS!$J$2:$J$16,TRIM($G1214))&gt;0,"LEFT OUT","NEW")))</f>
        <v/>
      </c>
    </row>
    <row r="1215" spans="47:47" x14ac:dyDescent="0.25">
      <c r="AU1215" s="8" t="str">
        <f>IF(TRIM($G1215)="","",IF(COUNTIF(LISTS!$I$2:$I$16,TRIM($G1215))&gt;0,"COUNTED",IF(COUNTIF(LISTS!$J$2:$J$16,TRIM($G1215))&gt;0,"LEFT OUT","NEW")))</f>
        <v/>
      </c>
    </row>
    <row r="1216" spans="47:47" x14ac:dyDescent="0.25">
      <c r="AU1216" s="8" t="str">
        <f>IF(TRIM($G1216)="","",IF(COUNTIF(LISTS!$I$2:$I$16,TRIM($G1216))&gt;0,"COUNTED",IF(COUNTIF(LISTS!$J$2:$J$16,TRIM($G1216))&gt;0,"LEFT OUT","NEW")))</f>
        <v/>
      </c>
    </row>
    <row r="1217" spans="47:47" x14ac:dyDescent="0.25">
      <c r="AU1217" s="8" t="str">
        <f>IF(TRIM($G1217)="","",IF(COUNTIF(LISTS!$I$2:$I$16,TRIM($G1217))&gt;0,"COUNTED",IF(COUNTIF(LISTS!$J$2:$J$16,TRIM($G1217))&gt;0,"LEFT OUT","NEW")))</f>
        <v/>
      </c>
    </row>
    <row r="1218" spans="47:47" x14ac:dyDescent="0.25">
      <c r="AU1218" s="8" t="str">
        <f>IF(TRIM($G1218)="","",IF(COUNTIF(LISTS!$I$2:$I$16,TRIM($G1218))&gt;0,"COUNTED",IF(COUNTIF(LISTS!$J$2:$J$16,TRIM($G1218))&gt;0,"LEFT OUT","NEW")))</f>
        <v/>
      </c>
    </row>
    <row r="1219" spans="47:47" x14ac:dyDescent="0.25">
      <c r="AU1219" s="8" t="str">
        <f>IF(TRIM($G1219)="","",IF(COUNTIF(LISTS!$I$2:$I$16,TRIM($G1219))&gt;0,"COUNTED",IF(COUNTIF(LISTS!$J$2:$J$16,TRIM($G1219))&gt;0,"LEFT OUT","NEW")))</f>
        <v/>
      </c>
    </row>
    <row r="1220" spans="47:47" x14ac:dyDescent="0.25">
      <c r="AU1220" s="8" t="str">
        <f>IF(TRIM($G1220)="","",IF(COUNTIF(LISTS!$I$2:$I$16,TRIM($G1220))&gt;0,"COUNTED",IF(COUNTIF(LISTS!$J$2:$J$16,TRIM($G1220))&gt;0,"LEFT OUT","NEW")))</f>
        <v/>
      </c>
    </row>
    <row r="1221" spans="47:47" x14ac:dyDescent="0.25">
      <c r="AU1221" s="8" t="str">
        <f>IF(TRIM($G1221)="","",IF(COUNTIF(LISTS!$I$2:$I$16,TRIM($G1221))&gt;0,"COUNTED",IF(COUNTIF(LISTS!$J$2:$J$16,TRIM($G1221))&gt;0,"LEFT OUT","NEW")))</f>
        <v/>
      </c>
    </row>
    <row r="1222" spans="47:47" x14ac:dyDescent="0.25">
      <c r="AU1222" s="8" t="str">
        <f>IF(TRIM($G1222)="","",IF(COUNTIF(LISTS!$I$2:$I$16,TRIM($G1222))&gt;0,"COUNTED",IF(COUNTIF(LISTS!$J$2:$J$16,TRIM($G1222))&gt;0,"LEFT OUT","NEW")))</f>
        <v/>
      </c>
    </row>
    <row r="1223" spans="47:47" x14ac:dyDescent="0.25">
      <c r="AU1223" s="8" t="str">
        <f>IF(TRIM($G1223)="","",IF(COUNTIF(LISTS!$I$2:$I$16,TRIM($G1223))&gt;0,"COUNTED",IF(COUNTIF(LISTS!$J$2:$J$16,TRIM($G1223))&gt;0,"LEFT OUT","NEW")))</f>
        <v/>
      </c>
    </row>
    <row r="1224" spans="47:47" x14ac:dyDescent="0.25">
      <c r="AU1224" s="8" t="str">
        <f>IF(TRIM($G1224)="","",IF(COUNTIF(LISTS!$I$2:$I$16,TRIM($G1224))&gt;0,"COUNTED",IF(COUNTIF(LISTS!$J$2:$J$16,TRIM($G1224))&gt;0,"LEFT OUT","NEW")))</f>
        <v/>
      </c>
    </row>
    <row r="1225" spans="47:47" x14ac:dyDescent="0.25">
      <c r="AU1225" s="8" t="str">
        <f>IF(TRIM($G1225)="","",IF(COUNTIF(LISTS!$I$2:$I$16,TRIM($G1225))&gt;0,"COUNTED",IF(COUNTIF(LISTS!$J$2:$J$16,TRIM($G1225))&gt;0,"LEFT OUT","NEW")))</f>
        <v/>
      </c>
    </row>
    <row r="1226" spans="47:47" x14ac:dyDescent="0.25">
      <c r="AU1226" s="8" t="str">
        <f>IF(TRIM($G1226)="","",IF(COUNTIF(LISTS!$I$2:$I$16,TRIM($G1226))&gt;0,"COUNTED",IF(COUNTIF(LISTS!$J$2:$J$16,TRIM($G1226))&gt;0,"LEFT OUT","NEW")))</f>
        <v/>
      </c>
    </row>
    <row r="1227" spans="47:47" x14ac:dyDescent="0.25">
      <c r="AU1227" s="8" t="str">
        <f>IF(TRIM($G1227)="","",IF(COUNTIF(LISTS!$I$2:$I$16,TRIM($G1227))&gt;0,"COUNTED",IF(COUNTIF(LISTS!$J$2:$J$16,TRIM($G1227))&gt;0,"LEFT OUT","NEW")))</f>
        <v/>
      </c>
    </row>
    <row r="1228" spans="47:47" x14ac:dyDescent="0.25">
      <c r="AU1228" s="8" t="str">
        <f>IF(TRIM($G1228)="","",IF(COUNTIF(LISTS!$I$2:$I$16,TRIM($G1228))&gt;0,"COUNTED",IF(COUNTIF(LISTS!$J$2:$J$16,TRIM($G1228))&gt;0,"LEFT OUT","NEW")))</f>
        <v/>
      </c>
    </row>
    <row r="1229" spans="47:47" x14ac:dyDescent="0.25">
      <c r="AU1229" s="8" t="str">
        <f>IF(TRIM($G1229)="","",IF(COUNTIF(LISTS!$I$2:$I$16,TRIM($G1229))&gt;0,"COUNTED",IF(COUNTIF(LISTS!$J$2:$J$16,TRIM($G1229))&gt;0,"LEFT OUT","NEW")))</f>
        <v/>
      </c>
    </row>
    <row r="1230" spans="47:47" x14ac:dyDescent="0.25">
      <c r="AU1230" s="8" t="str">
        <f>IF(TRIM($G1230)="","",IF(COUNTIF(LISTS!$I$2:$I$16,TRIM($G1230))&gt;0,"COUNTED",IF(COUNTIF(LISTS!$J$2:$J$16,TRIM($G1230))&gt;0,"LEFT OUT","NEW")))</f>
        <v/>
      </c>
    </row>
    <row r="1231" spans="47:47" x14ac:dyDescent="0.25">
      <c r="AU1231" s="8" t="str">
        <f>IF(TRIM($G1231)="","",IF(COUNTIF(LISTS!$I$2:$I$16,TRIM($G1231))&gt;0,"COUNTED",IF(COUNTIF(LISTS!$J$2:$J$16,TRIM($G1231))&gt;0,"LEFT OUT","NEW")))</f>
        <v/>
      </c>
    </row>
    <row r="1232" spans="47:47" x14ac:dyDescent="0.25">
      <c r="AU1232" s="8" t="str">
        <f>IF(TRIM($G1232)="","",IF(COUNTIF(LISTS!$I$2:$I$16,TRIM($G1232))&gt;0,"COUNTED",IF(COUNTIF(LISTS!$J$2:$J$16,TRIM($G1232))&gt;0,"LEFT OUT","NEW")))</f>
        <v/>
      </c>
    </row>
    <row r="1233" spans="47:47" x14ac:dyDescent="0.25">
      <c r="AU1233" s="8" t="str">
        <f>IF(TRIM($G1233)="","",IF(COUNTIF(LISTS!$I$2:$I$16,TRIM($G1233))&gt;0,"COUNTED",IF(COUNTIF(LISTS!$J$2:$J$16,TRIM($G1233))&gt;0,"LEFT OUT","NEW")))</f>
        <v/>
      </c>
    </row>
    <row r="1234" spans="47:47" x14ac:dyDescent="0.25">
      <c r="AU1234" s="8" t="str">
        <f>IF(TRIM($G1234)="","",IF(COUNTIF(LISTS!$I$2:$I$16,TRIM($G1234))&gt;0,"COUNTED",IF(COUNTIF(LISTS!$J$2:$J$16,TRIM($G1234))&gt;0,"LEFT OUT","NEW")))</f>
        <v/>
      </c>
    </row>
    <row r="1235" spans="47:47" x14ac:dyDescent="0.25">
      <c r="AU1235" s="8" t="str">
        <f>IF(TRIM($G1235)="","",IF(COUNTIF(LISTS!$I$2:$I$16,TRIM($G1235))&gt;0,"COUNTED",IF(COUNTIF(LISTS!$J$2:$J$16,TRIM($G1235))&gt;0,"LEFT OUT","NEW")))</f>
        <v/>
      </c>
    </row>
    <row r="1236" spans="47:47" x14ac:dyDescent="0.25">
      <c r="AU1236" s="8" t="str">
        <f>IF(TRIM($G1236)="","",IF(COUNTIF(LISTS!$I$2:$I$16,TRIM($G1236))&gt;0,"COUNTED",IF(COUNTIF(LISTS!$J$2:$J$16,TRIM($G1236))&gt;0,"LEFT OUT","NEW")))</f>
        <v/>
      </c>
    </row>
    <row r="1237" spans="47:47" x14ac:dyDescent="0.25">
      <c r="AU1237" s="8" t="str">
        <f>IF(TRIM($G1237)="","",IF(COUNTIF(LISTS!$I$2:$I$16,TRIM($G1237))&gt;0,"COUNTED",IF(COUNTIF(LISTS!$J$2:$J$16,TRIM($G1237))&gt;0,"LEFT OUT","NEW")))</f>
        <v/>
      </c>
    </row>
    <row r="1238" spans="47:47" x14ac:dyDescent="0.25">
      <c r="AU1238" s="8" t="str">
        <f>IF(TRIM($G1238)="","",IF(COUNTIF(LISTS!$I$2:$I$16,TRIM($G1238))&gt;0,"COUNTED",IF(COUNTIF(LISTS!$J$2:$J$16,TRIM($G1238))&gt;0,"LEFT OUT","NEW")))</f>
        <v/>
      </c>
    </row>
    <row r="1239" spans="47:47" x14ac:dyDescent="0.25">
      <c r="AU1239" s="8" t="str">
        <f>IF(TRIM($G1239)="","",IF(COUNTIF(LISTS!$I$2:$I$16,TRIM($G1239))&gt;0,"COUNTED",IF(COUNTIF(LISTS!$J$2:$J$16,TRIM($G1239))&gt;0,"LEFT OUT","NEW")))</f>
        <v/>
      </c>
    </row>
    <row r="1240" spans="47:47" x14ac:dyDescent="0.25">
      <c r="AU1240" s="8" t="str">
        <f>IF(TRIM($G1240)="","",IF(COUNTIF(LISTS!$I$2:$I$16,TRIM($G1240))&gt;0,"COUNTED",IF(COUNTIF(LISTS!$J$2:$J$16,TRIM($G1240))&gt;0,"LEFT OUT","NEW")))</f>
        <v/>
      </c>
    </row>
    <row r="1241" spans="47:47" x14ac:dyDescent="0.25">
      <c r="AU1241" s="8" t="str">
        <f>IF(TRIM($G1241)="","",IF(COUNTIF(LISTS!$I$2:$I$16,TRIM($G1241))&gt;0,"COUNTED",IF(COUNTIF(LISTS!$J$2:$J$16,TRIM($G1241))&gt;0,"LEFT OUT","NEW")))</f>
        <v/>
      </c>
    </row>
    <row r="1242" spans="47:47" x14ac:dyDescent="0.25">
      <c r="AU1242" s="8" t="str">
        <f>IF(TRIM($G1242)="","",IF(COUNTIF(LISTS!$I$2:$I$16,TRIM($G1242))&gt;0,"COUNTED",IF(COUNTIF(LISTS!$J$2:$J$16,TRIM($G1242))&gt;0,"LEFT OUT","NEW")))</f>
        <v/>
      </c>
    </row>
    <row r="1243" spans="47:47" x14ac:dyDescent="0.25">
      <c r="AU1243" s="8" t="str">
        <f>IF(TRIM($G1243)="","",IF(COUNTIF(LISTS!$I$2:$I$16,TRIM($G1243))&gt;0,"COUNTED",IF(COUNTIF(LISTS!$J$2:$J$16,TRIM($G1243))&gt;0,"LEFT OUT","NEW")))</f>
        <v/>
      </c>
    </row>
    <row r="1244" spans="47:47" x14ac:dyDescent="0.25">
      <c r="AU1244" s="8" t="str">
        <f>IF(TRIM($G1244)="","",IF(COUNTIF(LISTS!$I$2:$I$16,TRIM($G1244))&gt;0,"COUNTED",IF(COUNTIF(LISTS!$J$2:$J$16,TRIM($G1244))&gt;0,"LEFT OUT","NEW")))</f>
        <v/>
      </c>
    </row>
    <row r="1245" spans="47:47" x14ac:dyDescent="0.25">
      <c r="AU1245" s="8" t="str">
        <f>IF(TRIM($G1245)="","",IF(COUNTIF(LISTS!$I$2:$I$16,TRIM($G1245))&gt;0,"COUNTED",IF(COUNTIF(LISTS!$J$2:$J$16,TRIM($G1245))&gt;0,"LEFT OUT","NEW")))</f>
        <v/>
      </c>
    </row>
    <row r="1246" spans="47:47" x14ac:dyDescent="0.25">
      <c r="AU1246" s="8" t="str">
        <f>IF(TRIM($G1246)="","",IF(COUNTIF(LISTS!$I$2:$I$16,TRIM($G1246))&gt;0,"COUNTED",IF(COUNTIF(LISTS!$J$2:$J$16,TRIM($G1246))&gt;0,"LEFT OUT","NEW")))</f>
        <v/>
      </c>
    </row>
    <row r="1247" spans="47:47" x14ac:dyDescent="0.25">
      <c r="AU1247" s="8" t="str">
        <f>IF(TRIM($G1247)="","",IF(COUNTIF(LISTS!$I$2:$I$16,TRIM($G1247))&gt;0,"COUNTED",IF(COUNTIF(LISTS!$J$2:$J$16,TRIM($G1247))&gt;0,"LEFT OUT","NEW")))</f>
        <v/>
      </c>
    </row>
    <row r="1248" spans="47:47" x14ac:dyDescent="0.25">
      <c r="AU1248" s="8" t="str">
        <f>IF(TRIM($G1248)="","",IF(COUNTIF(LISTS!$I$2:$I$16,TRIM($G1248))&gt;0,"COUNTED",IF(COUNTIF(LISTS!$J$2:$J$16,TRIM($G1248))&gt;0,"LEFT OUT","NEW")))</f>
        <v/>
      </c>
    </row>
    <row r="1249" spans="47:47" x14ac:dyDescent="0.25">
      <c r="AU1249" s="8" t="str">
        <f>IF(TRIM($G1249)="","",IF(COUNTIF(LISTS!$I$2:$I$16,TRIM($G1249))&gt;0,"COUNTED",IF(COUNTIF(LISTS!$J$2:$J$16,TRIM($G1249))&gt;0,"LEFT OUT","NEW")))</f>
        <v/>
      </c>
    </row>
    <row r="1250" spans="47:47" x14ac:dyDescent="0.25">
      <c r="AU1250" s="8" t="str">
        <f>IF(TRIM($G1250)="","",IF(COUNTIF(LISTS!$I$2:$I$16,TRIM($G1250))&gt;0,"COUNTED",IF(COUNTIF(LISTS!$J$2:$J$16,TRIM($G1250))&gt;0,"LEFT OUT","NEW")))</f>
        <v/>
      </c>
    </row>
    <row r="1251" spans="47:47" x14ac:dyDescent="0.25">
      <c r="AU1251" s="8" t="str">
        <f>IF(TRIM($G1251)="","",IF(COUNTIF(LISTS!$I$2:$I$16,TRIM($G1251))&gt;0,"COUNTED",IF(COUNTIF(LISTS!$J$2:$J$16,TRIM($G1251))&gt;0,"LEFT OUT","NEW")))</f>
        <v/>
      </c>
    </row>
    <row r="1252" spans="47:47" x14ac:dyDescent="0.25">
      <c r="AU1252" s="8" t="str">
        <f>IF(TRIM($G1252)="","",IF(COUNTIF(LISTS!$I$2:$I$16,TRIM($G1252))&gt;0,"COUNTED",IF(COUNTIF(LISTS!$J$2:$J$16,TRIM($G1252))&gt;0,"LEFT OUT","NEW")))</f>
        <v/>
      </c>
    </row>
    <row r="1253" spans="47:47" x14ac:dyDescent="0.25">
      <c r="AU1253" s="8" t="str">
        <f>IF(TRIM($G1253)="","",IF(COUNTIF(LISTS!$I$2:$I$16,TRIM($G1253))&gt;0,"COUNTED",IF(COUNTIF(LISTS!$J$2:$J$16,TRIM($G1253))&gt;0,"LEFT OUT","NEW")))</f>
        <v/>
      </c>
    </row>
    <row r="1254" spans="47:47" x14ac:dyDescent="0.25">
      <c r="AU1254" s="8" t="str">
        <f>IF(TRIM($G1254)="","",IF(COUNTIF(LISTS!$I$2:$I$16,TRIM($G1254))&gt;0,"COUNTED",IF(COUNTIF(LISTS!$J$2:$J$16,TRIM($G1254))&gt;0,"LEFT OUT","NEW")))</f>
        <v/>
      </c>
    </row>
    <row r="1255" spans="47:47" x14ac:dyDescent="0.25">
      <c r="AU1255" s="8" t="str">
        <f>IF(TRIM($G1255)="","",IF(COUNTIF(LISTS!$I$2:$I$16,TRIM($G1255))&gt;0,"COUNTED",IF(COUNTIF(LISTS!$J$2:$J$16,TRIM($G1255))&gt;0,"LEFT OUT","NEW")))</f>
        <v/>
      </c>
    </row>
    <row r="1256" spans="47:47" x14ac:dyDescent="0.25">
      <c r="AU1256" s="8" t="str">
        <f>IF(TRIM($G1256)="","",IF(COUNTIF(LISTS!$I$2:$I$16,TRIM($G1256))&gt;0,"COUNTED",IF(COUNTIF(LISTS!$J$2:$J$16,TRIM($G1256))&gt;0,"LEFT OUT","NEW")))</f>
        <v/>
      </c>
    </row>
    <row r="1257" spans="47:47" x14ac:dyDescent="0.25">
      <c r="AU1257" s="8" t="str">
        <f>IF(TRIM($G1257)="","",IF(COUNTIF(LISTS!$I$2:$I$16,TRIM($G1257))&gt;0,"COUNTED",IF(COUNTIF(LISTS!$J$2:$J$16,TRIM($G1257))&gt;0,"LEFT OUT","NEW")))</f>
        <v/>
      </c>
    </row>
    <row r="1258" spans="47:47" x14ac:dyDescent="0.25">
      <c r="AU1258" s="8" t="str">
        <f>IF(TRIM($G1258)="","",IF(COUNTIF(LISTS!$I$2:$I$16,TRIM($G1258))&gt;0,"COUNTED",IF(COUNTIF(LISTS!$J$2:$J$16,TRIM($G1258))&gt;0,"LEFT OUT","NEW")))</f>
        <v/>
      </c>
    </row>
    <row r="1259" spans="47:47" x14ac:dyDescent="0.25">
      <c r="AU1259" s="8" t="str">
        <f>IF(TRIM($G1259)="","",IF(COUNTIF(LISTS!$I$2:$I$16,TRIM($G1259))&gt;0,"COUNTED",IF(COUNTIF(LISTS!$J$2:$J$16,TRIM($G1259))&gt;0,"LEFT OUT","NEW")))</f>
        <v/>
      </c>
    </row>
    <row r="1260" spans="47:47" x14ac:dyDescent="0.25">
      <c r="AU1260" s="8" t="str">
        <f>IF(TRIM($G1260)="","",IF(COUNTIF(LISTS!$I$2:$I$16,TRIM($G1260))&gt;0,"COUNTED",IF(COUNTIF(LISTS!$J$2:$J$16,TRIM($G1260))&gt;0,"LEFT OUT","NEW")))</f>
        <v/>
      </c>
    </row>
    <row r="1261" spans="47:47" x14ac:dyDescent="0.25">
      <c r="AU1261" s="8" t="str">
        <f>IF(TRIM($G1261)="","",IF(COUNTIF(LISTS!$I$2:$I$16,TRIM($G1261))&gt;0,"COUNTED",IF(COUNTIF(LISTS!$J$2:$J$16,TRIM($G1261))&gt;0,"LEFT OUT","NEW")))</f>
        <v/>
      </c>
    </row>
    <row r="1262" spans="47:47" x14ac:dyDescent="0.25">
      <c r="AU1262" s="8" t="str">
        <f>IF(TRIM($G1262)="","",IF(COUNTIF(LISTS!$I$2:$I$16,TRIM($G1262))&gt;0,"COUNTED",IF(COUNTIF(LISTS!$J$2:$J$16,TRIM($G1262))&gt;0,"LEFT OUT","NEW")))</f>
        <v/>
      </c>
    </row>
    <row r="1263" spans="47:47" x14ac:dyDescent="0.25">
      <c r="AU1263" s="8" t="str">
        <f>IF(TRIM($G1263)="","",IF(COUNTIF(LISTS!$I$2:$I$16,TRIM($G1263))&gt;0,"COUNTED",IF(COUNTIF(LISTS!$J$2:$J$16,TRIM($G1263))&gt;0,"LEFT OUT","NEW")))</f>
        <v/>
      </c>
    </row>
    <row r="1264" spans="47:47" x14ac:dyDescent="0.25">
      <c r="AU1264" s="8" t="str">
        <f>IF(TRIM($G1264)="","",IF(COUNTIF(LISTS!$I$2:$I$16,TRIM($G1264))&gt;0,"COUNTED",IF(COUNTIF(LISTS!$J$2:$J$16,TRIM($G1264))&gt;0,"LEFT OUT","NEW")))</f>
        <v/>
      </c>
    </row>
    <row r="1265" spans="47:47" x14ac:dyDescent="0.25">
      <c r="AU1265" s="8" t="str">
        <f>IF(TRIM($G1265)="","",IF(COUNTIF(LISTS!$I$2:$I$16,TRIM($G1265))&gt;0,"COUNTED",IF(COUNTIF(LISTS!$J$2:$J$16,TRIM($G1265))&gt;0,"LEFT OUT","NEW")))</f>
        <v/>
      </c>
    </row>
    <row r="1266" spans="47:47" x14ac:dyDescent="0.25">
      <c r="AU1266" s="8" t="str">
        <f>IF(TRIM($G1266)="","",IF(COUNTIF(LISTS!$I$2:$I$16,TRIM($G1266))&gt;0,"COUNTED",IF(COUNTIF(LISTS!$J$2:$J$16,TRIM($G1266))&gt;0,"LEFT OUT","NEW")))</f>
        <v/>
      </c>
    </row>
    <row r="1267" spans="47:47" x14ac:dyDescent="0.25">
      <c r="AU1267" s="8" t="str">
        <f>IF(TRIM($G1267)="","",IF(COUNTIF(LISTS!$I$2:$I$16,TRIM($G1267))&gt;0,"COUNTED",IF(COUNTIF(LISTS!$J$2:$J$16,TRIM($G1267))&gt;0,"LEFT OUT","NEW")))</f>
        <v/>
      </c>
    </row>
    <row r="1268" spans="47:47" x14ac:dyDescent="0.25">
      <c r="AU1268" s="8" t="str">
        <f>IF(TRIM($G1268)="","",IF(COUNTIF(LISTS!$I$2:$I$16,TRIM($G1268))&gt;0,"COUNTED",IF(COUNTIF(LISTS!$J$2:$J$16,TRIM($G1268))&gt;0,"LEFT OUT","NEW")))</f>
        <v/>
      </c>
    </row>
    <row r="1269" spans="47:47" x14ac:dyDescent="0.25">
      <c r="AU1269" s="8" t="str">
        <f>IF(TRIM($G1269)="","",IF(COUNTIF(LISTS!$I$2:$I$16,TRIM($G1269))&gt;0,"COUNTED",IF(COUNTIF(LISTS!$J$2:$J$16,TRIM($G1269))&gt;0,"LEFT OUT","NEW")))</f>
        <v/>
      </c>
    </row>
    <row r="1270" spans="47:47" x14ac:dyDescent="0.25">
      <c r="AU1270" s="8" t="str">
        <f>IF(TRIM($G1270)="","",IF(COUNTIF(LISTS!$I$2:$I$16,TRIM($G1270))&gt;0,"COUNTED",IF(COUNTIF(LISTS!$J$2:$J$16,TRIM($G1270))&gt;0,"LEFT OUT","NEW")))</f>
        <v/>
      </c>
    </row>
    <row r="1271" spans="47:47" x14ac:dyDescent="0.25">
      <c r="AU1271" s="8" t="str">
        <f>IF(TRIM($G1271)="","",IF(COUNTIF(LISTS!$I$2:$I$16,TRIM($G1271))&gt;0,"COUNTED",IF(COUNTIF(LISTS!$J$2:$J$16,TRIM($G1271))&gt;0,"LEFT OUT","NEW")))</f>
        <v/>
      </c>
    </row>
    <row r="1272" spans="47:47" x14ac:dyDescent="0.25">
      <c r="AU1272" s="8" t="str">
        <f>IF(TRIM($G1272)="","",IF(COUNTIF(LISTS!$I$2:$I$16,TRIM($G1272))&gt;0,"COUNTED",IF(COUNTIF(LISTS!$J$2:$J$16,TRIM($G1272))&gt;0,"LEFT OUT","NEW")))</f>
        <v/>
      </c>
    </row>
    <row r="1273" spans="47:47" x14ac:dyDescent="0.25">
      <c r="AU1273" s="8" t="str">
        <f>IF(TRIM($G1273)="","",IF(COUNTIF(LISTS!$I$2:$I$16,TRIM($G1273))&gt;0,"COUNTED",IF(COUNTIF(LISTS!$J$2:$J$16,TRIM($G1273))&gt;0,"LEFT OUT","NEW")))</f>
        <v/>
      </c>
    </row>
    <row r="1274" spans="47:47" x14ac:dyDescent="0.25">
      <c r="AU1274" s="8" t="str">
        <f>IF(TRIM($G1274)="","",IF(COUNTIF(LISTS!$I$2:$I$16,TRIM($G1274))&gt;0,"COUNTED",IF(COUNTIF(LISTS!$J$2:$J$16,TRIM($G1274))&gt;0,"LEFT OUT","NEW")))</f>
        <v/>
      </c>
    </row>
    <row r="1275" spans="47:47" x14ac:dyDescent="0.25">
      <c r="AU1275" s="8" t="str">
        <f>IF(TRIM($G1275)="","",IF(COUNTIF(LISTS!$I$2:$I$16,TRIM($G1275))&gt;0,"COUNTED",IF(COUNTIF(LISTS!$J$2:$J$16,TRIM($G1275))&gt;0,"LEFT OUT","NEW")))</f>
        <v/>
      </c>
    </row>
    <row r="1276" spans="47:47" x14ac:dyDescent="0.25">
      <c r="AU1276" s="8" t="str">
        <f>IF(TRIM($G1276)="","",IF(COUNTIF(LISTS!$I$2:$I$16,TRIM($G1276))&gt;0,"COUNTED",IF(COUNTIF(LISTS!$J$2:$J$16,TRIM($G1276))&gt;0,"LEFT OUT","NEW")))</f>
        <v/>
      </c>
    </row>
    <row r="1277" spans="47:47" x14ac:dyDescent="0.25">
      <c r="AU1277" s="8" t="str">
        <f>IF(TRIM($G1277)="","",IF(COUNTIF(LISTS!$I$2:$I$16,TRIM($G1277))&gt;0,"COUNTED",IF(COUNTIF(LISTS!$J$2:$J$16,TRIM($G1277))&gt;0,"LEFT OUT","NEW")))</f>
        <v/>
      </c>
    </row>
    <row r="1278" spans="47:47" x14ac:dyDescent="0.25">
      <c r="AU1278" s="8" t="str">
        <f>IF(TRIM($G1278)="","",IF(COUNTIF(LISTS!$I$2:$I$16,TRIM($G1278))&gt;0,"COUNTED",IF(COUNTIF(LISTS!$J$2:$J$16,TRIM($G1278))&gt;0,"LEFT OUT","NEW")))</f>
        <v/>
      </c>
    </row>
    <row r="1279" spans="47:47" x14ac:dyDescent="0.25">
      <c r="AU1279" s="8" t="str">
        <f>IF(TRIM($G1279)="","",IF(COUNTIF(LISTS!$I$2:$I$16,TRIM($G1279))&gt;0,"COUNTED",IF(COUNTIF(LISTS!$J$2:$J$16,TRIM($G1279))&gt;0,"LEFT OUT","NEW")))</f>
        <v/>
      </c>
    </row>
    <row r="1280" spans="47:47" x14ac:dyDescent="0.25">
      <c r="AU1280" s="8" t="str">
        <f>IF(TRIM($G1280)="","",IF(COUNTIF(LISTS!$I$2:$I$16,TRIM($G1280))&gt;0,"COUNTED",IF(COUNTIF(LISTS!$J$2:$J$16,TRIM($G1280))&gt;0,"LEFT OUT","NEW")))</f>
        <v/>
      </c>
    </row>
    <row r="1281" spans="47:47" x14ac:dyDescent="0.25">
      <c r="AU1281" s="8" t="str">
        <f>IF(TRIM($G1281)="","",IF(COUNTIF(LISTS!$I$2:$I$16,TRIM($G1281))&gt;0,"COUNTED",IF(COUNTIF(LISTS!$J$2:$J$16,TRIM($G1281))&gt;0,"LEFT OUT","NEW")))</f>
        <v/>
      </c>
    </row>
    <row r="1282" spans="47:47" x14ac:dyDescent="0.25">
      <c r="AU1282" s="8" t="str">
        <f>IF(TRIM($G1282)="","",IF(COUNTIF(LISTS!$I$2:$I$16,TRIM($G1282))&gt;0,"COUNTED",IF(COUNTIF(LISTS!$J$2:$J$16,TRIM($G1282))&gt;0,"LEFT OUT","NEW")))</f>
        <v/>
      </c>
    </row>
    <row r="1283" spans="47:47" x14ac:dyDescent="0.25">
      <c r="AU1283" s="8" t="str">
        <f>IF(TRIM($G1283)="","",IF(COUNTIF(LISTS!$I$2:$I$16,TRIM($G1283))&gt;0,"COUNTED",IF(COUNTIF(LISTS!$J$2:$J$16,TRIM($G1283))&gt;0,"LEFT OUT","NEW")))</f>
        <v/>
      </c>
    </row>
    <row r="1284" spans="47:47" x14ac:dyDescent="0.25">
      <c r="AU1284" s="8" t="str">
        <f>IF(TRIM($G1284)="","",IF(COUNTIF(LISTS!$I$2:$I$16,TRIM($G1284))&gt;0,"COUNTED",IF(COUNTIF(LISTS!$J$2:$J$16,TRIM($G1284))&gt;0,"LEFT OUT","NEW")))</f>
        <v/>
      </c>
    </row>
    <row r="1285" spans="47:47" x14ac:dyDescent="0.25">
      <c r="AU1285" s="8" t="str">
        <f>IF(TRIM($G1285)="","",IF(COUNTIF(LISTS!$I$2:$I$16,TRIM($G1285))&gt;0,"COUNTED",IF(COUNTIF(LISTS!$J$2:$J$16,TRIM($G1285))&gt;0,"LEFT OUT","NEW")))</f>
        <v/>
      </c>
    </row>
    <row r="1286" spans="47:47" x14ac:dyDescent="0.25">
      <c r="AU1286" s="8" t="str">
        <f>IF(TRIM($G1286)="","",IF(COUNTIF(LISTS!$I$2:$I$16,TRIM($G1286))&gt;0,"COUNTED",IF(COUNTIF(LISTS!$J$2:$J$16,TRIM($G1286))&gt;0,"LEFT OUT","NEW")))</f>
        <v/>
      </c>
    </row>
    <row r="1287" spans="47:47" x14ac:dyDescent="0.25">
      <c r="AU1287" s="8" t="str">
        <f>IF(TRIM($G1287)="","",IF(COUNTIF(LISTS!$I$2:$I$16,TRIM($G1287))&gt;0,"COUNTED",IF(COUNTIF(LISTS!$J$2:$J$16,TRIM($G1287))&gt;0,"LEFT OUT","NEW")))</f>
        <v/>
      </c>
    </row>
    <row r="1288" spans="47:47" x14ac:dyDescent="0.25">
      <c r="AU1288" s="8" t="str">
        <f>IF(TRIM($G1288)="","",IF(COUNTIF(LISTS!$I$2:$I$16,TRIM($G1288))&gt;0,"COUNTED",IF(COUNTIF(LISTS!$J$2:$J$16,TRIM($G1288))&gt;0,"LEFT OUT","NEW")))</f>
        <v/>
      </c>
    </row>
    <row r="1289" spans="47:47" x14ac:dyDescent="0.25">
      <c r="AU1289" s="8" t="str">
        <f>IF(TRIM($G1289)="","",IF(COUNTIF(LISTS!$I$2:$I$16,TRIM($G1289))&gt;0,"COUNTED",IF(COUNTIF(LISTS!$J$2:$J$16,TRIM($G1289))&gt;0,"LEFT OUT","NEW")))</f>
        <v/>
      </c>
    </row>
    <row r="1290" spans="47:47" x14ac:dyDescent="0.25">
      <c r="AU1290" s="8" t="str">
        <f>IF(TRIM($G1290)="","",IF(COUNTIF(LISTS!$I$2:$I$16,TRIM($G1290))&gt;0,"COUNTED",IF(COUNTIF(LISTS!$J$2:$J$16,TRIM($G1290))&gt;0,"LEFT OUT","NEW")))</f>
        <v/>
      </c>
    </row>
    <row r="1291" spans="47:47" x14ac:dyDescent="0.25">
      <c r="AU1291" s="8" t="str">
        <f>IF(TRIM($G1291)="","",IF(COUNTIF(LISTS!$I$2:$I$16,TRIM($G1291))&gt;0,"COUNTED",IF(COUNTIF(LISTS!$J$2:$J$16,TRIM($G1291))&gt;0,"LEFT OUT","NEW")))</f>
        <v/>
      </c>
    </row>
    <row r="1292" spans="47:47" x14ac:dyDescent="0.25">
      <c r="AU1292" s="8" t="str">
        <f>IF(TRIM($G1292)="","",IF(COUNTIF(LISTS!$I$2:$I$16,TRIM($G1292))&gt;0,"COUNTED",IF(COUNTIF(LISTS!$J$2:$J$16,TRIM($G1292))&gt;0,"LEFT OUT","NEW")))</f>
        <v/>
      </c>
    </row>
    <row r="1293" spans="47:47" x14ac:dyDescent="0.25">
      <c r="AU1293" s="8" t="str">
        <f>IF(TRIM($G1293)="","",IF(COUNTIF(LISTS!$I$2:$I$16,TRIM($G1293))&gt;0,"COUNTED",IF(COUNTIF(LISTS!$J$2:$J$16,TRIM($G1293))&gt;0,"LEFT OUT","NEW")))</f>
        <v/>
      </c>
    </row>
    <row r="1294" spans="47:47" x14ac:dyDescent="0.25">
      <c r="AU1294" s="8" t="str">
        <f>IF(TRIM($G1294)="","",IF(COUNTIF(LISTS!$I$2:$I$16,TRIM($G1294))&gt;0,"COUNTED",IF(COUNTIF(LISTS!$J$2:$J$16,TRIM($G1294))&gt;0,"LEFT OUT","NEW")))</f>
        <v/>
      </c>
    </row>
    <row r="1295" spans="47:47" x14ac:dyDescent="0.25">
      <c r="AU1295" s="8" t="str">
        <f>IF(TRIM($G1295)="","",IF(COUNTIF(LISTS!$I$2:$I$16,TRIM($G1295))&gt;0,"COUNTED",IF(COUNTIF(LISTS!$J$2:$J$16,TRIM($G1295))&gt;0,"LEFT OUT","NEW")))</f>
        <v/>
      </c>
    </row>
    <row r="1296" spans="47:47" x14ac:dyDescent="0.25">
      <c r="AU1296" s="8" t="str">
        <f>IF(TRIM($G1296)="","",IF(COUNTIF(LISTS!$I$2:$I$16,TRIM($G1296))&gt;0,"COUNTED",IF(COUNTIF(LISTS!$J$2:$J$16,TRIM($G1296))&gt;0,"LEFT OUT","NEW")))</f>
        <v/>
      </c>
    </row>
    <row r="1297" spans="47:47" x14ac:dyDescent="0.25">
      <c r="AU1297" s="8" t="str">
        <f>IF(TRIM($G1297)="","",IF(COUNTIF(LISTS!$I$2:$I$16,TRIM($G1297))&gt;0,"COUNTED",IF(COUNTIF(LISTS!$J$2:$J$16,TRIM($G1297))&gt;0,"LEFT OUT","NEW")))</f>
        <v/>
      </c>
    </row>
    <row r="1298" spans="47:47" x14ac:dyDescent="0.25">
      <c r="AU1298" s="8" t="str">
        <f>IF(TRIM($G1298)="","",IF(COUNTIF(LISTS!$I$2:$I$16,TRIM($G1298))&gt;0,"COUNTED",IF(COUNTIF(LISTS!$J$2:$J$16,TRIM($G1298))&gt;0,"LEFT OUT","NEW")))</f>
        <v/>
      </c>
    </row>
    <row r="1299" spans="47:47" x14ac:dyDescent="0.25">
      <c r="AU1299" s="8" t="str">
        <f>IF(TRIM($G1299)="","",IF(COUNTIF(LISTS!$I$2:$I$16,TRIM($G1299))&gt;0,"COUNTED",IF(COUNTIF(LISTS!$J$2:$J$16,TRIM($G1299))&gt;0,"LEFT OUT","NEW")))</f>
        <v/>
      </c>
    </row>
    <row r="1300" spans="47:47" x14ac:dyDescent="0.25">
      <c r="AU1300" s="8" t="str">
        <f>IF(TRIM($G1300)="","",IF(COUNTIF(LISTS!$I$2:$I$16,TRIM($G1300))&gt;0,"COUNTED",IF(COUNTIF(LISTS!$J$2:$J$16,TRIM($G1300))&gt;0,"LEFT OUT","NEW")))</f>
        <v/>
      </c>
    </row>
    <row r="1301" spans="47:47" x14ac:dyDescent="0.25">
      <c r="AU1301" s="8" t="str">
        <f>IF(TRIM($G1301)="","",IF(COUNTIF(LISTS!$I$2:$I$16,TRIM($G1301))&gt;0,"COUNTED",IF(COUNTIF(LISTS!$J$2:$J$16,TRIM($G1301))&gt;0,"LEFT OUT","NEW")))</f>
        <v/>
      </c>
    </row>
    <row r="1302" spans="47:47" x14ac:dyDescent="0.25">
      <c r="AU1302" s="8" t="str">
        <f>IF(TRIM($G1302)="","",IF(COUNTIF(LISTS!$I$2:$I$16,TRIM($G1302))&gt;0,"COUNTED",IF(COUNTIF(LISTS!$J$2:$J$16,TRIM($G1302))&gt;0,"LEFT OUT","NEW")))</f>
        <v/>
      </c>
    </row>
    <row r="1303" spans="47:47" x14ac:dyDescent="0.25">
      <c r="AU1303" s="8" t="str">
        <f>IF(TRIM($G1303)="","",IF(COUNTIF(LISTS!$I$2:$I$16,TRIM($G1303))&gt;0,"COUNTED",IF(COUNTIF(LISTS!$J$2:$J$16,TRIM($G1303))&gt;0,"LEFT OUT","NEW")))</f>
        <v/>
      </c>
    </row>
    <row r="1304" spans="47:47" x14ac:dyDescent="0.25">
      <c r="AU1304" s="8" t="str">
        <f>IF(TRIM($G1304)="","",IF(COUNTIF(LISTS!$I$2:$I$16,TRIM($G1304))&gt;0,"COUNTED",IF(COUNTIF(LISTS!$J$2:$J$16,TRIM($G1304))&gt;0,"LEFT OUT","NEW")))</f>
        <v/>
      </c>
    </row>
    <row r="1305" spans="47:47" x14ac:dyDescent="0.25">
      <c r="AU1305" s="8" t="str">
        <f>IF(TRIM($G1305)="","",IF(COUNTIF(LISTS!$I$2:$I$16,TRIM($G1305))&gt;0,"COUNTED",IF(COUNTIF(LISTS!$J$2:$J$16,TRIM($G1305))&gt;0,"LEFT OUT","NEW")))</f>
        <v/>
      </c>
    </row>
    <row r="1306" spans="47:47" x14ac:dyDescent="0.25">
      <c r="AU1306" s="8" t="str">
        <f>IF(TRIM($G1306)="","",IF(COUNTIF(LISTS!$I$2:$I$16,TRIM($G1306))&gt;0,"COUNTED",IF(COUNTIF(LISTS!$J$2:$J$16,TRIM($G1306))&gt;0,"LEFT OUT","NEW")))</f>
        <v/>
      </c>
    </row>
    <row r="1307" spans="47:47" x14ac:dyDescent="0.25">
      <c r="AU1307" s="8" t="str">
        <f>IF(TRIM($G1307)="","",IF(COUNTIF(LISTS!$I$2:$I$16,TRIM($G1307))&gt;0,"COUNTED",IF(COUNTIF(LISTS!$J$2:$J$16,TRIM($G1307))&gt;0,"LEFT OUT","NEW")))</f>
        <v/>
      </c>
    </row>
    <row r="1308" spans="47:47" x14ac:dyDescent="0.25">
      <c r="AU1308" s="8" t="str">
        <f>IF(TRIM($G1308)="","",IF(COUNTIF(LISTS!$I$2:$I$16,TRIM($G1308))&gt;0,"COUNTED",IF(COUNTIF(LISTS!$J$2:$J$16,TRIM($G1308))&gt;0,"LEFT OUT","NEW")))</f>
        <v/>
      </c>
    </row>
    <row r="1309" spans="47:47" x14ac:dyDescent="0.25">
      <c r="AU1309" s="8" t="str">
        <f>IF(TRIM($G1309)="","",IF(COUNTIF(LISTS!$I$2:$I$16,TRIM($G1309))&gt;0,"COUNTED",IF(COUNTIF(LISTS!$J$2:$J$16,TRIM($G1309))&gt;0,"LEFT OUT","NEW")))</f>
        <v/>
      </c>
    </row>
    <row r="1310" spans="47:47" x14ac:dyDescent="0.25">
      <c r="AU1310" s="8" t="str">
        <f>IF(TRIM($G1310)="","",IF(COUNTIF(LISTS!$I$2:$I$16,TRIM($G1310))&gt;0,"COUNTED",IF(COUNTIF(LISTS!$J$2:$J$16,TRIM($G1310))&gt;0,"LEFT OUT","NEW")))</f>
        <v/>
      </c>
    </row>
    <row r="1311" spans="47:47" x14ac:dyDescent="0.25">
      <c r="AU1311" s="8" t="str">
        <f>IF(TRIM($G1311)="","",IF(COUNTIF(LISTS!$I$2:$I$16,TRIM($G1311))&gt;0,"COUNTED",IF(COUNTIF(LISTS!$J$2:$J$16,TRIM($G1311))&gt;0,"LEFT OUT","NEW")))</f>
        <v/>
      </c>
    </row>
    <row r="1312" spans="47:47" x14ac:dyDescent="0.25">
      <c r="AU1312" s="8" t="str">
        <f>IF(TRIM($G1312)="","",IF(COUNTIF(LISTS!$I$2:$I$16,TRIM($G1312))&gt;0,"COUNTED",IF(COUNTIF(LISTS!$J$2:$J$16,TRIM($G1312))&gt;0,"LEFT OUT","NEW")))</f>
        <v/>
      </c>
    </row>
    <row r="1313" spans="47:47" x14ac:dyDescent="0.25">
      <c r="AU1313" s="8" t="str">
        <f>IF(TRIM($G1313)="","",IF(COUNTIF(LISTS!$I$2:$I$16,TRIM($G1313))&gt;0,"COUNTED",IF(COUNTIF(LISTS!$J$2:$J$16,TRIM($G1313))&gt;0,"LEFT OUT","NEW")))</f>
        <v/>
      </c>
    </row>
    <row r="1314" spans="47:47" x14ac:dyDescent="0.25">
      <c r="AU1314" s="8" t="str">
        <f>IF(TRIM($G1314)="","",IF(COUNTIF(LISTS!$I$2:$I$16,TRIM($G1314))&gt;0,"COUNTED",IF(COUNTIF(LISTS!$J$2:$J$16,TRIM($G1314))&gt;0,"LEFT OUT","NEW")))</f>
        <v/>
      </c>
    </row>
    <row r="1315" spans="47:47" x14ac:dyDescent="0.25">
      <c r="AU1315" s="8" t="str">
        <f>IF(TRIM($G1315)="","",IF(COUNTIF(LISTS!$I$2:$I$16,TRIM($G1315))&gt;0,"COUNTED",IF(COUNTIF(LISTS!$J$2:$J$16,TRIM($G1315))&gt;0,"LEFT OUT","NEW")))</f>
        <v/>
      </c>
    </row>
    <row r="1316" spans="47:47" x14ac:dyDescent="0.25">
      <c r="AU1316" s="8" t="str">
        <f>IF(TRIM($G1316)="","",IF(COUNTIF(LISTS!$I$2:$I$16,TRIM($G1316))&gt;0,"COUNTED",IF(COUNTIF(LISTS!$J$2:$J$16,TRIM($G1316))&gt;0,"LEFT OUT","NEW")))</f>
        <v/>
      </c>
    </row>
    <row r="1317" spans="47:47" x14ac:dyDescent="0.25">
      <c r="AU1317" s="8" t="str">
        <f>IF(TRIM($G1317)="","",IF(COUNTIF(LISTS!$I$2:$I$16,TRIM($G1317))&gt;0,"COUNTED",IF(COUNTIF(LISTS!$J$2:$J$16,TRIM($G1317))&gt;0,"LEFT OUT","NEW")))</f>
        <v/>
      </c>
    </row>
    <row r="1318" spans="47:47" x14ac:dyDescent="0.25">
      <c r="AU1318" s="8" t="str">
        <f>IF(TRIM($G1318)="","",IF(COUNTIF(LISTS!$I$2:$I$16,TRIM($G1318))&gt;0,"COUNTED",IF(COUNTIF(LISTS!$J$2:$J$16,TRIM($G1318))&gt;0,"LEFT OUT","NEW")))</f>
        <v/>
      </c>
    </row>
    <row r="1319" spans="47:47" x14ac:dyDescent="0.25">
      <c r="AU1319" s="8" t="str">
        <f>IF(TRIM($G1319)="","",IF(COUNTIF(LISTS!$I$2:$I$16,TRIM($G1319))&gt;0,"COUNTED",IF(COUNTIF(LISTS!$J$2:$J$16,TRIM($G1319))&gt;0,"LEFT OUT","NEW")))</f>
        <v/>
      </c>
    </row>
    <row r="1320" spans="47:47" x14ac:dyDescent="0.25">
      <c r="AU1320" s="8" t="str">
        <f>IF(TRIM($G1320)="","",IF(COUNTIF(LISTS!$I$2:$I$16,TRIM($G1320))&gt;0,"COUNTED",IF(COUNTIF(LISTS!$J$2:$J$16,TRIM($G1320))&gt;0,"LEFT OUT","NEW")))</f>
        <v/>
      </c>
    </row>
    <row r="1321" spans="47:47" x14ac:dyDescent="0.25">
      <c r="AU1321" s="8" t="str">
        <f>IF(TRIM($G1321)="","",IF(COUNTIF(LISTS!$I$2:$I$16,TRIM($G1321))&gt;0,"COUNTED",IF(COUNTIF(LISTS!$J$2:$J$16,TRIM($G1321))&gt;0,"LEFT OUT","NEW")))</f>
        <v/>
      </c>
    </row>
    <row r="1322" spans="47:47" x14ac:dyDescent="0.25">
      <c r="AU1322" s="8" t="str">
        <f>IF(TRIM($G1322)="","",IF(COUNTIF(LISTS!$I$2:$I$16,TRIM($G1322))&gt;0,"COUNTED",IF(COUNTIF(LISTS!$J$2:$J$16,TRIM($G1322))&gt;0,"LEFT OUT","NEW")))</f>
        <v/>
      </c>
    </row>
    <row r="1323" spans="47:47" x14ac:dyDescent="0.25">
      <c r="AU1323" s="8" t="str">
        <f>IF(TRIM($G1323)="","",IF(COUNTIF(LISTS!$I$2:$I$16,TRIM($G1323))&gt;0,"COUNTED",IF(COUNTIF(LISTS!$J$2:$J$16,TRIM($G1323))&gt;0,"LEFT OUT","NEW")))</f>
        <v/>
      </c>
    </row>
    <row r="1324" spans="47:47" x14ac:dyDescent="0.25">
      <c r="AU1324" s="8" t="str">
        <f>IF(TRIM($G1324)="","",IF(COUNTIF(LISTS!$I$2:$I$16,TRIM($G1324))&gt;0,"COUNTED",IF(COUNTIF(LISTS!$J$2:$J$16,TRIM($G1324))&gt;0,"LEFT OUT","NEW")))</f>
        <v/>
      </c>
    </row>
    <row r="1325" spans="47:47" x14ac:dyDescent="0.25">
      <c r="AU1325" s="8" t="str">
        <f>IF(TRIM($G1325)="","",IF(COUNTIF(LISTS!$I$2:$I$16,TRIM($G1325))&gt;0,"COUNTED",IF(COUNTIF(LISTS!$J$2:$J$16,TRIM($G1325))&gt;0,"LEFT OUT","NEW")))</f>
        <v/>
      </c>
    </row>
    <row r="1326" spans="47:47" x14ac:dyDescent="0.25">
      <c r="AU1326" s="8" t="str">
        <f>IF(TRIM($G1326)="","",IF(COUNTIF(LISTS!$I$2:$I$16,TRIM($G1326))&gt;0,"COUNTED",IF(COUNTIF(LISTS!$J$2:$J$16,TRIM($G1326))&gt;0,"LEFT OUT","NEW")))</f>
        <v/>
      </c>
    </row>
    <row r="1327" spans="47:47" x14ac:dyDescent="0.25">
      <c r="AU1327" s="8" t="str">
        <f>IF(TRIM($G1327)="","",IF(COUNTIF(LISTS!$I$2:$I$16,TRIM($G1327))&gt;0,"COUNTED",IF(COUNTIF(LISTS!$J$2:$J$16,TRIM($G1327))&gt;0,"LEFT OUT","NEW")))</f>
        <v/>
      </c>
    </row>
    <row r="1328" spans="47:47" x14ac:dyDescent="0.25">
      <c r="AU1328" s="8" t="str">
        <f>IF(TRIM($G1328)="","",IF(COUNTIF(LISTS!$I$2:$I$16,TRIM($G1328))&gt;0,"COUNTED",IF(COUNTIF(LISTS!$J$2:$J$16,TRIM($G1328))&gt;0,"LEFT OUT","NEW")))</f>
        <v/>
      </c>
    </row>
    <row r="1329" spans="47:47" x14ac:dyDescent="0.25">
      <c r="AU1329" s="8" t="str">
        <f>IF(TRIM($G1329)="","",IF(COUNTIF(LISTS!$I$2:$I$16,TRIM($G1329))&gt;0,"COUNTED",IF(COUNTIF(LISTS!$J$2:$J$16,TRIM($G1329))&gt;0,"LEFT OUT","NEW")))</f>
        <v/>
      </c>
    </row>
    <row r="1330" spans="47:47" x14ac:dyDescent="0.25">
      <c r="AU1330" s="8" t="str">
        <f>IF(TRIM($G1330)="","",IF(COUNTIF(LISTS!$I$2:$I$16,TRIM($G1330))&gt;0,"COUNTED",IF(COUNTIF(LISTS!$J$2:$J$16,TRIM($G1330))&gt;0,"LEFT OUT","NEW")))</f>
        <v/>
      </c>
    </row>
    <row r="1331" spans="47:47" x14ac:dyDescent="0.25">
      <c r="AU1331" s="8" t="str">
        <f>IF(TRIM($G1331)="","",IF(COUNTIF(LISTS!$I$2:$I$16,TRIM($G1331))&gt;0,"COUNTED",IF(COUNTIF(LISTS!$J$2:$J$16,TRIM($G1331))&gt;0,"LEFT OUT","NEW")))</f>
        <v/>
      </c>
    </row>
    <row r="1332" spans="47:47" x14ac:dyDescent="0.25">
      <c r="AU1332" s="8" t="str">
        <f>IF(TRIM($G1332)="","",IF(COUNTIF(LISTS!$I$2:$I$16,TRIM($G1332))&gt;0,"COUNTED",IF(COUNTIF(LISTS!$J$2:$J$16,TRIM($G1332))&gt;0,"LEFT OUT","NEW")))</f>
        <v/>
      </c>
    </row>
    <row r="1333" spans="47:47" x14ac:dyDescent="0.25">
      <c r="AU1333" s="8" t="str">
        <f>IF(TRIM($G1333)="","",IF(COUNTIF(LISTS!$I$2:$I$16,TRIM($G1333))&gt;0,"COUNTED",IF(COUNTIF(LISTS!$J$2:$J$16,TRIM($G1333))&gt;0,"LEFT OUT","NEW")))</f>
        <v/>
      </c>
    </row>
    <row r="1334" spans="47:47" x14ac:dyDescent="0.25">
      <c r="AU1334" s="8" t="str">
        <f>IF(TRIM($G1334)="","",IF(COUNTIF(LISTS!$I$2:$I$16,TRIM($G1334))&gt;0,"COUNTED",IF(COUNTIF(LISTS!$J$2:$J$16,TRIM($G1334))&gt;0,"LEFT OUT","NEW")))</f>
        <v/>
      </c>
    </row>
    <row r="1335" spans="47:47" x14ac:dyDescent="0.25">
      <c r="AU1335" s="8" t="str">
        <f>IF(TRIM($G1335)="","",IF(COUNTIF(LISTS!$I$2:$I$16,TRIM($G1335))&gt;0,"COUNTED",IF(COUNTIF(LISTS!$J$2:$J$16,TRIM($G1335))&gt;0,"LEFT OUT","NEW")))</f>
        <v/>
      </c>
    </row>
    <row r="1336" spans="47:47" x14ac:dyDescent="0.25">
      <c r="AU1336" s="8" t="str">
        <f>IF(TRIM($G1336)="","",IF(COUNTIF(LISTS!$I$2:$I$16,TRIM($G1336))&gt;0,"COUNTED",IF(COUNTIF(LISTS!$J$2:$J$16,TRIM($G1336))&gt;0,"LEFT OUT","NEW")))</f>
        <v/>
      </c>
    </row>
    <row r="1337" spans="47:47" x14ac:dyDescent="0.25">
      <c r="AU1337" s="8" t="str">
        <f>IF(TRIM($G1337)="","",IF(COUNTIF(LISTS!$I$2:$I$16,TRIM($G1337))&gt;0,"COUNTED",IF(COUNTIF(LISTS!$J$2:$J$16,TRIM($G1337))&gt;0,"LEFT OUT","NEW")))</f>
        <v/>
      </c>
    </row>
    <row r="1338" spans="47:47" x14ac:dyDescent="0.25">
      <c r="AU1338" s="8" t="str">
        <f>IF(TRIM($G1338)="","",IF(COUNTIF(LISTS!$I$2:$I$16,TRIM($G1338))&gt;0,"COUNTED",IF(COUNTIF(LISTS!$J$2:$J$16,TRIM($G1338))&gt;0,"LEFT OUT","NEW")))</f>
        <v/>
      </c>
    </row>
    <row r="1339" spans="47:47" x14ac:dyDescent="0.25">
      <c r="AU1339" s="8" t="str">
        <f>IF(TRIM($G1339)="","",IF(COUNTIF(LISTS!$I$2:$I$16,TRIM($G1339))&gt;0,"COUNTED",IF(COUNTIF(LISTS!$J$2:$J$16,TRIM($G1339))&gt;0,"LEFT OUT","NEW")))</f>
        <v/>
      </c>
    </row>
    <row r="1340" spans="47:47" x14ac:dyDescent="0.25">
      <c r="AU1340" s="8" t="str">
        <f>IF(TRIM($G1340)="","",IF(COUNTIF(LISTS!$I$2:$I$16,TRIM($G1340))&gt;0,"COUNTED",IF(COUNTIF(LISTS!$J$2:$J$16,TRIM($G1340))&gt;0,"LEFT OUT","NEW")))</f>
        <v/>
      </c>
    </row>
    <row r="1341" spans="47:47" x14ac:dyDescent="0.25">
      <c r="AU1341" s="8" t="str">
        <f>IF(TRIM($G1341)="","",IF(COUNTIF(LISTS!$I$2:$I$16,TRIM($G1341))&gt;0,"COUNTED",IF(COUNTIF(LISTS!$J$2:$J$16,TRIM($G1341))&gt;0,"LEFT OUT","NEW")))</f>
        <v/>
      </c>
    </row>
    <row r="1342" spans="47:47" x14ac:dyDescent="0.25">
      <c r="AU1342" s="8" t="str">
        <f>IF(TRIM($G1342)="","",IF(COUNTIF(LISTS!$I$2:$I$16,TRIM($G1342))&gt;0,"COUNTED",IF(COUNTIF(LISTS!$J$2:$J$16,TRIM($G1342))&gt;0,"LEFT OUT","NEW")))</f>
        <v/>
      </c>
    </row>
    <row r="1343" spans="47:47" x14ac:dyDescent="0.25">
      <c r="AU1343" s="8" t="str">
        <f>IF(TRIM($G1343)="","",IF(COUNTIF(LISTS!$I$2:$I$16,TRIM($G1343))&gt;0,"COUNTED",IF(COUNTIF(LISTS!$J$2:$J$16,TRIM($G1343))&gt;0,"LEFT OUT","NEW")))</f>
        <v/>
      </c>
    </row>
    <row r="1344" spans="47:47" x14ac:dyDescent="0.25">
      <c r="AU1344" s="8" t="str">
        <f>IF(TRIM($G1344)="","",IF(COUNTIF(LISTS!$I$2:$I$16,TRIM($G1344))&gt;0,"COUNTED",IF(COUNTIF(LISTS!$J$2:$J$16,TRIM($G1344))&gt;0,"LEFT OUT","NEW")))</f>
        <v/>
      </c>
    </row>
    <row r="1345" spans="47:47" x14ac:dyDescent="0.25">
      <c r="AU1345" s="8" t="str">
        <f>IF(TRIM($G1345)="","",IF(COUNTIF(LISTS!$I$2:$I$16,TRIM($G1345))&gt;0,"COUNTED",IF(COUNTIF(LISTS!$J$2:$J$16,TRIM($G1345))&gt;0,"LEFT OUT","NEW")))</f>
        <v/>
      </c>
    </row>
    <row r="1346" spans="47:47" x14ac:dyDescent="0.25">
      <c r="AU1346" s="8" t="str">
        <f>IF(TRIM($G1346)="","",IF(COUNTIF(LISTS!$I$2:$I$16,TRIM($G1346))&gt;0,"COUNTED",IF(COUNTIF(LISTS!$J$2:$J$16,TRIM($G1346))&gt;0,"LEFT OUT","NEW")))</f>
        <v/>
      </c>
    </row>
    <row r="1347" spans="47:47" x14ac:dyDescent="0.25">
      <c r="AU1347" s="8" t="str">
        <f>IF(TRIM($G1347)="","",IF(COUNTIF(LISTS!$I$2:$I$16,TRIM($G1347))&gt;0,"COUNTED",IF(COUNTIF(LISTS!$J$2:$J$16,TRIM($G1347))&gt;0,"LEFT OUT","NEW")))</f>
        <v/>
      </c>
    </row>
    <row r="1348" spans="47:47" x14ac:dyDescent="0.25">
      <c r="AU1348" s="8" t="str">
        <f>IF(TRIM($G1348)="","",IF(COUNTIF(LISTS!$I$2:$I$16,TRIM($G1348))&gt;0,"COUNTED",IF(COUNTIF(LISTS!$J$2:$J$16,TRIM($G1348))&gt;0,"LEFT OUT","NEW")))</f>
        <v/>
      </c>
    </row>
    <row r="1349" spans="47:47" x14ac:dyDescent="0.25">
      <c r="AU1349" s="8" t="str">
        <f>IF(TRIM($G1349)="","",IF(COUNTIF(LISTS!$I$2:$I$16,TRIM($G1349))&gt;0,"COUNTED",IF(COUNTIF(LISTS!$J$2:$J$16,TRIM($G1349))&gt;0,"LEFT OUT","NEW")))</f>
        <v/>
      </c>
    </row>
    <row r="1350" spans="47:47" x14ac:dyDescent="0.25">
      <c r="AU1350" s="8" t="str">
        <f>IF(TRIM($G1350)="","",IF(COUNTIF(LISTS!$I$2:$I$16,TRIM($G1350))&gt;0,"COUNTED",IF(COUNTIF(LISTS!$J$2:$J$16,TRIM($G1350))&gt;0,"LEFT OUT","NEW")))</f>
        <v/>
      </c>
    </row>
    <row r="1351" spans="47:47" x14ac:dyDescent="0.25">
      <c r="AU1351" s="8" t="str">
        <f>IF(TRIM($G1351)="","",IF(COUNTIF(LISTS!$I$2:$I$16,TRIM($G1351))&gt;0,"COUNTED",IF(COUNTIF(LISTS!$J$2:$J$16,TRIM($G1351))&gt;0,"LEFT OUT","NEW")))</f>
        <v/>
      </c>
    </row>
    <row r="1352" spans="47:47" x14ac:dyDescent="0.25">
      <c r="AU1352" s="8" t="str">
        <f>IF(TRIM($G1352)="","",IF(COUNTIF(LISTS!$I$2:$I$16,TRIM($G1352))&gt;0,"COUNTED",IF(COUNTIF(LISTS!$J$2:$J$16,TRIM($G1352))&gt;0,"LEFT OUT","NEW")))</f>
        <v/>
      </c>
    </row>
    <row r="1353" spans="47:47" x14ac:dyDescent="0.25">
      <c r="AU1353" s="8" t="str">
        <f>IF(TRIM($G1353)="","",IF(COUNTIF(LISTS!$I$2:$I$16,TRIM($G1353))&gt;0,"COUNTED",IF(COUNTIF(LISTS!$J$2:$J$16,TRIM($G1353))&gt;0,"LEFT OUT","NEW")))</f>
        <v/>
      </c>
    </row>
    <row r="1354" spans="47:47" x14ac:dyDescent="0.25">
      <c r="AU1354" s="8" t="str">
        <f>IF(TRIM($G1354)="","",IF(COUNTIF(LISTS!$I$2:$I$16,TRIM($G1354))&gt;0,"COUNTED",IF(COUNTIF(LISTS!$J$2:$J$16,TRIM($G1354))&gt;0,"LEFT OUT","NEW")))</f>
        <v/>
      </c>
    </row>
    <row r="1355" spans="47:47" x14ac:dyDescent="0.25">
      <c r="AU1355" s="8" t="str">
        <f>IF(TRIM($G1355)="","",IF(COUNTIF(LISTS!$I$2:$I$16,TRIM($G1355))&gt;0,"COUNTED",IF(COUNTIF(LISTS!$J$2:$J$16,TRIM($G1355))&gt;0,"LEFT OUT","NEW")))</f>
        <v/>
      </c>
    </row>
    <row r="1356" spans="47:47" x14ac:dyDescent="0.25">
      <c r="AU1356" s="8" t="str">
        <f>IF(TRIM($G1356)="","",IF(COUNTIF(LISTS!$I$2:$I$16,TRIM($G1356))&gt;0,"COUNTED",IF(COUNTIF(LISTS!$J$2:$J$16,TRIM($G1356))&gt;0,"LEFT OUT","NEW")))</f>
        <v/>
      </c>
    </row>
    <row r="1357" spans="47:47" x14ac:dyDescent="0.25">
      <c r="AU1357" s="8" t="str">
        <f>IF(TRIM($G1357)="","",IF(COUNTIF(LISTS!$I$2:$I$16,TRIM($G1357))&gt;0,"COUNTED",IF(COUNTIF(LISTS!$J$2:$J$16,TRIM($G1357))&gt;0,"LEFT OUT","NEW")))</f>
        <v/>
      </c>
    </row>
    <row r="1358" spans="47:47" x14ac:dyDescent="0.25">
      <c r="AU1358" s="8" t="str">
        <f>IF(TRIM($G1358)="","",IF(COUNTIF(LISTS!$I$2:$I$16,TRIM($G1358))&gt;0,"COUNTED",IF(COUNTIF(LISTS!$J$2:$J$16,TRIM($G1358))&gt;0,"LEFT OUT","NEW")))</f>
        <v/>
      </c>
    </row>
    <row r="1359" spans="47:47" x14ac:dyDescent="0.25">
      <c r="AU1359" s="8" t="str">
        <f>IF(TRIM($G1359)="","",IF(COUNTIF(LISTS!$I$2:$I$16,TRIM($G1359))&gt;0,"COUNTED",IF(COUNTIF(LISTS!$J$2:$J$16,TRIM($G1359))&gt;0,"LEFT OUT","NEW")))</f>
        <v/>
      </c>
    </row>
    <row r="1360" spans="47:47" x14ac:dyDescent="0.25">
      <c r="AU1360" s="8" t="str">
        <f>IF(TRIM($G1360)="","",IF(COUNTIF(LISTS!$I$2:$I$16,TRIM($G1360))&gt;0,"COUNTED",IF(COUNTIF(LISTS!$J$2:$J$16,TRIM($G1360))&gt;0,"LEFT OUT","NEW")))</f>
        <v/>
      </c>
    </row>
    <row r="1361" spans="47:47" x14ac:dyDescent="0.25">
      <c r="AU1361" s="8" t="str">
        <f>IF(TRIM($G1361)="","",IF(COUNTIF(LISTS!$I$2:$I$16,TRIM($G1361))&gt;0,"COUNTED",IF(COUNTIF(LISTS!$J$2:$J$16,TRIM($G1361))&gt;0,"LEFT OUT","NEW")))</f>
        <v/>
      </c>
    </row>
    <row r="1362" spans="47:47" x14ac:dyDescent="0.25">
      <c r="AU1362" s="8" t="str">
        <f>IF(TRIM($G1362)="","",IF(COUNTIF(LISTS!$I$2:$I$16,TRIM($G1362))&gt;0,"COUNTED",IF(COUNTIF(LISTS!$J$2:$J$16,TRIM($G1362))&gt;0,"LEFT OUT","NEW")))</f>
        <v/>
      </c>
    </row>
    <row r="1363" spans="47:47" x14ac:dyDescent="0.25">
      <c r="AU1363" s="8" t="str">
        <f>IF(TRIM($G1363)="","",IF(COUNTIF(LISTS!$I$2:$I$16,TRIM($G1363))&gt;0,"COUNTED",IF(COUNTIF(LISTS!$J$2:$J$16,TRIM($G1363))&gt;0,"LEFT OUT","NEW")))</f>
        <v/>
      </c>
    </row>
    <row r="1364" spans="47:47" x14ac:dyDescent="0.25">
      <c r="AU1364" s="8" t="str">
        <f>IF(TRIM($G1364)="","",IF(COUNTIF(LISTS!$I$2:$I$16,TRIM($G1364))&gt;0,"COUNTED",IF(COUNTIF(LISTS!$J$2:$J$16,TRIM($G1364))&gt;0,"LEFT OUT","NEW")))</f>
        <v/>
      </c>
    </row>
    <row r="1365" spans="47:47" x14ac:dyDescent="0.25">
      <c r="AU1365" s="8" t="str">
        <f>IF(TRIM($G1365)="","",IF(COUNTIF(LISTS!$I$2:$I$16,TRIM($G1365))&gt;0,"COUNTED",IF(COUNTIF(LISTS!$J$2:$J$16,TRIM($G1365))&gt;0,"LEFT OUT","NEW")))</f>
        <v/>
      </c>
    </row>
    <row r="1366" spans="47:47" x14ac:dyDescent="0.25">
      <c r="AU1366" s="8" t="str">
        <f>IF(TRIM($G1366)="","",IF(COUNTIF(LISTS!$I$2:$I$16,TRIM($G1366))&gt;0,"COUNTED",IF(COUNTIF(LISTS!$J$2:$J$16,TRIM($G1366))&gt;0,"LEFT OUT","NEW")))</f>
        <v/>
      </c>
    </row>
    <row r="1367" spans="47:47" x14ac:dyDescent="0.25">
      <c r="AU1367" s="8" t="str">
        <f>IF(TRIM($G1367)="","",IF(COUNTIF(LISTS!$I$2:$I$16,TRIM($G1367))&gt;0,"COUNTED",IF(COUNTIF(LISTS!$J$2:$J$16,TRIM($G1367))&gt;0,"LEFT OUT","NEW")))</f>
        <v/>
      </c>
    </row>
    <row r="1368" spans="47:47" x14ac:dyDescent="0.25">
      <c r="AU1368" s="8" t="str">
        <f>IF(TRIM($G1368)="","",IF(COUNTIF(LISTS!$I$2:$I$16,TRIM($G1368))&gt;0,"COUNTED",IF(COUNTIF(LISTS!$J$2:$J$16,TRIM($G1368))&gt;0,"LEFT OUT","NEW")))</f>
        <v/>
      </c>
    </row>
    <row r="1369" spans="47:47" x14ac:dyDescent="0.25">
      <c r="AU1369" s="8" t="str">
        <f>IF(TRIM($G1369)="","",IF(COUNTIF(LISTS!$I$2:$I$16,TRIM($G1369))&gt;0,"COUNTED",IF(COUNTIF(LISTS!$J$2:$J$16,TRIM($G1369))&gt;0,"LEFT OUT","NEW")))</f>
        <v/>
      </c>
    </row>
    <row r="1370" spans="47:47" x14ac:dyDescent="0.25">
      <c r="AU1370" s="8" t="str">
        <f>IF(TRIM($G1370)="","",IF(COUNTIF(LISTS!$I$2:$I$16,TRIM($G1370))&gt;0,"COUNTED",IF(COUNTIF(LISTS!$J$2:$J$16,TRIM($G1370))&gt;0,"LEFT OUT","NEW")))</f>
        <v/>
      </c>
    </row>
    <row r="1371" spans="47:47" x14ac:dyDescent="0.25">
      <c r="AU1371" s="8" t="str">
        <f>IF(TRIM($G1371)="","",IF(COUNTIF(LISTS!$I$2:$I$16,TRIM($G1371))&gt;0,"COUNTED",IF(COUNTIF(LISTS!$J$2:$J$16,TRIM($G1371))&gt;0,"LEFT OUT","NEW")))</f>
        <v/>
      </c>
    </row>
    <row r="1372" spans="47:47" x14ac:dyDescent="0.25">
      <c r="AU1372" s="8" t="str">
        <f>IF(TRIM($G1372)="","",IF(COUNTIF(LISTS!$I$2:$I$16,TRIM($G1372))&gt;0,"COUNTED",IF(COUNTIF(LISTS!$J$2:$J$16,TRIM($G1372))&gt;0,"LEFT OUT","NEW")))</f>
        <v/>
      </c>
    </row>
    <row r="1373" spans="47:47" x14ac:dyDescent="0.25">
      <c r="AU1373" s="8" t="str">
        <f>IF(TRIM($G1373)="","",IF(COUNTIF(LISTS!$I$2:$I$16,TRIM($G1373))&gt;0,"COUNTED",IF(COUNTIF(LISTS!$J$2:$J$16,TRIM($G1373))&gt;0,"LEFT OUT","NEW")))</f>
        <v/>
      </c>
    </row>
    <row r="1374" spans="47:47" x14ac:dyDescent="0.25">
      <c r="AU1374" s="8" t="str">
        <f>IF(TRIM($G1374)="","",IF(COUNTIF(LISTS!$I$2:$I$16,TRIM($G1374))&gt;0,"COUNTED",IF(COUNTIF(LISTS!$J$2:$J$16,TRIM($G1374))&gt;0,"LEFT OUT","NEW")))</f>
        <v/>
      </c>
    </row>
    <row r="1375" spans="47:47" x14ac:dyDescent="0.25">
      <c r="AU1375" s="8" t="str">
        <f>IF(TRIM($G1375)="","",IF(COUNTIF(LISTS!$I$2:$I$16,TRIM($G1375))&gt;0,"COUNTED",IF(COUNTIF(LISTS!$J$2:$J$16,TRIM($G1375))&gt;0,"LEFT OUT","NEW")))</f>
        <v/>
      </c>
    </row>
    <row r="1376" spans="47:47" x14ac:dyDescent="0.25">
      <c r="AU1376" s="8" t="str">
        <f>IF(TRIM($G1376)="","",IF(COUNTIF(LISTS!$I$2:$I$16,TRIM($G1376))&gt;0,"COUNTED",IF(COUNTIF(LISTS!$J$2:$J$16,TRIM($G1376))&gt;0,"LEFT OUT","NEW")))</f>
        <v/>
      </c>
    </row>
    <row r="1377" spans="47:47" x14ac:dyDescent="0.25">
      <c r="AU1377" s="8" t="str">
        <f>IF(TRIM($G1377)="","",IF(COUNTIF(LISTS!$I$2:$I$16,TRIM($G1377))&gt;0,"COUNTED",IF(COUNTIF(LISTS!$J$2:$J$16,TRIM($G1377))&gt;0,"LEFT OUT","NEW")))</f>
        <v/>
      </c>
    </row>
    <row r="1378" spans="47:47" x14ac:dyDescent="0.25">
      <c r="AU1378" s="8" t="str">
        <f>IF(TRIM($G1378)="","",IF(COUNTIF(LISTS!$I$2:$I$16,TRIM($G1378))&gt;0,"COUNTED",IF(COUNTIF(LISTS!$J$2:$J$16,TRIM($G1378))&gt;0,"LEFT OUT","NEW")))</f>
        <v/>
      </c>
    </row>
    <row r="1379" spans="47:47" x14ac:dyDescent="0.25">
      <c r="AU1379" s="8" t="str">
        <f>IF(TRIM($G1379)="","",IF(COUNTIF(LISTS!$I$2:$I$16,TRIM($G1379))&gt;0,"COUNTED",IF(COUNTIF(LISTS!$J$2:$J$16,TRIM($G1379))&gt;0,"LEFT OUT","NEW")))</f>
        <v/>
      </c>
    </row>
    <row r="1380" spans="47:47" x14ac:dyDescent="0.25">
      <c r="AU1380" s="8" t="str">
        <f>IF(TRIM($G1380)="","",IF(COUNTIF(LISTS!$I$2:$I$16,TRIM($G1380))&gt;0,"COUNTED",IF(COUNTIF(LISTS!$J$2:$J$16,TRIM($G1380))&gt;0,"LEFT OUT","NEW")))</f>
        <v/>
      </c>
    </row>
    <row r="1381" spans="47:47" x14ac:dyDescent="0.25">
      <c r="AU1381" s="8" t="str">
        <f>IF(TRIM($G1381)="","",IF(COUNTIF(LISTS!$I$2:$I$16,TRIM($G1381))&gt;0,"COUNTED",IF(COUNTIF(LISTS!$J$2:$J$16,TRIM($G1381))&gt;0,"LEFT OUT","NEW")))</f>
        <v/>
      </c>
    </row>
    <row r="1382" spans="47:47" x14ac:dyDescent="0.25">
      <c r="AU1382" s="8" t="str">
        <f>IF(TRIM($G1382)="","",IF(COUNTIF(LISTS!$I$2:$I$16,TRIM($G1382))&gt;0,"COUNTED",IF(COUNTIF(LISTS!$J$2:$J$16,TRIM($G1382))&gt;0,"LEFT OUT","NEW")))</f>
        <v/>
      </c>
    </row>
    <row r="1383" spans="47:47" x14ac:dyDescent="0.25">
      <c r="AU1383" s="8" t="str">
        <f>IF(TRIM($G1383)="","",IF(COUNTIF(LISTS!$I$2:$I$16,TRIM($G1383))&gt;0,"COUNTED",IF(COUNTIF(LISTS!$J$2:$J$16,TRIM($G1383))&gt;0,"LEFT OUT","NEW")))</f>
        <v/>
      </c>
    </row>
    <row r="1384" spans="47:47" x14ac:dyDescent="0.25">
      <c r="AU1384" s="8" t="str">
        <f>IF(TRIM($G1384)="","",IF(COUNTIF(LISTS!$I$2:$I$16,TRIM($G1384))&gt;0,"COUNTED",IF(COUNTIF(LISTS!$J$2:$J$16,TRIM($G1384))&gt;0,"LEFT OUT","NEW")))</f>
        <v/>
      </c>
    </row>
    <row r="1385" spans="47:47" x14ac:dyDescent="0.25">
      <c r="AU1385" s="8" t="str">
        <f>IF(TRIM($G1385)="","",IF(COUNTIF(LISTS!$I$2:$I$16,TRIM($G1385))&gt;0,"COUNTED",IF(COUNTIF(LISTS!$J$2:$J$16,TRIM($G1385))&gt;0,"LEFT OUT","NEW")))</f>
        <v/>
      </c>
    </row>
    <row r="1386" spans="47:47" x14ac:dyDescent="0.25">
      <c r="AU1386" s="8" t="str">
        <f>IF(TRIM($G1386)="","",IF(COUNTIF(LISTS!$I$2:$I$16,TRIM($G1386))&gt;0,"COUNTED",IF(COUNTIF(LISTS!$J$2:$J$16,TRIM($G1386))&gt;0,"LEFT OUT","NEW")))</f>
        <v/>
      </c>
    </row>
    <row r="1387" spans="47:47" x14ac:dyDescent="0.25">
      <c r="AU1387" s="8" t="str">
        <f>IF(TRIM($G1387)="","",IF(COUNTIF(LISTS!$I$2:$I$16,TRIM($G1387))&gt;0,"COUNTED",IF(COUNTIF(LISTS!$J$2:$J$16,TRIM($G1387))&gt;0,"LEFT OUT","NEW")))</f>
        <v/>
      </c>
    </row>
    <row r="1388" spans="47:47" x14ac:dyDescent="0.25">
      <c r="AU1388" s="8" t="str">
        <f>IF(TRIM($G1388)="","",IF(COUNTIF(LISTS!$I$2:$I$16,TRIM($G1388))&gt;0,"COUNTED",IF(COUNTIF(LISTS!$J$2:$J$16,TRIM($G1388))&gt;0,"LEFT OUT","NEW")))</f>
        <v/>
      </c>
    </row>
    <row r="1389" spans="47:47" x14ac:dyDescent="0.25">
      <c r="AU1389" s="8" t="str">
        <f>IF(TRIM($G1389)="","",IF(COUNTIF(LISTS!$I$2:$I$16,TRIM($G1389))&gt;0,"COUNTED",IF(COUNTIF(LISTS!$J$2:$J$16,TRIM($G1389))&gt;0,"LEFT OUT","NEW")))</f>
        <v/>
      </c>
    </row>
    <row r="1390" spans="47:47" x14ac:dyDescent="0.25">
      <c r="AU1390" s="8" t="str">
        <f>IF(TRIM($G1390)="","",IF(COUNTIF(LISTS!$I$2:$I$16,TRIM($G1390))&gt;0,"COUNTED",IF(COUNTIF(LISTS!$J$2:$J$16,TRIM($G1390))&gt;0,"LEFT OUT","NEW")))</f>
        <v/>
      </c>
    </row>
    <row r="1391" spans="47:47" x14ac:dyDescent="0.25">
      <c r="AU1391" s="8" t="str">
        <f>IF(TRIM($G1391)="","",IF(COUNTIF(LISTS!$I$2:$I$16,TRIM($G1391))&gt;0,"COUNTED",IF(COUNTIF(LISTS!$J$2:$J$16,TRIM($G1391))&gt;0,"LEFT OUT","NEW")))</f>
        <v/>
      </c>
    </row>
    <row r="1392" spans="47:47" x14ac:dyDescent="0.25">
      <c r="AU1392" s="8" t="str">
        <f>IF(TRIM($G1392)="","",IF(COUNTIF(LISTS!$I$2:$I$16,TRIM($G1392))&gt;0,"COUNTED",IF(COUNTIF(LISTS!$J$2:$J$16,TRIM($G1392))&gt;0,"LEFT OUT","NEW")))</f>
        <v/>
      </c>
    </row>
    <row r="1393" spans="47:47" x14ac:dyDescent="0.25">
      <c r="AU1393" s="8" t="str">
        <f>IF(TRIM($G1393)="","",IF(COUNTIF(LISTS!$I$2:$I$16,TRIM($G1393))&gt;0,"COUNTED",IF(COUNTIF(LISTS!$J$2:$J$16,TRIM($G1393))&gt;0,"LEFT OUT","NEW")))</f>
        <v/>
      </c>
    </row>
    <row r="1394" spans="47:47" x14ac:dyDescent="0.25">
      <c r="AU1394" s="8" t="str">
        <f>IF(TRIM($G1394)="","",IF(COUNTIF(LISTS!$I$2:$I$16,TRIM($G1394))&gt;0,"COUNTED",IF(COUNTIF(LISTS!$J$2:$J$16,TRIM($G1394))&gt;0,"LEFT OUT","NEW")))</f>
        <v/>
      </c>
    </row>
    <row r="1395" spans="47:47" x14ac:dyDescent="0.25">
      <c r="AU1395" s="8" t="str">
        <f>IF(TRIM($G1395)="","",IF(COUNTIF(LISTS!$I$2:$I$16,TRIM($G1395))&gt;0,"COUNTED",IF(COUNTIF(LISTS!$J$2:$J$16,TRIM($G1395))&gt;0,"LEFT OUT","NEW")))</f>
        <v/>
      </c>
    </row>
    <row r="1396" spans="47:47" x14ac:dyDescent="0.25">
      <c r="AU1396" s="8" t="str">
        <f>IF(TRIM($G1396)="","",IF(COUNTIF(LISTS!$I$2:$I$16,TRIM($G1396))&gt;0,"COUNTED",IF(COUNTIF(LISTS!$J$2:$J$16,TRIM($G1396))&gt;0,"LEFT OUT","NEW")))</f>
        <v/>
      </c>
    </row>
    <row r="1397" spans="47:47" x14ac:dyDescent="0.25">
      <c r="AU1397" s="8" t="str">
        <f>IF(TRIM($G1397)="","",IF(COUNTIF(LISTS!$I$2:$I$16,TRIM($G1397))&gt;0,"COUNTED",IF(COUNTIF(LISTS!$J$2:$J$16,TRIM($G1397))&gt;0,"LEFT OUT","NEW")))</f>
        <v/>
      </c>
    </row>
    <row r="1398" spans="47:47" x14ac:dyDescent="0.25">
      <c r="AU1398" s="8" t="str">
        <f>IF(TRIM($G1398)="","",IF(COUNTIF(LISTS!$I$2:$I$16,TRIM($G1398))&gt;0,"COUNTED",IF(COUNTIF(LISTS!$J$2:$J$16,TRIM($G1398))&gt;0,"LEFT OUT","NEW")))</f>
        <v/>
      </c>
    </row>
    <row r="1399" spans="47:47" x14ac:dyDescent="0.25">
      <c r="AU1399" s="8" t="str">
        <f>IF(TRIM($G1399)="","",IF(COUNTIF(LISTS!$I$2:$I$16,TRIM($G1399))&gt;0,"COUNTED",IF(COUNTIF(LISTS!$J$2:$J$16,TRIM($G1399))&gt;0,"LEFT OUT","NEW")))</f>
        <v/>
      </c>
    </row>
    <row r="1400" spans="47:47" x14ac:dyDescent="0.25">
      <c r="AU1400" s="8" t="str">
        <f>IF(TRIM($G1400)="","",IF(COUNTIF(LISTS!$I$2:$I$16,TRIM($G1400))&gt;0,"COUNTED",IF(COUNTIF(LISTS!$J$2:$J$16,TRIM($G1400))&gt;0,"LEFT OUT","NEW")))</f>
        <v/>
      </c>
    </row>
    <row r="1401" spans="47:47" x14ac:dyDescent="0.25">
      <c r="AU1401" s="8" t="str">
        <f>IF(TRIM($G1401)="","",IF(COUNTIF(LISTS!$I$2:$I$16,TRIM($G1401))&gt;0,"COUNTED",IF(COUNTIF(LISTS!$J$2:$J$16,TRIM($G1401))&gt;0,"LEFT OUT","NEW")))</f>
        <v/>
      </c>
    </row>
    <row r="1402" spans="47:47" x14ac:dyDescent="0.25">
      <c r="AU1402" s="8" t="str">
        <f>IF(TRIM($G1402)="","",IF(COUNTIF(LISTS!$I$2:$I$16,TRIM($G1402))&gt;0,"COUNTED",IF(COUNTIF(LISTS!$J$2:$J$16,TRIM($G1402))&gt;0,"LEFT OUT","NEW")))</f>
        <v/>
      </c>
    </row>
    <row r="1403" spans="47:47" x14ac:dyDescent="0.25">
      <c r="AU1403" s="8" t="str">
        <f>IF(TRIM($G1403)="","",IF(COUNTIF(LISTS!$I$2:$I$16,TRIM($G1403))&gt;0,"COUNTED",IF(COUNTIF(LISTS!$J$2:$J$16,TRIM($G1403))&gt;0,"LEFT OUT","NEW")))</f>
        <v/>
      </c>
    </row>
    <row r="1404" spans="47:47" x14ac:dyDescent="0.25">
      <c r="AU1404" s="8" t="str">
        <f>IF(TRIM($G1404)="","",IF(COUNTIF(LISTS!$I$2:$I$16,TRIM($G1404))&gt;0,"COUNTED",IF(COUNTIF(LISTS!$J$2:$J$16,TRIM($G1404))&gt;0,"LEFT OUT","NEW")))</f>
        <v/>
      </c>
    </row>
    <row r="1405" spans="47:47" x14ac:dyDescent="0.25">
      <c r="AU1405" s="8" t="str">
        <f>IF(TRIM($G1405)="","",IF(COUNTIF(LISTS!$I$2:$I$16,TRIM($G1405))&gt;0,"COUNTED",IF(COUNTIF(LISTS!$J$2:$J$16,TRIM($G1405))&gt;0,"LEFT OUT","NEW")))</f>
        <v/>
      </c>
    </row>
    <row r="1406" spans="47:47" x14ac:dyDescent="0.25">
      <c r="AU1406" s="8" t="str">
        <f>IF(TRIM($G1406)="","",IF(COUNTIF(LISTS!$I$2:$I$16,TRIM($G1406))&gt;0,"COUNTED",IF(COUNTIF(LISTS!$J$2:$J$16,TRIM($G1406))&gt;0,"LEFT OUT","NEW")))</f>
        <v/>
      </c>
    </row>
    <row r="1407" spans="47:47" x14ac:dyDescent="0.25">
      <c r="AU1407" s="8" t="str">
        <f>IF(TRIM($G1407)="","",IF(COUNTIF(LISTS!$I$2:$I$16,TRIM($G1407))&gt;0,"COUNTED",IF(COUNTIF(LISTS!$J$2:$J$16,TRIM($G1407))&gt;0,"LEFT OUT","NEW")))</f>
        <v/>
      </c>
    </row>
    <row r="1408" spans="47:47" x14ac:dyDescent="0.25">
      <c r="AU1408" s="8" t="str">
        <f>IF(TRIM($G1408)="","",IF(COUNTIF(LISTS!$I$2:$I$16,TRIM($G1408))&gt;0,"COUNTED",IF(COUNTIF(LISTS!$J$2:$J$16,TRIM($G1408))&gt;0,"LEFT OUT","NEW")))</f>
        <v/>
      </c>
    </row>
    <row r="1409" spans="47:47" x14ac:dyDescent="0.25">
      <c r="AU1409" s="8" t="str">
        <f>IF(TRIM($G1409)="","",IF(COUNTIF(LISTS!$I$2:$I$16,TRIM($G1409))&gt;0,"COUNTED",IF(COUNTIF(LISTS!$J$2:$J$16,TRIM($G1409))&gt;0,"LEFT OUT","NEW")))</f>
        <v/>
      </c>
    </row>
    <row r="1410" spans="47:47" x14ac:dyDescent="0.25">
      <c r="AU1410" s="8" t="str">
        <f>IF(TRIM($G1410)="","",IF(COUNTIF(LISTS!$I$2:$I$16,TRIM($G1410))&gt;0,"COUNTED",IF(COUNTIF(LISTS!$J$2:$J$16,TRIM($G1410))&gt;0,"LEFT OUT","NEW")))</f>
        <v/>
      </c>
    </row>
    <row r="1411" spans="47:47" x14ac:dyDescent="0.25">
      <c r="AU1411" s="8" t="str">
        <f>IF(TRIM($G1411)="","",IF(COUNTIF(LISTS!$I$2:$I$16,TRIM($G1411))&gt;0,"COUNTED",IF(COUNTIF(LISTS!$J$2:$J$16,TRIM($G1411))&gt;0,"LEFT OUT","NEW")))</f>
        <v/>
      </c>
    </row>
    <row r="1412" spans="47:47" x14ac:dyDescent="0.25">
      <c r="AU1412" s="8" t="str">
        <f>IF(TRIM($G1412)="","",IF(COUNTIF(LISTS!$I$2:$I$16,TRIM($G1412))&gt;0,"COUNTED",IF(COUNTIF(LISTS!$J$2:$J$16,TRIM($G1412))&gt;0,"LEFT OUT","NEW")))</f>
        <v/>
      </c>
    </row>
    <row r="1413" spans="47:47" x14ac:dyDescent="0.25">
      <c r="AU1413" s="8" t="str">
        <f>IF(TRIM($G1413)="","",IF(COUNTIF(LISTS!$I$2:$I$16,TRIM($G1413))&gt;0,"COUNTED",IF(COUNTIF(LISTS!$J$2:$J$16,TRIM($G1413))&gt;0,"LEFT OUT","NEW")))</f>
        <v/>
      </c>
    </row>
    <row r="1414" spans="47:47" x14ac:dyDescent="0.25">
      <c r="AU1414" s="8" t="str">
        <f>IF(TRIM($G1414)="","",IF(COUNTIF(LISTS!$I$2:$I$16,TRIM($G1414))&gt;0,"COUNTED",IF(COUNTIF(LISTS!$J$2:$J$16,TRIM($G1414))&gt;0,"LEFT OUT","NEW")))</f>
        <v/>
      </c>
    </row>
    <row r="1415" spans="47:47" x14ac:dyDescent="0.25">
      <c r="AU1415" s="8" t="str">
        <f>IF(TRIM($G1415)="","",IF(COUNTIF(LISTS!$I$2:$I$16,TRIM($G1415))&gt;0,"COUNTED",IF(COUNTIF(LISTS!$J$2:$J$16,TRIM($G1415))&gt;0,"LEFT OUT","NEW")))</f>
        <v/>
      </c>
    </row>
    <row r="1416" spans="47:47" x14ac:dyDescent="0.25">
      <c r="AU1416" s="8" t="str">
        <f>IF(TRIM($G1416)="","",IF(COUNTIF(LISTS!$I$2:$I$16,TRIM($G1416))&gt;0,"COUNTED",IF(COUNTIF(LISTS!$J$2:$J$16,TRIM($G1416))&gt;0,"LEFT OUT","NEW")))</f>
        <v/>
      </c>
    </row>
    <row r="1417" spans="47:47" x14ac:dyDescent="0.25">
      <c r="AU1417" s="8" t="str">
        <f>IF(TRIM($G1417)="","",IF(COUNTIF(LISTS!$I$2:$I$16,TRIM($G1417))&gt;0,"COUNTED",IF(COUNTIF(LISTS!$J$2:$J$16,TRIM($G1417))&gt;0,"LEFT OUT","NEW")))</f>
        <v/>
      </c>
    </row>
    <row r="1418" spans="47:47" x14ac:dyDescent="0.25">
      <c r="AU1418" s="8" t="str">
        <f>IF(TRIM($G1418)="","",IF(COUNTIF(LISTS!$I$2:$I$16,TRIM($G1418))&gt;0,"COUNTED",IF(COUNTIF(LISTS!$J$2:$J$16,TRIM($G1418))&gt;0,"LEFT OUT","NEW")))</f>
        <v/>
      </c>
    </row>
    <row r="1419" spans="47:47" x14ac:dyDescent="0.25">
      <c r="AU1419" s="8" t="str">
        <f>IF(TRIM($G1419)="","",IF(COUNTIF(LISTS!$I$2:$I$16,TRIM($G1419))&gt;0,"COUNTED",IF(COUNTIF(LISTS!$J$2:$J$16,TRIM($G1419))&gt;0,"LEFT OUT","NEW")))</f>
        <v/>
      </c>
    </row>
    <row r="1420" spans="47:47" x14ac:dyDescent="0.25">
      <c r="AU1420" s="8" t="str">
        <f>IF(TRIM($G1420)="","",IF(COUNTIF(LISTS!$I$2:$I$16,TRIM($G1420))&gt;0,"COUNTED",IF(COUNTIF(LISTS!$J$2:$J$16,TRIM($G1420))&gt;0,"LEFT OUT","NEW")))</f>
        <v/>
      </c>
    </row>
    <row r="1421" spans="47:47" x14ac:dyDescent="0.25">
      <c r="AU1421" s="8" t="str">
        <f>IF(TRIM($G1421)="","",IF(COUNTIF(LISTS!$I$2:$I$16,TRIM($G1421))&gt;0,"COUNTED",IF(COUNTIF(LISTS!$J$2:$J$16,TRIM($G1421))&gt;0,"LEFT OUT","NEW")))</f>
        <v/>
      </c>
    </row>
    <row r="1422" spans="47:47" x14ac:dyDescent="0.25">
      <c r="AU1422" s="8" t="str">
        <f>IF(TRIM($G1422)="","",IF(COUNTIF(LISTS!$I$2:$I$16,TRIM($G1422))&gt;0,"COUNTED",IF(COUNTIF(LISTS!$J$2:$J$16,TRIM($G1422))&gt;0,"LEFT OUT","NEW")))</f>
        <v/>
      </c>
    </row>
    <row r="1423" spans="47:47" x14ac:dyDescent="0.25">
      <c r="AU1423" s="8" t="str">
        <f>IF(TRIM($G1423)="","",IF(COUNTIF(LISTS!$I$2:$I$16,TRIM($G1423))&gt;0,"COUNTED",IF(COUNTIF(LISTS!$J$2:$J$16,TRIM($G1423))&gt;0,"LEFT OUT","NEW")))</f>
        <v/>
      </c>
    </row>
    <row r="1424" spans="47:47" x14ac:dyDescent="0.25">
      <c r="AU1424" s="8" t="str">
        <f>IF(TRIM($G1424)="","",IF(COUNTIF(LISTS!$I$2:$I$16,TRIM($G1424))&gt;0,"COUNTED",IF(COUNTIF(LISTS!$J$2:$J$16,TRIM($G1424))&gt;0,"LEFT OUT","NEW")))</f>
        <v/>
      </c>
    </row>
    <row r="1425" spans="47:47" x14ac:dyDescent="0.25">
      <c r="AU1425" s="8" t="str">
        <f>IF(TRIM($G1425)="","",IF(COUNTIF(LISTS!$I$2:$I$16,TRIM($G1425))&gt;0,"COUNTED",IF(COUNTIF(LISTS!$J$2:$J$16,TRIM($G1425))&gt;0,"LEFT OUT","NEW")))</f>
        <v/>
      </c>
    </row>
    <row r="1426" spans="47:47" x14ac:dyDescent="0.25">
      <c r="AU1426" s="8" t="str">
        <f>IF(TRIM($G1426)="","",IF(COUNTIF(LISTS!$I$2:$I$16,TRIM($G1426))&gt;0,"COUNTED",IF(COUNTIF(LISTS!$J$2:$J$16,TRIM($G1426))&gt;0,"LEFT OUT","NEW")))</f>
        <v/>
      </c>
    </row>
    <row r="1427" spans="47:47" x14ac:dyDescent="0.25">
      <c r="AU1427" s="8" t="str">
        <f>IF(TRIM($G1427)="","",IF(COUNTIF(LISTS!$I$2:$I$16,TRIM($G1427))&gt;0,"COUNTED",IF(COUNTIF(LISTS!$J$2:$J$16,TRIM($G1427))&gt;0,"LEFT OUT","NEW")))</f>
        <v/>
      </c>
    </row>
    <row r="1428" spans="47:47" x14ac:dyDescent="0.25">
      <c r="AU1428" s="8" t="str">
        <f>IF(TRIM($G1428)="","",IF(COUNTIF(LISTS!$I$2:$I$16,TRIM($G1428))&gt;0,"COUNTED",IF(COUNTIF(LISTS!$J$2:$J$16,TRIM($G1428))&gt;0,"LEFT OUT","NEW")))</f>
        <v/>
      </c>
    </row>
    <row r="1429" spans="47:47" x14ac:dyDescent="0.25">
      <c r="AU1429" s="8" t="str">
        <f>IF(TRIM($G1429)="","",IF(COUNTIF(LISTS!$I$2:$I$16,TRIM($G1429))&gt;0,"COUNTED",IF(COUNTIF(LISTS!$J$2:$J$16,TRIM($G1429))&gt;0,"LEFT OUT","NEW")))</f>
        <v/>
      </c>
    </row>
    <row r="1430" spans="47:47" x14ac:dyDescent="0.25">
      <c r="AU1430" s="8" t="str">
        <f>IF(TRIM($G1430)="","",IF(COUNTIF(LISTS!$I$2:$I$16,TRIM($G1430))&gt;0,"COUNTED",IF(COUNTIF(LISTS!$J$2:$J$16,TRIM($G1430))&gt;0,"LEFT OUT","NEW")))</f>
        <v/>
      </c>
    </row>
    <row r="1431" spans="47:47" x14ac:dyDescent="0.25">
      <c r="AU1431" s="8" t="str">
        <f>IF(TRIM($G1431)="","",IF(COUNTIF(LISTS!$I$2:$I$16,TRIM($G1431))&gt;0,"COUNTED",IF(COUNTIF(LISTS!$J$2:$J$16,TRIM($G1431))&gt;0,"LEFT OUT","NEW")))</f>
        <v/>
      </c>
    </row>
    <row r="1432" spans="47:47" x14ac:dyDescent="0.25">
      <c r="AU1432" s="8" t="str">
        <f>IF(TRIM($G1432)="","",IF(COUNTIF(LISTS!$I$2:$I$16,TRIM($G1432))&gt;0,"COUNTED",IF(COUNTIF(LISTS!$J$2:$J$16,TRIM($G1432))&gt;0,"LEFT OUT","NEW")))</f>
        <v/>
      </c>
    </row>
    <row r="1433" spans="47:47" x14ac:dyDescent="0.25">
      <c r="AU1433" s="8" t="str">
        <f>IF(TRIM($G1433)="","",IF(COUNTIF(LISTS!$I$2:$I$16,TRIM($G1433))&gt;0,"COUNTED",IF(COUNTIF(LISTS!$J$2:$J$16,TRIM($G1433))&gt;0,"LEFT OUT","NEW")))</f>
        <v/>
      </c>
    </row>
    <row r="1434" spans="47:47" x14ac:dyDescent="0.25">
      <c r="AU1434" s="8" t="str">
        <f>IF(TRIM($G1434)="","",IF(COUNTIF(LISTS!$I$2:$I$16,TRIM($G1434))&gt;0,"COUNTED",IF(COUNTIF(LISTS!$J$2:$J$16,TRIM($G1434))&gt;0,"LEFT OUT","NEW")))</f>
        <v/>
      </c>
    </row>
    <row r="1435" spans="47:47" x14ac:dyDescent="0.25">
      <c r="AU1435" s="8" t="str">
        <f>IF(TRIM($G1435)="","",IF(COUNTIF(LISTS!$I$2:$I$16,TRIM($G1435))&gt;0,"COUNTED",IF(COUNTIF(LISTS!$J$2:$J$16,TRIM($G1435))&gt;0,"LEFT OUT","NEW")))</f>
        <v/>
      </c>
    </row>
    <row r="1436" spans="47:47" x14ac:dyDescent="0.25">
      <c r="AU1436" s="8" t="str">
        <f>IF(TRIM($G1436)="","",IF(COUNTIF(LISTS!$I$2:$I$16,TRIM($G1436))&gt;0,"COUNTED",IF(COUNTIF(LISTS!$J$2:$J$16,TRIM($G1436))&gt;0,"LEFT OUT","NEW")))</f>
        <v/>
      </c>
    </row>
    <row r="1437" spans="47:47" x14ac:dyDescent="0.25">
      <c r="AU1437" s="8" t="str">
        <f>IF(TRIM($G1437)="","",IF(COUNTIF(LISTS!$I$2:$I$16,TRIM($G1437))&gt;0,"COUNTED",IF(COUNTIF(LISTS!$J$2:$J$16,TRIM($G1437))&gt;0,"LEFT OUT","NEW")))</f>
        <v/>
      </c>
    </row>
    <row r="1438" spans="47:47" x14ac:dyDescent="0.25">
      <c r="AU1438" s="8" t="str">
        <f>IF(TRIM($G1438)="","",IF(COUNTIF(LISTS!$I$2:$I$16,TRIM($G1438))&gt;0,"COUNTED",IF(COUNTIF(LISTS!$J$2:$J$16,TRIM($G1438))&gt;0,"LEFT OUT","NEW")))</f>
        <v/>
      </c>
    </row>
    <row r="1439" spans="47:47" x14ac:dyDescent="0.25">
      <c r="AU1439" s="8" t="str">
        <f>IF(TRIM($G1439)="","",IF(COUNTIF(LISTS!$I$2:$I$16,TRIM($G1439))&gt;0,"COUNTED",IF(COUNTIF(LISTS!$J$2:$J$16,TRIM($G1439))&gt;0,"LEFT OUT","NEW")))</f>
        <v/>
      </c>
    </row>
    <row r="1440" spans="47:47" x14ac:dyDescent="0.25">
      <c r="AU1440" s="8" t="str">
        <f>IF(TRIM($G1440)="","",IF(COUNTIF(LISTS!$I$2:$I$16,TRIM($G1440))&gt;0,"COUNTED",IF(COUNTIF(LISTS!$J$2:$J$16,TRIM($G1440))&gt;0,"LEFT OUT","NEW")))</f>
        <v/>
      </c>
    </row>
    <row r="1441" spans="47:47" x14ac:dyDescent="0.25">
      <c r="AU1441" s="8" t="str">
        <f>IF(TRIM($G1441)="","",IF(COUNTIF(LISTS!$I$2:$I$16,TRIM($G1441))&gt;0,"COUNTED",IF(COUNTIF(LISTS!$J$2:$J$16,TRIM($G1441))&gt;0,"LEFT OUT","NEW")))</f>
        <v/>
      </c>
    </row>
    <row r="1442" spans="47:47" x14ac:dyDescent="0.25">
      <c r="AU1442" s="8" t="str">
        <f>IF(TRIM($G1442)="","",IF(COUNTIF(LISTS!$I$2:$I$16,TRIM($G1442))&gt;0,"COUNTED",IF(COUNTIF(LISTS!$J$2:$J$16,TRIM($G1442))&gt;0,"LEFT OUT","NEW")))</f>
        <v/>
      </c>
    </row>
    <row r="1443" spans="47:47" x14ac:dyDescent="0.25">
      <c r="AU1443" s="8" t="str">
        <f>IF(TRIM($G1443)="","",IF(COUNTIF(LISTS!$I$2:$I$16,TRIM($G1443))&gt;0,"COUNTED",IF(COUNTIF(LISTS!$J$2:$J$16,TRIM($G1443))&gt;0,"LEFT OUT","NEW")))</f>
        <v/>
      </c>
    </row>
    <row r="1444" spans="47:47" x14ac:dyDescent="0.25">
      <c r="AU1444" s="8" t="str">
        <f>IF(TRIM($G1444)="","",IF(COUNTIF(LISTS!$I$2:$I$16,TRIM($G1444))&gt;0,"COUNTED",IF(COUNTIF(LISTS!$J$2:$J$16,TRIM($G1444))&gt;0,"LEFT OUT","NEW")))</f>
        <v/>
      </c>
    </row>
    <row r="1445" spans="47:47" x14ac:dyDescent="0.25">
      <c r="AU1445" s="8" t="str">
        <f>IF(TRIM($G1445)="","",IF(COUNTIF(LISTS!$I$2:$I$16,TRIM($G1445))&gt;0,"COUNTED",IF(COUNTIF(LISTS!$J$2:$J$16,TRIM($G1445))&gt;0,"LEFT OUT","NEW")))</f>
        <v/>
      </c>
    </row>
    <row r="1446" spans="47:47" x14ac:dyDescent="0.25">
      <c r="AU1446" s="8" t="str">
        <f>IF(TRIM($G1446)="","",IF(COUNTIF(LISTS!$I$2:$I$16,TRIM($G1446))&gt;0,"COUNTED",IF(COUNTIF(LISTS!$J$2:$J$16,TRIM($G1446))&gt;0,"LEFT OUT","NEW")))</f>
        <v/>
      </c>
    </row>
    <row r="1447" spans="47:47" x14ac:dyDescent="0.25">
      <c r="AU1447" s="8" t="str">
        <f>IF(TRIM($G1447)="","",IF(COUNTIF(LISTS!$I$2:$I$16,TRIM($G1447))&gt;0,"COUNTED",IF(COUNTIF(LISTS!$J$2:$J$16,TRIM($G1447))&gt;0,"LEFT OUT","NEW")))</f>
        <v/>
      </c>
    </row>
    <row r="1448" spans="47:47" x14ac:dyDescent="0.25">
      <c r="AU1448" s="8" t="str">
        <f>IF(TRIM($G1448)="","",IF(COUNTIF(LISTS!$I$2:$I$16,TRIM($G1448))&gt;0,"COUNTED",IF(COUNTIF(LISTS!$J$2:$J$16,TRIM($G1448))&gt;0,"LEFT OUT","NEW")))</f>
        <v/>
      </c>
    </row>
    <row r="1449" spans="47:47" x14ac:dyDescent="0.25">
      <c r="AU1449" s="8" t="str">
        <f>IF(TRIM($G1449)="","",IF(COUNTIF(LISTS!$I$2:$I$16,TRIM($G1449))&gt;0,"COUNTED",IF(COUNTIF(LISTS!$J$2:$J$16,TRIM($G1449))&gt;0,"LEFT OUT","NEW")))</f>
        <v/>
      </c>
    </row>
    <row r="1450" spans="47:47" x14ac:dyDescent="0.25">
      <c r="AU1450" s="8" t="str">
        <f>IF(TRIM($G1450)="","",IF(COUNTIF(LISTS!$I$2:$I$16,TRIM($G1450))&gt;0,"COUNTED",IF(COUNTIF(LISTS!$J$2:$J$16,TRIM($G1450))&gt;0,"LEFT OUT","NEW")))</f>
        <v/>
      </c>
    </row>
    <row r="1451" spans="47:47" x14ac:dyDescent="0.25">
      <c r="AU1451" s="8" t="str">
        <f>IF(TRIM($G1451)="","",IF(COUNTIF(LISTS!$I$2:$I$16,TRIM($G1451))&gt;0,"COUNTED",IF(COUNTIF(LISTS!$J$2:$J$16,TRIM($G1451))&gt;0,"LEFT OUT","NEW")))</f>
        <v/>
      </c>
    </row>
    <row r="1452" spans="47:47" x14ac:dyDescent="0.25">
      <c r="AU1452" s="8" t="str">
        <f>IF(TRIM($G1452)="","",IF(COUNTIF(LISTS!$I$2:$I$16,TRIM($G1452))&gt;0,"COUNTED",IF(COUNTIF(LISTS!$J$2:$J$16,TRIM($G1452))&gt;0,"LEFT OUT","NEW")))</f>
        <v/>
      </c>
    </row>
    <row r="1453" spans="47:47" x14ac:dyDescent="0.25">
      <c r="AU1453" s="8" t="str">
        <f>IF(TRIM($G1453)="","",IF(COUNTIF(LISTS!$I$2:$I$16,TRIM($G1453))&gt;0,"COUNTED",IF(COUNTIF(LISTS!$J$2:$J$16,TRIM($G1453))&gt;0,"LEFT OUT","NEW")))</f>
        <v/>
      </c>
    </row>
    <row r="1454" spans="47:47" x14ac:dyDescent="0.25">
      <c r="AU1454" s="8" t="str">
        <f>IF(TRIM($G1454)="","",IF(COUNTIF(LISTS!$I$2:$I$16,TRIM($G1454))&gt;0,"COUNTED",IF(COUNTIF(LISTS!$J$2:$J$16,TRIM($G1454))&gt;0,"LEFT OUT","NEW")))</f>
        <v/>
      </c>
    </row>
    <row r="1455" spans="47:47" x14ac:dyDescent="0.25">
      <c r="AU1455" s="8" t="str">
        <f>IF(TRIM($G1455)="","",IF(COUNTIF(LISTS!$I$2:$I$16,TRIM($G1455))&gt;0,"COUNTED",IF(COUNTIF(LISTS!$J$2:$J$16,TRIM($G1455))&gt;0,"LEFT OUT","NEW")))</f>
        <v/>
      </c>
    </row>
    <row r="1456" spans="47:47" x14ac:dyDescent="0.25">
      <c r="AU1456" s="8" t="str">
        <f>IF(TRIM($G1456)="","",IF(COUNTIF(LISTS!$I$2:$I$16,TRIM($G1456))&gt;0,"COUNTED",IF(COUNTIF(LISTS!$J$2:$J$16,TRIM($G1456))&gt;0,"LEFT OUT","NEW")))</f>
        <v/>
      </c>
    </row>
    <row r="1457" spans="47:47" x14ac:dyDescent="0.25">
      <c r="AU1457" s="8" t="str">
        <f>IF(TRIM($G1457)="","",IF(COUNTIF(LISTS!$I$2:$I$16,TRIM($G1457))&gt;0,"COUNTED",IF(COUNTIF(LISTS!$J$2:$J$16,TRIM($G1457))&gt;0,"LEFT OUT","NEW")))</f>
        <v/>
      </c>
    </row>
    <row r="1458" spans="47:47" x14ac:dyDescent="0.25">
      <c r="AU1458" s="8" t="str">
        <f>IF(TRIM($G1458)="","",IF(COUNTIF(LISTS!$I$2:$I$16,TRIM($G1458))&gt;0,"COUNTED",IF(COUNTIF(LISTS!$J$2:$J$16,TRIM($G1458))&gt;0,"LEFT OUT","NEW")))</f>
        <v/>
      </c>
    </row>
    <row r="1459" spans="47:47" x14ac:dyDescent="0.25">
      <c r="AU1459" s="8" t="str">
        <f>IF(TRIM($G1459)="","",IF(COUNTIF(LISTS!$I$2:$I$16,TRIM($G1459))&gt;0,"COUNTED",IF(COUNTIF(LISTS!$J$2:$J$16,TRIM($G1459))&gt;0,"LEFT OUT","NEW")))</f>
        <v/>
      </c>
    </row>
    <row r="1460" spans="47:47" x14ac:dyDescent="0.25">
      <c r="AU1460" s="8" t="str">
        <f>IF(TRIM($G1460)="","",IF(COUNTIF(LISTS!$I$2:$I$16,TRIM($G1460))&gt;0,"COUNTED",IF(COUNTIF(LISTS!$J$2:$J$16,TRIM($G1460))&gt;0,"LEFT OUT","NEW")))</f>
        <v/>
      </c>
    </row>
    <row r="1461" spans="47:47" x14ac:dyDescent="0.25">
      <c r="AU1461" s="8" t="str">
        <f>IF(TRIM($G1461)="","",IF(COUNTIF(LISTS!$I$2:$I$16,TRIM($G1461))&gt;0,"COUNTED",IF(COUNTIF(LISTS!$J$2:$J$16,TRIM($G1461))&gt;0,"LEFT OUT","NEW")))</f>
        <v/>
      </c>
    </row>
    <row r="1462" spans="47:47" x14ac:dyDescent="0.25">
      <c r="AU1462" s="8" t="str">
        <f>IF(TRIM($G1462)="","",IF(COUNTIF(LISTS!$I$2:$I$16,TRIM($G1462))&gt;0,"COUNTED",IF(COUNTIF(LISTS!$J$2:$J$16,TRIM($G1462))&gt;0,"LEFT OUT","NEW")))</f>
        <v/>
      </c>
    </row>
    <row r="1463" spans="47:47" x14ac:dyDescent="0.25">
      <c r="AU1463" s="8" t="str">
        <f>IF(TRIM($G1463)="","",IF(COUNTIF(LISTS!$I$2:$I$16,TRIM($G1463))&gt;0,"COUNTED",IF(COUNTIF(LISTS!$J$2:$J$16,TRIM($G1463))&gt;0,"LEFT OUT","NEW")))</f>
        <v/>
      </c>
    </row>
    <row r="1464" spans="47:47" x14ac:dyDescent="0.25">
      <c r="AU1464" s="8" t="str">
        <f>IF(TRIM($G1464)="","",IF(COUNTIF(LISTS!$I$2:$I$16,TRIM($G1464))&gt;0,"COUNTED",IF(COUNTIF(LISTS!$J$2:$J$16,TRIM($G1464))&gt;0,"LEFT OUT","NEW")))</f>
        <v/>
      </c>
    </row>
    <row r="1465" spans="47:47" x14ac:dyDescent="0.25">
      <c r="AU1465" s="8" t="str">
        <f>IF(TRIM($G1465)="","",IF(COUNTIF(LISTS!$I$2:$I$16,TRIM($G1465))&gt;0,"COUNTED",IF(COUNTIF(LISTS!$J$2:$J$16,TRIM($G1465))&gt;0,"LEFT OUT","NEW")))</f>
        <v/>
      </c>
    </row>
    <row r="1466" spans="47:47" x14ac:dyDescent="0.25">
      <c r="AU1466" s="8" t="str">
        <f>IF(TRIM($G1466)="","",IF(COUNTIF(LISTS!$I$2:$I$16,TRIM($G1466))&gt;0,"COUNTED",IF(COUNTIF(LISTS!$J$2:$J$16,TRIM($G1466))&gt;0,"LEFT OUT","NEW")))</f>
        <v/>
      </c>
    </row>
    <row r="1467" spans="47:47" x14ac:dyDescent="0.25">
      <c r="AU1467" s="8" t="str">
        <f>IF(TRIM($G1467)="","",IF(COUNTIF(LISTS!$I$2:$I$16,TRIM($G1467))&gt;0,"COUNTED",IF(COUNTIF(LISTS!$J$2:$J$16,TRIM($G1467))&gt;0,"LEFT OUT","NEW")))</f>
        <v/>
      </c>
    </row>
    <row r="1468" spans="47:47" x14ac:dyDescent="0.25">
      <c r="AU1468" s="8" t="str">
        <f>IF(TRIM($G1468)="","",IF(COUNTIF(LISTS!$I$2:$I$16,TRIM($G1468))&gt;0,"COUNTED",IF(COUNTIF(LISTS!$J$2:$J$16,TRIM($G1468))&gt;0,"LEFT OUT","NEW")))</f>
        <v/>
      </c>
    </row>
    <row r="1469" spans="47:47" x14ac:dyDescent="0.25">
      <c r="AU1469" s="8" t="str">
        <f>IF(TRIM($G1469)="","",IF(COUNTIF(LISTS!$I$2:$I$16,TRIM($G1469))&gt;0,"COUNTED",IF(COUNTIF(LISTS!$J$2:$J$16,TRIM($G1469))&gt;0,"LEFT OUT","NEW")))</f>
        <v/>
      </c>
    </row>
    <row r="1470" spans="47:47" x14ac:dyDescent="0.25">
      <c r="AU1470" s="8" t="str">
        <f>IF(TRIM($G1470)="","",IF(COUNTIF(LISTS!$I$2:$I$16,TRIM($G1470))&gt;0,"COUNTED",IF(COUNTIF(LISTS!$J$2:$J$16,TRIM($G1470))&gt;0,"LEFT OUT","NEW")))</f>
        <v/>
      </c>
    </row>
    <row r="1471" spans="47:47" x14ac:dyDescent="0.25">
      <c r="AU1471" s="8" t="str">
        <f>IF(TRIM($G1471)="","",IF(COUNTIF(LISTS!$I$2:$I$16,TRIM($G1471))&gt;0,"COUNTED",IF(COUNTIF(LISTS!$J$2:$J$16,TRIM($G1471))&gt;0,"LEFT OUT","NEW")))</f>
        <v/>
      </c>
    </row>
    <row r="1472" spans="47:47" x14ac:dyDescent="0.25">
      <c r="AU1472" s="8" t="str">
        <f>IF(TRIM($G1472)="","",IF(COUNTIF(LISTS!$I$2:$I$16,TRIM($G1472))&gt;0,"COUNTED",IF(COUNTIF(LISTS!$J$2:$J$16,TRIM($G1472))&gt;0,"LEFT OUT","NEW")))</f>
        <v/>
      </c>
    </row>
    <row r="1473" spans="47:47" x14ac:dyDescent="0.25">
      <c r="AU1473" s="8" t="str">
        <f>IF(TRIM($G1473)="","",IF(COUNTIF(LISTS!$I$2:$I$16,TRIM($G1473))&gt;0,"COUNTED",IF(COUNTIF(LISTS!$J$2:$J$16,TRIM($G1473))&gt;0,"LEFT OUT","NEW")))</f>
        <v/>
      </c>
    </row>
    <row r="1474" spans="47:47" x14ac:dyDescent="0.25">
      <c r="AU1474" s="8" t="str">
        <f>IF(TRIM($G1474)="","",IF(COUNTIF(LISTS!$I$2:$I$16,TRIM($G1474))&gt;0,"COUNTED",IF(COUNTIF(LISTS!$J$2:$J$16,TRIM($G1474))&gt;0,"LEFT OUT","NEW")))</f>
        <v/>
      </c>
    </row>
    <row r="1475" spans="47:47" x14ac:dyDescent="0.25">
      <c r="AU1475" s="8" t="str">
        <f>IF(TRIM($G1475)="","",IF(COUNTIF(LISTS!$I$2:$I$16,TRIM($G1475))&gt;0,"COUNTED",IF(COUNTIF(LISTS!$J$2:$J$16,TRIM($G1475))&gt;0,"LEFT OUT","NEW")))</f>
        <v/>
      </c>
    </row>
    <row r="1476" spans="47:47" x14ac:dyDescent="0.25">
      <c r="AU1476" s="8" t="str">
        <f>IF(TRIM($G1476)="","",IF(COUNTIF(LISTS!$I$2:$I$16,TRIM($G1476))&gt;0,"COUNTED",IF(COUNTIF(LISTS!$J$2:$J$16,TRIM($G1476))&gt;0,"LEFT OUT","NEW")))</f>
        <v/>
      </c>
    </row>
    <row r="1477" spans="47:47" x14ac:dyDescent="0.25">
      <c r="AU1477" s="8" t="str">
        <f>IF(TRIM($G1477)="","",IF(COUNTIF(LISTS!$I$2:$I$16,TRIM($G1477))&gt;0,"COUNTED",IF(COUNTIF(LISTS!$J$2:$J$16,TRIM($G1477))&gt;0,"LEFT OUT","NEW")))</f>
        <v/>
      </c>
    </row>
    <row r="1478" spans="47:47" x14ac:dyDescent="0.25">
      <c r="AU1478" s="8" t="str">
        <f>IF(TRIM($G1478)="","",IF(COUNTIF(LISTS!$I$2:$I$16,TRIM($G1478))&gt;0,"COUNTED",IF(COUNTIF(LISTS!$J$2:$J$16,TRIM($G1478))&gt;0,"LEFT OUT","NEW")))</f>
        <v/>
      </c>
    </row>
    <row r="1479" spans="47:47" x14ac:dyDescent="0.25">
      <c r="AU1479" s="8" t="str">
        <f>IF(TRIM($G1479)="","",IF(COUNTIF(LISTS!$I$2:$I$16,TRIM($G1479))&gt;0,"COUNTED",IF(COUNTIF(LISTS!$J$2:$J$16,TRIM($G1479))&gt;0,"LEFT OUT","NEW")))</f>
        <v/>
      </c>
    </row>
    <row r="1480" spans="47:47" x14ac:dyDescent="0.25">
      <c r="AU1480" s="8" t="str">
        <f>IF(TRIM($G1480)="","",IF(COUNTIF(LISTS!$I$2:$I$16,TRIM($G1480))&gt;0,"COUNTED",IF(COUNTIF(LISTS!$J$2:$J$16,TRIM($G1480))&gt;0,"LEFT OUT","NEW")))</f>
        <v/>
      </c>
    </row>
    <row r="1481" spans="47:47" x14ac:dyDescent="0.25">
      <c r="AU1481" s="8" t="str">
        <f>IF(TRIM($G1481)="","",IF(COUNTIF(LISTS!$I$2:$I$16,TRIM($G1481))&gt;0,"COUNTED",IF(COUNTIF(LISTS!$J$2:$J$16,TRIM($G1481))&gt;0,"LEFT OUT","NEW")))</f>
        <v/>
      </c>
    </row>
    <row r="1482" spans="47:47" x14ac:dyDescent="0.25">
      <c r="AU1482" s="8" t="str">
        <f>IF(TRIM($G1482)="","",IF(COUNTIF(LISTS!$I$2:$I$16,TRIM($G1482))&gt;0,"COUNTED",IF(COUNTIF(LISTS!$J$2:$J$16,TRIM($G1482))&gt;0,"LEFT OUT","NEW")))</f>
        <v/>
      </c>
    </row>
    <row r="1483" spans="47:47" x14ac:dyDescent="0.25">
      <c r="AU1483" s="8" t="str">
        <f>IF(TRIM($G1483)="","",IF(COUNTIF(LISTS!$I$2:$I$16,TRIM($G1483))&gt;0,"COUNTED",IF(COUNTIF(LISTS!$J$2:$J$16,TRIM($G1483))&gt;0,"LEFT OUT","NEW")))</f>
        <v/>
      </c>
    </row>
    <row r="1484" spans="47:47" x14ac:dyDescent="0.25">
      <c r="AU1484" s="8" t="str">
        <f>IF(TRIM($G1484)="","",IF(COUNTIF(LISTS!$I$2:$I$16,TRIM($G1484))&gt;0,"COUNTED",IF(COUNTIF(LISTS!$J$2:$J$16,TRIM($G1484))&gt;0,"LEFT OUT","NEW")))</f>
        <v/>
      </c>
    </row>
    <row r="1485" spans="47:47" x14ac:dyDescent="0.25">
      <c r="AU1485" s="8" t="str">
        <f>IF(TRIM($G1485)="","",IF(COUNTIF(LISTS!$I$2:$I$16,TRIM($G1485))&gt;0,"COUNTED",IF(COUNTIF(LISTS!$J$2:$J$16,TRIM($G1485))&gt;0,"LEFT OUT","NEW")))</f>
        <v/>
      </c>
    </row>
    <row r="1486" spans="47:47" x14ac:dyDescent="0.25">
      <c r="AU1486" s="8" t="str">
        <f>IF(TRIM($G1486)="","",IF(COUNTIF(LISTS!$I$2:$I$16,TRIM($G1486))&gt;0,"COUNTED",IF(COUNTIF(LISTS!$J$2:$J$16,TRIM($G1486))&gt;0,"LEFT OUT","NEW")))</f>
        <v/>
      </c>
    </row>
    <row r="1487" spans="47:47" x14ac:dyDescent="0.25">
      <c r="AU1487" s="8" t="str">
        <f>IF(TRIM($G1487)="","",IF(COUNTIF(LISTS!$I$2:$I$16,TRIM($G1487))&gt;0,"COUNTED",IF(COUNTIF(LISTS!$J$2:$J$16,TRIM($G1487))&gt;0,"LEFT OUT","NEW")))</f>
        <v/>
      </c>
    </row>
    <row r="1488" spans="47:47" x14ac:dyDescent="0.25">
      <c r="AU1488" s="8" t="str">
        <f>IF(TRIM($G1488)="","",IF(COUNTIF(LISTS!$I$2:$I$16,TRIM($G1488))&gt;0,"COUNTED",IF(COUNTIF(LISTS!$J$2:$J$16,TRIM($G1488))&gt;0,"LEFT OUT","NEW")))</f>
        <v/>
      </c>
    </row>
    <row r="1489" spans="47:47" x14ac:dyDescent="0.25">
      <c r="AU1489" s="8" t="str">
        <f>IF(TRIM($G1489)="","",IF(COUNTIF(LISTS!$I$2:$I$16,TRIM($G1489))&gt;0,"COUNTED",IF(COUNTIF(LISTS!$J$2:$J$16,TRIM($G1489))&gt;0,"LEFT OUT","NEW")))</f>
        <v/>
      </c>
    </row>
    <row r="1490" spans="47:47" x14ac:dyDescent="0.25">
      <c r="AU1490" s="8" t="str">
        <f>IF(TRIM($G1490)="","",IF(COUNTIF(LISTS!$I$2:$I$16,TRIM($G1490))&gt;0,"COUNTED",IF(COUNTIF(LISTS!$J$2:$J$16,TRIM($G1490))&gt;0,"LEFT OUT","NEW")))</f>
        <v/>
      </c>
    </row>
    <row r="1491" spans="47:47" x14ac:dyDescent="0.25">
      <c r="AU1491" s="8" t="str">
        <f>IF(TRIM($G1491)="","",IF(COUNTIF(LISTS!$I$2:$I$16,TRIM($G1491))&gt;0,"COUNTED",IF(COUNTIF(LISTS!$J$2:$J$16,TRIM($G1491))&gt;0,"LEFT OUT","NEW")))</f>
        <v/>
      </c>
    </row>
    <row r="1492" spans="47:47" x14ac:dyDescent="0.25">
      <c r="AU1492" s="8" t="str">
        <f>IF(TRIM($G1492)="","",IF(COUNTIF(LISTS!$I$2:$I$16,TRIM($G1492))&gt;0,"COUNTED",IF(COUNTIF(LISTS!$J$2:$J$16,TRIM($G1492))&gt;0,"LEFT OUT","NEW")))</f>
        <v/>
      </c>
    </row>
    <row r="1493" spans="47:47" x14ac:dyDescent="0.25">
      <c r="AU1493" s="8" t="str">
        <f>IF(TRIM($G1493)="","",IF(COUNTIF(LISTS!$I$2:$I$16,TRIM($G1493))&gt;0,"COUNTED",IF(COUNTIF(LISTS!$J$2:$J$16,TRIM($G1493))&gt;0,"LEFT OUT","NEW")))</f>
        <v/>
      </c>
    </row>
    <row r="1494" spans="47:47" x14ac:dyDescent="0.25">
      <c r="AU1494" s="8" t="str">
        <f>IF(TRIM($G1494)="","",IF(COUNTIF(LISTS!$I$2:$I$16,TRIM($G1494))&gt;0,"COUNTED",IF(COUNTIF(LISTS!$J$2:$J$16,TRIM($G1494))&gt;0,"LEFT OUT","NEW")))</f>
        <v/>
      </c>
    </row>
    <row r="1495" spans="47:47" x14ac:dyDescent="0.25">
      <c r="AU1495" s="8" t="str">
        <f>IF(TRIM($G1495)="","",IF(COUNTIF(LISTS!$I$2:$I$16,TRIM($G1495))&gt;0,"COUNTED",IF(COUNTIF(LISTS!$J$2:$J$16,TRIM($G1495))&gt;0,"LEFT OUT","NEW")))</f>
        <v/>
      </c>
    </row>
    <row r="1496" spans="47:47" x14ac:dyDescent="0.25">
      <c r="AU1496" s="8" t="str">
        <f>IF(TRIM($G1496)="","",IF(COUNTIF(LISTS!$I$2:$I$16,TRIM($G1496))&gt;0,"COUNTED",IF(COUNTIF(LISTS!$J$2:$J$16,TRIM($G1496))&gt;0,"LEFT OUT","NEW")))</f>
        <v/>
      </c>
    </row>
    <row r="1497" spans="47:47" x14ac:dyDescent="0.25">
      <c r="AU1497" s="8" t="str">
        <f>IF(TRIM($G1497)="","",IF(COUNTIF(LISTS!$I$2:$I$16,TRIM($G1497))&gt;0,"COUNTED",IF(COUNTIF(LISTS!$J$2:$J$16,TRIM($G1497))&gt;0,"LEFT OUT","NEW")))</f>
        <v/>
      </c>
    </row>
    <row r="1498" spans="47:47" x14ac:dyDescent="0.25">
      <c r="AU1498" s="8" t="str">
        <f>IF(TRIM($G1498)="","",IF(COUNTIF(LISTS!$I$2:$I$16,TRIM($G1498))&gt;0,"COUNTED",IF(COUNTIF(LISTS!$J$2:$J$16,TRIM($G1498))&gt;0,"LEFT OUT","NEW")))</f>
        <v/>
      </c>
    </row>
    <row r="1499" spans="47:47" x14ac:dyDescent="0.25">
      <c r="AU1499" s="8" t="str">
        <f>IF(TRIM($G1499)="","",IF(COUNTIF(LISTS!$I$2:$I$16,TRIM($G1499))&gt;0,"COUNTED",IF(COUNTIF(LISTS!$J$2:$J$16,TRIM($G1499))&gt;0,"LEFT OUT","NEW")))</f>
        <v/>
      </c>
    </row>
    <row r="1500" spans="47:47" x14ac:dyDescent="0.25">
      <c r="AU1500" s="8" t="str">
        <f>IF(TRIM($G1500)="","",IF(COUNTIF(LISTS!$I$2:$I$16,TRIM($G1500))&gt;0,"COUNTED",IF(COUNTIF(LISTS!$J$2:$J$16,TRIM($G1500))&gt;0,"LEFT OUT","NEW")))</f>
        <v/>
      </c>
    </row>
    <row r="1501" spans="47:47" x14ac:dyDescent="0.25">
      <c r="AU1501" s="8" t="str">
        <f>IF(TRIM($G1501)="","",IF(COUNTIF(LISTS!$I$2:$I$16,TRIM($G1501))&gt;0,"COUNTED",IF(COUNTIF(LISTS!$J$2:$J$16,TRIM($G1501))&gt;0,"LEFT OUT","NEW")))</f>
        <v/>
      </c>
    </row>
    <row r="1502" spans="47:47" x14ac:dyDescent="0.25">
      <c r="AU1502" s="8" t="str">
        <f>IF(TRIM($G1502)="","",IF(COUNTIF(LISTS!$I$2:$I$16,TRIM($G1502))&gt;0,"COUNTED",IF(COUNTIF(LISTS!$J$2:$J$16,TRIM($G1502))&gt;0,"LEFT OUT","NEW")))</f>
        <v/>
      </c>
    </row>
    <row r="1503" spans="47:47" x14ac:dyDescent="0.25">
      <c r="AU1503" s="8" t="str">
        <f>IF(TRIM($G1503)="","",IF(COUNTIF(LISTS!$I$2:$I$16,TRIM($G1503))&gt;0,"COUNTED",IF(COUNTIF(LISTS!$J$2:$J$16,TRIM($G1503))&gt;0,"LEFT OUT","NEW")))</f>
        <v/>
      </c>
    </row>
    <row r="1504" spans="47:47" x14ac:dyDescent="0.25">
      <c r="AU1504" s="8" t="str">
        <f>IF(TRIM($G1504)="","",IF(COUNTIF(LISTS!$I$2:$I$16,TRIM($G1504))&gt;0,"COUNTED",IF(COUNTIF(LISTS!$J$2:$J$16,TRIM($G1504))&gt;0,"LEFT OUT","NEW")))</f>
        <v/>
      </c>
    </row>
    <row r="1505" spans="47:47" x14ac:dyDescent="0.25">
      <c r="AU1505" s="8" t="str">
        <f>IF(TRIM($G1505)="","",IF(COUNTIF(LISTS!$I$2:$I$16,TRIM($G1505))&gt;0,"COUNTED",IF(COUNTIF(LISTS!$J$2:$J$16,TRIM($G1505))&gt;0,"LEFT OUT","NEW")))</f>
        <v/>
      </c>
    </row>
    <row r="1506" spans="47:47" x14ac:dyDescent="0.25">
      <c r="AU1506" s="8" t="str">
        <f>IF(TRIM($G1506)="","",IF(COUNTIF(LISTS!$I$2:$I$16,TRIM($G1506))&gt;0,"COUNTED",IF(COUNTIF(LISTS!$J$2:$J$16,TRIM($G1506))&gt;0,"LEFT OUT","NEW")))</f>
        <v/>
      </c>
    </row>
    <row r="1507" spans="47:47" x14ac:dyDescent="0.25">
      <c r="AU1507" s="8" t="str">
        <f>IF(TRIM($G1507)="","",IF(COUNTIF(LISTS!$I$2:$I$16,TRIM($G1507))&gt;0,"COUNTED",IF(COUNTIF(LISTS!$J$2:$J$16,TRIM($G1507))&gt;0,"LEFT OUT","NEW")))</f>
        <v/>
      </c>
    </row>
    <row r="1508" spans="47:47" x14ac:dyDescent="0.25">
      <c r="AU1508" s="8" t="str">
        <f>IF(TRIM($G1508)="","",IF(COUNTIF(LISTS!$I$2:$I$16,TRIM($G1508))&gt;0,"COUNTED",IF(COUNTIF(LISTS!$J$2:$J$16,TRIM($G1508))&gt;0,"LEFT OUT","NEW")))</f>
        <v/>
      </c>
    </row>
    <row r="1509" spans="47:47" x14ac:dyDescent="0.25">
      <c r="AU1509" s="8" t="str">
        <f>IF(TRIM($G1509)="","",IF(COUNTIF(LISTS!$I$2:$I$16,TRIM($G1509))&gt;0,"COUNTED",IF(COUNTIF(LISTS!$J$2:$J$16,TRIM($G1509))&gt;0,"LEFT OUT","NEW")))</f>
        <v/>
      </c>
    </row>
    <row r="1510" spans="47:47" x14ac:dyDescent="0.25">
      <c r="AU1510" s="8" t="str">
        <f>IF(TRIM($G1510)="","",IF(COUNTIF(LISTS!$I$2:$I$16,TRIM($G1510))&gt;0,"COUNTED",IF(COUNTIF(LISTS!$J$2:$J$16,TRIM($G1510))&gt;0,"LEFT OUT","NEW")))</f>
        <v/>
      </c>
    </row>
    <row r="1511" spans="47:47" x14ac:dyDescent="0.25">
      <c r="AU1511" s="8" t="str">
        <f>IF(TRIM($G1511)="","",IF(COUNTIF(LISTS!$I$2:$I$16,TRIM($G1511))&gt;0,"COUNTED",IF(COUNTIF(LISTS!$J$2:$J$16,TRIM($G1511))&gt;0,"LEFT OUT","NEW")))</f>
        <v/>
      </c>
    </row>
    <row r="1512" spans="47:47" x14ac:dyDescent="0.25">
      <c r="AU1512" s="8" t="str">
        <f>IF(TRIM($G1512)="","",IF(COUNTIF(LISTS!$I$2:$I$16,TRIM($G1512))&gt;0,"COUNTED",IF(COUNTIF(LISTS!$J$2:$J$16,TRIM($G1512))&gt;0,"LEFT OUT","NEW")))</f>
        <v/>
      </c>
    </row>
    <row r="1513" spans="47:47" x14ac:dyDescent="0.25">
      <c r="AU1513" s="8" t="str">
        <f>IF(TRIM($G1513)="","",IF(COUNTIF(LISTS!$I$2:$I$16,TRIM($G1513))&gt;0,"COUNTED",IF(COUNTIF(LISTS!$J$2:$J$16,TRIM($G1513))&gt;0,"LEFT OUT","NEW")))</f>
        <v/>
      </c>
    </row>
    <row r="1514" spans="47:47" x14ac:dyDescent="0.25">
      <c r="AU1514" s="8" t="str">
        <f>IF(TRIM($G1514)="","",IF(COUNTIF(LISTS!$I$2:$I$16,TRIM($G1514))&gt;0,"COUNTED",IF(COUNTIF(LISTS!$J$2:$J$16,TRIM($G1514))&gt;0,"LEFT OUT","NEW")))</f>
        <v/>
      </c>
    </row>
    <row r="1515" spans="47:47" x14ac:dyDescent="0.25">
      <c r="AU1515" s="8" t="str">
        <f>IF(TRIM($G1515)="","",IF(COUNTIF(LISTS!$I$2:$I$16,TRIM($G1515))&gt;0,"COUNTED",IF(COUNTIF(LISTS!$J$2:$J$16,TRIM($G1515))&gt;0,"LEFT OUT","NEW")))</f>
        <v/>
      </c>
    </row>
    <row r="1516" spans="47:47" x14ac:dyDescent="0.25">
      <c r="AU1516" s="8" t="str">
        <f>IF(TRIM($G1516)="","",IF(COUNTIF(LISTS!$I$2:$I$16,TRIM($G1516))&gt;0,"COUNTED",IF(COUNTIF(LISTS!$J$2:$J$16,TRIM($G1516))&gt;0,"LEFT OUT","NEW")))</f>
        <v/>
      </c>
    </row>
    <row r="1517" spans="47:47" x14ac:dyDescent="0.25">
      <c r="AU1517" s="8" t="str">
        <f>IF(TRIM($G1517)="","",IF(COUNTIF(LISTS!$I$2:$I$16,TRIM($G1517))&gt;0,"COUNTED",IF(COUNTIF(LISTS!$J$2:$J$16,TRIM($G1517))&gt;0,"LEFT OUT","NEW")))</f>
        <v/>
      </c>
    </row>
    <row r="1518" spans="47:47" x14ac:dyDescent="0.25">
      <c r="AU1518" s="8" t="str">
        <f>IF(TRIM($G1518)="","",IF(COUNTIF(LISTS!$I$2:$I$16,TRIM($G1518))&gt;0,"COUNTED",IF(COUNTIF(LISTS!$J$2:$J$16,TRIM($G1518))&gt;0,"LEFT OUT","NEW")))</f>
        <v/>
      </c>
    </row>
    <row r="1519" spans="47:47" x14ac:dyDescent="0.25">
      <c r="AU1519" s="8" t="str">
        <f>IF(TRIM($G1519)="","",IF(COUNTIF(LISTS!$I$2:$I$16,TRIM($G1519))&gt;0,"COUNTED",IF(COUNTIF(LISTS!$J$2:$J$16,TRIM($G1519))&gt;0,"LEFT OUT","NEW")))</f>
        <v/>
      </c>
    </row>
    <row r="1520" spans="47:47" x14ac:dyDescent="0.25">
      <c r="AU1520" s="8" t="str">
        <f>IF(TRIM($G1520)="","",IF(COUNTIF(LISTS!$I$2:$I$16,TRIM($G1520))&gt;0,"COUNTED",IF(COUNTIF(LISTS!$J$2:$J$16,TRIM($G1520))&gt;0,"LEFT OUT","NEW")))</f>
        <v/>
      </c>
    </row>
    <row r="1521" spans="47:47" x14ac:dyDescent="0.25">
      <c r="AU1521" s="8" t="str">
        <f>IF(TRIM($G1521)="","",IF(COUNTIF(LISTS!$I$2:$I$16,TRIM($G1521))&gt;0,"COUNTED",IF(COUNTIF(LISTS!$J$2:$J$16,TRIM($G1521))&gt;0,"LEFT OUT","NEW")))</f>
        <v/>
      </c>
    </row>
    <row r="1522" spans="47:47" x14ac:dyDescent="0.25">
      <c r="AU1522" s="8" t="str">
        <f>IF(TRIM($G1522)="","",IF(COUNTIF(LISTS!$I$2:$I$16,TRIM($G1522))&gt;0,"COUNTED",IF(COUNTIF(LISTS!$J$2:$J$16,TRIM($G1522))&gt;0,"LEFT OUT","NEW")))</f>
        <v/>
      </c>
    </row>
    <row r="1523" spans="47:47" x14ac:dyDescent="0.25">
      <c r="AU1523" s="8" t="str">
        <f>IF(TRIM($G1523)="","",IF(COUNTIF(LISTS!$I$2:$I$16,TRIM($G1523))&gt;0,"COUNTED",IF(COUNTIF(LISTS!$J$2:$J$16,TRIM($G1523))&gt;0,"LEFT OUT","NEW")))</f>
        <v/>
      </c>
    </row>
    <row r="1524" spans="47:47" x14ac:dyDescent="0.25">
      <c r="AU1524" s="8" t="str">
        <f>IF(TRIM($G1524)="","",IF(COUNTIF(LISTS!$I$2:$I$16,TRIM($G1524))&gt;0,"COUNTED",IF(COUNTIF(LISTS!$J$2:$J$16,TRIM($G1524))&gt;0,"LEFT OUT","NEW")))</f>
        <v/>
      </c>
    </row>
    <row r="1525" spans="47:47" x14ac:dyDescent="0.25">
      <c r="AU1525" s="8" t="str">
        <f>IF(TRIM($G1525)="","",IF(COUNTIF(LISTS!$I$2:$I$16,TRIM($G1525))&gt;0,"COUNTED",IF(COUNTIF(LISTS!$J$2:$J$16,TRIM($G1525))&gt;0,"LEFT OUT","NEW")))</f>
        <v/>
      </c>
    </row>
    <row r="1526" spans="47:47" x14ac:dyDescent="0.25">
      <c r="AU1526" s="8" t="str">
        <f>IF(TRIM($G1526)="","",IF(COUNTIF(LISTS!$I$2:$I$16,TRIM($G1526))&gt;0,"COUNTED",IF(COUNTIF(LISTS!$J$2:$J$16,TRIM($G1526))&gt;0,"LEFT OUT","NEW")))</f>
        <v/>
      </c>
    </row>
    <row r="1527" spans="47:47" x14ac:dyDescent="0.25">
      <c r="AU1527" s="8" t="str">
        <f>IF(TRIM($G1527)="","",IF(COUNTIF(LISTS!$I$2:$I$16,TRIM($G1527))&gt;0,"COUNTED",IF(COUNTIF(LISTS!$J$2:$J$16,TRIM($G1527))&gt;0,"LEFT OUT","NEW")))</f>
        <v/>
      </c>
    </row>
    <row r="1528" spans="47:47" x14ac:dyDescent="0.25">
      <c r="AU1528" s="8" t="str">
        <f>IF(TRIM($G1528)="","",IF(COUNTIF(LISTS!$I$2:$I$16,TRIM($G1528))&gt;0,"COUNTED",IF(COUNTIF(LISTS!$J$2:$J$16,TRIM($G1528))&gt;0,"LEFT OUT","NEW")))</f>
        <v/>
      </c>
    </row>
    <row r="1529" spans="47:47" x14ac:dyDescent="0.25">
      <c r="AU1529" s="8" t="str">
        <f>IF(TRIM($G1529)="","",IF(COUNTIF(LISTS!$I$2:$I$16,TRIM($G1529))&gt;0,"COUNTED",IF(COUNTIF(LISTS!$J$2:$J$16,TRIM($G1529))&gt;0,"LEFT OUT","NEW")))</f>
        <v/>
      </c>
    </row>
    <row r="1530" spans="47:47" x14ac:dyDescent="0.25">
      <c r="AU1530" s="8" t="str">
        <f>IF(TRIM($G1530)="","",IF(COUNTIF(LISTS!$I$2:$I$16,TRIM($G1530))&gt;0,"COUNTED",IF(COUNTIF(LISTS!$J$2:$J$16,TRIM($G1530))&gt;0,"LEFT OUT","NEW")))</f>
        <v/>
      </c>
    </row>
    <row r="1531" spans="47:47" x14ac:dyDescent="0.25">
      <c r="AU1531" s="8" t="str">
        <f>IF(TRIM($G1531)="","",IF(COUNTIF(LISTS!$I$2:$I$16,TRIM($G1531))&gt;0,"COUNTED",IF(COUNTIF(LISTS!$J$2:$J$16,TRIM($G1531))&gt;0,"LEFT OUT","NEW")))</f>
        <v/>
      </c>
    </row>
    <row r="1532" spans="47:47" x14ac:dyDescent="0.25">
      <c r="AU1532" s="8" t="str">
        <f>IF(TRIM($G1532)="","",IF(COUNTIF(LISTS!$I$2:$I$16,TRIM($G1532))&gt;0,"COUNTED",IF(COUNTIF(LISTS!$J$2:$J$16,TRIM($G1532))&gt;0,"LEFT OUT","NEW")))</f>
        <v/>
      </c>
    </row>
    <row r="1533" spans="47:47" x14ac:dyDescent="0.25">
      <c r="AU1533" s="8" t="str">
        <f>IF(TRIM($G1533)="","",IF(COUNTIF(LISTS!$I$2:$I$16,TRIM($G1533))&gt;0,"COUNTED",IF(COUNTIF(LISTS!$J$2:$J$16,TRIM($G1533))&gt;0,"LEFT OUT","NEW")))</f>
        <v/>
      </c>
    </row>
    <row r="1534" spans="47:47" x14ac:dyDescent="0.25">
      <c r="AU1534" s="8" t="str">
        <f>IF(TRIM($G1534)="","",IF(COUNTIF(LISTS!$I$2:$I$16,TRIM($G1534))&gt;0,"COUNTED",IF(COUNTIF(LISTS!$J$2:$J$16,TRIM($G1534))&gt;0,"LEFT OUT","NEW")))</f>
        <v/>
      </c>
    </row>
    <row r="1535" spans="47:47" x14ac:dyDescent="0.25">
      <c r="AU1535" s="8" t="str">
        <f>IF(TRIM($G1535)="","",IF(COUNTIF(LISTS!$I$2:$I$16,TRIM($G1535))&gt;0,"COUNTED",IF(COUNTIF(LISTS!$J$2:$J$16,TRIM($G1535))&gt;0,"LEFT OUT","NEW")))</f>
        <v/>
      </c>
    </row>
    <row r="1536" spans="47:47" x14ac:dyDescent="0.25">
      <c r="AU1536" s="8" t="str">
        <f>IF(TRIM($G1536)="","",IF(COUNTIF(LISTS!$I$2:$I$16,TRIM($G1536))&gt;0,"COUNTED",IF(COUNTIF(LISTS!$J$2:$J$16,TRIM($G1536))&gt;0,"LEFT OUT","NEW")))</f>
        <v/>
      </c>
    </row>
    <row r="1537" spans="47:47" x14ac:dyDescent="0.25">
      <c r="AU1537" s="8" t="str">
        <f>IF(TRIM($G1537)="","",IF(COUNTIF(LISTS!$I$2:$I$16,TRIM($G1537))&gt;0,"COUNTED",IF(COUNTIF(LISTS!$J$2:$J$16,TRIM($G1537))&gt;0,"LEFT OUT","NEW")))</f>
        <v/>
      </c>
    </row>
    <row r="1538" spans="47:47" x14ac:dyDescent="0.25">
      <c r="AU1538" s="8" t="str">
        <f>IF(TRIM($G1538)="","",IF(COUNTIF(LISTS!$I$2:$I$16,TRIM($G1538))&gt;0,"COUNTED",IF(COUNTIF(LISTS!$J$2:$J$16,TRIM($G1538))&gt;0,"LEFT OUT","NEW")))</f>
        <v/>
      </c>
    </row>
    <row r="1539" spans="47:47" x14ac:dyDescent="0.25">
      <c r="AU1539" s="8" t="str">
        <f>IF(TRIM($G1539)="","",IF(COUNTIF(LISTS!$I$2:$I$16,TRIM($G1539))&gt;0,"COUNTED",IF(COUNTIF(LISTS!$J$2:$J$16,TRIM($G1539))&gt;0,"LEFT OUT","NEW")))</f>
        <v/>
      </c>
    </row>
    <row r="1540" spans="47:47" x14ac:dyDescent="0.25">
      <c r="AU1540" s="8" t="str">
        <f>IF(TRIM($G1540)="","",IF(COUNTIF(LISTS!$I$2:$I$16,TRIM($G1540))&gt;0,"COUNTED",IF(COUNTIF(LISTS!$J$2:$J$16,TRIM($G1540))&gt;0,"LEFT OUT","NEW")))</f>
        <v/>
      </c>
    </row>
    <row r="1541" spans="47:47" x14ac:dyDescent="0.25">
      <c r="AU1541" s="8" t="str">
        <f>IF(TRIM($G1541)="","",IF(COUNTIF(LISTS!$I$2:$I$16,TRIM($G1541))&gt;0,"COUNTED",IF(COUNTIF(LISTS!$J$2:$J$16,TRIM($G1541))&gt;0,"LEFT OUT","NEW")))</f>
        <v/>
      </c>
    </row>
    <row r="1542" spans="47:47" x14ac:dyDescent="0.25">
      <c r="AU1542" s="8" t="str">
        <f>IF(TRIM($G1542)="","",IF(COUNTIF(LISTS!$I$2:$I$16,TRIM($G1542))&gt;0,"COUNTED",IF(COUNTIF(LISTS!$J$2:$J$16,TRIM($G1542))&gt;0,"LEFT OUT","NEW")))</f>
        <v/>
      </c>
    </row>
    <row r="1543" spans="47:47" x14ac:dyDescent="0.25">
      <c r="AU1543" s="8" t="str">
        <f>IF(TRIM($G1543)="","",IF(COUNTIF(LISTS!$I$2:$I$16,TRIM($G1543))&gt;0,"COUNTED",IF(COUNTIF(LISTS!$J$2:$J$16,TRIM($G1543))&gt;0,"LEFT OUT","NEW")))</f>
        <v/>
      </c>
    </row>
    <row r="1544" spans="47:47" x14ac:dyDescent="0.25">
      <c r="AU1544" s="8" t="str">
        <f>IF(TRIM($G1544)="","",IF(COUNTIF(LISTS!$I$2:$I$16,TRIM($G1544))&gt;0,"COUNTED",IF(COUNTIF(LISTS!$J$2:$J$16,TRIM($G1544))&gt;0,"LEFT OUT","NEW")))</f>
        <v/>
      </c>
    </row>
    <row r="1545" spans="47:47" x14ac:dyDescent="0.25">
      <c r="AU1545" s="8" t="str">
        <f>IF(TRIM($G1545)="","",IF(COUNTIF(LISTS!$I$2:$I$16,TRIM($G1545))&gt;0,"COUNTED",IF(COUNTIF(LISTS!$J$2:$J$16,TRIM($G1545))&gt;0,"LEFT OUT","NEW")))</f>
        <v/>
      </c>
    </row>
    <row r="1546" spans="47:47" x14ac:dyDescent="0.25">
      <c r="AU1546" s="8" t="str">
        <f>IF(TRIM($G1546)="","",IF(COUNTIF(LISTS!$I$2:$I$16,TRIM($G1546))&gt;0,"COUNTED",IF(COUNTIF(LISTS!$J$2:$J$16,TRIM($G1546))&gt;0,"LEFT OUT","NEW")))</f>
        <v/>
      </c>
    </row>
    <row r="1547" spans="47:47" x14ac:dyDescent="0.25">
      <c r="AU1547" s="8" t="str">
        <f>IF(TRIM($G1547)="","",IF(COUNTIF(LISTS!$I$2:$I$16,TRIM($G1547))&gt;0,"COUNTED",IF(COUNTIF(LISTS!$J$2:$J$16,TRIM($G1547))&gt;0,"LEFT OUT","NEW")))</f>
        <v/>
      </c>
    </row>
    <row r="1548" spans="47:47" x14ac:dyDescent="0.25">
      <c r="AU1548" s="8" t="str">
        <f>IF(TRIM($G1548)="","",IF(COUNTIF(LISTS!$I$2:$I$16,TRIM($G1548))&gt;0,"COUNTED",IF(COUNTIF(LISTS!$J$2:$J$16,TRIM($G1548))&gt;0,"LEFT OUT","NEW")))</f>
        <v/>
      </c>
    </row>
    <row r="1549" spans="47:47" x14ac:dyDescent="0.25">
      <c r="AU1549" s="8" t="str">
        <f>IF(TRIM($G1549)="","",IF(COUNTIF(LISTS!$I$2:$I$16,TRIM($G1549))&gt;0,"COUNTED",IF(COUNTIF(LISTS!$J$2:$J$16,TRIM($G1549))&gt;0,"LEFT OUT","NEW")))</f>
        <v/>
      </c>
    </row>
    <row r="1550" spans="47:47" x14ac:dyDescent="0.25">
      <c r="AU1550" s="8" t="str">
        <f>IF(TRIM($G1550)="","",IF(COUNTIF(LISTS!$I$2:$I$16,TRIM($G1550))&gt;0,"COUNTED",IF(COUNTIF(LISTS!$J$2:$J$16,TRIM($G1550))&gt;0,"LEFT OUT","NEW")))</f>
        <v/>
      </c>
    </row>
    <row r="1551" spans="47:47" x14ac:dyDescent="0.25">
      <c r="AU1551" s="8" t="str">
        <f>IF(TRIM($G1551)="","",IF(COUNTIF(LISTS!$I$2:$I$16,TRIM($G1551))&gt;0,"COUNTED",IF(COUNTIF(LISTS!$J$2:$J$16,TRIM($G1551))&gt;0,"LEFT OUT","NEW")))</f>
        <v/>
      </c>
    </row>
    <row r="1552" spans="47:47" x14ac:dyDescent="0.25">
      <c r="AU1552" s="8" t="str">
        <f>IF(TRIM($G1552)="","",IF(COUNTIF(LISTS!$I$2:$I$16,TRIM($G1552))&gt;0,"COUNTED",IF(COUNTIF(LISTS!$J$2:$J$16,TRIM($G1552))&gt;0,"LEFT OUT","NEW")))</f>
        <v/>
      </c>
    </row>
    <row r="1553" spans="47:47" x14ac:dyDescent="0.25">
      <c r="AU1553" s="8" t="str">
        <f>IF(TRIM($G1553)="","",IF(COUNTIF(LISTS!$I$2:$I$16,TRIM($G1553))&gt;0,"COUNTED",IF(COUNTIF(LISTS!$J$2:$J$16,TRIM($G1553))&gt;0,"LEFT OUT","NEW")))</f>
        <v/>
      </c>
    </row>
    <row r="1554" spans="47:47" x14ac:dyDescent="0.25">
      <c r="AU1554" s="8" t="str">
        <f>IF(TRIM($G1554)="","",IF(COUNTIF(LISTS!$I$2:$I$16,TRIM($G1554))&gt;0,"COUNTED",IF(COUNTIF(LISTS!$J$2:$J$16,TRIM($G1554))&gt;0,"LEFT OUT","NEW")))</f>
        <v/>
      </c>
    </row>
    <row r="1555" spans="47:47" x14ac:dyDescent="0.25">
      <c r="AU1555" s="8" t="str">
        <f>IF(TRIM($G1555)="","",IF(COUNTIF(LISTS!$I$2:$I$16,TRIM($G1555))&gt;0,"COUNTED",IF(COUNTIF(LISTS!$J$2:$J$16,TRIM($G1555))&gt;0,"LEFT OUT","NEW")))</f>
        <v/>
      </c>
    </row>
    <row r="1556" spans="47:47" x14ac:dyDescent="0.25">
      <c r="AU1556" s="8" t="str">
        <f>IF(TRIM($G1556)="","",IF(COUNTIF(LISTS!$I$2:$I$16,TRIM($G1556))&gt;0,"COUNTED",IF(COUNTIF(LISTS!$J$2:$J$16,TRIM($G1556))&gt;0,"LEFT OUT","NEW")))</f>
        <v/>
      </c>
    </row>
    <row r="1557" spans="47:47" x14ac:dyDescent="0.25">
      <c r="AU1557" s="8" t="str">
        <f>IF(TRIM($G1557)="","",IF(COUNTIF(LISTS!$I$2:$I$16,TRIM($G1557))&gt;0,"COUNTED",IF(COUNTIF(LISTS!$J$2:$J$16,TRIM($G1557))&gt;0,"LEFT OUT","NEW")))</f>
        <v/>
      </c>
    </row>
    <row r="1558" spans="47:47" x14ac:dyDescent="0.25">
      <c r="AU1558" s="8" t="str">
        <f>IF(TRIM($G1558)="","",IF(COUNTIF(LISTS!$I$2:$I$16,TRIM($G1558))&gt;0,"COUNTED",IF(COUNTIF(LISTS!$J$2:$J$16,TRIM($G1558))&gt;0,"LEFT OUT","NEW")))</f>
        <v/>
      </c>
    </row>
    <row r="1559" spans="47:47" x14ac:dyDescent="0.25">
      <c r="AU1559" s="8" t="str">
        <f>IF(TRIM($G1559)="","",IF(COUNTIF(LISTS!$I$2:$I$16,TRIM($G1559))&gt;0,"COUNTED",IF(COUNTIF(LISTS!$J$2:$J$16,TRIM($G1559))&gt;0,"LEFT OUT","NEW")))</f>
        <v/>
      </c>
    </row>
    <row r="1560" spans="47:47" x14ac:dyDescent="0.25">
      <c r="AU1560" s="8" t="str">
        <f>IF(TRIM($G1560)="","",IF(COUNTIF(LISTS!$I$2:$I$16,TRIM($G1560))&gt;0,"COUNTED",IF(COUNTIF(LISTS!$J$2:$J$16,TRIM($G1560))&gt;0,"LEFT OUT","NEW")))</f>
        <v/>
      </c>
    </row>
    <row r="1561" spans="47:47" x14ac:dyDescent="0.25">
      <c r="AU1561" s="8" t="str">
        <f>IF(TRIM($G1561)="","",IF(COUNTIF(LISTS!$I$2:$I$16,TRIM($G1561))&gt;0,"COUNTED",IF(COUNTIF(LISTS!$J$2:$J$16,TRIM($G1561))&gt;0,"LEFT OUT","NEW")))</f>
        <v/>
      </c>
    </row>
    <row r="1562" spans="47:47" x14ac:dyDescent="0.25">
      <c r="AU1562" s="8" t="str">
        <f>IF(TRIM($G1562)="","",IF(COUNTIF(LISTS!$I$2:$I$16,TRIM($G1562))&gt;0,"COUNTED",IF(COUNTIF(LISTS!$J$2:$J$16,TRIM($G1562))&gt;0,"LEFT OUT","NEW")))</f>
        <v/>
      </c>
    </row>
    <row r="1563" spans="47:47" x14ac:dyDescent="0.25">
      <c r="AU1563" s="8" t="str">
        <f>IF(TRIM($G1563)="","",IF(COUNTIF(LISTS!$I$2:$I$16,TRIM($G1563))&gt;0,"COUNTED",IF(COUNTIF(LISTS!$J$2:$J$16,TRIM($G1563))&gt;0,"LEFT OUT","NEW")))</f>
        <v/>
      </c>
    </row>
    <row r="1564" spans="47:47" x14ac:dyDescent="0.25">
      <c r="AU1564" s="8" t="str">
        <f>IF(TRIM($G1564)="","",IF(COUNTIF(LISTS!$I$2:$I$16,TRIM($G1564))&gt;0,"COUNTED",IF(COUNTIF(LISTS!$J$2:$J$16,TRIM($G1564))&gt;0,"LEFT OUT","NEW")))</f>
        <v/>
      </c>
    </row>
    <row r="1565" spans="47:47" x14ac:dyDescent="0.25">
      <c r="AU1565" s="8" t="str">
        <f>IF(TRIM($G1565)="","",IF(COUNTIF(LISTS!$I$2:$I$16,TRIM($G1565))&gt;0,"COUNTED",IF(COUNTIF(LISTS!$J$2:$J$16,TRIM($G1565))&gt;0,"LEFT OUT","NEW")))</f>
        <v/>
      </c>
    </row>
    <row r="1566" spans="47:47" x14ac:dyDescent="0.25">
      <c r="AU1566" s="8" t="str">
        <f>IF(TRIM($G1566)="","",IF(COUNTIF(LISTS!$I$2:$I$16,TRIM($G1566))&gt;0,"COUNTED",IF(COUNTIF(LISTS!$J$2:$J$16,TRIM($G1566))&gt;0,"LEFT OUT","NEW")))</f>
        <v/>
      </c>
    </row>
    <row r="1567" spans="47:47" x14ac:dyDescent="0.25">
      <c r="AU1567" s="8" t="str">
        <f>IF(TRIM($G1567)="","",IF(COUNTIF(LISTS!$I$2:$I$16,TRIM($G1567))&gt;0,"COUNTED",IF(COUNTIF(LISTS!$J$2:$J$16,TRIM($G1567))&gt;0,"LEFT OUT","NEW")))</f>
        <v/>
      </c>
    </row>
    <row r="1568" spans="47:47" x14ac:dyDescent="0.25">
      <c r="AU1568" s="8" t="str">
        <f>IF(TRIM($G1568)="","",IF(COUNTIF(LISTS!$I$2:$I$16,TRIM($G1568))&gt;0,"COUNTED",IF(COUNTIF(LISTS!$J$2:$J$16,TRIM($G1568))&gt;0,"LEFT OUT","NEW")))</f>
        <v/>
      </c>
    </row>
    <row r="1569" spans="47:47" x14ac:dyDescent="0.25">
      <c r="AU1569" s="8" t="str">
        <f>IF(TRIM($G1569)="","",IF(COUNTIF(LISTS!$I$2:$I$16,TRIM($G1569))&gt;0,"COUNTED",IF(COUNTIF(LISTS!$J$2:$J$16,TRIM($G1569))&gt;0,"LEFT OUT","NEW")))</f>
        <v/>
      </c>
    </row>
    <row r="1570" spans="47:47" x14ac:dyDescent="0.25">
      <c r="AU1570" s="8" t="str">
        <f>IF(TRIM($G1570)="","",IF(COUNTIF(LISTS!$I$2:$I$16,TRIM($G1570))&gt;0,"COUNTED",IF(COUNTIF(LISTS!$J$2:$J$16,TRIM($G1570))&gt;0,"LEFT OUT","NEW")))</f>
        <v/>
      </c>
    </row>
    <row r="1571" spans="47:47" x14ac:dyDescent="0.25">
      <c r="AU1571" s="8" t="str">
        <f>IF(TRIM($G1571)="","",IF(COUNTIF(LISTS!$I$2:$I$16,TRIM($G1571))&gt;0,"COUNTED",IF(COUNTIF(LISTS!$J$2:$J$16,TRIM($G1571))&gt;0,"LEFT OUT","NEW")))</f>
        <v/>
      </c>
    </row>
    <row r="1572" spans="47:47" x14ac:dyDescent="0.25">
      <c r="AU1572" s="8" t="str">
        <f>IF(TRIM($G1572)="","",IF(COUNTIF(LISTS!$I$2:$I$16,TRIM($G1572))&gt;0,"COUNTED",IF(COUNTIF(LISTS!$J$2:$J$16,TRIM($G1572))&gt;0,"LEFT OUT","NEW")))</f>
        <v/>
      </c>
    </row>
    <row r="1573" spans="47:47" x14ac:dyDescent="0.25">
      <c r="AU1573" s="8" t="str">
        <f>IF(TRIM($G1573)="","",IF(COUNTIF(LISTS!$I$2:$I$16,TRIM($G1573))&gt;0,"COUNTED",IF(COUNTIF(LISTS!$J$2:$J$16,TRIM($G1573))&gt;0,"LEFT OUT","NEW")))</f>
        <v/>
      </c>
    </row>
    <row r="1574" spans="47:47" x14ac:dyDescent="0.25">
      <c r="AU1574" s="8" t="str">
        <f>IF(TRIM($G1574)="","",IF(COUNTIF(LISTS!$I$2:$I$16,TRIM($G1574))&gt;0,"COUNTED",IF(COUNTIF(LISTS!$J$2:$J$16,TRIM($G1574))&gt;0,"LEFT OUT","NEW")))</f>
        <v/>
      </c>
    </row>
    <row r="1575" spans="47:47" x14ac:dyDescent="0.25">
      <c r="AU1575" s="8" t="str">
        <f>IF(TRIM($G1575)="","",IF(COUNTIF(LISTS!$I$2:$I$16,TRIM($G1575))&gt;0,"COUNTED",IF(COUNTIF(LISTS!$J$2:$J$16,TRIM($G1575))&gt;0,"LEFT OUT","NEW")))</f>
        <v/>
      </c>
    </row>
    <row r="1576" spans="47:47" x14ac:dyDescent="0.25">
      <c r="AU1576" s="8" t="str">
        <f>IF(TRIM($G1576)="","",IF(COUNTIF(LISTS!$I$2:$I$16,TRIM($G1576))&gt;0,"COUNTED",IF(COUNTIF(LISTS!$J$2:$J$16,TRIM($G1576))&gt;0,"LEFT OUT","NEW")))</f>
        <v/>
      </c>
    </row>
    <row r="1577" spans="47:47" x14ac:dyDescent="0.25">
      <c r="AU1577" s="8" t="str">
        <f>IF(TRIM($G1577)="","",IF(COUNTIF(LISTS!$I$2:$I$16,TRIM($G1577))&gt;0,"COUNTED",IF(COUNTIF(LISTS!$J$2:$J$16,TRIM($G1577))&gt;0,"LEFT OUT","NEW")))</f>
        <v/>
      </c>
    </row>
    <row r="1578" spans="47:47" x14ac:dyDescent="0.25">
      <c r="AU1578" s="8" t="str">
        <f>IF(TRIM($G1578)="","",IF(COUNTIF(LISTS!$I$2:$I$16,TRIM($G1578))&gt;0,"COUNTED",IF(COUNTIF(LISTS!$J$2:$J$16,TRIM($G1578))&gt;0,"LEFT OUT","NEW")))</f>
        <v/>
      </c>
    </row>
    <row r="1579" spans="47:47" x14ac:dyDescent="0.25">
      <c r="AU1579" s="8" t="str">
        <f>IF(TRIM($G1579)="","",IF(COUNTIF(LISTS!$I$2:$I$16,TRIM($G1579))&gt;0,"COUNTED",IF(COUNTIF(LISTS!$J$2:$J$16,TRIM($G1579))&gt;0,"LEFT OUT","NEW")))</f>
        <v/>
      </c>
    </row>
    <row r="1580" spans="47:47" x14ac:dyDescent="0.25">
      <c r="AU1580" s="8" t="str">
        <f>IF(TRIM($G1580)="","",IF(COUNTIF(LISTS!$I$2:$I$16,TRIM($G1580))&gt;0,"COUNTED",IF(COUNTIF(LISTS!$J$2:$J$16,TRIM($G1580))&gt;0,"LEFT OUT","NEW")))</f>
        <v/>
      </c>
    </row>
    <row r="1581" spans="47:47" x14ac:dyDescent="0.25">
      <c r="AU1581" s="8" t="str">
        <f>IF(TRIM($G1581)="","",IF(COUNTIF(LISTS!$I$2:$I$16,TRIM($G1581))&gt;0,"COUNTED",IF(COUNTIF(LISTS!$J$2:$J$16,TRIM($G1581))&gt;0,"LEFT OUT","NEW")))</f>
        <v/>
      </c>
    </row>
    <row r="1582" spans="47:47" x14ac:dyDescent="0.25">
      <c r="AU1582" s="8" t="str">
        <f>IF(TRIM($G1582)="","",IF(COUNTIF(LISTS!$I$2:$I$16,TRIM($G1582))&gt;0,"COUNTED",IF(COUNTIF(LISTS!$J$2:$J$16,TRIM($G1582))&gt;0,"LEFT OUT","NEW")))</f>
        <v/>
      </c>
    </row>
    <row r="1583" spans="47:47" x14ac:dyDescent="0.25">
      <c r="AU1583" s="8" t="str">
        <f>IF(TRIM($G1583)="","",IF(COUNTIF(LISTS!$I$2:$I$16,TRIM($G1583))&gt;0,"COUNTED",IF(COUNTIF(LISTS!$J$2:$J$16,TRIM($G1583))&gt;0,"LEFT OUT","NEW")))</f>
        <v/>
      </c>
    </row>
    <row r="1584" spans="47:47" x14ac:dyDescent="0.25">
      <c r="AU1584" s="8" t="str">
        <f>IF(TRIM($G1584)="","",IF(COUNTIF(LISTS!$I$2:$I$16,TRIM($G1584))&gt;0,"COUNTED",IF(COUNTIF(LISTS!$J$2:$J$16,TRIM($G1584))&gt;0,"LEFT OUT","NEW")))</f>
        <v/>
      </c>
    </row>
    <row r="1585" spans="47:47" x14ac:dyDescent="0.25">
      <c r="AU1585" s="8" t="str">
        <f>IF(TRIM($G1585)="","",IF(COUNTIF(LISTS!$I$2:$I$16,TRIM($G1585))&gt;0,"COUNTED",IF(COUNTIF(LISTS!$J$2:$J$16,TRIM($G1585))&gt;0,"LEFT OUT","NEW")))</f>
        <v/>
      </c>
    </row>
    <row r="1586" spans="47:47" x14ac:dyDescent="0.25">
      <c r="AU1586" s="8" t="str">
        <f>IF(TRIM($G1586)="","",IF(COUNTIF(LISTS!$I$2:$I$16,TRIM($G1586))&gt;0,"COUNTED",IF(COUNTIF(LISTS!$J$2:$J$16,TRIM($G1586))&gt;0,"LEFT OUT","NEW")))</f>
        <v/>
      </c>
    </row>
    <row r="1587" spans="47:47" x14ac:dyDescent="0.25">
      <c r="AU1587" s="8" t="str">
        <f>IF(TRIM($G1587)="","",IF(COUNTIF(LISTS!$I$2:$I$16,TRIM($G1587))&gt;0,"COUNTED",IF(COUNTIF(LISTS!$J$2:$J$16,TRIM($G1587))&gt;0,"LEFT OUT","NEW")))</f>
        <v/>
      </c>
    </row>
    <row r="1588" spans="47:47" x14ac:dyDescent="0.25">
      <c r="AU1588" s="8" t="str">
        <f>IF(TRIM($G1588)="","",IF(COUNTIF(LISTS!$I$2:$I$16,TRIM($G1588))&gt;0,"COUNTED",IF(COUNTIF(LISTS!$J$2:$J$16,TRIM($G1588))&gt;0,"LEFT OUT","NEW")))</f>
        <v/>
      </c>
    </row>
    <row r="1589" spans="47:47" x14ac:dyDescent="0.25">
      <c r="AU1589" s="8" t="str">
        <f>IF(TRIM($G1589)="","",IF(COUNTIF(LISTS!$I$2:$I$16,TRIM($G1589))&gt;0,"COUNTED",IF(COUNTIF(LISTS!$J$2:$J$16,TRIM($G1589))&gt;0,"LEFT OUT","NEW")))</f>
        <v/>
      </c>
    </row>
    <row r="1590" spans="47:47" x14ac:dyDescent="0.25">
      <c r="AU1590" s="8" t="str">
        <f>IF(TRIM($G1590)="","",IF(COUNTIF(LISTS!$I$2:$I$16,TRIM($G1590))&gt;0,"COUNTED",IF(COUNTIF(LISTS!$J$2:$J$16,TRIM($G1590))&gt;0,"LEFT OUT","NEW")))</f>
        <v/>
      </c>
    </row>
    <row r="1591" spans="47:47" x14ac:dyDescent="0.25">
      <c r="AU1591" s="8" t="str">
        <f>IF(TRIM($G1591)="","",IF(COUNTIF(LISTS!$I$2:$I$16,TRIM($G1591))&gt;0,"COUNTED",IF(COUNTIF(LISTS!$J$2:$J$16,TRIM($G1591))&gt;0,"LEFT OUT","NEW")))</f>
        <v/>
      </c>
    </row>
    <row r="1592" spans="47:47" x14ac:dyDescent="0.25">
      <c r="AU1592" s="8" t="str">
        <f>IF(TRIM($G1592)="","",IF(COUNTIF(LISTS!$I$2:$I$16,TRIM($G1592))&gt;0,"COUNTED",IF(COUNTIF(LISTS!$J$2:$J$16,TRIM($G1592))&gt;0,"LEFT OUT","NEW")))</f>
        <v/>
      </c>
    </row>
    <row r="1593" spans="47:47" x14ac:dyDescent="0.25">
      <c r="AU1593" s="8" t="str">
        <f>IF(TRIM($G1593)="","",IF(COUNTIF(LISTS!$I$2:$I$16,TRIM($G1593))&gt;0,"COUNTED",IF(COUNTIF(LISTS!$J$2:$J$16,TRIM($G1593))&gt;0,"LEFT OUT","NEW")))</f>
        <v/>
      </c>
    </row>
    <row r="1594" spans="47:47" x14ac:dyDescent="0.25">
      <c r="AU1594" s="8" t="str">
        <f>IF(TRIM($G1594)="","",IF(COUNTIF(LISTS!$I$2:$I$16,TRIM($G1594))&gt;0,"COUNTED",IF(COUNTIF(LISTS!$J$2:$J$16,TRIM($G1594))&gt;0,"LEFT OUT","NEW")))</f>
        <v/>
      </c>
    </row>
    <row r="1595" spans="47:47" x14ac:dyDescent="0.25">
      <c r="AU1595" s="8" t="str">
        <f>IF(TRIM($G1595)="","",IF(COUNTIF(LISTS!$I$2:$I$16,TRIM($G1595))&gt;0,"COUNTED",IF(COUNTIF(LISTS!$J$2:$J$16,TRIM($G1595))&gt;0,"LEFT OUT","NEW")))</f>
        <v/>
      </c>
    </row>
    <row r="1596" spans="47:47" x14ac:dyDescent="0.25">
      <c r="AU1596" s="8" t="str">
        <f>IF(TRIM($G1596)="","",IF(COUNTIF(LISTS!$I$2:$I$16,TRIM($G1596))&gt;0,"COUNTED",IF(COUNTIF(LISTS!$J$2:$J$16,TRIM($G1596))&gt;0,"LEFT OUT","NEW")))</f>
        <v/>
      </c>
    </row>
    <row r="1597" spans="47:47" x14ac:dyDescent="0.25">
      <c r="AU1597" s="8" t="str">
        <f>IF(TRIM($G1597)="","",IF(COUNTIF(LISTS!$I$2:$I$16,TRIM($G1597))&gt;0,"COUNTED",IF(COUNTIF(LISTS!$J$2:$J$16,TRIM($G1597))&gt;0,"LEFT OUT","NEW")))</f>
        <v/>
      </c>
    </row>
    <row r="1598" spans="47:47" x14ac:dyDescent="0.25">
      <c r="AU1598" s="8" t="str">
        <f>IF(TRIM($G1598)="","",IF(COUNTIF(LISTS!$I$2:$I$16,TRIM($G1598))&gt;0,"COUNTED",IF(COUNTIF(LISTS!$J$2:$J$16,TRIM($G1598))&gt;0,"LEFT OUT","NEW")))</f>
        <v/>
      </c>
    </row>
    <row r="1599" spans="47:47" x14ac:dyDescent="0.25">
      <c r="AU1599" s="8" t="str">
        <f>IF(TRIM($G1599)="","",IF(COUNTIF(LISTS!$I$2:$I$16,TRIM($G1599))&gt;0,"COUNTED",IF(COUNTIF(LISTS!$J$2:$J$16,TRIM($G1599))&gt;0,"LEFT OUT","NEW")))</f>
        <v/>
      </c>
    </row>
    <row r="1600" spans="47:47" x14ac:dyDescent="0.25">
      <c r="AU1600" s="8" t="str">
        <f>IF(TRIM($G1600)="","",IF(COUNTIF(LISTS!$I$2:$I$16,TRIM($G1600))&gt;0,"COUNTED",IF(COUNTIF(LISTS!$J$2:$J$16,TRIM($G1600))&gt;0,"LEFT OUT","NEW")))</f>
        <v/>
      </c>
    </row>
    <row r="1601" spans="47:47" x14ac:dyDescent="0.25">
      <c r="AU1601" s="8" t="str">
        <f>IF(TRIM($G1601)="","",IF(COUNTIF(LISTS!$I$2:$I$16,TRIM($G1601))&gt;0,"COUNTED",IF(COUNTIF(LISTS!$J$2:$J$16,TRIM($G1601))&gt;0,"LEFT OUT","NEW")))</f>
        <v/>
      </c>
    </row>
    <row r="1602" spans="47:47" x14ac:dyDescent="0.25">
      <c r="AU1602" s="8" t="str">
        <f>IF(TRIM($G1602)="","",IF(COUNTIF(LISTS!$I$2:$I$16,TRIM($G1602))&gt;0,"COUNTED",IF(COUNTIF(LISTS!$J$2:$J$16,TRIM($G1602))&gt;0,"LEFT OUT","NEW")))</f>
        <v/>
      </c>
    </row>
    <row r="1603" spans="47:47" x14ac:dyDescent="0.25">
      <c r="AU1603" s="8" t="str">
        <f>IF(TRIM($G1603)="","",IF(COUNTIF(LISTS!$I$2:$I$16,TRIM($G1603))&gt;0,"COUNTED",IF(COUNTIF(LISTS!$J$2:$J$16,TRIM($G1603))&gt;0,"LEFT OUT","NEW")))</f>
        <v/>
      </c>
    </row>
    <row r="1604" spans="47:47" x14ac:dyDescent="0.25">
      <c r="AU1604" s="8" t="str">
        <f>IF(TRIM($G1604)="","",IF(COUNTIF(LISTS!$I$2:$I$16,TRIM($G1604))&gt;0,"COUNTED",IF(COUNTIF(LISTS!$J$2:$J$16,TRIM($G1604))&gt;0,"LEFT OUT","NEW")))</f>
        <v/>
      </c>
    </row>
    <row r="1605" spans="47:47" x14ac:dyDescent="0.25">
      <c r="AU1605" s="8" t="str">
        <f>IF(TRIM($G1605)="","",IF(COUNTIF(LISTS!$I$2:$I$16,TRIM($G1605))&gt;0,"COUNTED",IF(COUNTIF(LISTS!$J$2:$J$16,TRIM($G1605))&gt;0,"LEFT OUT","NEW")))</f>
        <v/>
      </c>
    </row>
    <row r="1606" spans="47:47" x14ac:dyDescent="0.25">
      <c r="AU1606" s="8" t="str">
        <f>IF(TRIM($G1606)="","",IF(COUNTIF(LISTS!$I$2:$I$16,TRIM($G1606))&gt;0,"COUNTED",IF(COUNTIF(LISTS!$J$2:$J$16,TRIM($G1606))&gt;0,"LEFT OUT","NEW")))</f>
        <v/>
      </c>
    </row>
    <row r="1607" spans="47:47" x14ac:dyDescent="0.25">
      <c r="AU1607" s="8" t="str">
        <f>IF(TRIM($G1607)="","",IF(COUNTIF(LISTS!$I$2:$I$16,TRIM($G1607))&gt;0,"COUNTED",IF(COUNTIF(LISTS!$J$2:$J$16,TRIM($G1607))&gt;0,"LEFT OUT","NEW")))</f>
        <v/>
      </c>
    </row>
    <row r="1608" spans="47:47" x14ac:dyDescent="0.25">
      <c r="AU1608" s="8" t="str">
        <f>IF(TRIM($G1608)="","",IF(COUNTIF(LISTS!$I$2:$I$16,TRIM($G1608))&gt;0,"COUNTED",IF(COUNTIF(LISTS!$J$2:$J$16,TRIM($G1608))&gt;0,"LEFT OUT","NEW")))</f>
        <v/>
      </c>
    </row>
    <row r="1609" spans="47:47" x14ac:dyDescent="0.25">
      <c r="AU1609" s="8" t="str">
        <f>IF(TRIM($G1609)="","",IF(COUNTIF(LISTS!$I$2:$I$16,TRIM($G1609))&gt;0,"COUNTED",IF(COUNTIF(LISTS!$J$2:$J$16,TRIM($G1609))&gt;0,"LEFT OUT","NEW")))</f>
        <v/>
      </c>
    </row>
    <row r="1610" spans="47:47" x14ac:dyDescent="0.25">
      <c r="AU1610" s="8" t="str">
        <f>IF(TRIM($G1610)="","",IF(COUNTIF(LISTS!$I$2:$I$16,TRIM($G1610))&gt;0,"COUNTED",IF(COUNTIF(LISTS!$J$2:$J$16,TRIM($G1610))&gt;0,"LEFT OUT","NEW")))</f>
        <v/>
      </c>
    </row>
    <row r="1611" spans="47:47" x14ac:dyDescent="0.25">
      <c r="AU1611" s="8" t="str">
        <f>IF(TRIM($G1611)="","",IF(COUNTIF(LISTS!$I$2:$I$16,TRIM($G1611))&gt;0,"COUNTED",IF(COUNTIF(LISTS!$J$2:$J$16,TRIM($G1611))&gt;0,"LEFT OUT","NEW")))</f>
        <v/>
      </c>
    </row>
    <row r="1612" spans="47:47" x14ac:dyDescent="0.25">
      <c r="AU1612" s="8" t="str">
        <f>IF(TRIM($G1612)="","",IF(COUNTIF(LISTS!$I$2:$I$16,TRIM($G1612))&gt;0,"COUNTED",IF(COUNTIF(LISTS!$J$2:$J$16,TRIM($G1612))&gt;0,"LEFT OUT","NEW")))</f>
        <v/>
      </c>
    </row>
    <row r="1613" spans="47:47" x14ac:dyDescent="0.25">
      <c r="AU1613" s="8" t="str">
        <f>IF(TRIM($G1613)="","",IF(COUNTIF(LISTS!$I$2:$I$16,TRIM($G1613))&gt;0,"COUNTED",IF(COUNTIF(LISTS!$J$2:$J$16,TRIM($G1613))&gt;0,"LEFT OUT","NEW")))</f>
        <v/>
      </c>
    </row>
    <row r="1614" spans="47:47" x14ac:dyDescent="0.25">
      <c r="AU1614" s="8" t="str">
        <f>IF(TRIM($G1614)="","",IF(COUNTIF(LISTS!$I$2:$I$16,TRIM($G1614))&gt;0,"COUNTED",IF(COUNTIF(LISTS!$J$2:$J$16,TRIM($G1614))&gt;0,"LEFT OUT","NEW")))</f>
        <v/>
      </c>
    </row>
    <row r="1615" spans="47:47" x14ac:dyDescent="0.25">
      <c r="AU1615" s="8" t="str">
        <f>IF(TRIM($G1615)="","",IF(COUNTIF(LISTS!$I$2:$I$16,TRIM($G1615))&gt;0,"COUNTED",IF(COUNTIF(LISTS!$J$2:$J$16,TRIM($G1615))&gt;0,"LEFT OUT","NEW")))</f>
        <v/>
      </c>
    </row>
    <row r="1616" spans="47:47" x14ac:dyDescent="0.25">
      <c r="AU1616" s="8" t="str">
        <f>IF(TRIM($G1616)="","",IF(COUNTIF(LISTS!$I$2:$I$16,TRIM($G1616))&gt;0,"COUNTED",IF(COUNTIF(LISTS!$J$2:$J$16,TRIM($G1616))&gt;0,"LEFT OUT","NEW")))</f>
        <v/>
      </c>
    </row>
    <row r="1617" spans="47:47" x14ac:dyDescent="0.25">
      <c r="AU1617" s="8" t="str">
        <f>IF(TRIM($G1617)="","",IF(COUNTIF(LISTS!$I$2:$I$16,TRIM($G1617))&gt;0,"COUNTED",IF(COUNTIF(LISTS!$J$2:$J$16,TRIM($G1617))&gt;0,"LEFT OUT","NEW")))</f>
        <v/>
      </c>
    </row>
    <row r="1618" spans="47:47" x14ac:dyDescent="0.25">
      <c r="AU1618" s="8" t="str">
        <f>IF(TRIM($G1618)="","",IF(COUNTIF(LISTS!$I$2:$I$16,TRIM($G1618))&gt;0,"COUNTED",IF(COUNTIF(LISTS!$J$2:$J$16,TRIM($G1618))&gt;0,"LEFT OUT","NEW")))</f>
        <v/>
      </c>
    </row>
    <row r="1619" spans="47:47" x14ac:dyDescent="0.25">
      <c r="AU1619" s="8" t="str">
        <f>IF(TRIM($G1619)="","",IF(COUNTIF(LISTS!$I$2:$I$16,TRIM($G1619))&gt;0,"COUNTED",IF(COUNTIF(LISTS!$J$2:$J$16,TRIM($G1619))&gt;0,"LEFT OUT","NEW")))</f>
        <v/>
      </c>
    </row>
    <row r="1620" spans="47:47" x14ac:dyDescent="0.25">
      <c r="AU1620" s="8" t="str">
        <f>IF(TRIM($G1620)="","",IF(COUNTIF(LISTS!$I$2:$I$16,TRIM($G1620))&gt;0,"COUNTED",IF(COUNTIF(LISTS!$J$2:$J$16,TRIM($G1620))&gt;0,"LEFT OUT","NEW")))</f>
        <v/>
      </c>
    </row>
    <row r="1621" spans="47:47" x14ac:dyDescent="0.25">
      <c r="AU1621" s="8" t="str">
        <f>IF(TRIM($G1621)="","",IF(COUNTIF(LISTS!$I$2:$I$16,TRIM($G1621))&gt;0,"COUNTED",IF(COUNTIF(LISTS!$J$2:$J$16,TRIM($G1621))&gt;0,"LEFT OUT","NEW")))</f>
        <v/>
      </c>
    </row>
    <row r="1622" spans="47:47" x14ac:dyDescent="0.25">
      <c r="AU1622" s="8" t="str">
        <f>IF(TRIM($G1622)="","",IF(COUNTIF(LISTS!$I$2:$I$16,TRIM($G1622))&gt;0,"COUNTED",IF(COUNTIF(LISTS!$J$2:$J$16,TRIM($G1622))&gt;0,"LEFT OUT","NEW")))</f>
        <v/>
      </c>
    </row>
    <row r="1623" spans="47:47" x14ac:dyDescent="0.25">
      <c r="AU1623" s="8" t="str">
        <f>IF(TRIM($G1623)="","",IF(COUNTIF(LISTS!$I$2:$I$16,TRIM($G1623))&gt;0,"COUNTED",IF(COUNTIF(LISTS!$J$2:$J$16,TRIM($G1623))&gt;0,"LEFT OUT","NEW")))</f>
        <v/>
      </c>
    </row>
    <row r="1624" spans="47:47" x14ac:dyDescent="0.25">
      <c r="AU1624" s="8" t="str">
        <f>IF(TRIM($G1624)="","",IF(COUNTIF(LISTS!$I$2:$I$16,TRIM($G1624))&gt;0,"COUNTED",IF(COUNTIF(LISTS!$J$2:$J$16,TRIM($G1624))&gt;0,"LEFT OUT","NEW")))</f>
        <v/>
      </c>
    </row>
    <row r="1625" spans="47:47" x14ac:dyDescent="0.25">
      <c r="AU1625" s="8" t="str">
        <f>IF(TRIM($G1625)="","",IF(COUNTIF(LISTS!$I$2:$I$16,TRIM($G1625))&gt;0,"COUNTED",IF(COUNTIF(LISTS!$J$2:$J$16,TRIM($G1625))&gt;0,"LEFT OUT","NEW")))</f>
        <v/>
      </c>
    </row>
    <row r="1626" spans="47:47" x14ac:dyDescent="0.25">
      <c r="AU1626" s="8" t="str">
        <f>IF(TRIM($G1626)="","",IF(COUNTIF(LISTS!$I$2:$I$16,TRIM($G1626))&gt;0,"COUNTED",IF(COUNTIF(LISTS!$J$2:$J$16,TRIM($G1626))&gt;0,"LEFT OUT","NEW")))</f>
        <v/>
      </c>
    </row>
    <row r="1627" spans="47:47" x14ac:dyDescent="0.25">
      <c r="AU1627" s="8" t="str">
        <f>IF(TRIM($G1627)="","",IF(COUNTIF(LISTS!$I$2:$I$16,TRIM($G1627))&gt;0,"COUNTED",IF(COUNTIF(LISTS!$J$2:$J$16,TRIM($G1627))&gt;0,"LEFT OUT","NEW")))</f>
        <v/>
      </c>
    </row>
    <row r="1628" spans="47:47" x14ac:dyDescent="0.25">
      <c r="AU1628" s="8" t="str">
        <f>IF(TRIM($G1628)="","",IF(COUNTIF(LISTS!$I$2:$I$16,TRIM($G1628))&gt;0,"COUNTED",IF(COUNTIF(LISTS!$J$2:$J$16,TRIM($G1628))&gt;0,"LEFT OUT","NEW")))</f>
        <v/>
      </c>
    </row>
    <row r="1629" spans="47:47" x14ac:dyDescent="0.25">
      <c r="AU1629" s="8" t="str">
        <f>IF(TRIM($G1629)="","",IF(COUNTIF(LISTS!$I$2:$I$16,TRIM($G1629))&gt;0,"COUNTED",IF(COUNTIF(LISTS!$J$2:$J$16,TRIM($G1629))&gt;0,"LEFT OUT","NEW")))</f>
        <v/>
      </c>
    </row>
    <row r="1630" spans="47:47" x14ac:dyDescent="0.25">
      <c r="AU1630" s="8" t="str">
        <f>IF(TRIM($G1630)="","",IF(COUNTIF(LISTS!$I$2:$I$16,TRIM($G1630))&gt;0,"COUNTED",IF(COUNTIF(LISTS!$J$2:$J$16,TRIM($G1630))&gt;0,"LEFT OUT","NEW")))</f>
        <v/>
      </c>
    </row>
    <row r="1631" spans="47:47" x14ac:dyDescent="0.25">
      <c r="AU1631" s="8" t="str">
        <f>IF(TRIM($G1631)="","",IF(COUNTIF(LISTS!$I$2:$I$16,TRIM($G1631))&gt;0,"COUNTED",IF(COUNTIF(LISTS!$J$2:$J$16,TRIM($G1631))&gt;0,"LEFT OUT","NEW")))</f>
        <v/>
      </c>
    </row>
    <row r="1632" spans="47:47" x14ac:dyDescent="0.25">
      <c r="AU1632" s="8" t="str">
        <f>IF(TRIM($G1632)="","",IF(COUNTIF(LISTS!$I$2:$I$16,TRIM($G1632))&gt;0,"COUNTED",IF(COUNTIF(LISTS!$J$2:$J$16,TRIM($G1632))&gt;0,"LEFT OUT","NEW")))</f>
        <v/>
      </c>
    </row>
    <row r="1633" spans="47:47" x14ac:dyDescent="0.25">
      <c r="AU1633" s="8" t="str">
        <f>IF(TRIM($G1633)="","",IF(COUNTIF(LISTS!$I$2:$I$16,TRIM($G1633))&gt;0,"COUNTED",IF(COUNTIF(LISTS!$J$2:$J$16,TRIM($G1633))&gt;0,"LEFT OUT","NEW")))</f>
        <v/>
      </c>
    </row>
    <row r="1634" spans="47:47" x14ac:dyDescent="0.25">
      <c r="AU1634" s="8" t="str">
        <f>IF(TRIM($G1634)="","",IF(COUNTIF(LISTS!$I$2:$I$16,TRIM($G1634))&gt;0,"COUNTED",IF(COUNTIF(LISTS!$J$2:$J$16,TRIM($G1634))&gt;0,"LEFT OUT","NEW")))</f>
        <v/>
      </c>
    </row>
    <row r="1635" spans="47:47" x14ac:dyDescent="0.25">
      <c r="AU1635" s="8" t="str">
        <f>IF(TRIM($G1635)="","",IF(COUNTIF(LISTS!$I$2:$I$16,TRIM($G1635))&gt;0,"COUNTED",IF(COUNTIF(LISTS!$J$2:$J$16,TRIM($G1635))&gt;0,"LEFT OUT","NEW")))</f>
        <v/>
      </c>
    </row>
    <row r="1636" spans="47:47" x14ac:dyDescent="0.25">
      <c r="AU1636" s="8" t="str">
        <f>IF(TRIM($G1636)="","",IF(COUNTIF(LISTS!$I$2:$I$16,TRIM($G1636))&gt;0,"COUNTED",IF(COUNTIF(LISTS!$J$2:$J$16,TRIM($G1636))&gt;0,"LEFT OUT","NEW")))</f>
        <v/>
      </c>
    </row>
    <row r="1637" spans="47:47" x14ac:dyDescent="0.25">
      <c r="AU1637" s="8" t="str">
        <f>IF(TRIM($G1637)="","",IF(COUNTIF(LISTS!$I$2:$I$16,TRIM($G1637))&gt;0,"COUNTED",IF(COUNTIF(LISTS!$J$2:$J$16,TRIM($G1637))&gt;0,"LEFT OUT","NEW")))</f>
        <v/>
      </c>
    </row>
    <row r="1638" spans="47:47" x14ac:dyDescent="0.25">
      <c r="AU1638" s="8" t="str">
        <f>IF(TRIM($G1638)="","",IF(COUNTIF(LISTS!$I$2:$I$16,TRIM($G1638))&gt;0,"COUNTED",IF(COUNTIF(LISTS!$J$2:$J$16,TRIM($G1638))&gt;0,"LEFT OUT","NEW")))</f>
        <v/>
      </c>
    </row>
    <row r="1639" spans="47:47" x14ac:dyDescent="0.25">
      <c r="AU1639" s="8" t="str">
        <f>IF(TRIM($G1639)="","",IF(COUNTIF(LISTS!$I$2:$I$16,TRIM($G1639))&gt;0,"COUNTED",IF(COUNTIF(LISTS!$J$2:$J$16,TRIM($G1639))&gt;0,"LEFT OUT","NEW")))</f>
        <v/>
      </c>
    </row>
    <row r="1640" spans="47:47" x14ac:dyDescent="0.25">
      <c r="AU1640" s="8" t="str">
        <f>IF(TRIM($G1640)="","",IF(COUNTIF(LISTS!$I$2:$I$16,TRIM($G1640))&gt;0,"COUNTED",IF(COUNTIF(LISTS!$J$2:$J$16,TRIM($G1640))&gt;0,"LEFT OUT","NEW")))</f>
        <v/>
      </c>
    </row>
    <row r="1641" spans="47:47" x14ac:dyDescent="0.25">
      <c r="AU1641" s="8" t="str">
        <f>IF(TRIM($G1641)="","",IF(COUNTIF(LISTS!$I$2:$I$16,TRIM($G1641))&gt;0,"COUNTED",IF(COUNTIF(LISTS!$J$2:$J$16,TRIM($G1641))&gt;0,"LEFT OUT","NEW")))</f>
        <v/>
      </c>
    </row>
    <row r="1642" spans="47:47" x14ac:dyDescent="0.25">
      <c r="AU1642" s="8" t="str">
        <f>IF(TRIM($G1642)="","",IF(COUNTIF(LISTS!$I$2:$I$16,TRIM($G1642))&gt;0,"COUNTED",IF(COUNTIF(LISTS!$J$2:$J$16,TRIM($G1642))&gt;0,"LEFT OUT","NEW")))</f>
        <v/>
      </c>
    </row>
    <row r="1643" spans="47:47" x14ac:dyDescent="0.25">
      <c r="AU1643" s="8" t="str">
        <f>IF(TRIM($G1643)="","",IF(COUNTIF(LISTS!$I$2:$I$16,TRIM($G1643))&gt;0,"COUNTED",IF(COUNTIF(LISTS!$J$2:$J$16,TRIM($G1643))&gt;0,"LEFT OUT","NEW")))</f>
        <v/>
      </c>
    </row>
    <row r="1644" spans="47:47" x14ac:dyDescent="0.25">
      <c r="AU1644" s="8" t="str">
        <f>IF(TRIM($G1644)="","",IF(COUNTIF(LISTS!$I$2:$I$16,TRIM($G1644))&gt;0,"COUNTED",IF(COUNTIF(LISTS!$J$2:$J$16,TRIM($G1644))&gt;0,"LEFT OUT","NEW")))</f>
        <v/>
      </c>
    </row>
    <row r="1645" spans="47:47" x14ac:dyDescent="0.25">
      <c r="AU1645" s="8" t="str">
        <f>IF(TRIM($G1645)="","",IF(COUNTIF(LISTS!$I$2:$I$16,TRIM($G1645))&gt;0,"COUNTED",IF(COUNTIF(LISTS!$J$2:$J$16,TRIM($G1645))&gt;0,"LEFT OUT","NEW")))</f>
        <v/>
      </c>
    </row>
    <row r="1646" spans="47:47" x14ac:dyDescent="0.25">
      <c r="AU1646" s="8" t="str">
        <f>IF(TRIM($G1646)="","",IF(COUNTIF(LISTS!$I$2:$I$16,TRIM($G1646))&gt;0,"COUNTED",IF(COUNTIF(LISTS!$J$2:$J$16,TRIM($G1646))&gt;0,"LEFT OUT","NEW")))</f>
        <v/>
      </c>
    </row>
    <row r="1647" spans="47:47" x14ac:dyDescent="0.25">
      <c r="AU1647" s="8" t="str">
        <f>IF(TRIM($G1647)="","",IF(COUNTIF(LISTS!$I$2:$I$16,TRIM($G1647))&gt;0,"COUNTED",IF(COUNTIF(LISTS!$J$2:$J$16,TRIM($G1647))&gt;0,"LEFT OUT","NEW")))</f>
        <v/>
      </c>
    </row>
    <row r="1648" spans="47:47" x14ac:dyDescent="0.25">
      <c r="AU1648" s="8" t="str">
        <f>IF(TRIM($G1648)="","",IF(COUNTIF(LISTS!$I$2:$I$16,TRIM($G1648))&gt;0,"COUNTED",IF(COUNTIF(LISTS!$J$2:$J$16,TRIM($G1648))&gt;0,"LEFT OUT","NEW")))</f>
        <v/>
      </c>
    </row>
    <row r="1649" spans="47:47" x14ac:dyDescent="0.25">
      <c r="AU1649" s="8" t="str">
        <f>IF(TRIM($G1649)="","",IF(COUNTIF(LISTS!$I$2:$I$16,TRIM($G1649))&gt;0,"COUNTED",IF(COUNTIF(LISTS!$J$2:$J$16,TRIM($G1649))&gt;0,"LEFT OUT","NEW")))</f>
        <v/>
      </c>
    </row>
    <row r="1650" spans="47:47" x14ac:dyDescent="0.25">
      <c r="AU1650" s="8" t="str">
        <f>IF(TRIM($G1650)="","",IF(COUNTIF(LISTS!$I$2:$I$16,TRIM($G1650))&gt;0,"COUNTED",IF(COUNTIF(LISTS!$J$2:$J$16,TRIM($G1650))&gt;0,"LEFT OUT","NEW")))</f>
        <v/>
      </c>
    </row>
    <row r="1651" spans="47:47" x14ac:dyDescent="0.25">
      <c r="AU1651" s="8" t="str">
        <f>IF(TRIM($G1651)="","",IF(COUNTIF(LISTS!$I$2:$I$16,TRIM($G1651))&gt;0,"COUNTED",IF(COUNTIF(LISTS!$J$2:$J$16,TRIM($G1651))&gt;0,"LEFT OUT","NEW")))</f>
        <v/>
      </c>
    </row>
    <row r="1652" spans="47:47" x14ac:dyDescent="0.25">
      <c r="AU1652" s="8" t="str">
        <f>IF(TRIM($G1652)="","",IF(COUNTIF(LISTS!$I$2:$I$16,TRIM($G1652))&gt;0,"COUNTED",IF(COUNTIF(LISTS!$J$2:$J$16,TRIM($G1652))&gt;0,"LEFT OUT","NEW")))</f>
        <v/>
      </c>
    </row>
    <row r="1653" spans="47:47" x14ac:dyDescent="0.25">
      <c r="AU1653" s="8" t="str">
        <f>IF(TRIM($G1653)="","",IF(COUNTIF(LISTS!$I$2:$I$16,TRIM($G1653))&gt;0,"COUNTED",IF(COUNTIF(LISTS!$J$2:$J$16,TRIM($G1653))&gt;0,"LEFT OUT","NEW")))</f>
        <v/>
      </c>
    </row>
    <row r="1654" spans="47:47" x14ac:dyDescent="0.25">
      <c r="AU1654" s="8" t="str">
        <f>IF(TRIM($G1654)="","",IF(COUNTIF(LISTS!$I$2:$I$16,TRIM($G1654))&gt;0,"COUNTED",IF(COUNTIF(LISTS!$J$2:$J$16,TRIM($G1654))&gt;0,"LEFT OUT","NEW")))</f>
        <v/>
      </c>
    </row>
    <row r="1655" spans="47:47" x14ac:dyDescent="0.25">
      <c r="AU1655" s="8" t="str">
        <f>IF(TRIM($G1655)="","",IF(COUNTIF(LISTS!$I$2:$I$16,TRIM($G1655))&gt;0,"COUNTED",IF(COUNTIF(LISTS!$J$2:$J$16,TRIM($G1655))&gt;0,"LEFT OUT","NEW")))</f>
        <v/>
      </c>
    </row>
    <row r="1656" spans="47:47" x14ac:dyDescent="0.25">
      <c r="AU1656" s="8" t="str">
        <f>IF(TRIM($G1656)="","",IF(COUNTIF(LISTS!$I$2:$I$16,TRIM($G1656))&gt;0,"COUNTED",IF(COUNTIF(LISTS!$J$2:$J$16,TRIM($G1656))&gt;0,"LEFT OUT","NEW")))</f>
        <v/>
      </c>
    </row>
    <row r="1657" spans="47:47" x14ac:dyDescent="0.25">
      <c r="AU1657" s="8" t="str">
        <f>IF(TRIM($G1657)="","",IF(COUNTIF(LISTS!$I$2:$I$16,TRIM($G1657))&gt;0,"COUNTED",IF(COUNTIF(LISTS!$J$2:$J$16,TRIM($G1657))&gt;0,"LEFT OUT","NEW")))</f>
        <v/>
      </c>
    </row>
    <row r="1658" spans="47:47" x14ac:dyDescent="0.25">
      <c r="AU1658" s="8" t="str">
        <f>IF(TRIM($G1658)="","",IF(COUNTIF(LISTS!$I$2:$I$16,TRIM($G1658))&gt;0,"COUNTED",IF(COUNTIF(LISTS!$J$2:$J$16,TRIM($G1658))&gt;0,"LEFT OUT","NEW")))</f>
        <v/>
      </c>
    </row>
    <row r="1659" spans="47:47" x14ac:dyDescent="0.25">
      <c r="AU1659" s="8" t="str">
        <f>IF(TRIM($G1659)="","",IF(COUNTIF(LISTS!$I$2:$I$16,TRIM($G1659))&gt;0,"COUNTED",IF(COUNTIF(LISTS!$J$2:$J$16,TRIM($G1659))&gt;0,"LEFT OUT","NEW")))</f>
        <v/>
      </c>
    </row>
    <row r="1660" spans="47:47" x14ac:dyDescent="0.25">
      <c r="AU1660" s="8" t="str">
        <f>IF(TRIM($G1660)="","",IF(COUNTIF(LISTS!$I$2:$I$16,TRIM($G1660))&gt;0,"COUNTED",IF(COUNTIF(LISTS!$J$2:$J$16,TRIM($G1660))&gt;0,"LEFT OUT","NEW")))</f>
        <v/>
      </c>
    </row>
    <row r="1661" spans="47:47" x14ac:dyDescent="0.25">
      <c r="AU1661" s="8" t="str">
        <f>IF(TRIM($G1661)="","",IF(COUNTIF(LISTS!$I$2:$I$16,TRIM($G1661))&gt;0,"COUNTED",IF(COUNTIF(LISTS!$J$2:$J$16,TRIM($G1661))&gt;0,"LEFT OUT","NEW")))</f>
        <v/>
      </c>
    </row>
    <row r="1662" spans="47:47" x14ac:dyDescent="0.25">
      <c r="AU1662" s="8" t="str">
        <f>IF(TRIM($G1662)="","",IF(COUNTIF(LISTS!$I$2:$I$16,TRIM($G1662))&gt;0,"COUNTED",IF(COUNTIF(LISTS!$J$2:$J$16,TRIM($G1662))&gt;0,"LEFT OUT","NEW")))</f>
        <v/>
      </c>
    </row>
    <row r="1663" spans="47:47" x14ac:dyDescent="0.25">
      <c r="AU1663" s="8" t="str">
        <f>IF(TRIM($G1663)="","",IF(COUNTIF(LISTS!$I$2:$I$16,TRIM($G1663))&gt;0,"COUNTED",IF(COUNTIF(LISTS!$J$2:$J$16,TRIM($G1663))&gt;0,"LEFT OUT","NEW")))</f>
        <v/>
      </c>
    </row>
    <row r="1664" spans="47:47" x14ac:dyDescent="0.25">
      <c r="AU1664" s="8" t="str">
        <f>IF(TRIM($G1664)="","",IF(COUNTIF(LISTS!$I$2:$I$16,TRIM($G1664))&gt;0,"COUNTED",IF(COUNTIF(LISTS!$J$2:$J$16,TRIM($G1664))&gt;0,"LEFT OUT","NEW")))</f>
        <v/>
      </c>
    </row>
    <row r="1665" spans="47:47" x14ac:dyDescent="0.25">
      <c r="AU1665" s="8" t="str">
        <f>IF(TRIM($G1665)="","",IF(COUNTIF(LISTS!$I$2:$I$16,TRIM($G1665))&gt;0,"COUNTED",IF(COUNTIF(LISTS!$J$2:$J$16,TRIM($G1665))&gt;0,"LEFT OUT","NEW")))</f>
        <v/>
      </c>
    </row>
    <row r="1666" spans="47:47" x14ac:dyDescent="0.25">
      <c r="AU1666" s="8" t="str">
        <f>IF(TRIM($G1666)="","",IF(COUNTIF(LISTS!$I$2:$I$16,TRIM($G1666))&gt;0,"COUNTED",IF(COUNTIF(LISTS!$J$2:$J$16,TRIM($G1666))&gt;0,"LEFT OUT","NEW")))</f>
        <v/>
      </c>
    </row>
    <row r="1667" spans="47:47" x14ac:dyDescent="0.25">
      <c r="AU1667" s="8" t="str">
        <f>IF(TRIM($G1667)="","",IF(COUNTIF(LISTS!$I$2:$I$16,TRIM($G1667))&gt;0,"COUNTED",IF(COUNTIF(LISTS!$J$2:$J$16,TRIM($G1667))&gt;0,"LEFT OUT","NEW")))</f>
        <v/>
      </c>
    </row>
    <row r="1668" spans="47:47" x14ac:dyDescent="0.25">
      <c r="AU1668" s="8" t="str">
        <f>IF(TRIM($G1668)="","",IF(COUNTIF(LISTS!$I$2:$I$16,TRIM($G1668))&gt;0,"COUNTED",IF(COUNTIF(LISTS!$J$2:$J$16,TRIM($G1668))&gt;0,"LEFT OUT","NEW")))</f>
        <v/>
      </c>
    </row>
    <row r="1669" spans="47:47" x14ac:dyDescent="0.25">
      <c r="AU1669" s="8" t="str">
        <f>IF(TRIM($G1669)="","",IF(COUNTIF(LISTS!$I$2:$I$16,TRIM($G1669))&gt;0,"COUNTED",IF(COUNTIF(LISTS!$J$2:$J$16,TRIM($G1669))&gt;0,"LEFT OUT","NEW")))</f>
        <v/>
      </c>
    </row>
    <row r="1670" spans="47:47" x14ac:dyDescent="0.25">
      <c r="AU1670" s="8" t="str">
        <f>IF(TRIM($G1670)="","",IF(COUNTIF(LISTS!$I$2:$I$16,TRIM($G1670))&gt;0,"COUNTED",IF(COUNTIF(LISTS!$J$2:$J$16,TRIM($G1670))&gt;0,"LEFT OUT","NEW")))</f>
        <v/>
      </c>
    </row>
    <row r="1671" spans="47:47" x14ac:dyDescent="0.25">
      <c r="AU1671" s="8" t="str">
        <f>IF(TRIM($G1671)="","",IF(COUNTIF(LISTS!$I$2:$I$16,TRIM($G1671))&gt;0,"COUNTED",IF(COUNTIF(LISTS!$J$2:$J$16,TRIM($G1671))&gt;0,"LEFT OUT","NEW")))</f>
        <v/>
      </c>
    </row>
    <row r="1672" spans="47:47" x14ac:dyDescent="0.25">
      <c r="AU1672" s="8" t="str">
        <f>IF(TRIM($G1672)="","",IF(COUNTIF(LISTS!$I$2:$I$16,TRIM($G1672))&gt;0,"COUNTED",IF(COUNTIF(LISTS!$J$2:$J$16,TRIM($G1672))&gt;0,"LEFT OUT","NEW")))</f>
        <v/>
      </c>
    </row>
    <row r="1673" spans="47:47" x14ac:dyDescent="0.25">
      <c r="AU1673" s="8" t="str">
        <f>IF(TRIM($G1673)="","",IF(COUNTIF(LISTS!$I$2:$I$16,TRIM($G1673))&gt;0,"COUNTED",IF(COUNTIF(LISTS!$J$2:$J$16,TRIM($G1673))&gt;0,"LEFT OUT","NEW")))</f>
        <v/>
      </c>
    </row>
    <row r="1674" spans="47:47" x14ac:dyDescent="0.25">
      <c r="AU1674" s="8" t="str">
        <f>IF(TRIM($G1674)="","",IF(COUNTIF(LISTS!$I$2:$I$16,TRIM($G1674))&gt;0,"COUNTED",IF(COUNTIF(LISTS!$J$2:$J$16,TRIM($G1674))&gt;0,"LEFT OUT","NEW")))</f>
        <v/>
      </c>
    </row>
    <row r="1675" spans="47:47" x14ac:dyDescent="0.25">
      <c r="AU1675" s="8" t="str">
        <f>IF(TRIM($G1675)="","",IF(COUNTIF(LISTS!$I$2:$I$16,TRIM($G1675))&gt;0,"COUNTED",IF(COUNTIF(LISTS!$J$2:$J$16,TRIM($G1675))&gt;0,"LEFT OUT","NEW")))</f>
        <v/>
      </c>
    </row>
    <row r="1676" spans="47:47" x14ac:dyDescent="0.25">
      <c r="AU1676" s="8" t="str">
        <f>IF(TRIM($G1676)="","",IF(COUNTIF(LISTS!$I$2:$I$16,TRIM($G1676))&gt;0,"COUNTED",IF(COUNTIF(LISTS!$J$2:$J$16,TRIM($G1676))&gt;0,"LEFT OUT","NEW")))</f>
        <v/>
      </c>
    </row>
    <row r="1677" spans="47:47" x14ac:dyDescent="0.25">
      <c r="AU1677" s="8" t="str">
        <f>IF(TRIM($G1677)="","",IF(COUNTIF(LISTS!$I$2:$I$16,TRIM($G1677))&gt;0,"COUNTED",IF(COUNTIF(LISTS!$J$2:$J$16,TRIM($G1677))&gt;0,"LEFT OUT","NEW")))</f>
        <v/>
      </c>
    </row>
    <row r="1678" spans="47:47" x14ac:dyDescent="0.25">
      <c r="AU1678" s="8" t="str">
        <f>IF(TRIM($G1678)="","",IF(COUNTIF(LISTS!$I$2:$I$16,TRIM($G1678))&gt;0,"COUNTED",IF(COUNTIF(LISTS!$J$2:$J$16,TRIM($G1678))&gt;0,"LEFT OUT","NEW")))</f>
        <v/>
      </c>
    </row>
    <row r="1679" spans="47:47" x14ac:dyDescent="0.25">
      <c r="AU1679" s="8" t="str">
        <f>IF(TRIM($G1679)="","",IF(COUNTIF(LISTS!$I$2:$I$16,TRIM($G1679))&gt;0,"COUNTED",IF(COUNTIF(LISTS!$J$2:$J$16,TRIM($G1679))&gt;0,"LEFT OUT","NEW")))</f>
        <v/>
      </c>
    </row>
    <row r="1680" spans="47:47" x14ac:dyDescent="0.25">
      <c r="AU1680" s="8" t="str">
        <f>IF(TRIM($G1680)="","",IF(COUNTIF(LISTS!$I$2:$I$16,TRIM($G1680))&gt;0,"COUNTED",IF(COUNTIF(LISTS!$J$2:$J$16,TRIM($G1680))&gt;0,"LEFT OUT","NEW")))</f>
        <v/>
      </c>
    </row>
    <row r="1681" spans="47:47" x14ac:dyDescent="0.25">
      <c r="AU1681" s="8" t="str">
        <f>IF(TRIM($G1681)="","",IF(COUNTIF(LISTS!$I$2:$I$16,TRIM($G1681))&gt;0,"COUNTED",IF(COUNTIF(LISTS!$J$2:$J$16,TRIM($G1681))&gt;0,"LEFT OUT","NEW")))</f>
        <v/>
      </c>
    </row>
    <row r="1682" spans="47:47" x14ac:dyDescent="0.25">
      <c r="AU1682" s="8" t="str">
        <f>IF(TRIM($G1682)="","",IF(COUNTIF(LISTS!$I$2:$I$16,TRIM($G1682))&gt;0,"COUNTED",IF(COUNTIF(LISTS!$J$2:$J$16,TRIM($G1682))&gt;0,"LEFT OUT","NEW")))</f>
        <v/>
      </c>
    </row>
    <row r="1683" spans="47:47" x14ac:dyDescent="0.25">
      <c r="AU1683" s="8" t="str">
        <f>IF(TRIM($G1683)="","",IF(COUNTIF(LISTS!$I$2:$I$16,TRIM($G1683))&gt;0,"COUNTED",IF(COUNTIF(LISTS!$J$2:$J$16,TRIM($G1683))&gt;0,"LEFT OUT","NEW")))</f>
        <v/>
      </c>
    </row>
    <row r="1684" spans="47:47" x14ac:dyDescent="0.25">
      <c r="AU1684" s="8" t="str">
        <f>IF(TRIM($G1684)="","",IF(COUNTIF(LISTS!$I$2:$I$16,TRIM($G1684))&gt;0,"COUNTED",IF(COUNTIF(LISTS!$J$2:$J$16,TRIM($G1684))&gt;0,"LEFT OUT","NEW")))</f>
        <v/>
      </c>
    </row>
    <row r="1685" spans="47:47" x14ac:dyDescent="0.25">
      <c r="AU1685" s="8" t="str">
        <f>IF(TRIM($G1685)="","",IF(COUNTIF(LISTS!$I$2:$I$16,TRIM($G1685))&gt;0,"COUNTED",IF(COUNTIF(LISTS!$J$2:$J$16,TRIM($G1685))&gt;0,"LEFT OUT","NEW")))</f>
        <v/>
      </c>
    </row>
    <row r="1686" spans="47:47" x14ac:dyDescent="0.25">
      <c r="AU1686" s="8" t="str">
        <f>IF(TRIM($G1686)="","",IF(COUNTIF(LISTS!$I$2:$I$16,TRIM($G1686))&gt;0,"COUNTED",IF(COUNTIF(LISTS!$J$2:$J$16,TRIM($G1686))&gt;0,"LEFT OUT","NEW")))</f>
        <v/>
      </c>
    </row>
    <row r="1687" spans="47:47" x14ac:dyDescent="0.25">
      <c r="AU1687" s="8" t="str">
        <f>IF(TRIM($G1687)="","",IF(COUNTIF(LISTS!$I$2:$I$16,TRIM($G1687))&gt;0,"COUNTED",IF(COUNTIF(LISTS!$J$2:$J$16,TRIM($G1687))&gt;0,"LEFT OUT","NEW")))</f>
        <v/>
      </c>
    </row>
    <row r="1688" spans="47:47" x14ac:dyDescent="0.25">
      <c r="AU1688" s="8" t="str">
        <f>IF(TRIM($G1688)="","",IF(COUNTIF(LISTS!$I$2:$I$16,TRIM($G1688))&gt;0,"COUNTED",IF(COUNTIF(LISTS!$J$2:$J$16,TRIM($G1688))&gt;0,"LEFT OUT","NEW")))</f>
        <v/>
      </c>
    </row>
    <row r="1689" spans="47:47" x14ac:dyDescent="0.25">
      <c r="AU1689" s="8" t="str">
        <f>IF(TRIM($G1689)="","",IF(COUNTIF(LISTS!$I$2:$I$16,TRIM($G1689))&gt;0,"COUNTED",IF(COUNTIF(LISTS!$J$2:$J$16,TRIM($G1689))&gt;0,"LEFT OUT","NEW")))</f>
        <v/>
      </c>
    </row>
    <row r="1690" spans="47:47" x14ac:dyDescent="0.25">
      <c r="AU1690" s="8" t="str">
        <f>IF(TRIM($G1690)="","",IF(COUNTIF(LISTS!$I$2:$I$16,TRIM($G1690))&gt;0,"COUNTED",IF(COUNTIF(LISTS!$J$2:$J$16,TRIM($G1690))&gt;0,"LEFT OUT","NEW")))</f>
        <v/>
      </c>
    </row>
    <row r="1691" spans="47:47" x14ac:dyDescent="0.25">
      <c r="AU1691" s="8" t="str">
        <f>IF(TRIM($G1691)="","",IF(COUNTIF(LISTS!$I$2:$I$16,TRIM($G1691))&gt;0,"COUNTED",IF(COUNTIF(LISTS!$J$2:$J$16,TRIM($G1691))&gt;0,"LEFT OUT","NEW")))</f>
        <v/>
      </c>
    </row>
    <row r="1692" spans="47:47" x14ac:dyDescent="0.25">
      <c r="AU1692" s="8" t="str">
        <f>IF(TRIM($G1692)="","",IF(COUNTIF(LISTS!$I$2:$I$16,TRIM($G1692))&gt;0,"COUNTED",IF(COUNTIF(LISTS!$J$2:$J$16,TRIM($G1692))&gt;0,"LEFT OUT","NEW")))</f>
        <v/>
      </c>
    </row>
    <row r="1693" spans="47:47" x14ac:dyDescent="0.25">
      <c r="AU1693" s="8" t="str">
        <f>IF(TRIM($G1693)="","",IF(COUNTIF(LISTS!$I$2:$I$16,TRIM($G1693))&gt;0,"COUNTED",IF(COUNTIF(LISTS!$J$2:$J$16,TRIM($G1693))&gt;0,"LEFT OUT","NEW")))</f>
        <v/>
      </c>
    </row>
    <row r="1694" spans="47:47" x14ac:dyDescent="0.25">
      <c r="AU1694" s="8" t="str">
        <f>IF(TRIM($G1694)="","",IF(COUNTIF(LISTS!$I$2:$I$16,TRIM($G1694))&gt;0,"COUNTED",IF(COUNTIF(LISTS!$J$2:$J$16,TRIM($G1694))&gt;0,"LEFT OUT","NEW")))</f>
        <v/>
      </c>
    </row>
    <row r="1695" spans="47:47" x14ac:dyDescent="0.25">
      <c r="AU1695" s="8" t="str">
        <f>IF(TRIM($G1695)="","",IF(COUNTIF(LISTS!$I$2:$I$16,TRIM($G1695))&gt;0,"COUNTED",IF(COUNTIF(LISTS!$J$2:$J$16,TRIM($G1695))&gt;0,"LEFT OUT","NEW")))</f>
        <v/>
      </c>
    </row>
    <row r="1696" spans="47:47" x14ac:dyDescent="0.25">
      <c r="AU1696" s="8" t="str">
        <f>IF(TRIM($G1696)="","",IF(COUNTIF(LISTS!$I$2:$I$16,TRIM($G1696))&gt;0,"COUNTED",IF(COUNTIF(LISTS!$J$2:$J$16,TRIM($G1696))&gt;0,"LEFT OUT","NEW")))</f>
        <v/>
      </c>
    </row>
    <row r="1697" spans="47:47" x14ac:dyDescent="0.25">
      <c r="AU1697" s="8" t="str">
        <f>IF(TRIM($G1697)="","",IF(COUNTIF(LISTS!$I$2:$I$16,TRIM($G1697))&gt;0,"COUNTED",IF(COUNTIF(LISTS!$J$2:$J$16,TRIM($G1697))&gt;0,"LEFT OUT","NEW")))</f>
        <v/>
      </c>
    </row>
    <row r="1698" spans="47:47" x14ac:dyDescent="0.25">
      <c r="AU1698" s="8" t="str">
        <f>IF(TRIM($G1698)="","",IF(COUNTIF(LISTS!$I$2:$I$16,TRIM($G1698))&gt;0,"COUNTED",IF(COUNTIF(LISTS!$J$2:$J$16,TRIM($G1698))&gt;0,"LEFT OUT","NEW")))</f>
        <v/>
      </c>
    </row>
    <row r="1699" spans="47:47" x14ac:dyDescent="0.25">
      <c r="AU1699" s="8" t="str">
        <f>IF(TRIM($G1699)="","",IF(COUNTIF(LISTS!$I$2:$I$16,TRIM($G1699))&gt;0,"COUNTED",IF(COUNTIF(LISTS!$J$2:$J$16,TRIM($G1699))&gt;0,"LEFT OUT","NEW")))</f>
        <v/>
      </c>
    </row>
    <row r="1700" spans="47:47" x14ac:dyDescent="0.25">
      <c r="AU1700" s="8" t="str">
        <f>IF(TRIM($G1700)="","",IF(COUNTIF(LISTS!$I$2:$I$16,TRIM($G1700))&gt;0,"COUNTED",IF(COUNTIF(LISTS!$J$2:$J$16,TRIM($G1700))&gt;0,"LEFT OUT","NEW")))</f>
        <v/>
      </c>
    </row>
    <row r="1701" spans="47:47" x14ac:dyDescent="0.25">
      <c r="AU1701" s="8" t="str">
        <f>IF(TRIM($G1701)="","",IF(COUNTIF(LISTS!$I$2:$I$16,TRIM($G1701))&gt;0,"COUNTED",IF(COUNTIF(LISTS!$J$2:$J$16,TRIM($G1701))&gt;0,"LEFT OUT","NEW")))</f>
        <v/>
      </c>
    </row>
    <row r="1702" spans="47:47" x14ac:dyDescent="0.25">
      <c r="AU1702" s="8" t="str">
        <f>IF(TRIM($G1702)="","",IF(COUNTIF(LISTS!$I$2:$I$16,TRIM($G1702))&gt;0,"COUNTED",IF(COUNTIF(LISTS!$J$2:$J$16,TRIM($G1702))&gt;0,"LEFT OUT","NEW")))</f>
        <v/>
      </c>
    </row>
    <row r="1703" spans="47:47" x14ac:dyDescent="0.25">
      <c r="AU1703" s="8" t="str">
        <f>IF(TRIM($G1703)="","",IF(COUNTIF(LISTS!$I$2:$I$16,TRIM($G1703))&gt;0,"COUNTED",IF(COUNTIF(LISTS!$J$2:$J$16,TRIM($G1703))&gt;0,"LEFT OUT","NEW")))</f>
        <v/>
      </c>
    </row>
    <row r="1704" spans="47:47" x14ac:dyDescent="0.25">
      <c r="AU1704" s="8" t="str">
        <f>IF(TRIM($G1704)="","",IF(COUNTIF(LISTS!$I$2:$I$16,TRIM($G1704))&gt;0,"COUNTED",IF(COUNTIF(LISTS!$J$2:$J$16,TRIM($G1704))&gt;0,"LEFT OUT","NEW")))</f>
        <v/>
      </c>
    </row>
    <row r="1705" spans="47:47" x14ac:dyDescent="0.25">
      <c r="AU1705" s="8" t="str">
        <f>IF(TRIM($G1705)="","",IF(COUNTIF(LISTS!$I$2:$I$16,TRIM($G1705))&gt;0,"COUNTED",IF(COUNTIF(LISTS!$J$2:$J$16,TRIM($G1705))&gt;0,"LEFT OUT","NEW")))</f>
        <v/>
      </c>
    </row>
    <row r="1706" spans="47:47" x14ac:dyDescent="0.25">
      <c r="AU1706" s="8" t="str">
        <f>IF(TRIM($G1706)="","",IF(COUNTIF(LISTS!$I$2:$I$16,TRIM($G1706))&gt;0,"COUNTED",IF(COUNTIF(LISTS!$J$2:$J$16,TRIM($G1706))&gt;0,"LEFT OUT","NEW")))</f>
        <v/>
      </c>
    </row>
    <row r="1707" spans="47:47" x14ac:dyDescent="0.25">
      <c r="AU1707" s="8" t="str">
        <f>IF(TRIM($G1707)="","",IF(COUNTIF(LISTS!$I$2:$I$16,TRIM($G1707))&gt;0,"COUNTED",IF(COUNTIF(LISTS!$J$2:$J$16,TRIM($G1707))&gt;0,"LEFT OUT","NEW")))</f>
        <v/>
      </c>
    </row>
    <row r="1708" spans="47:47" x14ac:dyDescent="0.25">
      <c r="AU1708" s="8" t="str">
        <f>IF(TRIM($G1708)="","",IF(COUNTIF(LISTS!$I$2:$I$16,TRIM($G1708))&gt;0,"COUNTED",IF(COUNTIF(LISTS!$J$2:$J$16,TRIM($G1708))&gt;0,"LEFT OUT","NEW")))</f>
        <v/>
      </c>
    </row>
    <row r="1709" spans="47:47" x14ac:dyDescent="0.25">
      <c r="AU1709" s="8" t="str">
        <f>IF(TRIM($G1709)="","",IF(COUNTIF(LISTS!$I$2:$I$16,TRIM($G1709))&gt;0,"COUNTED",IF(COUNTIF(LISTS!$J$2:$J$16,TRIM($G1709))&gt;0,"LEFT OUT","NEW")))</f>
        <v/>
      </c>
    </row>
    <row r="1710" spans="47:47" x14ac:dyDescent="0.25">
      <c r="AU1710" s="8" t="str">
        <f>IF(TRIM($G1710)="","",IF(COUNTIF(LISTS!$I$2:$I$16,TRIM($G1710))&gt;0,"COUNTED",IF(COUNTIF(LISTS!$J$2:$J$16,TRIM($G1710))&gt;0,"LEFT OUT","NEW")))</f>
        <v/>
      </c>
    </row>
    <row r="1711" spans="47:47" x14ac:dyDescent="0.25">
      <c r="AU1711" s="8" t="str">
        <f>IF(TRIM($G1711)="","",IF(COUNTIF(LISTS!$I$2:$I$16,TRIM($G1711))&gt;0,"COUNTED",IF(COUNTIF(LISTS!$J$2:$J$16,TRIM($G1711))&gt;0,"LEFT OUT","NEW")))</f>
        <v/>
      </c>
    </row>
    <row r="1712" spans="47:47" x14ac:dyDescent="0.25">
      <c r="AU1712" s="8" t="str">
        <f>IF(TRIM($G1712)="","",IF(COUNTIF(LISTS!$I$2:$I$16,TRIM($G1712))&gt;0,"COUNTED",IF(COUNTIF(LISTS!$J$2:$J$16,TRIM($G1712))&gt;0,"LEFT OUT","NEW")))</f>
        <v/>
      </c>
    </row>
    <row r="1713" spans="47:47" x14ac:dyDescent="0.25">
      <c r="AU1713" s="8" t="str">
        <f>IF(TRIM($G1713)="","",IF(COUNTIF(LISTS!$I$2:$I$16,TRIM($G1713))&gt;0,"COUNTED",IF(COUNTIF(LISTS!$J$2:$J$16,TRIM($G1713))&gt;0,"LEFT OUT","NEW")))</f>
        <v/>
      </c>
    </row>
    <row r="1714" spans="47:47" x14ac:dyDescent="0.25">
      <c r="AU1714" s="8" t="str">
        <f>IF(TRIM($G1714)="","",IF(COUNTIF(LISTS!$I$2:$I$16,TRIM($G1714))&gt;0,"COUNTED",IF(COUNTIF(LISTS!$J$2:$J$16,TRIM($G1714))&gt;0,"LEFT OUT","NEW")))</f>
        <v/>
      </c>
    </row>
    <row r="1715" spans="47:47" x14ac:dyDescent="0.25">
      <c r="AU1715" s="8" t="str">
        <f>IF(TRIM($G1715)="","",IF(COUNTIF(LISTS!$I$2:$I$16,TRIM($G1715))&gt;0,"COUNTED",IF(COUNTIF(LISTS!$J$2:$J$16,TRIM($G1715))&gt;0,"LEFT OUT","NEW")))</f>
        <v/>
      </c>
    </row>
    <row r="1716" spans="47:47" x14ac:dyDescent="0.25">
      <c r="AU1716" s="8" t="str">
        <f>IF(TRIM($G1716)="","",IF(COUNTIF(LISTS!$I$2:$I$16,TRIM($G1716))&gt;0,"COUNTED",IF(COUNTIF(LISTS!$J$2:$J$16,TRIM($G1716))&gt;0,"LEFT OUT","NEW")))</f>
        <v/>
      </c>
    </row>
    <row r="1717" spans="47:47" x14ac:dyDescent="0.25">
      <c r="AU1717" s="8" t="str">
        <f>IF(TRIM($G1717)="","",IF(COUNTIF(LISTS!$I$2:$I$16,TRIM($G1717))&gt;0,"COUNTED",IF(COUNTIF(LISTS!$J$2:$J$16,TRIM($G1717))&gt;0,"LEFT OUT","NEW")))</f>
        <v/>
      </c>
    </row>
    <row r="1718" spans="47:47" x14ac:dyDescent="0.25">
      <c r="AU1718" s="8" t="str">
        <f>IF(TRIM($G1718)="","",IF(COUNTIF(LISTS!$I$2:$I$16,TRIM($G1718))&gt;0,"COUNTED",IF(COUNTIF(LISTS!$J$2:$J$16,TRIM($G1718))&gt;0,"LEFT OUT","NEW")))</f>
        <v/>
      </c>
    </row>
    <row r="1719" spans="47:47" x14ac:dyDescent="0.25">
      <c r="AU1719" s="8" t="str">
        <f>IF(TRIM($G1719)="","",IF(COUNTIF(LISTS!$I$2:$I$16,TRIM($G1719))&gt;0,"COUNTED",IF(COUNTIF(LISTS!$J$2:$J$16,TRIM($G1719))&gt;0,"LEFT OUT","NEW")))</f>
        <v/>
      </c>
    </row>
    <row r="1720" spans="47:47" x14ac:dyDescent="0.25">
      <c r="AU1720" s="8" t="str">
        <f>IF(TRIM($G1720)="","",IF(COUNTIF(LISTS!$I$2:$I$16,TRIM($G1720))&gt;0,"COUNTED",IF(COUNTIF(LISTS!$J$2:$J$16,TRIM($G1720))&gt;0,"LEFT OUT","NEW")))</f>
        <v/>
      </c>
    </row>
    <row r="1721" spans="47:47" x14ac:dyDescent="0.25">
      <c r="AU1721" s="8" t="str">
        <f>IF(TRIM($G1721)="","",IF(COUNTIF(LISTS!$I$2:$I$16,TRIM($G1721))&gt;0,"COUNTED",IF(COUNTIF(LISTS!$J$2:$J$16,TRIM($G1721))&gt;0,"LEFT OUT","NEW")))</f>
        <v/>
      </c>
    </row>
    <row r="1722" spans="47:47" x14ac:dyDescent="0.25">
      <c r="AU1722" s="8" t="str">
        <f>IF(TRIM($G1722)="","",IF(COUNTIF(LISTS!$I$2:$I$16,TRIM($G1722))&gt;0,"COUNTED",IF(COUNTIF(LISTS!$J$2:$J$16,TRIM($G1722))&gt;0,"LEFT OUT","NEW")))</f>
        <v/>
      </c>
    </row>
    <row r="1723" spans="47:47" x14ac:dyDescent="0.25">
      <c r="AU1723" s="8" t="str">
        <f>IF(TRIM($G1723)="","",IF(COUNTIF(LISTS!$I$2:$I$16,TRIM($G1723))&gt;0,"COUNTED",IF(COUNTIF(LISTS!$J$2:$J$16,TRIM($G1723))&gt;0,"LEFT OUT","NEW")))</f>
        <v/>
      </c>
    </row>
    <row r="1724" spans="47:47" x14ac:dyDescent="0.25">
      <c r="AU1724" s="8" t="str">
        <f>IF(TRIM($G1724)="","",IF(COUNTIF(LISTS!$I$2:$I$16,TRIM($G1724))&gt;0,"COUNTED",IF(COUNTIF(LISTS!$J$2:$J$16,TRIM($G1724))&gt;0,"LEFT OUT","NEW")))</f>
        <v/>
      </c>
    </row>
    <row r="1725" spans="47:47" x14ac:dyDescent="0.25">
      <c r="AU1725" s="8" t="str">
        <f>IF(TRIM($G1725)="","",IF(COUNTIF(LISTS!$I$2:$I$16,TRIM($G1725))&gt;0,"COUNTED",IF(COUNTIF(LISTS!$J$2:$J$16,TRIM($G1725))&gt;0,"LEFT OUT","NEW")))</f>
        <v/>
      </c>
    </row>
    <row r="1726" spans="47:47" x14ac:dyDescent="0.25">
      <c r="AU1726" s="8" t="str">
        <f>IF(TRIM($G1726)="","",IF(COUNTIF(LISTS!$I$2:$I$16,TRIM($G1726))&gt;0,"COUNTED",IF(COUNTIF(LISTS!$J$2:$J$16,TRIM($G1726))&gt;0,"LEFT OUT","NEW")))</f>
        <v/>
      </c>
    </row>
    <row r="1727" spans="47:47" x14ac:dyDescent="0.25">
      <c r="AU1727" s="8" t="str">
        <f>IF(TRIM($G1727)="","",IF(COUNTIF(LISTS!$I$2:$I$16,TRIM($G1727))&gt;0,"COUNTED",IF(COUNTIF(LISTS!$J$2:$J$16,TRIM($G1727))&gt;0,"LEFT OUT","NEW")))</f>
        <v/>
      </c>
    </row>
    <row r="1728" spans="47:47" x14ac:dyDescent="0.25">
      <c r="AU1728" s="8" t="str">
        <f>IF(TRIM($G1728)="","",IF(COUNTIF(LISTS!$I$2:$I$16,TRIM($G1728))&gt;0,"COUNTED",IF(COUNTIF(LISTS!$J$2:$J$16,TRIM($G1728))&gt;0,"LEFT OUT","NEW")))</f>
        <v/>
      </c>
    </row>
    <row r="1729" spans="47:47" x14ac:dyDescent="0.25">
      <c r="AU1729" s="8" t="str">
        <f>IF(TRIM($G1729)="","",IF(COUNTIF(LISTS!$I$2:$I$16,TRIM($G1729))&gt;0,"COUNTED",IF(COUNTIF(LISTS!$J$2:$J$16,TRIM($G1729))&gt;0,"LEFT OUT","NEW")))</f>
        <v/>
      </c>
    </row>
    <row r="1730" spans="47:47" x14ac:dyDescent="0.25">
      <c r="AU1730" s="8" t="str">
        <f>IF(TRIM($G1730)="","",IF(COUNTIF(LISTS!$I$2:$I$16,TRIM($G1730))&gt;0,"COUNTED",IF(COUNTIF(LISTS!$J$2:$J$16,TRIM($G1730))&gt;0,"LEFT OUT","NEW")))</f>
        <v/>
      </c>
    </row>
    <row r="1731" spans="47:47" x14ac:dyDescent="0.25">
      <c r="AU1731" s="8" t="str">
        <f>IF(TRIM($G1731)="","",IF(COUNTIF(LISTS!$I$2:$I$16,TRIM($G1731))&gt;0,"COUNTED",IF(COUNTIF(LISTS!$J$2:$J$16,TRIM($G1731))&gt;0,"LEFT OUT","NEW")))</f>
        <v/>
      </c>
    </row>
    <row r="1732" spans="47:47" x14ac:dyDescent="0.25">
      <c r="AU1732" s="8" t="str">
        <f>IF(TRIM($G1732)="","",IF(COUNTIF(LISTS!$I$2:$I$16,TRIM($G1732))&gt;0,"COUNTED",IF(COUNTIF(LISTS!$J$2:$J$16,TRIM($G1732))&gt;0,"LEFT OUT","NEW")))</f>
        <v/>
      </c>
    </row>
    <row r="1733" spans="47:47" x14ac:dyDescent="0.25">
      <c r="AU1733" s="8" t="str">
        <f>IF(TRIM($G1733)="","",IF(COUNTIF(LISTS!$I$2:$I$16,TRIM($G1733))&gt;0,"COUNTED",IF(COUNTIF(LISTS!$J$2:$J$16,TRIM($G1733))&gt;0,"LEFT OUT","NEW")))</f>
        <v/>
      </c>
    </row>
    <row r="1734" spans="47:47" x14ac:dyDescent="0.25">
      <c r="AU1734" s="8" t="str">
        <f>IF(TRIM($G1734)="","",IF(COUNTIF(LISTS!$I$2:$I$16,TRIM($G1734))&gt;0,"COUNTED",IF(COUNTIF(LISTS!$J$2:$J$16,TRIM($G1734))&gt;0,"LEFT OUT","NEW")))</f>
        <v/>
      </c>
    </row>
    <row r="1735" spans="47:47" x14ac:dyDescent="0.25">
      <c r="AU1735" s="8" t="str">
        <f>IF(TRIM($G1735)="","",IF(COUNTIF(LISTS!$I$2:$I$16,TRIM($G1735))&gt;0,"COUNTED",IF(COUNTIF(LISTS!$J$2:$J$16,TRIM($G1735))&gt;0,"LEFT OUT","NEW")))</f>
        <v/>
      </c>
    </row>
    <row r="1736" spans="47:47" x14ac:dyDescent="0.25">
      <c r="AU1736" s="8" t="str">
        <f>IF(TRIM($G1736)="","",IF(COUNTIF(LISTS!$I$2:$I$16,TRIM($G1736))&gt;0,"COUNTED",IF(COUNTIF(LISTS!$J$2:$J$16,TRIM($G1736))&gt;0,"LEFT OUT","NEW")))</f>
        <v/>
      </c>
    </row>
    <row r="1737" spans="47:47" x14ac:dyDescent="0.25">
      <c r="AU1737" s="8" t="str">
        <f>IF(TRIM($G1737)="","",IF(COUNTIF(LISTS!$I$2:$I$16,TRIM($G1737))&gt;0,"COUNTED",IF(COUNTIF(LISTS!$J$2:$J$16,TRIM($G1737))&gt;0,"LEFT OUT","NEW")))</f>
        <v/>
      </c>
    </row>
    <row r="1738" spans="47:47" x14ac:dyDescent="0.25">
      <c r="AU1738" s="8" t="str">
        <f>IF(TRIM($G1738)="","",IF(COUNTIF(LISTS!$I$2:$I$16,TRIM($G1738))&gt;0,"COUNTED",IF(COUNTIF(LISTS!$J$2:$J$16,TRIM($G1738))&gt;0,"LEFT OUT","NEW")))</f>
        <v/>
      </c>
    </row>
    <row r="1739" spans="47:47" x14ac:dyDescent="0.25">
      <c r="AU1739" s="8" t="str">
        <f>IF(TRIM($G1739)="","",IF(COUNTIF(LISTS!$I$2:$I$16,TRIM($G1739))&gt;0,"COUNTED",IF(COUNTIF(LISTS!$J$2:$J$16,TRIM($G1739))&gt;0,"LEFT OUT","NEW")))</f>
        <v/>
      </c>
    </row>
    <row r="1740" spans="47:47" x14ac:dyDescent="0.25">
      <c r="AU1740" s="8" t="str">
        <f>IF(TRIM($G1740)="","",IF(COUNTIF(LISTS!$I$2:$I$16,TRIM($G1740))&gt;0,"COUNTED",IF(COUNTIF(LISTS!$J$2:$J$16,TRIM($G1740))&gt;0,"LEFT OUT","NEW")))</f>
        <v/>
      </c>
    </row>
    <row r="1741" spans="47:47" x14ac:dyDescent="0.25">
      <c r="AU1741" s="8" t="str">
        <f>IF(TRIM($G1741)="","",IF(COUNTIF(LISTS!$I$2:$I$16,TRIM($G1741))&gt;0,"COUNTED",IF(COUNTIF(LISTS!$J$2:$J$16,TRIM($G1741))&gt;0,"LEFT OUT","NEW")))</f>
        <v/>
      </c>
    </row>
    <row r="1742" spans="47:47" x14ac:dyDescent="0.25">
      <c r="AU1742" s="8" t="str">
        <f>IF(TRIM($G1742)="","",IF(COUNTIF(LISTS!$I$2:$I$16,TRIM($G1742))&gt;0,"COUNTED",IF(COUNTIF(LISTS!$J$2:$J$16,TRIM($G1742))&gt;0,"LEFT OUT","NEW")))</f>
        <v/>
      </c>
    </row>
    <row r="1743" spans="47:47" x14ac:dyDescent="0.25">
      <c r="AU1743" s="8" t="str">
        <f>IF(TRIM($G1743)="","",IF(COUNTIF(LISTS!$I$2:$I$16,TRIM($G1743))&gt;0,"COUNTED",IF(COUNTIF(LISTS!$J$2:$J$16,TRIM($G1743))&gt;0,"LEFT OUT","NEW")))</f>
        <v/>
      </c>
    </row>
    <row r="1744" spans="47:47" x14ac:dyDescent="0.25">
      <c r="AU1744" s="8" t="str">
        <f>IF(TRIM($G1744)="","",IF(COUNTIF(LISTS!$I$2:$I$16,TRIM($G1744))&gt;0,"COUNTED",IF(COUNTIF(LISTS!$J$2:$J$16,TRIM($G1744))&gt;0,"LEFT OUT","NEW")))</f>
        <v/>
      </c>
    </row>
    <row r="1745" spans="47:47" x14ac:dyDescent="0.25">
      <c r="AU1745" s="8" t="str">
        <f>IF(TRIM($G1745)="","",IF(COUNTIF(LISTS!$I$2:$I$16,TRIM($G1745))&gt;0,"COUNTED",IF(COUNTIF(LISTS!$J$2:$J$16,TRIM($G1745))&gt;0,"LEFT OUT","NEW")))</f>
        <v/>
      </c>
    </row>
    <row r="1746" spans="47:47" x14ac:dyDescent="0.25">
      <c r="AU1746" s="8" t="str">
        <f>IF(TRIM($G1746)="","",IF(COUNTIF(LISTS!$I$2:$I$16,TRIM($G1746))&gt;0,"COUNTED",IF(COUNTIF(LISTS!$J$2:$J$16,TRIM($G1746))&gt;0,"LEFT OUT","NEW")))</f>
        <v/>
      </c>
    </row>
    <row r="1747" spans="47:47" x14ac:dyDescent="0.25">
      <c r="AU1747" s="8" t="str">
        <f>IF(TRIM($G1747)="","",IF(COUNTIF(LISTS!$I$2:$I$16,TRIM($G1747))&gt;0,"COUNTED",IF(COUNTIF(LISTS!$J$2:$J$16,TRIM($G1747))&gt;0,"LEFT OUT","NEW")))</f>
        <v/>
      </c>
    </row>
    <row r="1748" spans="47:47" x14ac:dyDescent="0.25">
      <c r="AU1748" s="8" t="str">
        <f>IF(TRIM($G1748)="","",IF(COUNTIF(LISTS!$I$2:$I$16,TRIM($G1748))&gt;0,"COUNTED",IF(COUNTIF(LISTS!$J$2:$J$16,TRIM($G1748))&gt;0,"LEFT OUT","NEW")))</f>
        <v/>
      </c>
    </row>
    <row r="1749" spans="47:47" x14ac:dyDescent="0.25">
      <c r="AU1749" s="8" t="str">
        <f>IF(TRIM($G1749)="","",IF(COUNTIF(LISTS!$I$2:$I$16,TRIM($G1749))&gt;0,"COUNTED",IF(COUNTIF(LISTS!$J$2:$J$16,TRIM($G1749))&gt;0,"LEFT OUT","NEW")))</f>
        <v/>
      </c>
    </row>
    <row r="1750" spans="47:47" x14ac:dyDescent="0.25">
      <c r="AU1750" s="8" t="str">
        <f>IF(TRIM($G1750)="","",IF(COUNTIF(LISTS!$I$2:$I$16,TRIM($G1750))&gt;0,"COUNTED",IF(COUNTIF(LISTS!$J$2:$J$16,TRIM($G1750))&gt;0,"LEFT OUT","NEW")))</f>
        <v/>
      </c>
    </row>
    <row r="1751" spans="47:47" x14ac:dyDescent="0.25">
      <c r="AU1751" s="8" t="str">
        <f>IF(TRIM($G1751)="","",IF(COUNTIF(LISTS!$I$2:$I$16,TRIM($G1751))&gt;0,"COUNTED",IF(COUNTIF(LISTS!$J$2:$J$16,TRIM($G1751))&gt;0,"LEFT OUT","NEW")))</f>
        <v/>
      </c>
    </row>
    <row r="1752" spans="47:47" x14ac:dyDescent="0.25">
      <c r="AU1752" s="8" t="str">
        <f>IF(TRIM($G1752)="","",IF(COUNTIF(LISTS!$I$2:$I$16,TRIM($G1752))&gt;0,"COUNTED",IF(COUNTIF(LISTS!$J$2:$J$16,TRIM($G1752))&gt;0,"LEFT OUT","NEW")))</f>
        <v/>
      </c>
    </row>
    <row r="1753" spans="47:47" x14ac:dyDescent="0.25">
      <c r="AU1753" s="8" t="str">
        <f>IF(TRIM($G1753)="","",IF(COUNTIF(LISTS!$I$2:$I$16,TRIM($G1753))&gt;0,"COUNTED",IF(COUNTIF(LISTS!$J$2:$J$16,TRIM($G1753))&gt;0,"LEFT OUT","NEW")))</f>
        <v/>
      </c>
    </row>
    <row r="1754" spans="47:47" x14ac:dyDescent="0.25">
      <c r="AU1754" s="8" t="str">
        <f>IF(TRIM($G1754)="","",IF(COUNTIF(LISTS!$I$2:$I$16,TRIM($G1754))&gt;0,"COUNTED",IF(COUNTIF(LISTS!$J$2:$J$16,TRIM($G1754))&gt;0,"LEFT OUT","NEW")))</f>
        <v/>
      </c>
    </row>
    <row r="1755" spans="47:47" x14ac:dyDescent="0.25">
      <c r="AU1755" s="8" t="str">
        <f>IF(TRIM($G1755)="","",IF(COUNTIF(LISTS!$I$2:$I$16,TRIM($G1755))&gt;0,"COUNTED",IF(COUNTIF(LISTS!$J$2:$J$16,TRIM($G1755))&gt;0,"LEFT OUT","NEW")))</f>
        <v/>
      </c>
    </row>
    <row r="1756" spans="47:47" x14ac:dyDescent="0.25">
      <c r="AU1756" s="8" t="str">
        <f>IF(TRIM($G1756)="","",IF(COUNTIF(LISTS!$I$2:$I$16,TRIM($G1756))&gt;0,"COUNTED",IF(COUNTIF(LISTS!$J$2:$J$16,TRIM($G1756))&gt;0,"LEFT OUT","NEW")))</f>
        <v/>
      </c>
    </row>
    <row r="1757" spans="47:47" x14ac:dyDescent="0.25">
      <c r="AU1757" s="8" t="str">
        <f>IF(TRIM($G1757)="","",IF(COUNTIF(LISTS!$I$2:$I$16,TRIM($G1757))&gt;0,"COUNTED",IF(COUNTIF(LISTS!$J$2:$J$16,TRIM($G1757))&gt;0,"LEFT OUT","NEW")))</f>
        <v/>
      </c>
    </row>
    <row r="1758" spans="47:47" x14ac:dyDescent="0.25">
      <c r="AU1758" s="8" t="str">
        <f>IF(TRIM($G1758)="","",IF(COUNTIF(LISTS!$I$2:$I$16,TRIM($G1758))&gt;0,"COUNTED",IF(COUNTIF(LISTS!$J$2:$J$16,TRIM($G1758))&gt;0,"LEFT OUT","NEW")))</f>
        <v/>
      </c>
    </row>
    <row r="1759" spans="47:47" x14ac:dyDescent="0.25">
      <c r="AU1759" s="8" t="str">
        <f>IF(TRIM($G1759)="","",IF(COUNTIF(LISTS!$I$2:$I$16,TRIM($G1759))&gt;0,"COUNTED",IF(COUNTIF(LISTS!$J$2:$J$16,TRIM($G1759))&gt;0,"LEFT OUT","NEW")))</f>
        <v/>
      </c>
    </row>
    <row r="1760" spans="47:47" x14ac:dyDescent="0.25">
      <c r="AU1760" s="8" t="str">
        <f>IF(TRIM($G1760)="","",IF(COUNTIF(LISTS!$I$2:$I$16,TRIM($G1760))&gt;0,"COUNTED",IF(COUNTIF(LISTS!$J$2:$J$16,TRIM($G1760))&gt;0,"LEFT OUT","NEW")))</f>
        <v/>
      </c>
    </row>
    <row r="1761" spans="47:47" x14ac:dyDescent="0.25">
      <c r="AU1761" s="8" t="str">
        <f>IF(TRIM($G1761)="","",IF(COUNTIF(LISTS!$I$2:$I$16,TRIM($G1761))&gt;0,"COUNTED",IF(COUNTIF(LISTS!$J$2:$J$16,TRIM($G1761))&gt;0,"LEFT OUT","NEW")))</f>
        <v/>
      </c>
    </row>
    <row r="1762" spans="47:47" x14ac:dyDescent="0.25">
      <c r="AU1762" s="8" t="str">
        <f>IF(TRIM($G1762)="","",IF(COUNTIF(LISTS!$I$2:$I$16,TRIM($G1762))&gt;0,"COUNTED",IF(COUNTIF(LISTS!$J$2:$J$16,TRIM($G1762))&gt;0,"LEFT OUT","NEW")))</f>
        <v/>
      </c>
    </row>
    <row r="1763" spans="47:47" x14ac:dyDescent="0.25">
      <c r="AU1763" s="8" t="str">
        <f>IF(TRIM($G1763)="","",IF(COUNTIF(LISTS!$I$2:$I$16,TRIM($G1763))&gt;0,"COUNTED",IF(COUNTIF(LISTS!$J$2:$J$16,TRIM($G1763))&gt;0,"LEFT OUT","NEW")))</f>
        <v/>
      </c>
    </row>
    <row r="1764" spans="47:47" x14ac:dyDescent="0.25">
      <c r="AU1764" s="8" t="str">
        <f>IF(TRIM($G1764)="","",IF(COUNTIF(LISTS!$I$2:$I$16,TRIM($G1764))&gt;0,"COUNTED",IF(COUNTIF(LISTS!$J$2:$J$16,TRIM($G1764))&gt;0,"LEFT OUT","NEW")))</f>
        <v/>
      </c>
    </row>
    <row r="1765" spans="47:47" x14ac:dyDescent="0.25">
      <c r="AU1765" s="8" t="str">
        <f>IF(TRIM($G1765)="","",IF(COUNTIF(LISTS!$I$2:$I$16,TRIM($G1765))&gt;0,"COUNTED",IF(COUNTIF(LISTS!$J$2:$J$16,TRIM($G1765))&gt;0,"LEFT OUT","NEW")))</f>
        <v/>
      </c>
    </row>
    <row r="1766" spans="47:47" x14ac:dyDescent="0.25">
      <c r="AU1766" s="8" t="str">
        <f>IF(TRIM($G1766)="","",IF(COUNTIF(LISTS!$I$2:$I$16,TRIM($G1766))&gt;0,"COUNTED",IF(COUNTIF(LISTS!$J$2:$J$16,TRIM($G1766))&gt;0,"LEFT OUT","NEW")))</f>
        <v/>
      </c>
    </row>
    <row r="1767" spans="47:47" x14ac:dyDescent="0.25">
      <c r="AU1767" s="8" t="str">
        <f>IF(TRIM($G1767)="","",IF(COUNTIF(LISTS!$I$2:$I$16,TRIM($G1767))&gt;0,"COUNTED",IF(COUNTIF(LISTS!$J$2:$J$16,TRIM($G1767))&gt;0,"LEFT OUT","NEW")))</f>
        <v/>
      </c>
    </row>
    <row r="1768" spans="47:47" x14ac:dyDescent="0.25">
      <c r="AU1768" s="8" t="str">
        <f>IF(TRIM($G1768)="","",IF(COUNTIF(LISTS!$I$2:$I$16,TRIM($G1768))&gt;0,"COUNTED",IF(COUNTIF(LISTS!$J$2:$J$16,TRIM($G1768))&gt;0,"LEFT OUT","NEW")))</f>
        <v/>
      </c>
    </row>
    <row r="1769" spans="47:47" x14ac:dyDescent="0.25">
      <c r="AU1769" s="8" t="str">
        <f>IF(TRIM($G1769)="","",IF(COUNTIF(LISTS!$I$2:$I$16,TRIM($G1769))&gt;0,"COUNTED",IF(COUNTIF(LISTS!$J$2:$J$16,TRIM($G1769))&gt;0,"LEFT OUT","NEW")))</f>
        <v/>
      </c>
    </row>
    <row r="1770" spans="47:47" x14ac:dyDescent="0.25">
      <c r="AU1770" s="8" t="str">
        <f>IF(TRIM($G1770)="","",IF(COUNTIF(LISTS!$I$2:$I$16,TRIM($G1770))&gt;0,"COUNTED",IF(COUNTIF(LISTS!$J$2:$J$16,TRIM($G1770))&gt;0,"LEFT OUT","NEW")))</f>
        <v/>
      </c>
    </row>
    <row r="1771" spans="47:47" x14ac:dyDescent="0.25">
      <c r="AU1771" s="8" t="str">
        <f>IF(TRIM($G1771)="","",IF(COUNTIF(LISTS!$I$2:$I$16,TRIM($G1771))&gt;0,"COUNTED",IF(COUNTIF(LISTS!$J$2:$J$16,TRIM($G1771))&gt;0,"LEFT OUT","NEW")))</f>
        <v/>
      </c>
    </row>
    <row r="1772" spans="47:47" x14ac:dyDescent="0.25">
      <c r="AU1772" s="8" t="str">
        <f>IF(TRIM($G1772)="","",IF(COUNTIF(LISTS!$I$2:$I$16,TRIM($G1772))&gt;0,"COUNTED",IF(COUNTIF(LISTS!$J$2:$J$16,TRIM($G1772))&gt;0,"LEFT OUT","NEW")))</f>
        <v/>
      </c>
    </row>
    <row r="1773" spans="47:47" x14ac:dyDescent="0.25">
      <c r="AU1773" s="8" t="str">
        <f>IF(TRIM($G1773)="","",IF(COUNTIF(LISTS!$I$2:$I$16,TRIM($G1773))&gt;0,"COUNTED",IF(COUNTIF(LISTS!$J$2:$J$16,TRIM($G1773))&gt;0,"LEFT OUT","NEW")))</f>
        <v/>
      </c>
    </row>
    <row r="1774" spans="47:47" x14ac:dyDescent="0.25">
      <c r="AU1774" s="8" t="str">
        <f>IF(TRIM($G1774)="","",IF(COUNTIF(LISTS!$I$2:$I$16,TRIM($G1774))&gt;0,"COUNTED",IF(COUNTIF(LISTS!$J$2:$J$16,TRIM($G1774))&gt;0,"LEFT OUT","NEW")))</f>
        <v/>
      </c>
    </row>
    <row r="1775" spans="47:47" x14ac:dyDescent="0.25">
      <c r="AU1775" s="8" t="str">
        <f>IF(TRIM($G1775)="","",IF(COUNTIF(LISTS!$I$2:$I$16,TRIM($G1775))&gt;0,"COUNTED",IF(COUNTIF(LISTS!$J$2:$J$16,TRIM($G1775))&gt;0,"LEFT OUT","NEW")))</f>
        <v/>
      </c>
    </row>
    <row r="1776" spans="47:47" x14ac:dyDescent="0.25">
      <c r="AU1776" s="8" t="str">
        <f>IF(TRIM($G1776)="","",IF(COUNTIF(LISTS!$I$2:$I$16,TRIM($G1776))&gt;0,"COUNTED",IF(COUNTIF(LISTS!$J$2:$J$16,TRIM($G1776))&gt;0,"LEFT OUT","NEW")))</f>
        <v/>
      </c>
    </row>
    <row r="1777" spans="47:47" x14ac:dyDescent="0.25">
      <c r="AU1777" s="8" t="str">
        <f>IF(TRIM($G1777)="","",IF(COUNTIF(LISTS!$I$2:$I$16,TRIM($G1777))&gt;0,"COUNTED",IF(COUNTIF(LISTS!$J$2:$J$16,TRIM($G1777))&gt;0,"LEFT OUT","NEW")))</f>
        <v/>
      </c>
    </row>
    <row r="1778" spans="47:47" x14ac:dyDescent="0.25">
      <c r="AU1778" s="8" t="str">
        <f>IF(TRIM($G1778)="","",IF(COUNTIF(LISTS!$I$2:$I$16,TRIM($G1778))&gt;0,"COUNTED",IF(COUNTIF(LISTS!$J$2:$J$16,TRIM($G1778))&gt;0,"LEFT OUT","NEW")))</f>
        <v/>
      </c>
    </row>
    <row r="1779" spans="47:47" x14ac:dyDescent="0.25">
      <c r="AU1779" s="8" t="str">
        <f>IF(TRIM($G1779)="","",IF(COUNTIF(LISTS!$I$2:$I$16,TRIM($G1779))&gt;0,"COUNTED",IF(COUNTIF(LISTS!$J$2:$J$16,TRIM($G1779))&gt;0,"LEFT OUT","NEW")))</f>
        <v/>
      </c>
    </row>
    <row r="1780" spans="47:47" x14ac:dyDescent="0.25">
      <c r="AU1780" s="8" t="str">
        <f>IF(TRIM($G1780)="","",IF(COUNTIF(LISTS!$I$2:$I$16,TRIM($G1780))&gt;0,"COUNTED",IF(COUNTIF(LISTS!$J$2:$J$16,TRIM($G1780))&gt;0,"LEFT OUT","NEW")))</f>
        <v/>
      </c>
    </row>
    <row r="1781" spans="47:47" x14ac:dyDescent="0.25">
      <c r="AU1781" s="8" t="str">
        <f>IF(TRIM($G1781)="","",IF(COUNTIF(LISTS!$I$2:$I$16,TRIM($G1781))&gt;0,"COUNTED",IF(COUNTIF(LISTS!$J$2:$J$16,TRIM($G1781))&gt;0,"LEFT OUT","NEW")))</f>
        <v/>
      </c>
    </row>
    <row r="1782" spans="47:47" x14ac:dyDescent="0.25">
      <c r="AU1782" s="8" t="str">
        <f>IF(TRIM($G1782)="","",IF(COUNTIF(LISTS!$I$2:$I$16,TRIM($G1782))&gt;0,"COUNTED",IF(COUNTIF(LISTS!$J$2:$J$16,TRIM($G1782))&gt;0,"LEFT OUT","NEW")))</f>
        <v/>
      </c>
    </row>
    <row r="1783" spans="47:47" x14ac:dyDescent="0.25">
      <c r="AU1783" s="8" t="str">
        <f>IF(TRIM($G1783)="","",IF(COUNTIF(LISTS!$I$2:$I$16,TRIM($G1783))&gt;0,"COUNTED",IF(COUNTIF(LISTS!$J$2:$J$16,TRIM($G1783))&gt;0,"LEFT OUT","NEW")))</f>
        <v/>
      </c>
    </row>
    <row r="1784" spans="47:47" x14ac:dyDescent="0.25">
      <c r="AU1784" s="8" t="str">
        <f>IF(TRIM($G1784)="","",IF(COUNTIF(LISTS!$I$2:$I$16,TRIM($G1784))&gt;0,"COUNTED",IF(COUNTIF(LISTS!$J$2:$J$16,TRIM($G1784))&gt;0,"LEFT OUT","NEW")))</f>
        <v/>
      </c>
    </row>
    <row r="1785" spans="47:47" x14ac:dyDescent="0.25">
      <c r="AU1785" s="8" t="str">
        <f>IF(TRIM($G1785)="","",IF(COUNTIF(LISTS!$I$2:$I$16,TRIM($G1785))&gt;0,"COUNTED",IF(COUNTIF(LISTS!$J$2:$J$16,TRIM($G1785))&gt;0,"LEFT OUT","NEW")))</f>
        <v/>
      </c>
    </row>
    <row r="1786" spans="47:47" x14ac:dyDescent="0.25">
      <c r="AU1786" s="8" t="str">
        <f>IF(TRIM($G1786)="","",IF(COUNTIF(LISTS!$I$2:$I$16,TRIM($G1786))&gt;0,"COUNTED",IF(COUNTIF(LISTS!$J$2:$J$16,TRIM($G1786))&gt;0,"LEFT OUT","NEW")))</f>
        <v/>
      </c>
    </row>
    <row r="1787" spans="47:47" x14ac:dyDescent="0.25">
      <c r="AU1787" s="8" t="str">
        <f>IF(TRIM($G1787)="","",IF(COUNTIF(LISTS!$I$2:$I$16,TRIM($G1787))&gt;0,"COUNTED",IF(COUNTIF(LISTS!$J$2:$J$16,TRIM($G1787))&gt;0,"LEFT OUT","NEW")))</f>
        <v/>
      </c>
    </row>
    <row r="1788" spans="47:47" x14ac:dyDescent="0.25">
      <c r="AU1788" s="8" t="str">
        <f>IF(TRIM($G1788)="","",IF(COUNTIF(LISTS!$I$2:$I$16,TRIM($G1788))&gt;0,"COUNTED",IF(COUNTIF(LISTS!$J$2:$J$16,TRIM($G1788))&gt;0,"LEFT OUT","NEW")))</f>
        <v/>
      </c>
    </row>
    <row r="1789" spans="47:47" x14ac:dyDescent="0.25">
      <c r="AU1789" s="8" t="str">
        <f>IF(TRIM($G1789)="","",IF(COUNTIF(LISTS!$I$2:$I$16,TRIM($G1789))&gt;0,"COUNTED",IF(COUNTIF(LISTS!$J$2:$J$16,TRIM($G1789))&gt;0,"LEFT OUT","NEW")))</f>
        <v/>
      </c>
    </row>
    <row r="1790" spans="47:47" x14ac:dyDescent="0.25">
      <c r="AU1790" s="8" t="str">
        <f>IF(TRIM($G1790)="","",IF(COUNTIF(LISTS!$I$2:$I$16,TRIM($G1790))&gt;0,"COUNTED",IF(COUNTIF(LISTS!$J$2:$J$16,TRIM($G1790))&gt;0,"LEFT OUT","NEW")))</f>
        <v/>
      </c>
    </row>
    <row r="1791" spans="47:47" x14ac:dyDescent="0.25">
      <c r="AU1791" s="8" t="str">
        <f>IF(TRIM($G1791)="","",IF(COUNTIF(LISTS!$I$2:$I$16,TRIM($G1791))&gt;0,"COUNTED",IF(COUNTIF(LISTS!$J$2:$J$16,TRIM($G1791))&gt;0,"LEFT OUT","NEW")))</f>
        <v/>
      </c>
    </row>
    <row r="1792" spans="47:47" x14ac:dyDescent="0.25">
      <c r="AU1792" s="8" t="str">
        <f>IF(TRIM($G1792)="","",IF(COUNTIF(LISTS!$I$2:$I$16,TRIM($G1792))&gt;0,"COUNTED",IF(COUNTIF(LISTS!$J$2:$J$16,TRIM($G1792))&gt;0,"LEFT OUT","NEW")))</f>
        <v/>
      </c>
    </row>
    <row r="1793" spans="47:47" x14ac:dyDescent="0.25">
      <c r="AU1793" s="8" t="str">
        <f>IF(TRIM($G1793)="","",IF(COUNTIF(LISTS!$I$2:$I$16,TRIM($G1793))&gt;0,"COUNTED",IF(COUNTIF(LISTS!$J$2:$J$16,TRIM($G1793))&gt;0,"LEFT OUT","NEW")))</f>
        <v/>
      </c>
    </row>
    <row r="1794" spans="47:47" x14ac:dyDescent="0.25">
      <c r="AU1794" s="8" t="str">
        <f>IF(TRIM($G1794)="","",IF(COUNTIF(LISTS!$I$2:$I$16,TRIM($G1794))&gt;0,"COUNTED",IF(COUNTIF(LISTS!$J$2:$J$16,TRIM($G1794))&gt;0,"LEFT OUT","NEW")))</f>
        <v/>
      </c>
    </row>
    <row r="1795" spans="47:47" x14ac:dyDescent="0.25">
      <c r="AU1795" s="8" t="str">
        <f>IF(TRIM($G1795)="","",IF(COUNTIF(LISTS!$I$2:$I$16,TRIM($G1795))&gt;0,"COUNTED",IF(COUNTIF(LISTS!$J$2:$J$16,TRIM($G1795))&gt;0,"LEFT OUT","NEW")))</f>
        <v/>
      </c>
    </row>
    <row r="1796" spans="47:47" x14ac:dyDescent="0.25">
      <c r="AU1796" s="8" t="str">
        <f>IF(TRIM($G1796)="","",IF(COUNTIF(LISTS!$I$2:$I$16,TRIM($G1796))&gt;0,"COUNTED",IF(COUNTIF(LISTS!$J$2:$J$16,TRIM($G1796))&gt;0,"LEFT OUT","NEW")))</f>
        <v/>
      </c>
    </row>
    <row r="1797" spans="47:47" x14ac:dyDescent="0.25">
      <c r="AU1797" s="8" t="str">
        <f>IF(TRIM($G1797)="","",IF(COUNTIF(LISTS!$I$2:$I$16,TRIM($G1797))&gt;0,"COUNTED",IF(COUNTIF(LISTS!$J$2:$J$16,TRIM($G1797))&gt;0,"LEFT OUT","NEW")))</f>
        <v/>
      </c>
    </row>
    <row r="1798" spans="47:47" x14ac:dyDescent="0.25">
      <c r="AU1798" s="8" t="str">
        <f>IF(TRIM($G1798)="","",IF(COUNTIF(LISTS!$I$2:$I$16,TRIM($G1798))&gt;0,"COUNTED",IF(COUNTIF(LISTS!$J$2:$J$16,TRIM($G1798))&gt;0,"LEFT OUT","NEW")))</f>
        <v/>
      </c>
    </row>
    <row r="1799" spans="47:47" x14ac:dyDescent="0.25">
      <c r="AU1799" s="8" t="str">
        <f>IF(TRIM($G1799)="","",IF(COUNTIF(LISTS!$I$2:$I$16,TRIM($G1799))&gt;0,"COUNTED",IF(COUNTIF(LISTS!$J$2:$J$16,TRIM($G1799))&gt;0,"LEFT OUT","NEW")))</f>
        <v/>
      </c>
    </row>
    <row r="1800" spans="47:47" x14ac:dyDescent="0.25">
      <c r="AU1800" s="8" t="str">
        <f>IF(TRIM($G1800)="","",IF(COUNTIF(LISTS!$I$2:$I$16,TRIM($G1800))&gt;0,"COUNTED",IF(COUNTIF(LISTS!$J$2:$J$16,TRIM($G1800))&gt;0,"LEFT OUT","NEW")))</f>
        <v/>
      </c>
    </row>
    <row r="1801" spans="47:47" x14ac:dyDescent="0.25">
      <c r="AU1801" s="8" t="str">
        <f>IF(TRIM($G1801)="","",IF(COUNTIF(LISTS!$I$2:$I$16,TRIM($G1801))&gt;0,"COUNTED",IF(COUNTIF(LISTS!$J$2:$J$16,TRIM($G1801))&gt;0,"LEFT OUT","NEW")))</f>
        <v/>
      </c>
    </row>
    <row r="1802" spans="47:47" x14ac:dyDescent="0.25">
      <c r="AU1802" s="8" t="str">
        <f>IF(TRIM($G1802)="","",IF(COUNTIF(LISTS!$I$2:$I$16,TRIM($G1802))&gt;0,"COUNTED",IF(COUNTIF(LISTS!$J$2:$J$16,TRIM($G1802))&gt;0,"LEFT OUT","NEW")))</f>
        <v/>
      </c>
    </row>
    <row r="1803" spans="47:47" x14ac:dyDescent="0.25">
      <c r="AU1803" s="8" t="str">
        <f>IF(TRIM($G1803)="","",IF(COUNTIF(LISTS!$I$2:$I$16,TRIM($G1803))&gt;0,"COUNTED",IF(COUNTIF(LISTS!$J$2:$J$16,TRIM($G1803))&gt;0,"LEFT OUT","NEW")))</f>
        <v/>
      </c>
    </row>
    <row r="1804" spans="47:47" x14ac:dyDescent="0.25">
      <c r="AU1804" s="8" t="str">
        <f>IF(TRIM($G1804)="","",IF(COUNTIF(LISTS!$I$2:$I$16,TRIM($G1804))&gt;0,"COUNTED",IF(COUNTIF(LISTS!$J$2:$J$16,TRIM($G1804))&gt;0,"LEFT OUT","NEW")))</f>
        <v/>
      </c>
    </row>
    <row r="1805" spans="47:47" x14ac:dyDescent="0.25">
      <c r="AU1805" s="8" t="str">
        <f>IF(TRIM($G1805)="","",IF(COUNTIF(LISTS!$I$2:$I$16,TRIM($G1805))&gt;0,"COUNTED",IF(COUNTIF(LISTS!$J$2:$J$16,TRIM($G1805))&gt;0,"LEFT OUT","NEW")))</f>
        <v/>
      </c>
    </row>
    <row r="1806" spans="47:47" x14ac:dyDescent="0.25">
      <c r="AU1806" s="8" t="str">
        <f>IF(TRIM($G1806)="","",IF(COUNTIF(LISTS!$I$2:$I$16,TRIM($G1806))&gt;0,"COUNTED",IF(COUNTIF(LISTS!$J$2:$J$16,TRIM($G1806))&gt;0,"LEFT OUT","NEW")))</f>
        <v/>
      </c>
    </row>
    <row r="1807" spans="47:47" x14ac:dyDescent="0.25">
      <c r="AU1807" s="8" t="str">
        <f>IF(TRIM($G1807)="","",IF(COUNTIF(LISTS!$I$2:$I$16,TRIM($G1807))&gt;0,"COUNTED",IF(COUNTIF(LISTS!$J$2:$J$16,TRIM($G1807))&gt;0,"LEFT OUT","NEW")))</f>
        <v/>
      </c>
    </row>
    <row r="1808" spans="47:47" x14ac:dyDescent="0.25">
      <c r="AU1808" s="8" t="str">
        <f>IF(TRIM($G1808)="","",IF(COUNTIF(LISTS!$I$2:$I$16,TRIM($G1808))&gt;0,"COUNTED",IF(COUNTIF(LISTS!$J$2:$J$16,TRIM($G1808))&gt;0,"LEFT OUT","NEW")))</f>
        <v/>
      </c>
    </row>
    <row r="1809" spans="47:47" x14ac:dyDescent="0.25">
      <c r="AU1809" s="8" t="str">
        <f>IF(TRIM($G1809)="","",IF(COUNTIF(LISTS!$I$2:$I$16,TRIM($G1809))&gt;0,"COUNTED",IF(COUNTIF(LISTS!$J$2:$J$16,TRIM($G1809))&gt;0,"LEFT OUT","NEW")))</f>
        <v/>
      </c>
    </row>
    <row r="1810" spans="47:47" x14ac:dyDescent="0.25">
      <c r="AU1810" s="8" t="str">
        <f>IF(TRIM($G1810)="","",IF(COUNTIF(LISTS!$I$2:$I$16,TRIM($G1810))&gt;0,"COUNTED",IF(COUNTIF(LISTS!$J$2:$J$16,TRIM($G1810))&gt;0,"LEFT OUT","NEW")))</f>
        <v/>
      </c>
    </row>
    <row r="1811" spans="47:47" x14ac:dyDescent="0.25">
      <c r="AU1811" s="8" t="str">
        <f>IF(TRIM($G1811)="","",IF(COUNTIF(LISTS!$I$2:$I$16,TRIM($G1811))&gt;0,"COUNTED",IF(COUNTIF(LISTS!$J$2:$J$16,TRIM($G1811))&gt;0,"LEFT OUT","NEW")))</f>
        <v/>
      </c>
    </row>
    <row r="1812" spans="47:47" x14ac:dyDescent="0.25">
      <c r="AU1812" s="8" t="str">
        <f>IF(TRIM($G1812)="","",IF(COUNTIF(LISTS!$I$2:$I$16,TRIM($G1812))&gt;0,"COUNTED",IF(COUNTIF(LISTS!$J$2:$J$16,TRIM($G1812))&gt;0,"LEFT OUT","NEW")))</f>
        <v/>
      </c>
    </row>
    <row r="1813" spans="47:47" x14ac:dyDescent="0.25">
      <c r="AU1813" s="8" t="str">
        <f>IF(TRIM($G1813)="","",IF(COUNTIF(LISTS!$I$2:$I$16,TRIM($G1813))&gt;0,"COUNTED",IF(COUNTIF(LISTS!$J$2:$J$16,TRIM($G1813))&gt;0,"LEFT OUT","NEW")))</f>
        <v/>
      </c>
    </row>
    <row r="1814" spans="47:47" x14ac:dyDescent="0.25">
      <c r="AU1814" s="8" t="str">
        <f>IF(TRIM($G1814)="","",IF(COUNTIF(LISTS!$I$2:$I$16,TRIM($G1814))&gt;0,"COUNTED",IF(COUNTIF(LISTS!$J$2:$J$16,TRIM($G1814))&gt;0,"LEFT OUT","NEW")))</f>
        <v/>
      </c>
    </row>
    <row r="1815" spans="47:47" x14ac:dyDescent="0.25">
      <c r="AU1815" s="8" t="str">
        <f>IF(TRIM($G1815)="","",IF(COUNTIF(LISTS!$I$2:$I$16,TRIM($G1815))&gt;0,"COUNTED",IF(COUNTIF(LISTS!$J$2:$J$16,TRIM($G1815))&gt;0,"LEFT OUT","NEW")))</f>
        <v/>
      </c>
    </row>
    <row r="1816" spans="47:47" x14ac:dyDescent="0.25">
      <c r="AU1816" s="8" t="str">
        <f>IF(TRIM($G1816)="","",IF(COUNTIF(LISTS!$I$2:$I$16,TRIM($G1816))&gt;0,"COUNTED",IF(COUNTIF(LISTS!$J$2:$J$16,TRIM($G1816))&gt;0,"LEFT OUT","NEW")))</f>
        <v/>
      </c>
    </row>
    <row r="1817" spans="47:47" x14ac:dyDescent="0.25">
      <c r="AU1817" s="8" t="str">
        <f>IF(TRIM($G1817)="","",IF(COUNTIF(LISTS!$I$2:$I$16,TRIM($G1817))&gt;0,"COUNTED",IF(COUNTIF(LISTS!$J$2:$J$16,TRIM($G1817))&gt;0,"LEFT OUT","NEW")))</f>
        <v/>
      </c>
    </row>
    <row r="1818" spans="47:47" x14ac:dyDescent="0.25">
      <c r="AU1818" s="8" t="str">
        <f>IF(TRIM($G1818)="","",IF(COUNTIF(LISTS!$I$2:$I$16,TRIM($G1818))&gt;0,"COUNTED",IF(COUNTIF(LISTS!$J$2:$J$16,TRIM($G1818))&gt;0,"LEFT OUT","NEW")))</f>
        <v/>
      </c>
    </row>
    <row r="1819" spans="47:47" x14ac:dyDescent="0.25">
      <c r="AU1819" s="8" t="str">
        <f>IF(TRIM($G1819)="","",IF(COUNTIF(LISTS!$I$2:$I$16,TRIM($G1819))&gt;0,"COUNTED",IF(COUNTIF(LISTS!$J$2:$J$16,TRIM($G1819))&gt;0,"LEFT OUT","NEW")))</f>
        <v/>
      </c>
    </row>
    <row r="1820" spans="47:47" x14ac:dyDescent="0.25">
      <c r="AU1820" s="8" t="str">
        <f>IF(TRIM($G1820)="","",IF(COUNTIF(LISTS!$I$2:$I$16,TRIM($G1820))&gt;0,"COUNTED",IF(COUNTIF(LISTS!$J$2:$J$16,TRIM($G1820))&gt;0,"LEFT OUT","NEW")))</f>
        <v/>
      </c>
    </row>
    <row r="1821" spans="47:47" x14ac:dyDescent="0.25">
      <c r="AU1821" s="8" t="str">
        <f>IF(TRIM($G1821)="","",IF(COUNTIF(LISTS!$I$2:$I$16,TRIM($G1821))&gt;0,"COUNTED",IF(COUNTIF(LISTS!$J$2:$J$16,TRIM($G1821))&gt;0,"LEFT OUT","NEW")))</f>
        <v/>
      </c>
    </row>
    <row r="1822" spans="47:47" x14ac:dyDescent="0.25">
      <c r="AU1822" s="8" t="str">
        <f>IF(TRIM($G1822)="","",IF(COUNTIF(LISTS!$I$2:$I$16,TRIM($G1822))&gt;0,"COUNTED",IF(COUNTIF(LISTS!$J$2:$J$16,TRIM($G1822))&gt;0,"LEFT OUT","NEW")))</f>
        <v/>
      </c>
    </row>
    <row r="1823" spans="47:47" x14ac:dyDescent="0.25">
      <c r="AU1823" s="8" t="str">
        <f>IF(TRIM($G1823)="","",IF(COUNTIF(LISTS!$I$2:$I$16,TRIM($G1823))&gt;0,"COUNTED",IF(COUNTIF(LISTS!$J$2:$J$16,TRIM($G1823))&gt;0,"LEFT OUT","NEW")))</f>
        <v/>
      </c>
    </row>
    <row r="1824" spans="47:47" x14ac:dyDescent="0.25">
      <c r="AU1824" s="8" t="str">
        <f>IF(TRIM($G1824)="","",IF(COUNTIF(LISTS!$I$2:$I$16,TRIM($G1824))&gt;0,"COUNTED",IF(COUNTIF(LISTS!$J$2:$J$16,TRIM($G1824))&gt;0,"LEFT OUT","NEW")))</f>
        <v/>
      </c>
    </row>
    <row r="1825" spans="47:47" x14ac:dyDescent="0.25">
      <c r="AU1825" s="8" t="str">
        <f>IF(TRIM($G1825)="","",IF(COUNTIF(LISTS!$I$2:$I$16,TRIM($G1825))&gt;0,"COUNTED",IF(COUNTIF(LISTS!$J$2:$J$16,TRIM($G1825))&gt;0,"LEFT OUT","NEW")))</f>
        <v/>
      </c>
    </row>
    <row r="1826" spans="47:47" x14ac:dyDescent="0.25">
      <c r="AU1826" s="8" t="str">
        <f>IF(TRIM($G1826)="","",IF(COUNTIF(LISTS!$I$2:$I$16,TRIM($G1826))&gt;0,"COUNTED",IF(COUNTIF(LISTS!$J$2:$J$16,TRIM($G1826))&gt;0,"LEFT OUT","NEW")))</f>
        <v/>
      </c>
    </row>
    <row r="1827" spans="47:47" x14ac:dyDescent="0.25">
      <c r="AU1827" s="8" t="str">
        <f>IF(TRIM($G1827)="","",IF(COUNTIF(LISTS!$I$2:$I$16,TRIM($G1827))&gt;0,"COUNTED",IF(COUNTIF(LISTS!$J$2:$J$16,TRIM($G1827))&gt;0,"LEFT OUT","NEW")))</f>
        <v/>
      </c>
    </row>
    <row r="1828" spans="47:47" x14ac:dyDescent="0.25">
      <c r="AU1828" s="8" t="str">
        <f>IF(TRIM($G1828)="","",IF(COUNTIF(LISTS!$I$2:$I$16,TRIM($G1828))&gt;0,"COUNTED",IF(COUNTIF(LISTS!$J$2:$J$16,TRIM($G1828))&gt;0,"LEFT OUT","NEW")))</f>
        <v/>
      </c>
    </row>
    <row r="1829" spans="47:47" x14ac:dyDescent="0.25">
      <c r="AU1829" s="8" t="str">
        <f>IF(TRIM($G1829)="","",IF(COUNTIF(LISTS!$I$2:$I$16,TRIM($G1829))&gt;0,"COUNTED",IF(COUNTIF(LISTS!$J$2:$J$16,TRIM($G1829))&gt;0,"LEFT OUT","NEW")))</f>
        <v/>
      </c>
    </row>
    <row r="1830" spans="47:47" x14ac:dyDescent="0.25">
      <c r="AU1830" s="8" t="str">
        <f>IF(TRIM($G1830)="","",IF(COUNTIF(LISTS!$I$2:$I$16,TRIM($G1830))&gt;0,"COUNTED",IF(COUNTIF(LISTS!$J$2:$J$16,TRIM($G1830))&gt;0,"LEFT OUT","NEW")))</f>
        <v/>
      </c>
    </row>
    <row r="1831" spans="47:47" x14ac:dyDescent="0.25">
      <c r="AU1831" s="8" t="str">
        <f>IF(TRIM($G1831)="","",IF(COUNTIF(LISTS!$I$2:$I$16,TRIM($G1831))&gt;0,"COUNTED",IF(COUNTIF(LISTS!$J$2:$J$16,TRIM($G1831))&gt;0,"LEFT OUT","NEW")))</f>
        <v/>
      </c>
    </row>
    <row r="1832" spans="47:47" x14ac:dyDescent="0.25">
      <c r="AU1832" s="8" t="str">
        <f>IF(TRIM($G1832)="","",IF(COUNTIF(LISTS!$I$2:$I$16,TRIM($G1832))&gt;0,"COUNTED",IF(COUNTIF(LISTS!$J$2:$J$16,TRIM($G1832))&gt;0,"LEFT OUT","NEW")))</f>
        <v/>
      </c>
    </row>
    <row r="1833" spans="47:47" x14ac:dyDescent="0.25">
      <c r="AU1833" s="8" t="str">
        <f>IF(TRIM($G1833)="","",IF(COUNTIF(LISTS!$I$2:$I$16,TRIM($G1833))&gt;0,"COUNTED",IF(COUNTIF(LISTS!$J$2:$J$16,TRIM($G1833))&gt;0,"LEFT OUT","NEW")))</f>
        <v/>
      </c>
    </row>
    <row r="1834" spans="47:47" x14ac:dyDescent="0.25">
      <c r="AU1834" s="8" t="str">
        <f>IF(TRIM($G1834)="","",IF(COUNTIF(LISTS!$I$2:$I$16,TRIM($G1834))&gt;0,"COUNTED",IF(COUNTIF(LISTS!$J$2:$J$16,TRIM($G1834))&gt;0,"LEFT OUT","NEW")))</f>
        <v/>
      </c>
    </row>
    <row r="1835" spans="47:47" x14ac:dyDescent="0.25">
      <c r="AU1835" s="8" t="str">
        <f>IF(TRIM($G1835)="","",IF(COUNTIF(LISTS!$I$2:$I$16,TRIM($G1835))&gt;0,"COUNTED",IF(COUNTIF(LISTS!$J$2:$J$16,TRIM($G1835))&gt;0,"LEFT OUT","NEW")))</f>
        <v/>
      </c>
    </row>
    <row r="1836" spans="47:47" x14ac:dyDescent="0.25">
      <c r="AU1836" s="8" t="str">
        <f>IF(TRIM($G1836)="","",IF(COUNTIF(LISTS!$I$2:$I$16,TRIM($G1836))&gt;0,"COUNTED",IF(COUNTIF(LISTS!$J$2:$J$16,TRIM($G1836))&gt;0,"LEFT OUT","NEW")))</f>
        <v/>
      </c>
    </row>
    <row r="1837" spans="47:47" x14ac:dyDescent="0.25">
      <c r="AU1837" s="8" t="str">
        <f>IF(TRIM($G1837)="","",IF(COUNTIF(LISTS!$I$2:$I$16,TRIM($G1837))&gt;0,"COUNTED",IF(COUNTIF(LISTS!$J$2:$J$16,TRIM($G1837))&gt;0,"LEFT OUT","NEW")))</f>
        <v/>
      </c>
    </row>
    <row r="1838" spans="47:47" x14ac:dyDescent="0.25">
      <c r="AU1838" s="8" t="str">
        <f>IF(TRIM($G1838)="","",IF(COUNTIF(LISTS!$I$2:$I$16,TRIM($G1838))&gt;0,"COUNTED",IF(COUNTIF(LISTS!$J$2:$J$16,TRIM($G1838))&gt;0,"LEFT OUT","NEW")))</f>
        <v/>
      </c>
    </row>
    <row r="1839" spans="47:47" x14ac:dyDescent="0.25">
      <c r="AU1839" s="8" t="str">
        <f>IF(TRIM($G1839)="","",IF(COUNTIF(LISTS!$I$2:$I$16,TRIM($G1839))&gt;0,"COUNTED",IF(COUNTIF(LISTS!$J$2:$J$16,TRIM($G1839))&gt;0,"LEFT OUT","NEW")))</f>
        <v/>
      </c>
    </row>
    <row r="1840" spans="47:47" x14ac:dyDescent="0.25">
      <c r="AU1840" s="8" t="str">
        <f>IF(TRIM($G1840)="","",IF(COUNTIF(LISTS!$I$2:$I$16,TRIM($G1840))&gt;0,"COUNTED",IF(COUNTIF(LISTS!$J$2:$J$16,TRIM($G1840))&gt;0,"LEFT OUT","NEW")))</f>
        <v/>
      </c>
    </row>
    <row r="1841" spans="47:47" x14ac:dyDescent="0.25">
      <c r="AU1841" s="8" t="str">
        <f>IF(TRIM($G1841)="","",IF(COUNTIF(LISTS!$I$2:$I$16,TRIM($G1841))&gt;0,"COUNTED",IF(COUNTIF(LISTS!$J$2:$J$16,TRIM($G1841))&gt;0,"LEFT OUT","NEW")))</f>
        <v/>
      </c>
    </row>
    <row r="1842" spans="47:47" x14ac:dyDescent="0.25">
      <c r="AU1842" s="8" t="str">
        <f>IF(TRIM($G1842)="","",IF(COUNTIF(LISTS!$I$2:$I$16,TRIM($G1842))&gt;0,"COUNTED",IF(COUNTIF(LISTS!$J$2:$J$16,TRIM($G1842))&gt;0,"LEFT OUT","NEW")))</f>
        <v/>
      </c>
    </row>
    <row r="1843" spans="47:47" x14ac:dyDescent="0.25">
      <c r="AU1843" s="8" t="str">
        <f>IF(TRIM($G1843)="","",IF(COUNTIF(LISTS!$I$2:$I$16,TRIM($G1843))&gt;0,"COUNTED",IF(COUNTIF(LISTS!$J$2:$J$16,TRIM($G1843))&gt;0,"LEFT OUT","NEW")))</f>
        <v/>
      </c>
    </row>
    <row r="1844" spans="47:47" x14ac:dyDescent="0.25">
      <c r="AU1844" s="8" t="str">
        <f>IF(TRIM($G1844)="","",IF(COUNTIF(LISTS!$I$2:$I$16,TRIM($G1844))&gt;0,"COUNTED",IF(COUNTIF(LISTS!$J$2:$J$16,TRIM($G1844))&gt;0,"LEFT OUT","NEW")))</f>
        <v/>
      </c>
    </row>
    <row r="1845" spans="47:47" x14ac:dyDescent="0.25">
      <c r="AU1845" s="8" t="str">
        <f>IF(TRIM($G1845)="","",IF(COUNTIF(LISTS!$I$2:$I$16,TRIM($G1845))&gt;0,"COUNTED",IF(COUNTIF(LISTS!$J$2:$J$16,TRIM($G1845))&gt;0,"LEFT OUT","NEW")))</f>
        <v/>
      </c>
    </row>
    <row r="1846" spans="47:47" x14ac:dyDescent="0.25">
      <c r="AU1846" s="8" t="str">
        <f>IF(TRIM($G1846)="","",IF(COUNTIF(LISTS!$I$2:$I$16,TRIM($G1846))&gt;0,"COUNTED",IF(COUNTIF(LISTS!$J$2:$J$16,TRIM($G1846))&gt;0,"LEFT OUT","NEW")))</f>
        <v/>
      </c>
    </row>
    <row r="1847" spans="47:47" x14ac:dyDescent="0.25">
      <c r="AU1847" s="8" t="str">
        <f>IF(TRIM($G1847)="","",IF(COUNTIF(LISTS!$I$2:$I$16,TRIM($G1847))&gt;0,"COUNTED",IF(COUNTIF(LISTS!$J$2:$J$16,TRIM($G1847))&gt;0,"LEFT OUT","NEW")))</f>
        <v/>
      </c>
    </row>
    <row r="1848" spans="47:47" x14ac:dyDescent="0.25">
      <c r="AU1848" s="8" t="str">
        <f>IF(TRIM($G1848)="","",IF(COUNTIF(LISTS!$I$2:$I$16,TRIM($G1848))&gt;0,"COUNTED",IF(COUNTIF(LISTS!$J$2:$J$16,TRIM($G1848))&gt;0,"LEFT OUT","NEW")))</f>
        <v/>
      </c>
    </row>
    <row r="1849" spans="47:47" x14ac:dyDescent="0.25">
      <c r="AU1849" s="8" t="str">
        <f>IF(TRIM($G1849)="","",IF(COUNTIF(LISTS!$I$2:$I$16,TRIM($G1849))&gt;0,"COUNTED",IF(COUNTIF(LISTS!$J$2:$J$16,TRIM($G1849))&gt;0,"LEFT OUT","NEW")))</f>
        <v/>
      </c>
    </row>
    <row r="1850" spans="47:47" x14ac:dyDescent="0.25">
      <c r="AU1850" s="8" t="str">
        <f>IF(TRIM($G1850)="","",IF(COUNTIF(LISTS!$I$2:$I$16,TRIM($G1850))&gt;0,"COUNTED",IF(COUNTIF(LISTS!$J$2:$J$16,TRIM($G1850))&gt;0,"LEFT OUT","NEW")))</f>
        <v/>
      </c>
    </row>
    <row r="1851" spans="47:47" x14ac:dyDescent="0.25">
      <c r="AU1851" s="8" t="str">
        <f>IF(TRIM($G1851)="","",IF(COUNTIF(LISTS!$I$2:$I$16,TRIM($G1851))&gt;0,"COUNTED",IF(COUNTIF(LISTS!$J$2:$J$16,TRIM($G1851))&gt;0,"LEFT OUT","NEW")))</f>
        <v/>
      </c>
    </row>
    <row r="1852" spans="47:47" x14ac:dyDescent="0.25">
      <c r="AU1852" s="8" t="str">
        <f>IF(TRIM($G1852)="","",IF(COUNTIF(LISTS!$I$2:$I$16,TRIM($G1852))&gt;0,"COUNTED",IF(COUNTIF(LISTS!$J$2:$J$16,TRIM($G1852))&gt;0,"LEFT OUT","NEW")))</f>
        <v/>
      </c>
    </row>
    <row r="1853" spans="47:47" x14ac:dyDescent="0.25">
      <c r="AU1853" s="8" t="str">
        <f>IF(TRIM($G1853)="","",IF(COUNTIF(LISTS!$I$2:$I$16,TRIM($G1853))&gt;0,"COUNTED",IF(COUNTIF(LISTS!$J$2:$J$16,TRIM($G1853))&gt;0,"LEFT OUT","NEW")))</f>
        <v/>
      </c>
    </row>
    <row r="1854" spans="47:47" x14ac:dyDescent="0.25">
      <c r="AU1854" s="8" t="str">
        <f>IF(TRIM($G1854)="","",IF(COUNTIF(LISTS!$I$2:$I$16,TRIM($G1854))&gt;0,"COUNTED",IF(COUNTIF(LISTS!$J$2:$J$16,TRIM($G1854))&gt;0,"LEFT OUT","NEW")))</f>
        <v/>
      </c>
    </row>
    <row r="1855" spans="47:47" x14ac:dyDescent="0.25">
      <c r="AU1855" s="8" t="str">
        <f>IF(TRIM($G1855)="","",IF(COUNTIF(LISTS!$I$2:$I$16,TRIM($G1855))&gt;0,"COUNTED",IF(COUNTIF(LISTS!$J$2:$J$16,TRIM($G1855))&gt;0,"LEFT OUT","NEW")))</f>
        <v/>
      </c>
    </row>
    <row r="1856" spans="47:47" x14ac:dyDescent="0.25">
      <c r="AU1856" s="8" t="str">
        <f>IF(TRIM($G1856)="","",IF(COUNTIF(LISTS!$I$2:$I$16,TRIM($G1856))&gt;0,"COUNTED",IF(COUNTIF(LISTS!$J$2:$J$16,TRIM($G1856))&gt;0,"LEFT OUT","NEW")))</f>
        <v/>
      </c>
    </row>
    <row r="1857" spans="47:47" x14ac:dyDescent="0.25">
      <c r="AU1857" s="8" t="str">
        <f>IF(TRIM($G1857)="","",IF(COUNTIF(LISTS!$I$2:$I$16,TRIM($G1857))&gt;0,"COUNTED",IF(COUNTIF(LISTS!$J$2:$J$16,TRIM($G1857))&gt;0,"LEFT OUT","NEW")))</f>
        <v/>
      </c>
    </row>
    <row r="1858" spans="47:47" x14ac:dyDescent="0.25">
      <c r="AU1858" s="8" t="str">
        <f>IF(TRIM($G1858)="","",IF(COUNTIF(LISTS!$I$2:$I$16,TRIM($G1858))&gt;0,"COUNTED",IF(COUNTIF(LISTS!$J$2:$J$16,TRIM($G1858))&gt;0,"LEFT OUT","NEW")))</f>
        <v/>
      </c>
    </row>
    <row r="1859" spans="47:47" x14ac:dyDescent="0.25">
      <c r="AU1859" s="8" t="str">
        <f>IF(TRIM($G1859)="","",IF(COUNTIF(LISTS!$I$2:$I$16,TRIM($G1859))&gt;0,"COUNTED",IF(COUNTIF(LISTS!$J$2:$J$16,TRIM($G1859))&gt;0,"LEFT OUT","NEW")))</f>
        <v/>
      </c>
    </row>
    <row r="1860" spans="47:47" x14ac:dyDescent="0.25">
      <c r="AU1860" s="8" t="str">
        <f>IF(TRIM($G1860)="","",IF(COUNTIF(LISTS!$I$2:$I$16,TRIM($G1860))&gt;0,"COUNTED",IF(COUNTIF(LISTS!$J$2:$J$16,TRIM($G1860))&gt;0,"LEFT OUT","NEW")))</f>
        <v/>
      </c>
    </row>
    <row r="1861" spans="47:47" x14ac:dyDescent="0.25">
      <c r="AU1861" s="8" t="str">
        <f>IF(TRIM($G1861)="","",IF(COUNTIF(LISTS!$I$2:$I$16,TRIM($G1861))&gt;0,"COUNTED",IF(COUNTIF(LISTS!$J$2:$J$16,TRIM($G1861))&gt;0,"LEFT OUT","NEW")))</f>
        <v/>
      </c>
    </row>
    <row r="1862" spans="47:47" x14ac:dyDescent="0.25">
      <c r="AU1862" s="8" t="str">
        <f>IF(TRIM($G1862)="","",IF(COUNTIF(LISTS!$I$2:$I$16,TRIM($G1862))&gt;0,"COUNTED",IF(COUNTIF(LISTS!$J$2:$J$16,TRIM($G1862))&gt;0,"LEFT OUT","NEW")))</f>
        <v/>
      </c>
    </row>
    <row r="1863" spans="47:47" x14ac:dyDescent="0.25">
      <c r="AU1863" s="8" t="str">
        <f>IF(TRIM($G1863)="","",IF(COUNTIF(LISTS!$I$2:$I$16,TRIM($G1863))&gt;0,"COUNTED",IF(COUNTIF(LISTS!$J$2:$J$16,TRIM($G1863))&gt;0,"LEFT OUT","NEW")))</f>
        <v/>
      </c>
    </row>
    <row r="1864" spans="47:47" x14ac:dyDescent="0.25">
      <c r="AU1864" s="8" t="str">
        <f>IF(TRIM($G1864)="","",IF(COUNTIF(LISTS!$I$2:$I$16,TRIM($G1864))&gt;0,"COUNTED",IF(COUNTIF(LISTS!$J$2:$J$16,TRIM($G1864))&gt;0,"LEFT OUT","NEW")))</f>
        <v/>
      </c>
    </row>
    <row r="1865" spans="47:47" x14ac:dyDescent="0.25">
      <c r="AU1865" s="8" t="str">
        <f>IF(TRIM($G1865)="","",IF(COUNTIF(LISTS!$I$2:$I$16,TRIM($G1865))&gt;0,"COUNTED",IF(COUNTIF(LISTS!$J$2:$J$16,TRIM($G1865))&gt;0,"LEFT OUT","NEW")))</f>
        <v/>
      </c>
    </row>
    <row r="1866" spans="47:47" x14ac:dyDescent="0.25">
      <c r="AU1866" s="8" t="str">
        <f>IF(TRIM($G1866)="","",IF(COUNTIF(LISTS!$I$2:$I$16,TRIM($G1866))&gt;0,"COUNTED",IF(COUNTIF(LISTS!$J$2:$J$16,TRIM($G1866))&gt;0,"LEFT OUT","NEW")))</f>
        <v/>
      </c>
    </row>
    <row r="1867" spans="47:47" x14ac:dyDescent="0.25">
      <c r="AU1867" s="8" t="str">
        <f>IF(TRIM($G1867)="","",IF(COUNTIF(LISTS!$I$2:$I$16,TRIM($G1867))&gt;0,"COUNTED",IF(COUNTIF(LISTS!$J$2:$J$16,TRIM($G1867))&gt;0,"LEFT OUT","NEW")))</f>
        <v/>
      </c>
    </row>
    <row r="1868" spans="47:47" x14ac:dyDescent="0.25">
      <c r="AU1868" s="8" t="str">
        <f>IF(TRIM($G1868)="","",IF(COUNTIF(LISTS!$I$2:$I$16,TRIM($G1868))&gt;0,"COUNTED",IF(COUNTIF(LISTS!$J$2:$J$16,TRIM($G1868))&gt;0,"LEFT OUT","NEW")))</f>
        <v/>
      </c>
    </row>
    <row r="1869" spans="47:47" x14ac:dyDescent="0.25">
      <c r="AU1869" s="8" t="str">
        <f>IF(TRIM($G1869)="","",IF(COUNTIF(LISTS!$I$2:$I$16,TRIM($G1869))&gt;0,"COUNTED",IF(COUNTIF(LISTS!$J$2:$J$16,TRIM($G1869))&gt;0,"LEFT OUT","NEW")))</f>
        <v/>
      </c>
    </row>
    <row r="1870" spans="47:47" x14ac:dyDescent="0.25">
      <c r="AU1870" s="8" t="str">
        <f>IF(TRIM($G1870)="","",IF(COUNTIF(LISTS!$I$2:$I$16,TRIM($G1870))&gt;0,"COUNTED",IF(COUNTIF(LISTS!$J$2:$J$16,TRIM($G1870))&gt;0,"LEFT OUT","NEW")))</f>
        <v/>
      </c>
    </row>
    <row r="1871" spans="47:47" x14ac:dyDescent="0.25">
      <c r="AU1871" s="8" t="str">
        <f>IF(TRIM($G1871)="","",IF(COUNTIF(LISTS!$I$2:$I$16,TRIM($G1871))&gt;0,"COUNTED",IF(COUNTIF(LISTS!$J$2:$J$16,TRIM($G1871))&gt;0,"LEFT OUT","NEW")))</f>
        <v/>
      </c>
    </row>
    <row r="1872" spans="47:47" x14ac:dyDescent="0.25">
      <c r="AU1872" s="8" t="str">
        <f>IF(TRIM($G1872)="","",IF(COUNTIF(LISTS!$I$2:$I$16,TRIM($G1872))&gt;0,"COUNTED",IF(COUNTIF(LISTS!$J$2:$J$16,TRIM($G1872))&gt;0,"LEFT OUT","NEW")))</f>
        <v/>
      </c>
    </row>
    <row r="1873" spans="47:47" x14ac:dyDescent="0.25">
      <c r="AU1873" s="8" t="str">
        <f>IF(TRIM($G1873)="","",IF(COUNTIF(LISTS!$I$2:$I$16,TRIM($G1873))&gt;0,"COUNTED",IF(COUNTIF(LISTS!$J$2:$J$16,TRIM($G1873))&gt;0,"LEFT OUT","NEW")))</f>
        <v/>
      </c>
    </row>
    <row r="1874" spans="47:47" x14ac:dyDescent="0.25">
      <c r="AU1874" s="8" t="str">
        <f>IF(TRIM($G1874)="","",IF(COUNTIF(LISTS!$I$2:$I$16,TRIM($G1874))&gt;0,"COUNTED",IF(COUNTIF(LISTS!$J$2:$J$16,TRIM($G1874))&gt;0,"LEFT OUT","NEW")))</f>
        <v/>
      </c>
    </row>
    <row r="1875" spans="47:47" x14ac:dyDescent="0.25">
      <c r="AU1875" s="8" t="str">
        <f>IF(TRIM($G1875)="","",IF(COUNTIF(LISTS!$I$2:$I$16,TRIM($G1875))&gt;0,"COUNTED",IF(COUNTIF(LISTS!$J$2:$J$16,TRIM($G1875))&gt;0,"LEFT OUT","NEW")))</f>
        <v/>
      </c>
    </row>
    <row r="1876" spans="47:47" x14ac:dyDescent="0.25">
      <c r="AU1876" s="8" t="str">
        <f>IF(TRIM($G1876)="","",IF(COUNTIF(LISTS!$I$2:$I$16,TRIM($G1876))&gt;0,"COUNTED",IF(COUNTIF(LISTS!$J$2:$J$16,TRIM($G1876))&gt;0,"LEFT OUT","NEW")))</f>
        <v/>
      </c>
    </row>
    <row r="1877" spans="47:47" x14ac:dyDescent="0.25">
      <c r="AU1877" s="8" t="str">
        <f>IF(TRIM($G1877)="","",IF(COUNTIF(LISTS!$I$2:$I$16,TRIM($G1877))&gt;0,"COUNTED",IF(COUNTIF(LISTS!$J$2:$J$16,TRIM($G1877))&gt;0,"LEFT OUT","NEW")))</f>
        <v/>
      </c>
    </row>
    <row r="1878" spans="47:47" x14ac:dyDescent="0.25">
      <c r="AU1878" s="8" t="str">
        <f>IF(TRIM($G1878)="","",IF(COUNTIF(LISTS!$I$2:$I$16,TRIM($G1878))&gt;0,"COUNTED",IF(COUNTIF(LISTS!$J$2:$J$16,TRIM($G1878))&gt;0,"LEFT OUT","NEW")))</f>
        <v/>
      </c>
    </row>
    <row r="1879" spans="47:47" x14ac:dyDescent="0.25">
      <c r="AU1879" s="8" t="str">
        <f>IF(TRIM($G1879)="","",IF(COUNTIF(LISTS!$I$2:$I$16,TRIM($G1879))&gt;0,"COUNTED",IF(COUNTIF(LISTS!$J$2:$J$16,TRIM($G1879))&gt;0,"LEFT OUT","NEW")))</f>
        <v/>
      </c>
    </row>
    <row r="1880" spans="47:47" x14ac:dyDescent="0.25">
      <c r="AU1880" s="8" t="str">
        <f>IF(TRIM($G1880)="","",IF(COUNTIF(LISTS!$I$2:$I$16,TRIM($G1880))&gt;0,"COUNTED",IF(COUNTIF(LISTS!$J$2:$J$16,TRIM($G1880))&gt;0,"LEFT OUT","NEW")))</f>
        <v/>
      </c>
    </row>
    <row r="1881" spans="47:47" x14ac:dyDescent="0.25">
      <c r="AU1881" s="8" t="str">
        <f>IF(TRIM($G1881)="","",IF(COUNTIF(LISTS!$I$2:$I$16,TRIM($G1881))&gt;0,"COUNTED",IF(COUNTIF(LISTS!$J$2:$J$16,TRIM($G1881))&gt;0,"LEFT OUT","NEW")))</f>
        <v/>
      </c>
    </row>
    <row r="1882" spans="47:47" x14ac:dyDescent="0.25">
      <c r="AU1882" s="8" t="str">
        <f>IF(TRIM($G1882)="","",IF(COUNTIF(LISTS!$I$2:$I$16,TRIM($G1882))&gt;0,"COUNTED",IF(COUNTIF(LISTS!$J$2:$J$16,TRIM($G1882))&gt;0,"LEFT OUT","NEW")))</f>
        <v/>
      </c>
    </row>
    <row r="1883" spans="47:47" x14ac:dyDescent="0.25">
      <c r="AU1883" s="8" t="str">
        <f>IF(TRIM($G1883)="","",IF(COUNTIF(LISTS!$I$2:$I$16,TRIM($G1883))&gt;0,"COUNTED",IF(COUNTIF(LISTS!$J$2:$J$16,TRIM($G1883))&gt;0,"LEFT OUT","NEW")))</f>
        <v/>
      </c>
    </row>
    <row r="1884" spans="47:47" x14ac:dyDescent="0.25">
      <c r="AU1884" s="8" t="str">
        <f>IF(TRIM($G1884)="","",IF(COUNTIF(LISTS!$I$2:$I$16,TRIM($G1884))&gt;0,"COUNTED",IF(COUNTIF(LISTS!$J$2:$J$16,TRIM($G1884))&gt;0,"LEFT OUT","NEW")))</f>
        <v/>
      </c>
    </row>
    <row r="1885" spans="47:47" x14ac:dyDescent="0.25">
      <c r="AU1885" s="8" t="str">
        <f>IF(TRIM($G1885)="","",IF(COUNTIF(LISTS!$I$2:$I$16,TRIM($G1885))&gt;0,"COUNTED",IF(COUNTIF(LISTS!$J$2:$J$16,TRIM($G1885))&gt;0,"LEFT OUT","NEW")))</f>
        <v/>
      </c>
    </row>
    <row r="1886" spans="47:47" x14ac:dyDescent="0.25">
      <c r="AU1886" s="8" t="str">
        <f>IF(TRIM($G1886)="","",IF(COUNTIF(LISTS!$I$2:$I$16,TRIM($G1886))&gt;0,"COUNTED",IF(COUNTIF(LISTS!$J$2:$J$16,TRIM($G1886))&gt;0,"LEFT OUT","NEW")))</f>
        <v/>
      </c>
    </row>
    <row r="1887" spans="47:47" x14ac:dyDescent="0.25">
      <c r="AU1887" s="8" t="str">
        <f>IF(TRIM($G1887)="","",IF(COUNTIF(LISTS!$I$2:$I$16,TRIM($G1887))&gt;0,"COUNTED",IF(COUNTIF(LISTS!$J$2:$J$16,TRIM($G1887))&gt;0,"LEFT OUT","NEW")))</f>
        <v/>
      </c>
    </row>
    <row r="1888" spans="47:47" x14ac:dyDescent="0.25">
      <c r="AU1888" s="8" t="str">
        <f>IF(TRIM($G1888)="","",IF(COUNTIF(LISTS!$I$2:$I$16,TRIM($G1888))&gt;0,"COUNTED",IF(COUNTIF(LISTS!$J$2:$J$16,TRIM($G1888))&gt;0,"LEFT OUT","NEW")))</f>
        <v/>
      </c>
    </row>
    <row r="1889" spans="47:47" x14ac:dyDescent="0.25">
      <c r="AU1889" s="8" t="str">
        <f>IF(TRIM($G1889)="","",IF(COUNTIF(LISTS!$I$2:$I$16,TRIM($G1889))&gt;0,"COUNTED",IF(COUNTIF(LISTS!$J$2:$J$16,TRIM($G1889))&gt;0,"LEFT OUT","NEW")))</f>
        <v/>
      </c>
    </row>
    <row r="1890" spans="47:47" x14ac:dyDescent="0.25">
      <c r="AU1890" s="8" t="str">
        <f>IF(TRIM($G1890)="","",IF(COUNTIF(LISTS!$I$2:$I$16,TRIM($G1890))&gt;0,"COUNTED",IF(COUNTIF(LISTS!$J$2:$J$16,TRIM($G1890))&gt;0,"LEFT OUT","NEW")))</f>
        <v/>
      </c>
    </row>
    <row r="1891" spans="47:47" x14ac:dyDescent="0.25">
      <c r="AU1891" s="8" t="str">
        <f>IF(TRIM($G1891)="","",IF(COUNTIF(LISTS!$I$2:$I$16,TRIM($G1891))&gt;0,"COUNTED",IF(COUNTIF(LISTS!$J$2:$J$16,TRIM($G1891))&gt;0,"LEFT OUT","NEW")))</f>
        <v/>
      </c>
    </row>
    <row r="1892" spans="47:47" x14ac:dyDescent="0.25">
      <c r="AU1892" s="8" t="str">
        <f>IF(TRIM($G1892)="","",IF(COUNTIF(LISTS!$I$2:$I$16,TRIM($G1892))&gt;0,"COUNTED",IF(COUNTIF(LISTS!$J$2:$J$16,TRIM($G1892))&gt;0,"LEFT OUT","NEW")))</f>
        <v/>
      </c>
    </row>
    <row r="1893" spans="47:47" x14ac:dyDescent="0.25">
      <c r="AU1893" s="8" t="str">
        <f>IF(TRIM($G1893)="","",IF(COUNTIF(LISTS!$I$2:$I$16,TRIM($G1893))&gt;0,"COUNTED",IF(COUNTIF(LISTS!$J$2:$J$16,TRIM($G1893))&gt;0,"LEFT OUT","NEW")))</f>
        <v/>
      </c>
    </row>
    <row r="1894" spans="47:47" x14ac:dyDescent="0.25">
      <c r="AU1894" s="8" t="str">
        <f>IF(TRIM($G1894)="","",IF(COUNTIF(LISTS!$I$2:$I$16,TRIM($G1894))&gt;0,"COUNTED",IF(COUNTIF(LISTS!$J$2:$J$16,TRIM($G1894))&gt;0,"LEFT OUT","NEW")))</f>
        <v/>
      </c>
    </row>
    <row r="1895" spans="47:47" x14ac:dyDescent="0.25">
      <c r="AU1895" s="8" t="str">
        <f>IF(TRIM($G1895)="","",IF(COUNTIF(LISTS!$I$2:$I$16,TRIM($G1895))&gt;0,"COUNTED",IF(COUNTIF(LISTS!$J$2:$J$16,TRIM($G1895))&gt;0,"LEFT OUT","NEW")))</f>
        <v/>
      </c>
    </row>
    <row r="1896" spans="47:47" x14ac:dyDescent="0.25">
      <c r="AU1896" s="8" t="str">
        <f>IF(TRIM($G1896)="","",IF(COUNTIF(LISTS!$I$2:$I$16,TRIM($G1896))&gt;0,"COUNTED",IF(COUNTIF(LISTS!$J$2:$J$16,TRIM($G1896))&gt;0,"LEFT OUT","NEW")))</f>
        <v/>
      </c>
    </row>
    <row r="1897" spans="47:47" x14ac:dyDescent="0.25">
      <c r="AU1897" s="8" t="str">
        <f>IF(TRIM($G1897)="","",IF(COUNTIF(LISTS!$I$2:$I$16,TRIM($G1897))&gt;0,"COUNTED",IF(COUNTIF(LISTS!$J$2:$J$16,TRIM($G1897))&gt;0,"LEFT OUT","NEW")))</f>
        <v/>
      </c>
    </row>
    <row r="1898" spans="47:47" x14ac:dyDescent="0.25">
      <c r="AU1898" s="8" t="str">
        <f>IF(TRIM($G1898)="","",IF(COUNTIF(LISTS!$I$2:$I$16,TRIM($G1898))&gt;0,"COUNTED",IF(COUNTIF(LISTS!$J$2:$J$16,TRIM($G1898))&gt;0,"LEFT OUT","NEW")))</f>
        <v/>
      </c>
    </row>
    <row r="1899" spans="47:47" x14ac:dyDescent="0.25">
      <c r="AU1899" s="8" t="str">
        <f>IF(TRIM($G1899)="","",IF(COUNTIF(LISTS!$I$2:$I$16,TRIM($G1899))&gt;0,"COUNTED",IF(COUNTIF(LISTS!$J$2:$J$16,TRIM($G1899))&gt;0,"LEFT OUT","NEW")))</f>
        <v/>
      </c>
    </row>
    <row r="1900" spans="47:47" x14ac:dyDescent="0.25">
      <c r="AU1900" s="8" t="str">
        <f>IF(TRIM($G1900)="","",IF(COUNTIF(LISTS!$I$2:$I$16,TRIM($G1900))&gt;0,"COUNTED",IF(COUNTIF(LISTS!$J$2:$J$16,TRIM($G1900))&gt;0,"LEFT OUT","NEW")))</f>
        <v/>
      </c>
    </row>
    <row r="1901" spans="47:47" x14ac:dyDescent="0.25">
      <c r="AU1901" s="8" t="str">
        <f>IF(TRIM($G1901)="","",IF(COUNTIF(LISTS!$I$2:$I$16,TRIM($G1901))&gt;0,"COUNTED",IF(COUNTIF(LISTS!$J$2:$J$16,TRIM($G1901))&gt;0,"LEFT OUT","NEW")))</f>
        <v/>
      </c>
    </row>
    <row r="1902" spans="47:47" x14ac:dyDescent="0.25">
      <c r="AU1902" s="8" t="str">
        <f>IF(TRIM($G1902)="","",IF(COUNTIF(LISTS!$I$2:$I$16,TRIM($G1902))&gt;0,"COUNTED",IF(COUNTIF(LISTS!$J$2:$J$16,TRIM($G1902))&gt;0,"LEFT OUT","NEW")))</f>
        <v/>
      </c>
    </row>
    <row r="1903" spans="47:47" x14ac:dyDescent="0.25">
      <c r="AU1903" s="8" t="str">
        <f>IF(TRIM($G1903)="","",IF(COUNTIF(LISTS!$I$2:$I$16,TRIM($G1903))&gt;0,"COUNTED",IF(COUNTIF(LISTS!$J$2:$J$16,TRIM($G1903))&gt;0,"LEFT OUT","NEW")))</f>
        <v/>
      </c>
    </row>
    <row r="1904" spans="47:47" x14ac:dyDescent="0.25">
      <c r="AU1904" s="8" t="str">
        <f>IF(TRIM($G1904)="","",IF(COUNTIF(LISTS!$I$2:$I$16,TRIM($G1904))&gt;0,"COUNTED",IF(COUNTIF(LISTS!$J$2:$J$16,TRIM($G1904))&gt;0,"LEFT OUT","NEW")))</f>
        <v/>
      </c>
    </row>
    <row r="1905" spans="47:47" x14ac:dyDescent="0.25">
      <c r="AU1905" s="8" t="str">
        <f>IF(TRIM($G1905)="","",IF(COUNTIF(LISTS!$I$2:$I$16,TRIM($G1905))&gt;0,"COUNTED",IF(COUNTIF(LISTS!$J$2:$J$16,TRIM($G1905))&gt;0,"LEFT OUT","NEW")))</f>
        <v/>
      </c>
    </row>
    <row r="1906" spans="47:47" x14ac:dyDescent="0.25">
      <c r="AU1906" s="8" t="str">
        <f>IF(TRIM($G1906)="","",IF(COUNTIF(LISTS!$I$2:$I$16,TRIM($G1906))&gt;0,"COUNTED",IF(COUNTIF(LISTS!$J$2:$J$16,TRIM($G1906))&gt;0,"LEFT OUT","NEW")))</f>
        <v/>
      </c>
    </row>
    <row r="1907" spans="47:47" x14ac:dyDescent="0.25">
      <c r="AU1907" s="8" t="str">
        <f>IF(TRIM($G1907)="","",IF(COUNTIF(LISTS!$I$2:$I$16,TRIM($G1907))&gt;0,"COUNTED",IF(COUNTIF(LISTS!$J$2:$J$16,TRIM($G1907))&gt;0,"LEFT OUT","NEW")))</f>
        <v/>
      </c>
    </row>
    <row r="1908" spans="47:47" x14ac:dyDescent="0.25">
      <c r="AU1908" s="8" t="str">
        <f>IF(TRIM($G1908)="","",IF(COUNTIF(LISTS!$I$2:$I$16,TRIM($G1908))&gt;0,"COUNTED",IF(COUNTIF(LISTS!$J$2:$J$16,TRIM($G1908))&gt;0,"LEFT OUT","NEW")))</f>
        <v/>
      </c>
    </row>
    <row r="1909" spans="47:47" x14ac:dyDescent="0.25">
      <c r="AU1909" s="8" t="str">
        <f>IF(TRIM($G1909)="","",IF(COUNTIF(LISTS!$I$2:$I$16,TRIM($G1909))&gt;0,"COUNTED",IF(COUNTIF(LISTS!$J$2:$J$16,TRIM($G1909))&gt;0,"LEFT OUT","NEW")))</f>
        <v/>
      </c>
    </row>
    <row r="1910" spans="47:47" x14ac:dyDescent="0.25">
      <c r="AU1910" s="8" t="str">
        <f>IF(TRIM($G1910)="","",IF(COUNTIF(LISTS!$I$2:$I$16,TRIM($G1910))&gt;0,"COUNTED",IF(COUNTIF(LISTS!$J$2:$J$16,TRIM($G1910))&gt;0,"LEFT OUT","NEW")))</f>
        <v/>
      </c>
    </row>
    <row r="1911" spans="47:47" x14ac:dyDescent="0.25">
      <c r="AU1911" s="8" t="str">
        <f>IF(TRIM($G1911)="","",IF(COUNTIF(LISTS!$I$2:$I$16,TRIM($G1911))&gt;0,"COUNTED",IF(COUNTIF(LISTS!$J$2:$J$16,TRIM($G1911))&gt;0,"LEFT OUT","NEW")))</f>
        <v/>
      </c>
    </row>
    <row r="1912" spans="47:47" x14ac:dyDescent="0.25">
      <c r="AU1912" s="8" t="str">
        <f>IF(TRIM($G1912)="","",IF(COUNTIF(LISTS!$I$2:$I$16,TRIM($G1912))&gt;0,"COUNTED",IF(COUNTIF(LISTS!$J$2:$J$16,TRIM($G1912))&gt;0,"LEFT OUT","NEW")))</f>
        <v/>
      </c>
    </row>
    <row r="1913" spans="47:47" x14ac:dyDescent="0.25">
      <c r="AU1913" s="8" t="str">
        <f>IF(TRIM($G1913)="","",IF(COUNTIF(LISTS!$I$2:$I$16,TRIM($G1913))&gt;0,"COUNTED",IF(COUNTIF(LISTS!$J$2:$J$16,TRIM($G1913))&gt;0,"LEFT OUT","NEW")))</f>
        <v/>
      </c>
    </row>
    <row r="1914" spans="47:47" x14ac:dyDescent="0.25">
      <c r="AU1914" s="8" t="str">
        <f>IF(TRIM($G1914)="","",IF(COUNTIF(LISTS!$I$2:$I$16,TRIM($G1914))&gt;0,"COUNTED",IF(COUNTIF(LISTS!$J$2:$J$16,TRIM($G1914))&gt;0,"LEFT OUT","NEW")))</f>
        <v/>
      </c>
    </row>
    <row r="1915" spans="47:47" x14ac:dyDescent="0.25">
      <c r="AU1915" s="8" t="str">
        <f>IF(TRIM($G1915)="","",IF(COUNTIF(LISTS!$I$2:$I$16,TRIM($G1915))&gt;0,"COUNTED",IF(COUNTIF(LISTS!$J$2:$J$16,TRIM($G1915))&gt;0,"LEFT OUT","NEW")))</f>
        <v/>
      </c>
    </row>
    <row r="1916" spans="47:47" x14ac:dyDescent="0.25">
      <c r="AU1916" s="8" t="str">
        <f>IF(TRIM($G1916)="","",IF(COUNTIF(LISTS!$I$2:$I$16,TRIM($G1916))&gt;0,"COUNTED",IF(COUNTIF(LISTS!$J$2:$J$16,TRIM($G1916))&gt;0,"LEFT OUT","NEW")))</f>
        <v/>
      </c>
    </row>
    <row r="1917" spans="47:47" x14ac:dyDescent="0.25">
      <c r="AU1917" s="8" t="str">
        <f>IF(TRIM($G1917)="","",IF(COUNTIF(LISTS!$I$2:$I$16,TRIM($G1917))&gt;0,"COUNTED",IF(COUNTIF(LISTS!$J$2:$J$16,TRIM($G1917))&gt;0,"LEFT OUT","NEW")))</f>
        <v/>
      </c>
    </row>
    <row r="1918" spans="47:47" x14ac:dyDescent="0.25">
      <c r="AU1918" s="8" t="str">
        <f>IF(TRIM($G1918)="","",IF(COUNTIF(LISTS!$I$2:$I$16,TRIM($G1918))&gt;0,"COUNTED",IF(COUNTIF(LISTS!$J$2:$J$16,TRIM($G1918))&gt;0,"LEFT OUT","NEW")))</f>
        <v/>
      </c>
    </row>
    <row r="1919" spans="47:47" x14ac:dyDescent="0.25">
      <c r="AU1919" s="8" t="str">
        <f>IF(TRIM($G1919)="","",IF(COUNTIF(LISTS!$I$2:$I$16,TRIM($G1919))&gt;0,"COUNTED",IF(COUNTIF(LISTS!$J$2:$J$16,TRIM($G1919))&gt;0,"LEFT OUT","NEW")))</f>
        <v/>
      </c>
    </row>
    <row r="1920" spans="47:47" x14ac:dyDescent="0.25">
      <c r="AU1920" s="8" t="str">
        <f>IF(TRIM($G1920)="","",IF(COUNTIF(LISTS!$I$2:$I$16,TRIM($G1920))&gt;0,"COUNTED",IF(COUNTIF(LISTS!$J$2:$J$16,TRIM($G1920))&gt;0,"LEFT OUT","NEW")))</f>
        <v/>
      </c>
    </row>
    <row r="1921" spans="47:47" x14ac:dyDescent="0.25">
      <c r="AU1921" s="8" t="str">
        <f>IF(TRIM($G1921)="","",IF(COUNTIF(LISTS!$I$2:$I$16,TRIM($G1921))&gt;0,"COUNTED",IF(COUNTIF(LISTS!$J$2:$J$16,TRIM($G1921))&gt;0,"LEFT OUT","NEW")))</f>
        <v/>
      </c>
    </row>
    <row r="1922" spans="47:47" x14ac:dyDescent="0.25">
      <c r="AU1922" s="8" t="str">
        <f>IF(TRIM($G1922)="","",IF(COUNTIF(LISTS!$I$2:$I$16,TRIM($G1922))&gt;0,"COUNTED",IF(COUNTIF(LISTS!$J$2:$J$16,TRIM($G1922))&gt;0,"LEFT OUT","NEW")))</f>
        <v/>
      </c>
    </row>
    <row r="1923" spans="47:47" x14ac:dyDescent="0.25">
      <c r="AU1923" s="8" t="str">
        <f>IF(TRIM($G1923)="","",IF(COUNTIF(LISTS!$I$2:$I$16,TRIM($G1923))&gt;0,"COUNTED",IF(COUNTIF(LISTS!$J$2:$J$16,TRIM($G1923))&gt;0,"LEFT OUT","NEW")))</f>
        <v/>
      </c>
    </row>
    <row r="1924" spans="47:47" x14ac:dyDescent="0.25">
      <c r="AU1924" s="8" t="str">
        <f>IF(TRIM($G1924)="","",IF(COUNTIF(LISTS!$I$2:$I$16,TRIM($G1924))&gt;0,"COUNTED",IF(COUNTIF(LISTS!$J$2:$J$16,TRIM($G1924))&gt;0,"LEFT OUT","NEW")))</f>
        <v/>
      </c>
    </row>
    <row r="1925" spans="47:47" x14ac:dyDescent="0.25">
      <c r="AU1925" s="8" t="str">
        <f>IF(TRIM($G1925)="","",IF(COUNTIF(LISTS!$I$2:$I$16,TRIM($G1925))&gt;0,"COUNTED",IF(COUNTIF(LISTS!$J$2:$J$16,TRIM($G1925))&gt;0,"LEFT OUT","NEW")))</f>
        <v/>
      </c>
    </row>
    <row r="1926" spans="47:47" x14ac:dyDescent="0.25">
      <c r="AU1926" s="8" t="str">
        <f>IF(TRIM($G1926)="","",IF(COUNTIF(LISTS!$I$2:$I$16,TRIM($G1926))&gt;0,"COUNTED",IF(COUNTIF(LISTS!$J$2:$J$16,TRIM($G1926))&gt;0,"LEFT OUT","NEW")))</f>
        <v/>
      </c>
    </row>
    <row r="1927" spans="47:47" x14ac:dyDescent="0.25">
      <c r="AU1927" s="8" t="str">
        <f>IF(TRIM($G1927)="","",IF(COUNTIF(LISTS!$I$2:$I$16,TRIM($G1927))&gt;0,"COUNTED",IF(COUNTIF(LISTS!$J$2:$J$16,TRIM($G1927))&gt;0,"LEFT OUT","NEW")))</f>
        <v/>
      </c>
    </row>
    <row r="1928" spans="47:47" x14ac:dyDescent="0.25">
      <c r="AU1928" s="8" t="str">
        <f>IF(TRIM($G1928)="","",IF(COUNTIF(LISTS!$I$2:$I$16,TRIM($G1928))&gt;0,"COUNTED",IF(COUNTIF(LISTS!$J$2:$J$16,TRIM($G1928))&gt;0,"LEFT OUT","NEW")))</f>
        <v/>
      </c>
    </row>
    <row r="1929" spans="47:47" x14ac:dyDescent="0.25">
      <c r="AU1929" s="8" t="str">
        <f>IF(TRIM($G1929)="","",IF(COUNTIF(LISTS!$I$2:$I$16,TRIM($G1929))&gt;0,"COUNTED",IF(COUNTIF(LISTS!$J$2:$J$16,TRIM($G1929))&gt;0,"LEFT OUT","NEW")))</f>
        <v/>
      </c>
    </row>
    <row r="1930" spans="47:47" x14ac:dyDescent="0.25">
      <c r="AU1930" s="8" t="str">
        <f>IF(TRIM($G1930)="","",IF(COUNTIF(LISTS!$I$2:$I$16,TRIM($G1930))&gt;0,"COUNTED",IF(COUNTIF(LISTS!$J$2:$J$16,TRIM($G1930))&gt;0,"LEFT OUT","NEW")))</f>
        <v/>
      </c>
    </row>
    <row r="1931" spans="47:47" x14ac:dyDescent="0.25">
      <c r="AU1931" s="8" t="str">
        <f>IF(TRIM($G1931)="","",IF(COUNTIF(LISTS!$I$2:$I$16,TRIM($G1931))&gt;0,"COUNTED",IF(COUNTIF(LISTS!$J$2:$J$16,TRIM($G1931))&gt;0,"LEFT OUT","NEW")))</f>
        <v/>
      </c>
    </row>
    <row r="1932" spans="47:47" x14ac:dyDescent="0.25">
      <c r="AU1932" s="8" t="str">
        <f>IF(TRIM($G1932)="","",IF(COUNTIF(LISTS!$I$2:$I$16,TRIM($G1932))&gt;0,"COUNTED",IF(COUNTIF(LISTS!$J$2:$J$16,TRIM($G1932))&gt;0,"LEFT OUT","NEW")))</f>
        <v/>
      </c>
    </row>
    <row r="1933" spans="47:47" x14ac:dyDescent="0.25">
      <c r="AU1933" s="8" t="str">
        <f>IF(TRIM($G1933)="","",IF(COUNTIF(LISTS!$I$2:$I$16,TRIM($G1933))&gt;0,"COUNTED",IF(COUNTIF(LISTS!$J$2:$J$16,TRIM($G1933))&gt;0,"LEFT OUT","NEW")))</f>
        <v/>
      </c>
    </row>
    <row r="1934" spans="47:47" x14ac:dyDescent="0.25">
      <c r="AU1934" s="8" t="str">
        <f>IF(TRIM($G1934)="","",IF(COUNTIF(LISTS!$I$2:$I$16,TRIM($G1934))&gt;0,"COUNTED",IF(COUNTIF(LISTS!$J$2:$J$16,TRIM($G1934))&gt;0,"LEFT OUT","NEW")))</f>
        <v/>
      </c>
    </row>
    <row r="1935" spans="47:47" x14ac:dyDescent="0.25">
      <c r="AU1935" s="8" t="str">
        <f>IF(TRIM($G1935)="","",IF(COUNTIF(LISTS!$I$2:$I$16,TRIM($G1935))&gt;0,"COUNTED",IF(COUNTIF(LISTS!$J$2:$J$16,TRIM($G1935))&gt;0,"LEFT OUT","NEW")))</f>
        <v/>
      </c>
    </row>
    <row r="1936" spans="47:47" x14ac:dyDescent="0.25">
      <c r="AU1936" s="8" t="str">
        <f>IF(TRIM($G1936)="","",IF(COUNTIF(LISTS!$I$2:$I$16,TRIM($G1936))&gt;0,"COUNTED",IF(COUNTIF(LISTS!$J$2:$J$16,TRIM($G1936))&gt;0,"LEFT OUT","NEW")))</f>
        <v/>
      </c>
    </row>
    <row r="1937" spans="47:47" x14ac:dyDescent="0.25">
      <c r="AU1937" s="8" t="str">
        <f>IF(TRIM($G1937)="","",IF(COUNTIF(LISTS!$I$2:$I$16,TRIM($G1937))&gt;0,"COUNTED",IF(COUNTIF(LISTS!$J$2:$J$16,TRIM($G1937))&gt;0,"LEFT OUT","NEW")))</f>
        <v/>
      </c>
    </row>
    <row r="1938" spans="47:47" x14ac:dyDescent="0.25">
      <c r="AU1938" s="8" t="str">
        <f>IF(TRIM($G1938)="","",IF(COUNTIF(LISTS!$I$2:$I$16,TRIM($G1938))&gt;0,"COUNTED",IF(COUNTIF(LISTS!$J$2:$J$16,TRIM($G1938))&gt;0,"LEFT OUT","NEW")))</f>
        <v/>
      </c>
    </row>
    <row r="1939" spans="47:47" x14ac:dyDescent="0.25">
      <c r="AU1939" s="8" t="str">
        <f>IF(TRIM($G1939)="","",IF(COUNTIF(LISTS!$I$2:$I$16,TRIM($G1939))&gt;0,"COUNTED",IF(COUNTIF(LISTS!$J$2:$J$16,TRIM($G1939))&gt;0,"LEFT OUT","NEW")))</f>
        <v/>
      </c>
    </row>
    <row r="1940" spans="47:47" x14ac:dyDescent="0.25">
      <c r="AU1940" s="8" t="str">
        <f>IF(TRIM($G1940)="","",IF(COUNTIF(LISTS!$I$2:$I$16,TRIM($G1940))&gt;0,"COUNTED",IF(COUNTIF(LISTS!$J$2:$J$16,TRIM($G1940))&gt;0,"LEFT OUT","NEW")))</f>
        <v/>
      </c>
    </row>
    <row r="1941" spans="47:47" x14ac:dyDescent="0.25">
      <c r="AU1941" s="8" t="str">
        <f>IF(TRIM($G1941)="","",IF(COUNTIF(LISTS!$I$2:$I$16,TRIM($G1941))&gt;0,"COUNTED",IF(COUNTIF(LISTS!$J$2:$J$16,TRIM($G1941))&gt;0,"LEFT OUT","NEW")))</f>
        <v/>
      </c>
    </row>
    <row r="1942" spans="47:47" x14ac:dyDescent="0.25">
      <c r="AU1942" s="8" t="str">
        <f>IF(TRIM($G1942)="","",IF(COUNTIF(LISTS!$I$2:$I$16,TRIM($G1942))&gt;0,"COUNTED",IF(COUNTIF(LISTS!$J$2:$J$16,TRIM($G1942))&gt;0,"LEFT OUT","NEW")))</f>
        <v/>
      </c>
    </row>
    <row r="1943" spans="47:47" x14ac:dyDescent="0.25">
      <c r="AU1943" s="8" t="str">
        <f>IF(TRIM($G1943)="","",IF(COUNTIF(LISTS!$I$2:$I$16,TRIM($G1943))&gt;0,"COUNTED",IF(COUNTIF(LISTS!$J$2:$J$16,TRIM($G1943))&gt;0,"LEFT OUT","NEW")))</f>
        <v/>
      </c>
    </row>
    <row r="1944" spans="47:47" x14ac:dyDescent="0.25">
      <c r="AU1944" s="8" t="str">
        <f>IF(TRIM($G1944)="","",IF(COUNTIF(LISTS!$I$2:$I$16,TRIM($G1944))&gt;0,"COUNTED",IF(COUNTIF(LISTS!$J$2:$J$16,TRIM($G1944))&gt;0,"LEFT OUT","NEW")))</f>
        <v/>
      </c>
    </row>
    <row r="1945" spans="47:47" x14ac:dyDescent="0.25">
      <c r="AU1945" s="8" t="str">
        <f>IF(TRIM($G1945)="","",IF(COUNTIF(LISTS!$I$2:$I$16,TRIM($G1945))&gt;0,"COUNTED",IF(COUNTIF(LISTS!$J$2:$J$16,TRIM($G1945))&gt;0,"LEFT OUT","NEW")))</f>
        <v/>
      </c>
    </row>
    <row r="1946" spans="47:47" x14ac:dyDescent="0.25">
      <c r="AU1946" s="8" t="str">
        <f>IF(TRIM($G1946)="","",IF(COUNTIF(LISTS!$I$2:$I$16,TRIM($G1946))&gt;0,"COUNTED",IF(COUNTIF(LISTS!$J$2:$J$16,TRIM($G1946))&gt;0,"LEFT OUT","NEW")))</f>
        <v/>
      </c>
    </row>
    <row r="1947" spans="47:47" x14ac:dyDescent="0.25">
      <c r="AU1947" s="8" t="str">
        <f>IF(TRIM($G1947)="","",IF(COUNTIF(LISTS!$I$2:$I$16,TRIM($G1947))&gt;0,"COUNTED",IF(COUNTIF(LISTS!$J$2:$J$16,TRIM($G1947))&gt;0,"LEFT OUT","NEW")))</f>
        <v/>
      </c>
    </row>
    <row r="1948" spans="47:47" x14ac:dyDescent="0.25">
      <c r="AU1948" s="8" t="str">
        <f>IF(TRIM($G1948)="","",IF(COUNTIF(LISTS!$I$2:$I$16,TRIM($G1948))&gt;0,"COUNTED",IF(COUNTIF(LISTS!$J$2:$J$16,TRIM($G1948))&gt;0,"LEFT OUT","NEW")))</f>
        <v/>
      </c>
    </row>
    <row r="1949" spans="47:47" x14ac:dyDescent="0.25">
      <c r="AU1949" s="8" t="str">
        <f>IF(TRIM($G1949)="","",IF(COUNTIF(LISTS!$I$2:$I$16,TRIM($G1949))&gt;0,"COUNTED",IF(COUNTIF(LISTS!$J$2:$J$16,TRIM($G1949))&gt;0,"LEFT OUT","NEW")))</f>
        <v/>
      </c>
    </row>
    <row r="1950" spans="47:47" x14ac:dyDescent="0.25">
      <c r="AU1950" s="8" t="str">
        <f>IF(TRIM($G1950)="","",IF(COUNTIF(LISTS!$I$2:$I$16,TRIM($G1950))&gt;0,"COUNTED",IF(COUNTIF(LISTS!$J$2:$J$16,TRIM($G1950))&gt;0,"LEFT OUT","NEW")))</f>
        <v/>
      </c>
    </row>
    <row r="1951" spans="47:47" x14ac:dyDescent="0.25">
      <c r="AU1951" s="8" t="str">
        <f>IF(TRIM($G1951)="","",IF(COUNTIF(LISTS!$I$2:$I$16,TRIM($G1951))&gt;0,"COUNTED",IF(COUNTIF(LISTS!$J$2:$J$16,TRIM($G1951))&gt;0,"LEFT OUT","NEW")))</f>
        <v/>
      </c>
    </row>
    <row r="1952" spans="47:47" x14ac:dyDescent="0.25">
      <c r="AU1952" s="8" t="str">
        <f>IF(TRIM($G1952)="","",IF(COUNTIF(LISTS!$I$2:$I$16,TRIM($G1952))&gt;0,"COUNTED",IF(COUNTIF(LISTS!$J$2:$J$16,TRIM($G1952))&gt;0,"LEFT OUT","NEW")))</f>
        <v/>
      </c>
    </row>
    <row r="1953" spans="47:47" x14ac:dyDescent="0.25">
      <c r="AU1953" s="8" t="str">
        <f>IF(TRIM($G1953)="","",IF(COUNTIF(LISTS!$I$2:$I$16,TRIM($G1953))&gt;0,"COUNTED",IF(COUNTIF(LISTS!$J$2:$J$16,TRIM($G1953))&gt;0,"LEFT OUT","NEW")))</f>
        <v/>
      </c>
    </row>
    <row r="1954" spans="47:47" x14ac:dyDescent="0.25">
      <c r="AU1954" s="8" t="str">
        <f>IF(TRIM($G1954)="","",IF(COUNTIF(LISTS!$I$2:$I$16,TRIM($G1954))&gt;0,"COUNTED",IF(COUNTIF(LISTS!$J$2:$J$16,TRIM($G1954))&gt;0,"LEFT OUT","NEW")))</f>
        <v/>
      </c>
    </row>
    <row r="1955" spans="47:47" x14ac:dyDescent="0.25">
      <c r="AU1955" s="8" t="str">
        <f>IF(TRIM($G1955)="","",IF(COUNTIF(LISTS!$I$2:$I$16,TRIM($G1955))&gt;0,"COUNTED",IF(COUNTIF(LISTS!$J$2:$J$16,TRIM($G1955))&gt;0,"LEFT OUT","NEW")))</f>
        <v/>
      </c>
    </row>
    <row r="1956" spans="47:47" x14ac:dyDescent="0.25">
      <c r="AU1956" s="8" t="str">
        <f>IF(TRIM($G1956)="","",IF(COUNTIF(LISTS!$I$2:$I$16,TRIM($G1956))&gt;0,"COUNTED",IF(COUNTIF(LISTS!$J$2:$J$16,TRIM($G1956))&gt;0,"LEFT OUT","NEW")))</f>
        <v/>
      </c>
    </row>
    <row r="1957" spans="47:47" x14ac:dyDescent="0.25">
      <c r="AU1957" s="8" t="str">
        <f>IF(TRIM($G1957)="","",IF(COUNTIF(LISTS!$I$2:$I$16,TRIM($G1957))&gt;0,"COUNTED",IF(COUNTIF(LISTS!$J$2:$J$16,TRIM($G1957))&gt;0,"LEFT OUT","NEW")))</f>
        <v/>
      </c>
    </row>
    <row r="1958" spans="47:47" x14ac:dyDescent="0.25">
      <c r="AU1958" s="8" t="str">
        <f>IF(TRIM($G1958)="","",IF(COUNTIF(LISTS!$I$2:$I$16,TRIM($G1958))&gt;0,"COUNTED",IF(COUNTIF(LISTS!$J$2:$J$16,TRIM($G1958))&gt;0,"LEFT OUT","NEW")))</f>
        <v/>
      </c>
    </row>
    <row r="1959" spans="47:47" x14ac:dyDescent="0.25">
      <c r="AU1959" s="8" t="str">
        <f>IF(TRIM($G1959)="","",IF(COUNTIF(LISTS!$I$2:$I$16,TRIM($G1959))&gt;0,"COUNTED",IF(COUNTIF(LISTS!$J$2:$J$16,TRIM($G1959))&gt;0,"LEFT OUT","NEW")))</f>
        <v/>
      </c>
    </row>
    <row r="1960" spans="47:47" x14ac:dyDescent="0.25">
      <c r="AU1960" s="8" t="str">
        <f>IF(TRIM($G1960)="","",IF(COUNTIF(LISTS!$I$2:$I$16,TRIM($G1960))&gt;0,"COUNTED",IF(COUNTIF(LISTS!$J$2:$J$16,TRIM($G1960))&gt;0,"LEFT OUT","NEW")))</f>
        <v/>
      </c>
    </row>
    <row r="1961" spans="47:47" x14ac:dyDescent="0.25">
      <c r="AU1961" s="8" t="str">
        <f>IF(TRIM($G1961)="","",IF(COUNTIF(LISTS!$I$2:$I$16,TRIM($G1961))&gt;0,"COUNTED",IF(COUNTIF(LISTS!$J$2:$J$16,TRIM($G1961))&gt;0,"LEFT OUT","NEW")))</f>
        <v/>
      </c>
    </row>
    <row r="1962" spans="47:47" x14ac:dyDescent="0.25">
      <c r="AU1962" s="8" t="str">
        <f>IF(TRIM($G1962)="","",IF(COUNTIF(LISTS!$I$2:$I$16,TRIM($G1962))&gt;0,"COUNTED",IF(COUNTIF(LISTS!$J$2:$J$16,TRIM($G1962))&gt;0,"LEFT OUT","NEW")))</f>
        <v/>
      </c>
    </row>
    <row r="1963" spans="47:47" x14ac:dyDescent="0.25">
      <c r="AU1963" s="8" t="str">
        <f>IF(TRIM($G1963)="","",IF(COUNTIF(LISTS!$I$2:$I$16,TRIM($G1963))&gt;0,"COUNTED",IF(COUNTIF(LISTS!$J$2:$J$16,TRIM($G1963))&gt;0,"LEFT OUT","NEW")))</f>
        <v/>
      </c>
    </row>
    <row r="1964" spans="47:47" x14ac:dyDescent="0.25">
      <c r="AU1964" s="8" t="str">
        <f>IF(TRIM($G1964)="","",IF(COUNTIF(LISTS!$I$2:$I$16,TRIM($G1964))&gt;0,"COUNTED",IF(COUNTIF(LISTS!$J$2:$J$16,TRIM($G1964))&gt;0,"LEFT OUT","NEW")))</f>
        <v/>
      </c>
    </row>
    <row r="1965" spans="47:47" x14ac:dyDescent="0.25">
      <c r="AU1965" s="8" t="str">
        <f>IF(TRIM($G1965)="","",IF(COUNTIF(LISTS!$I$2:$I$16,TRIM($G1965))&gt;0,"COUNTED",IF(COUNTIF(LISTS!$J$2:$J$16,TRIM($G1965))&gt;0,"LEFT OUT","NEW")))</f>
        <v/>
      </c>
    </row>
    <row r="1966" spans="47:47" x14ac:dyDescent="0.25">
      <c r="AU1966" s="8" t="str">
        <f>IF(TRIM($G1966)="","",IF(COUNTIF(LISTS!$I$2:$I$16,TRIM($G1966))&gt;0,"COUNTED",IF(COUNTIF(LISTS!$J$2:$J$16,TRIM($G1966))&gt;0,"LEFT OUT","NEW")))</f>
        <v/>
      </c>
    </row>
    <row r="1967" spans="47:47" x14ac:dyDescent="0.25">
      <c r="AU1967" s="8" t="str">
        <f>IF(TRIM($G1967)="","",IF(COUNTIF(LISTS!$I$2:$I$16,TRIM($G1967))&gt;0,"COUNTED",IF(COUNTIF(LISTS!$J$2:$J$16,TRIM($G1967))&gt;0,"LEFT OUT","NEW")))</f>
        <v/>
      </c>
    </row>
    <row r="1968" spans="47:47" x14ac:dyDescent="0.25">
      <c r="AU1968" s="8" t="str">
        <f>IF(TRIM($G1968)="","",IF(COUNTIF(LISTS!$I$2:$I$16,TRIM($G1968))&gt;0,"COUNTED",IF(COUNTIF(LISTS!$J$2:$J$16,TRIM($G1968))&gt;0,"LEFT OUT","NEW")))</f>
        <v/>
      </c>
    </row>
    <row r="1969" spans="47:47" x14ac:dyDescent="0.25">
      <c r="AU1969" s="8" t="str">
        <f>IF(TRIM($G1969)="","",IF(COUNTIF(LISTS!$I$2:$I$16,TRIM($G1969))&gt;0,"COUNTED",IF(COUNTIF(LISTS!$J$2:$J$16,TRIM($G1969))&gt;0,"LEFT OUT","NEW")))</f>
        <v/>
      </c>
    </row>
    <row r="1970" spans="47:47" x14ac:dyDescent="0.25">
      <c r="AU1970" s="8" t="str">
        <f>IF(TRIM($G1970)="","",IF(COUNTIF(LISTS!$I$2:$I$16,TRIM($G1970))&gt;0,"COUNTED",IF(COUNTIF(LISTS!$J$2:$J$16,TRIM($G1970))&gt;0,"LEFT OUT","NEW")))</f>
        <v/>
      </c>
    </row>
    <row r="1971" spans="47:47" x14ac:dyDescent="0.25">
      <c r="AU1971" s="8" t="str">
        <f>IF(TRIM($G1971)="","",IF(COUNTIF(LISTS!$I$2:$I$16,TRIM($G1971))&gt;0,"COUNTED",IF(COUNTIF(LISTS!$J$2:$J$16,TRIM($G1971))&gt;0,"LEFT OUT","NEW")))</f>
        <v/>
      </c>
    </row>
    <row r="1972" spans="47:47" x14ac:dyDescent="0.25">
      <c r="AU1972" s="8" t="str">
        <f>IF(TRIM($G1972)="","",IF(COUNTIF(LISTS!$I$2:$I$16,TRIM($G1972))&gt;0,"COUNTED",IF(COUNTIF(LISTS!$J$2:$J$16,TRIM($G1972))&gt;0,"LEFT OUT","NEW")))</f>
        <v/>
      </c>
    </row>
    <row r="1973" spans="47:47" x14ac:dyDescent="0.25">
      <c r="AU1973" s="8" t="str">
        <f>IF(TRIM($G1973)="","",IF(COUNTIF(LISTS!$I$2:$I$16,TRIM($G1973))&gt;0,"COUNTED",IF(COUNTIF(LISTS!$J$2:$J$16,TRIM($G1973))&gt;0,"LEFT OUT","NEW")))</f>
        <v/>
      </c>
    </row>
    <row r="1974" spans="47:47" x14ac:dyDescent="0.25">
      <c r="AU1974" s="8" t="str">
        <f>IF(TRIM($G1974)="","",IF(COUNTIF(LISTS!$I$2:$I$16,TRIM($G1974))&gt;0,"COUNTED",IF(COUNTIF(LISTS!$J$2:$J$16,TRIM($G1974))&gt;0,"LEFT OUT","NEW")))</f>
        <v/>
      </c>
    </row>
    <row r="1975" spans="47:47" x14ac:dyDescent="0.25">
      <c r="AU1975" s="8" t="str">
        <f>IF(TRIM($G1975)="","",IF(COUNTIF(LISTS!$I$2:$I$16,TRIM($G1975))&gt;0,"COUNTED",IF(COUNTIF(LISTS!$J$2:$J$16,TRIM($G1975))&gt;0,"LEFT OUT","NEW")))</f>
        <v/>
      </c>
    </row>
    <row r="1976" spans="47:47" x14ac:dyDescent="0.25">
      <c r="AU1976" s="8" t="str">
        <f>IF(TRIM($G1976)="","",IF(COUNTIF(LISTS!$I$2:$I$16,TRIM($G1976))&gt;0,"COUNTED",IF(COUNTIF(LISTS!$J$2:$J$16,TRIM($G1976))&gt;0,"LEFT OUT","NEW")))</f>
        <v/>
      </c>
    </row>
    <row r="1977" spans="47:47" x14ac:dyDescent="0.25">
      <c r="AU1977" s="8" t="str">
        <f>IF(TRIM($G1977)="","",IF(COUNTIF(LISTS!$I$2:$I$16,TRIM($G1977))&gt;0,"COUNTED",IF(COUNTIF(LISTS!$J$2:$J$16,TRIM($G1977))&gt;0,"LEFT OUT","NEW")))</f>
        <v/>
      </c>
    </row>
    <row r="1978" spans="47:47" x14ac:dyDescent="0.25">
      <c r="AU1978" s="8" t="str">
        <f>IF(TRIM($G1978)="","",IF(COUNTIF(LISTS!$I$2:$I$16,TRIM($G1978))&gt;0,"COUNTED",IF(COUNTIF(LISTS!$J$2:$J$16,TRIM($G1978))&gt;0,"LEFT OUT","NEW")))</f>
        <v/>
      </c>
    </row>
    <row r="1979" spans="47:47" x14ac:dyDescent="0.25">
      <c r="AU1979" s="8" t="str">
        <f>IF(TRIM($G1979)="","",IF(COUNTIF(LISTS!$I$2:$I$16,TRIM($G1979))&gt;0,"COUNTED",IF(COUNTIF(LISTS!$J$2:$J$16,TRIM($G1979))&gt;0,"LEFT OUT","NEW")))</f>
        <v/>
      </c>
    </row>
    <row r="1980" spans="47:47" x14ac:dyDescent="0.25">
      <c r="AU1980" s="8" t="str">
        <f>IF(TRIM($G1980)="","",IF(COUNTIF(LISTS!$I$2:$I$16,TRIM($G1980))&gt;0,"COUNTED",IF(COUNTIF(LISTS!$J$2:$J$16,TRIM($G1980))&gt;0,"LEFT OUT","NEW")))</f>
        <v/>
      </c>
    </row>
    <row r="1981" spans="47:47" x14ac:dyDescent="0.25">
      <c r="AU1981" s="8" t="str">
        <f>IF(TRIM($G1981)="","",IF(COUNTIF(LISTS!$I$2:$I$16,TRIM($G1981))&gt;0,"COUNTED",IF(COUNTIF(LISTS!$J$2:$J$16,TRIM($G1981))&gt;0,"LEFT OUT","NEW")))</f>
        <v/>
      </c>
    </row>
    <row r="1982" spans="47:47" x14ac:dyDescent="0.25">
      <c r="AU1982" s="8" t="str">
        <f>IF(TRIM($G1982)="","",IF(COUNTIF(LISTS!$I$2:$I$16,TRIM($G1982))&gt;0,"COUNTED",IF(COUNTIF(LISTS!$J$2:$J$16,TRIM($G1982))&gt;0,"LEFT OUT","NEW")))</f>
        <v/>
      </c>
    </row>
    <row r="1983" spans="47:47" x14ac:dyDescent="0.25">
      <c r="AU1983" s="8" t="str">
        <f>IF(TRIM($G1983)="","",IF(COUNTIF(LISTS!$I$2:$I$16,TRIM($G1983))&gt;0,"COUNTED",IF(COUNTIF(LISTS!$J$2:$J$16,TRIM($G1983))&gt;0,"LEFT OUT","NEW")))</f>
        <v/>
      </c>
    </row>
    <row r="1984" spans="47:47" x14ac:dyDescent="0.25">
      <c r="AU1984" s="8" t="str">
        <f>IF(TRIM($G1984)="","",IF(COUNTIF(LISTS!$I$2:$I$16,TRIM($G1984))&gt;0,"COUNTED",IF(COUNTIF(LISTS!$J$2:$J$16,TRIM($G1984))&gt;0,"LEFT OUT","NEW")))</f>
        <v/>
      </c>
    </row>
    <row r="1985" spans="47:47" x14ac:dyDescent="0.25">
      <c r="AU1985" s="8" t="str">
        <f>IF(TRIM($G1985)="","",IF(COUNTIF(LISTS!$I$2:$I$16,TRIM($G1985))&gt;0,"COUNTED",IF(COUNTIF(LISTS!$J$2:$J$16,TRIM($G1985))&gt;0,"LEFT OUT","NEW")))</f>
        <v/>
      </c>
    </row>
    <row r="1986" spans="47:47" x14ac:dyDescent="0.25">
      <c r="AU1986" s="8" t="str">
        <f>IF(TRIM($G1986)="","",IF(COUNTIF(LISTS!$I$2:$I$16,TRIM($G1986))&gt;0,"COUNTED",IF(COUNTIF(LISTS!$J$2:$J$16,TRIM($G1986))&gt;0,"LEFT OUT","NEW")))</f>
        <v/>
      </c>
    </row>
    <row r="1987" spans="47:47" x14ac:dyDescent="0.25">
      <c r="AU1987" s="8" t="str">
        <f>IF(TRIM($G1987)="","",IF(COUNTIF(LISTS!$I$2:$I$16,TRIM($G1987))&gt;0,"COUNTED",IF(COUNTIF(LISTS!$J$2:$J$16,TRIM($G1987))&gt;0,"LEFT OUT","NEW")))</f>
        <v/>
      </c>
    </row>
    <row r="1988" spans="47:47" x14ac:dyDescent="0.25">
      <c r="AU1988" s="8" t="str">
        <f>IF(TRIM($G1988)="","",IF(COUNTIF(LISTS!$I$2:$I$16,TRIM($G1988))&gt;0,"COUNTED",IF(COUNTIF(LISTS!$J$2:$J$16,TRIM($G1988))&gt;0,"LEFT OUT","NEW")))</f>
        <v/>
      </c>
    </row>
    <row r="1989" spans="47:47" x14ac:dyDescent="0.25">
      <c r="AU1989" s="8" t="str">
        <f>IF(TRIM($G1989)="","",IF(COUNTIF(LISTS!$I$2:$I$16,TRIM($G1989))&gt;0,"COUNTED",IF(COUNTIF(LISTS!$J$2:$J$16,TRIM($G1989))&gt;0,"LEFT OUT","NEW")))</f>
        <v/>
      </c>
    </row>
    <row r="1990" spans="47:47" x14ac:dyDescent="0.25">
      <c r="AU1990" s="8" t="str">
        <f>IF(TRIM($G1990)="","",IF(COUNTIF(LISTS!$I$2:$I$16,TRIM($G1990))&gt;0,"COUNTED",IF(COUNTIF(LISTS!$J$2:$J$16,TRIM($G1990))&gt;0,"LEFT OUT","NEW")))</f>
        <v/>
      </c>
    </row>
    <row r="1991" spans="47:47" x14ac:dyDescent="0.25">
      <c r="AU1991" s="8" t="str">
        <f>IF(TRIM($G1991)="","",IF(COUNTIF(LISTS!$I$2:$I$16,TRIM($G1991))&gt;0,"COUNTED",IF(COUNTIF(LISTS!$J$2:$J$16,TRIM($G1991))&gt;0,"LEFT OUT","NEW")))</f>
        <v/>
      </c>
    </row>
    <row r="1992" spans="47:47" x14ac:dyDescent="0.25">
      <c r="AU1992" s="8" t="str">
        <f>IF(TRIM($G1992)="","",IF(COUNTIF(LISTS!$I$2:$I$16,TRIM($G1992))&gt;0,"COUNTED",IF(COUNTIF(LISTS!$J$2:$J$16,TRIM($G1992))&gt;0,"LEFT OUT","NEW")))</f>
        <v/>
      </c>
    </row>
    <row r="1993" spans="47:47" x14ac:dyDescent="0.25">
      <c r="AU1993" s="8" t="str">
        <f>IF(TRIM($G1993)="","",IF(COUNTIF(LISTS!$I$2:$I$16,TRIM($G1993))&gt;0,"COUNTED",IF(COUNTIF(LISTS!$J$2:$J$16,TRIM($G1993))&gt;0,"LEFT OUT","NEW")))</f>
        <v/>
      </c>
    </row>
    <row r="1994" spans="47:47" x14ac:dyDescent="0.25">
      <c r="AU1994" s="8" t="str">
        <f>IF(TRIM($G1994)="","",IF(COUNTIF(LISTS!$I$2:$I$16,TRIM($G1994))&gt;0,"COUNTED",IF(COUNTIF(LISTS!$J$2:$J$16,TRIM($G1994))&gt;0,"LEFT OUT","NEW")))</f>
        <v/>
      </c>
    </row>
    <row r="1995" spans="47:47" x14ac:dyDescent="0.25">
      <c r="AU1995" s="8" t="str">
        <f>IF(TRIM($G1995)="","",IF(COUNTIF(LISTS!$I$2:$I$16,TRIM($G1995))&gt;0,"COUNTED",IF(COUNTIF(LISTS!$J$2:$J$16,TRIM($G1995))&gt;0,"LEFT OUT","NEW")))</f>
        <v/>
      </c>
    </row>
    <row r="1996" spans="47:47" x14ac:dyDescent="0.25">
      <c r="AU1996" s="8" t="str">
        <f>IF(TRIM($G1996)="","",IF(COUNTIF(LISTS!$I$2:$I$16,TRIM($G1996))&gt;0,"COUNTED",IF(COUNTIF(LISTS!$J$2:$J$16,TRIM($G1996))&gt;0,"LEFT OUT","NEW")))</f>
        <v/>
      </c>
    </row>
    <row r="1997" spans="47:47" x14ac:dyDescent="0.25">
      <c r="AU1997" s="8" t="str">
        <f>IF(TRIM($G1997)="","",IF(COUNTIF(LISTS!$I$2:$I$16,TRIM($G1997))&gt;0,"COUNTED",IF(COUNTIF(LISTS!$J$2:$J$16,TRIM($G1997))&gt;0,"LEFT OUT","NEW")))</f>
        <v/>
      </c>
    </row>
    <row r="1998" spans="47:47" x14ac:dyDescent="0.25">
      <c r="AU1998" s="8" t="str">
        <f>IF(TRIM($G1998)="","",IF(COUNTIF(LISTS!$I$2:$I$16,TRIM($G1998))&gt;0,"COUNTED",IF(COUNTIF(LISTS!$J$2:$J$16,TRIM($G1998))&gt;0,"LEFT OUT","NEW")))</f>
        <v/>
      </c>
    </row>
    <row r="1999" spans="47:47" x14ac:dyDescent="0.25">
      <c r="AU1999" s="8" t="str">
        <f>IF(TRIM($G1999)="","",IF(COUNTIF(LISTS!$I$2:$I$16,TRIM($G1999))&gt;0,"COUNTED",IF(COUNTIF(LISTS!$J$2:$J$16,TRIM($G1999))&gt;0,"LEFT OUT","NEW")))</f>
        <v/>
      </c>
    </row>
    <row r="2000" spans="47:47" x14ac:dyDescent="0.25">
      <c r="AU2000" s="8" t="str">
        <f>IF(TRIM($G2000)="","",IF(COUNTIF(LISTS!$I$2:$I$16,TRIM($G2000))&gt;0,"COUNTED",IF(COUNTIF(LISTS!$J$2:$J$16,TRIM($G2000))&gt;0,"LEFT OUT","NEW")))</f>
        <v/>
      </c>
    </row>
    <row r="2001" spans="47:47" x14ac:dyDescent="0.25">
      <c r="AU2001" s="8" t="str">
        <f>IF(TRIM($G2001)="","",IF(COUNTIF(LISTS!$I$2:$I$16,TRIM($G2001))&gt;0,"COUNTED",IF(COUNTIF(LISTS!$J$2:$J$16,TRIM($G2001))&gt;0,"LEFT OUT","NEW")))</f>
        <v/>
      </c>
    </row>
    <row r="2002" spans="47:47" x14ac:dyDescent="0.25">
      <c r="AU2002" s="8" t="str">
        <f>IF(TRIM($G2002)="","",IF(COUNTIF(LISTS!$I$2:$I$16,TRIM($G2002))&gt;0,"COUNTED",IF(COUNTIF(LISTS!$J$2:$J$16,TRIM($G2002))&gt;0,"LEFT OUT","NEW")))</f>
        <v/>
      </c>
    </row>
    <row r="2003" spans="47:47" x14ac:dyDescent="0.25">
      <c r="AU2003" s="8" t="str">
        <f>IF(TRIM($G2003)="","",IF(COUNTIF(LISTS!$I$2:$I$16,TRIM($G2003))&gt;0,"COUNTED",IF(COUNTIF(LISTS!$J$2:$J$16,TRIM($G2003))&gt;0,"LEFT OUT","NEW")))</f>
        <v/>
      </c>
    </row>
    <row r="2004" spans="47:47" x14ac:dyDescent="0.25">
      <c r="AU2004" s="8" t="str">
        <f>IF(TRIM($G2004)="","",IF(COUNTIF(LISTS!$I$2:$I$16,TRIM($G2004))&gt;0,"COUNTED",IF(COUNTIF(LISTS!$J$2:$J$16,TRIM($G2004))&gt;0,"LEFT OUT","NEW")))</f>
        <v/>
      </c>
    </row>
    <row r="2005" spans="47:47" x14ac:dyDescent="0.25">
      <c r="AU2005" s="8" t="str">
        <f>IF(TRIM($G2005)="","",IF(COUNTIF(LISTS!$I$2:$I$16,TRIM($G2005))&gt;0,"COUNTED",IF(COUNTIF(LISTS!$J$2:$J$16,TRIM($G2005))&gt;0,"LEFT OUT","NEW")))</f>
        <v/>
      </c>
    </row>
    <row r="2006" spans="47:47" x14ac:dyDescent="0.25">
      <c r="AU2006" s="8" t="str">
        <f>IF(TRIM($G2006)="","",IF(COUNTIF(LISTS!$I$2:$I$16,TRIM($G2006))&gt;0,"COUNTED",IF(COUNTIF(LISTS!$J$2:$J$16,TRIM($G2006))&gt;0,"LEFT OUT","NEW")))</f>
        <v/>
      </c>
    </row>
    <row r="2007" spans="47:47" x14ac:dyDescent="0.25">
      <c r="AU2007" s="8" t="str">
        <f>IF(TRIM($G2007)="","",IF(COUNTIF(LISTS!$I$2:$I$16,TRIM($G2007))&gt;0,"COUNTED",IF(COUNTIF(LISTS!$J$2:$J$16,TRIM($G2007))&gt;0,"LEFT OUT","NEW")))</f>
        <v/>
      </c>
    </row>
    <row r="2008" spans="47:47" x14ac:dyDescent="0.25">
      <c r="AU2008" s="8" t="str">
        <f>IF(TRIM($G2008)="","",IF(COUNTIF(LISTS!$I$2:$I$16,TRIM($G2008))&gt;0,"COUNTED",IF(COUNTIF(LISTS!$J$2:$J$16,TRIM($G2008))&gt;0,"LEFT OUT","NEW")))</f>
        <v/>
      </c>
    </row>
    <row r="2009" spans="47:47" x14ac:dyDescent="0.25">
      <c r="AU2009" s="8" t="str">
        <f>IF(TRIM($G2009)="","",IF(COUNTIF(LISTS!$I$2:$I$16,TRIM($G2009))&gt;0,"COUNTED",IF(COUNTIF(LISTS!$J$2:$J$16,TRIM($G2009))&gt;0,"LEFT OUT","NEW")))</f>
        <v/>
      </c>
    </row>
    <row r="2010" spans="47:47" x14ac:dyDescent="0.25">
      <c r="AU2010" s="8" t="str">
        <f>IF(TRIM($G2010)="","",IF(COUNTIF(LISTS!$I$2:$I$16,TRIM($G2010))&gt;0,"COUNTED",IF(COUNTIF(LISTS!$J$2:$J$16,TRIM($G2010))&gt;0,"LEFT OUT","NEW")))</f>
        <v/>
      </c>
    </row>
    <row r="2011" spans="47:47" x14ac:dyDescent="0.25">
      <c r="AU2011" s="8" t="str">
        <f>IF(TRIM($G2011)="","",IF(COUNTIF(LISTS!$I$2:$I$16,TRIM($G2011))&gt;0,"COUNTED",IF(COUNTIF(LISTS!$J$2:$J$16,TRIM($G2011))&gt;0,"LEFT OUT","NEW")))</f>
        <v/>
      </c>
    </row>
    <row r="2012" spans="47:47" x14ac:dyDescent="0.25">
      <c r="AU2012" s="8" t="str">
        <f>IF(TRIM($G2012)="","",IF(COUNTIF(LISTS!$I$2:$I$16,TRIM($G2012))&gt;0,"COUNTED",IF(COUNTIF(LISTS!$J$2:$J$16,TRIM($G2012))&gt;0,"LEFT OUT","NEW")))</f>
        <v/>
      </c>
    </row>
    <row r="2013" spans="47:47" x14ac:dyDescent="0.25">
      <c r="AU2013" s="8" t="str">
        <f>IF(TRIM($G2013)="","",IF(COUNTIF(LISTS!$I$2:$I$16,TRIM($G2013))&gt;0,"COUNTED",IF(COUNTIF(LISTS!$J$2:$J$16,TRIM($G2013))&gt;0,"LEFT OUT","NEW")))</f>
        <v/>
      </c>
    </row>
    <row r="2014" spans="47:47" x14ac:dyDescent="0.25">
      <c r="AU2014" s="8" t="str">
        <f>IF(TRIM($G2014)="","",IF(COUNTIF(LISTS!$I$2:$I$16,TRIM($G2014))&gt;0,"COUNTED",IF(COUNTIF(LISTS!$J$2:$J$16,TRIM($G2014))&gt;0,"LEFT OUT","NEW")))</f>
        <v/>
      </c>
    </row>
    <row r="2015" spans="47:47" x14ac:dyDescent="0.25">
      <c r="AU2015" s="8" t="str">
        <f>IF(TRIM($G2015)="","",IF(COUNTIF(LISTS!$I$2:$I$16,TRIM($G2015))&gt;0,"COUNTED",IF(COUNTIF(LISTS!$J$2:$J$16,TRIM($G2015))&gt;0,"LEFT OUT","NEW")))</f>
        <v/>
      </c>
    </row>
    <row r="2016" spans="47:47" x14ac:dyDescent="0.25">
      <c r="AU2016" s="8" t="str">
        <f>IF(TRIM($G2016)="","",IF(COUNTIF(LISTS!$I$2:$I$16,TRIM($G2016))&gt;0,"COUNTED",IF(COUNTIF(LISTS!$J$2:$J$16,TRIM($G2016))&gt;0,"LEFT OUT","NEW")))</f>
        <v/>
      </c>
    </row>
    <row r="2017" spans="47:47" x14ac:dyDescent="0.25">
      <c r="AU2017" s="8" t="str">
        <f>IF(TRIM($G2017)="","",IF(COUNTIF(LISTS!$I$2:$I$16,TRIM($G2017))&gt;0,"COUNTED",IF(COUNTIF(LISTS!$J$2:$J$16,TRIM($G2017))&gt;0,"LEFT OUT","NEW")))</f>
        <v/>
      </c>
    </row>
    <row r="2018" spans="47:47" x14ac:dyDescent="0.25">
      <c r="AU2018" s="8" t="str">
        <f>IF(TRIM($G2018)="","",IF(COUNTIF(LISTS!$I$2:$I$16,TRIM($G2018))&gt;0,"COUNTED",IF(COUNTIF(LISTS!$J$2:$J$16,TRIM($G2018))&gt;0,"LEFT OUT","NEW")))</f>
        <v/>
      </c>
    </row>
    <row r="2019" spans="47:47" x14ac:dyDescent="0.25">
      <c r="AU2019" s="8" t="str">
        <f>IF(TRIM($G2019)="","",IF(COUNTIF(LISTS!$I$2:$I$16,TRIM($G2019))&gt;0,"COUNTED",IF(COUNTIF(LISTS!$J$2:$J$16,TRIM($G2019))&gt;0,"LEFT OUT","NEW")))</f>
        <v/>
      </c>
    </row>
    <row r="2020" spans="47:47" x14ac:dyDescent="0.25">
      <c r="AU2020" s="8" t="str">
        <f>IF(TRIM($G2020)="","",IF(COUNTIF(LISTS!$I$2:$I$16,TRIM($G2020))&gt;0,"COUNTED",IF(COUNTIF(LISTS!$J$2:$J$16,TRIM($G2020))&gt;0,"LEFT OUT","NEW")))</f>
        <v/>
      </c>
    </row>
    <row r="2021" spans="47:47" x14ac:dyDescent="0.25">
      <c r="AU2021" s="8" t="str">
        <f>IF(TRIM($G2021)="","",IF(COUNTIF(LISTS!$I$2:$I$16,TRIM($G2021))&gt;0,"COUNTED",IF(COUNTIF(LISTS!$J$2:$J$16,TRIM($G2021))&gt;0,"LEFT OUT","NEW")))</f>
        <v/>
      </c>
    </row>
    <row r="2022" spans="47:47" x14ac:dyDescent="0.25">
      <c r="AU2022" s="8" t="str">
        <f>IF(TRIM($G2022)="","",IF(COUNTIF(LISTS!$I$2:$I$16,TRIM($G2022))&gt;0,"COUNTED",IF(COUNTIF(LISTS!$J$2:$J$16,TRIM($G2022))&gt;0,"LEFT OUT","NEW")))</f>
        <v/>
      </c>
    </row>
    <row r="2023" spans="47:47" x14ac:dyDescent="0.25">
      <c r="AU2023" s="8" t="str">
        <f>IF(TRIM($G2023)="","",IF(COUNTIF(LISTS!$I$2:$I$16,TRIM($G2023))&gt;0,"COUNTED",IF(COUNTIF(LISTS!$J$2:$J$16,TRIM($G2023))&gt;0,"LEFT OUT","NEW")))</f>
        <v/>
      </c>
    </row>
    <row r="2024" spans="47:47" x14ac:dyDescent="0.25">
      <c r="AU2024" s="8" t="str">
        <f>IF(TRIM($G2024)="","",IF(COUNTIF(LISTS!$I$2:$I$16,TRIM($G2024))&gt;0,"COUNTED",IF(COUNTIF(LISTS!$J$2:$J$16,TRIM($G2024))&gt;0,"LEFT OUT","NEW")))</f>
        <v/>
      </c>
    </row>
    <row r="2025" spans="47:47" x14ac:dyDescent="0.25">
      <c r="AU2025" s="8" t="str">
        <f>IF(TRIM($G2025)="","",IF(COUNTIF(LISTS!$I$2:$I$16,TRIM($G2025))&gt;0,"COUNTED",IF(COUNTIF(LISTS!$J$2:$J$16,TRIM($G2025))&gt;0,"LEFT OUT","NEW")))</f>
        <v/>
      </c>
    </row>
    <row r="2026" spans="47:47" x14ac:dyDescent="0.25">
      <c r="AU2026" s="8" t="str">
        <f>IF(TRIM($G2026)="","",IF(COUNTIF(LISTS!$I$2:$I$16,TRIM($G2026))&gt;0,"COUNTED",IF(COUNTIF(LISTS!$J$2:$J$16,TRIM($G2026))&gt;0,"LEFT OUT","NEW")))</f>
        <v/>
      </c>
    </row>
    <row r="2027" spans="47:47" x14ac:dyDescent="0.25">
      <c r="AU2027" s="8" t="str">
        <f>IF(TRIM($G2027)="","",IF(COUNTIF(LISTS!$I$2:$I$16,TRIM($G2027))&gt;0,"COUNTED",IF(COUNTIF(LISTS!$J$2:$J$16,TRIM($G2027))&gt;0,"LEFT OUT","NEW")))</f>
        <v/>
      </c>
    </row>
    <row r="2028" spans="47:47" x14ac:dyDescent="0.25">
      <c r="AU2028" s="8" t="str">
        <f>IF(TRIM($G2028)="","",IF(COUNTIF(LISTS!$I$2:$I$16,TRIM($G2028))&gt;0,"COUNTED",IF(COUNTIF(LISTS!$J$2:$J$16,TRIM($G2028))&gt;0,"LEFT OUT","NEW")))</f>
        <v/>
      </c>
    </row>
    <row r="2029" spans="47:47" x14ac:dyDescent="0.25">
      <c r="AU2029" s="8" t="str">
        <f>IF(TRIM($G2029)="","",IF(COUNTIF(LISTS!$I$2:$I$16,TRIM($G2029))&gt;0,"COUNTED",IF(COUNTIF(LISTS!$J$2:$J$16,TRIM($G2029))&gt;0,"LEFT OUT","NEW")))</f>
        <v/>
      </c>
    </row>
    <row r="2030" spans="47:47" x14ac:dyDescent="0.25">
      <c r="AU2030" s="8" t="str">
        <f>IF(TRIM($G2030)="","",IF(COUNTIF(LISTS!$I$2:$I$16,TRIM($G2030))&gt;0,"COUNTED",IF(COUNTIF(LISTS!$J$2:$J$16,TRIM($G2030))&gt;0,"LEFT OUT","NEW")))</f>
        <v/>
      </c>
    </row>
    <row r="2031" spans="47:47" x14ac:dyDescent="0.25">
      <c r="AU2031" s="8" t="str">
        <f>IF(TRIM($G2031)="","",IF(COUNTIF(LISTS!$I$2:$I$16,TRIM($G2031))&gt;0,"COUNTED",IF(COUNTIF(LISTS!$J$2:$J$16,TRIM($G2031))&gt;0,"LEFT OUT","NEW")))</f>
        <v/>
      </c>
    </row>
    <row r="2032" spans="47:47" x14ac:dyDescent="0.25">
      <c r="AU2032" s="8" t="str">
        <f>IF(TRIM($G2032)="","",IF(COUNTIF(LISTS!$I$2:$I$16,TRIM($G2032))&gt;0,"COUNTED",IF(COUNTIF(LISTS!$J$2:$J$16,TRIM($G2032))&gt;0,"LEFT OUT","NEW")))</f>
        <v/>
      </c>
    </row>
    <row r="2033" spans="47:47" x14ac:dyDescent="0.25">
      <c r="AU2033" s="8" t="str">
        <f>IF(TRIM($G2033)="","",IF(COUNTIF(LISTS!$I$2:$I$16,TRIM($G2033))&gt;0,"COUNTED",IF(COUNTIF(LISTS!$J$2:$J$16,TRIM($G2033))&gt;0,"LEFT OUT","NEW")))</f>
        <v/>
      </c>
    </row>
    <row r="2034" spans="47:47" x14ac:dyDescent="0.25">
      <c r="AU2034" s="8" t="str">
        <f>IF(TRIM($G2034)="","",IF(COUNTIF(LISTS!$I$2:$I$16,TRIM($G2034))&gt;0,"COUNTED",IF(COUNTIF(LISTS!$J$2:$J$16,TRIM($G2034))&gt;0,"LEFT OUT","NEW")))</f>
        <v/>
      </c>
    </row>
    <row r="2035" spans="47:47" x14ac:dyDescent="0.25">
      <c r="AU2035" s="8" t="str">
        <f>IF(TRIM($G2035)="","",IF(COUNTIF(LISTS!$I$2:$I$16,TRIM($G2035))&gt;0,"COUNTED",IF(COUNTIF(LISTS!$J$2:$J$16,TRIM($G2035))&gt;0,"LEFT OUT","NEW")))</f>
        <v/>
      </c>
    </row>
    <row r="2036" spans="47:47" x14ac:dyDescent="0.25">
      <c r="AU2036" s="8" t="str">
        <f>IF(TRIM($G2036)="","",IF(COUNTIF(LISTS!$I$2:$I$16,TRIM($G2036))&gt;0,"COUNTED",IF(COUNTIF(LISTS!$J$2:$J$16,TRIM($G2036))&gt;0,"LEFT OUT","NEW")))</f>
        <v/>
      </c>
    </row>
    <row r="2037" spans="47:47" x14ac:dyDescent="0.25">
      <c r="AU2037" s="8" t="str">
        <f>IF(TRIM($G2037)="","",IF(COUNTIF(LISTS!$I$2:$I$16,TRIM($G2037))&gt;0,"COUNTED",IF(COUNTIF(LISTS!$J$2:$J$16,TRIM($G2037))&gt;0,"LEFT OUT","NEW")))</f>
        <v/>
      </c>
    </row>
    <row r="2038" spans="47:47" x14ac:dyDescent="0.25">
      <c r="AU2038" s="8" t="str">
        <f>IF(TRIM($G2038)="","",IF(COUNTIF(LISTS!$I$2:$I$16,TRIM($G2038))&gt;0,"COUNTED",IF(COUNTIF(LISTS!$J$2:$J$16,TRIM($G2038))&gt;0,"LEFT OUT","NEW")))</f>
        <v/>
      </c>
    </row>
    <row r="2039" spans="47:47" x14ac:dyDescent="0.25">
      <c r="AU2039" s="8" t="str">
        <f>IF(TRIM($G2039)="","",IF(COUNTIF(LISTS!$I$2:$I$16,TRIM($G2039))&gt;0,"COUNTED",IF(COUNTIF(LISTS!$J$2:$J$16,TRIM($G2039))&gt;0,"LEFT OUT","NEW")))</f>
        <v/>
      </c>
    </row>
    <row r="2040" spans="47:47" x14ac:dyDescent="0.25">
      <c r="AU2040" s="8" t="str">
        <f>IF(TRIM($G2040)="","",IF(COUNTIF(LISTS!$I$2:$I$16,TRIM($G2040))&gt;0,"COUNTED",IF(COUNTIF(LISTS!$J$2:$J$16,TRIM($G2040))&gt;0,"LEFT OUT","NEW")))</f>
        <v/>
      </c>
    </row>
    <row r="2041" spans="47:47" x14ac:dyDescent="0.25">
      <c r="AU2041" s="8" t="str">
        <f>IF(TRIM($G2041)="","",IF(COUNTIF(LISTS!$I$2:$I$16,TRIM($G2041))&gt;0,"COUNTED",IF(COUNTIF(LISTS!$J$2:$J$16,TRIM($G2041))&gt;0,"LEFT OUT","NEW")))</f>
        <v/>
      </c>
    </row>
    <row r="2042" spans="47:47" x14ac:dyDescent="0.25">
      <c r="AU2042" s="8" t="str">
        <f>IF(TRIM($G2042)="","",IF(COUNTIF(LISTS!$I$2:$I$16,TRIM($G2042))&gt;0,"COUNTED",IF(COUNTIF(LISTS!$J$2:$J$16,TRIM($G2042))&gt;0,"LEFT OUT","NEW")))</f>
        <v/>
      </c>
    </row>
    <row r="2043" spans="47:47" x14ac:dyDescent="0.25">
      <c r="AU2043" s="8" t="str">
        <f>IF(TRIM($G2043)="","",IF(COUNTIF(LISTS!$I$2:$I$16,TRIM($G2043))&gt;0,"COUNTED",IF(COUNTIF(LISTS!$J$2:$J$16,TRIM($G2043))&gt;0,"LEFT OUT","NEW")))</f>
        <v/>
      </c>
    </row>
    <row r="2044" spans="47:47" x14ac:dyDescent="0.25">
      <c r="AU2044" s="8" t="str">
        <f>IF(TRIM($G2044)="","",IF(COUNTIF(LISTS!$I$2:$I$16,TRIM($G2044))&gt;0,"COUNTED",IF(COUNTIF(LISTS!$J$2:$J$16,TRIM($G2044))&gt;0,"LEFT OUT","NEW")))</f>
        <v/>
      </c>
    </row>
    <row r="2045" spans="47:47" x14ac:dyDescent="0.25">
      <c r="AU2045" s="8" t="str">
        <f>IF(TRIM($G2045)="","",IF(COUNTIF(LISTS!$I$2:$I$16,TRIM($G2045))&gt;0,"COUNTED",IF(COUNTIF(LISTS!$J$2:$J$16,TRIM($G2045))&gt;0,"LEFT OUT","NEW")))</f>
        <v/>
      </c>
    </row>
    <row r="2046" spans="47:47" x14ac:dyDescent="0.25">
      <c r="AU2046" s="8" t="str">
        <f>IF(TRIM($G2046)="","",IF(COUNTIF(LISTS!$I$2:$I$16,TRIM($G2046))&gt;0,"COUNTED",IF(COUNTIF(LISTS!$J$2:$J$16,TRIM($G2046))&gt;0,"LEFT OUT","NEW")))</f>
        <v/>
      </c>
    </row>
    <row r="2047" spans="47:47" x14ac:dyDescent="0.25">
      <c r="AU2047" s="8" t="str">
        <f>IF(TRIM($G2047)="","",IF(COUNTIF(LISTS!$I$2:$I$16,TRIM($G2047))&gt;0,"COUNTED",IF(COUNTIF(LISTS!$J$2:$J$16,TRIM($G2047))&gt;0,"LEFT OUT","NEW")))</f>
        <v/>
      </c>
    </row>
    <row r="2048" spans="47:47" x14ac:dyDescent="0.25">
      <c r="AU2048" s="8" t="str">
        <f>IF(TRIM($G2048)="","",IF(COUNTIF(LISTS!$I$2:$I$16,TRIM($G2048))&gt;0,"COUNTED",IF(COUNTIF(LISTS!$J$2:$J$16,TRIM($G2048))&gt;0,"LEFT OUT","NEW")))</f>
        <v/>
      </c>
    </row>
    <row r="2049" spans="47:47" x14ac:dyDescent="0.25">
      <c r="AU2049" s="8" t="str">
        <f>IF(TRIM($G2049)="","",IF(COUNTIF(LISTS!$I$2:$I$16,TRIM($G2049))&gt;0,"COUNTED",IF(COUNTIF(LISTS!$J$2:$J$16,TRIM($G2049))&gt;0,"LEFT OUT","NEW")))</f>
        <v/>
      </c>
    </row>
    <row r="2050" spans="47:47" x14ac:dyDescent="0.25">
      <c r="AU2050" s="8" t="str">
        <f>IF(TRIM($G2050)="","",IF(COUNTIF(LISTS!$I$2:$I$16,TRIM($G2050))&gt;0,"COUNTED",IF(COUNTIF(LISTS!$J$2:$J$16,TRIM($G2050))&gt;0,"LEFT OUT","NEW")))</f>
        <v/>
      </c>
    </row>
    <row r="2051" spans="47:47" x14ac:dyDescent="0.25">
      <c r="AU2051" s="8" t="str">
        <f>IF(TRIM($G2051)="","",IF(COUNTIF(LISTS!$I$2:$I$16,TRIM($G2051))&gt;0,"COUNTED",IF(COUNTIF(LISTS!$J$2:$J$16,TRIM($G2051))&gt;0,"LEFT OUT","NEW")))</f>
        <v/>
      </c>
    </row>
    <row r="2052" spans="47:47" x14ac:dyDescent="0.25">
      <c r="AU2052" s="8" t="str">
        <f>IF(TRIM($G2052)="","",IF(COUNTIF(LISTS!$I$2:$I$16,TRIM($G2052))&gt;0,"COUNTED",IF(COUNTIF(LISTS!$J$2:$J$16,TRIM($G2052))&gt;0,"LEFT OUT","NEW")))</f>
        <v/>
      </c>
    </row>
    <row r="2053" spans="47:47" x14ac:dyDescent="0.25">
      <c r="AU2053" s="8" t="str">
        <f>IF(TRIM($G2053)="","",IF(COUNTIF(LISTS!$I$2:$I$16,TRIM($G2053))&gt;0,"COUNTED",IF(COUNTIF(LISTS!$J$2:$J$16,TRIM($G2053))&gt;0,"LEFT OUT","NEW")))</f>
        <v/>
      </c>
    </row>
    <row r="2054" spans="47:47" x14ac:dyDescent="0.25">
      <c r="AU2054" s="8" t="str">
        <f>IF(TRIM($G2054)="","",IF(COUNTIF(LISTS!$I$2:$I$16,TRIM($G2054))&gt;0,"COUNTED",IF(COUNTIF(LISTS!$J$2:$J$16,TRIM($G2054))&gt;0,"LEFT OUT","NEW")))</f>
        <v/>
      </c>
    </row>
    <row r="2055" spans="47:47" x14ac:dyDescent="0.25">
      <c r="AU2055" s="8" t="str">
        <f>IF(TRIM($G2055)="","",IF(COUNTIF(LISTS!$I$2:$I$16,TRIM($G2055))&gt;0,"COUNTED",IF(COUNTIF(LISTS!$J$2:$J$16,TRIM($G2055))&gt;0,"LEFT OUT","NEW")))</f>
        <v/>
      </c>
    </row>
    <row r="2056" spans="47:47" x14ac:dyDescent="0.25">
      <c r="AU2056" s="8" t="str">
        <f>IF(TRIM($G2056)="","",IF(COUNTIF(LISTS!$I$2:$I$16,TRIM($G2056))&gt;0,"COUNTED",IF(COUNTIF(LISTS!$J$2:$J$16,TRIM($G2056))&gt;0,"LEFT OUT","NEW")))</f>
        <v/>
      </c>
    </row>
    <row r="2057" spans="47:47" x14ac:dyDescent="0.25">
      <c r="AU2057" s="8" t="str">
        <f>IF(TRIM($G2057)="","",IF(COUNTIF(LISTS!$I$2:$I$16,TRIM($G2057))&gt;0,"COUNTED",IF(COUNTIF(LISTS!$J$2:$J$16,TRIM($G2057))&gt;0,"LEFT OUT","NEW")))</f>
        <v/>
      </c>
    </row>
    <row r="2058" spans="47:47" x14ac:dyDescent="0.25">
      <c r="AU2058" s="8" t="str">
        <f>IF(TRIM($G2058)="","",IF(COUNTIF(LISTS!$I$2:$I$16,TRIM($G2058))&gt;0,"COUNTED",IF(COUNTIF(LISTS!$J$2:$J$16,TRIM($G2058))&gt;0,"LEFT OUT","NEW")))</f>
        <v/>
      </c>
    </row>
    <row r="2059" spans="47:47" x14ac:dyDescent="0.25">
      <c r="AU2059" s="8" t="str">
        <f>IF(TRIM($G2059)="","",IF(COUNTIF(LISTS!$I$2:$I$16,TRIM($G2059))&gt;0,"COUNTED",IF(COUNTIF(LISTS!$J$2:$J$16,TRIM($G2059))&gt;0,"LEFT OUT","NEW")))</f>
        <v/>
      </c>
    </row>
    <row r="2060" spans="47:47" x14ac:dyDescent="0.25">
      <c r="AU2060" s="8" t="str">
        <f>IF(TRIM($G2060)="","",IF(COUNTIF(LISTS!$I$2:$I$16,TRIM($G2060))&gt;0,"COUNTED",IF(COUNTIF(LISTS!$J$2:$J$16,TRIM($G2060))&gt;0,"LEFT OUT","NEW")))</f>
        <v/>
      </c>
    </row>
    <row r="2061" spans="47:47" x14ac:dyDescent="0.25">
      <c r="AU2061" s="8" t="str">
        <f>IF(TRIM($G2061)="","",IF(COUNTIF(LISTS!$I$2:$I$16,TRIM($G2061))&gt;0,"COUNTED",IF(COUNTIF(LISTS!$J$2:$J$16,TRIM($G2061))&gt;0,"LEFT OUT","NEW")))</f>
        <v/>
      </c>
    </row>
    <row r="2062" spans="47:47" x14ac:dyDescent="0.25">
      <c r="AU2062" s="8" t="str">
        <f>IF(TRIM($G2062)="","",IF(COUNTIF(LISTS!$I$2:$I$16,TRIM($G2062))&gt;0,"COUNTED",IF(COUNTIF(LISTS!$J$2:$J$16,TRIM($G2062))&gt;0,"LEFT OUT","NEW")))</f>
        <v/>
      </c>
    </row>
    <row r="2063" spans="47:47" x14ac:dyDescent="0.25">
      <c r="AU2063" s="8" t="str">
        <f>IF(TRIM($G2063)="","",IF(COUNTIF(LISTS!$I$2:$I$16,TRIM($G2063))&gt;0,"COUNTED",IF(COUNTIF(LISTS!$J$2:$J$16,TRIM($G2063))&gt;0,"LEFT OUT","NEW")))</f>
        <v/>
      </c>
    </row>
    <row r="2064" spans="47:47" x14ac:dyDescent="0.25">
      <c r="AU2064" s="8" t="str">
        <f>IF(TRIM($G2064)="","",IF(COUNTIF(LISTS!$I$2:$I$16,TRIM($G2064))&gt;0,"COUNTED",IF(COUNTIF(LISTS!$J$2:$J$16,TRIM($G2064))&gt;0,"LEFT OUT","NEW")))</f>
        <v/>
      </c>
    </row>
    <row r="2065" spans="47:47" x14ac:dyDescent="0.25">
      <c r="AU2065" s="8" t="str">
        <f>IF(TRIM($G2065)="","",IF(COUNTIF(LISTS!$I$2:$I$16,TRIM($G2065))&gt;0,"COUNTED",IF(COUNTIF(LISTS!$J$2:$J$16,TRIM($G2065))&gt;0,"LEFT OUT","NEW")))</f>
        <v/>
      </c>
    </row>
    <row r="2066" spans="47:47" x14ac:dyDescent="0.25">
      <c r="AU2066" s="8" t="str">
        <f>IF(TRIM($G2066)="","",IF(COUNTIF(LISTS!$I$2:$I$16,TRIM($G2066))&gt;0,"COUNTED",IF(COUNTIF(LISTS!$J$2:$J$16,TRIM($G2066))&gt;0,"LEFT OUT","NEW")))</f>
        <v/>
      </c>
    </row>
    <row r="2067" spans="47:47" x14ac:dyDescent="0.25">
      <c r="AU2067" s="8" t="str">
        <f>IF(TRIM($G2067)="","",IF(COUNTIF(LISTS!$I$2:$I$16,TRIM($G2067))&gt;0,"COUNTED",IF(COUNTIF(LISTS!$J$2:$J$16,TRIM($G2067))&gt;0,"LEFT OUT","NEW")))</f>
        <v/>
      </c>
    </row>
    <row r="2068" spans="47:47" x14ac:dyDescent="0.25">
      <c r="AU2068" s="8" t="str">
        <f>IF(TRIM($G2068)="","",IF(COUNTIF(LISTS!$I$2:$I$16,TRIM($G2068))&gt;0,"COUNTED",IF(COUNTIF(LISTS!$J$2:$J$16,TRIM($G2068))&gt;0,"LEFT OUT","NEW")))</f>
        <v/>
      </c>
    </row>
    <row r="2069" spans="47:47" x14ac:dyDescent="0.25">
      <c r="AU2069" s="8" t="str">
        <f>IF(TRIM($G2069)="","",IF(COUNTIF(LISTS!$I$2:$I$16,TRIM($G2069))&gt;0,"COUNTED",IF(COUNTIF(LISTS!$J$2:$J$16,TRIM($G2069))&gt;0,"LEFT OUT","NEW")))</f>
        <v/>
      </c>
    </row>
    <row r="2070" spans="47:47" x14ac:dyDescent="0.25">
      <c r="AU2070" s="8" t="str">
        <f>IF(TRIM($G2070)="","",IF(COUNTIF(LISTS!$I$2:$I$16,TRIM($G2070))&gt;0,"COUNTED",IF(COUNTIF(LISTS!$J$2:$J$16,TRIM($G2070))&gt;0,"LEFT OUT","NEW")))</f>
        <v/>
      </c>
    </row>
    <row r="2071" spans="47:47" x14ac:dyDescent="0.25">
      <c r="AU2071" s="8" t="str">
        <f>IF(TRIM($G2071)="","",IF(COUNTIF(LISTS!$I$2:$I$16,TRIM($G2071))&gt;0,"COUNTED",IF(COUNTIF(LISTS!$J$2:$J$16,TRIM($G2071))&gt;0,"LEFT OUT","NEW")))</f>
        <v/>
      </c>
    </row>
    <row r="2072" spans="47:47" x14ac:dyDescent="0.25">
      <c r="AU2072" s="8" t="str">
        <f>IF(TRIM($G2072)="","",IF(COUNTIF(LISTS!$I$2:$I$16,TRIM($G2072))&gt;0,"COUNTED",IF(COUNTIF(LISTS!$J$2:$J$16,TRIM($G2072))&gt;0,"LEFT OUT","NEW")))</f>
        <v/>
      </c>
    </row>
    <row r="2073" spans="47:47" x14ac:dyDescent="0.25">
      <c r="AU2073" s="8" t="str">
        <f>IF(TRIM($G2073)="","",IF(COUNTIF(LISTS!$I$2:$I$16,TRIM($G2073))&gt;0,"COUNTED",IF(COUNTIF(LISTS!$J$2:$J$16,TRIM($G2073))&gt;0,"LEFT OUT","NEW")))</f>
        <v/>
      </c>
    </row>
    <row r="2074" spans="47:47" x14ac:dyDescent="0.25">
      <c r="AU2074" s="8" t="str">
        <f>IF(TRIM($G2074)="","",IF(COUNTIF(LISTS!$I$2:$I$16,TRIM($G2074))&gt;0,"COUNTED",IF(COUNTIF(LISTS!$J$2:$J$16,TRIM($G2074))&gt;0,"LEFT OUT","NEW")))</f>
        <v/>
      </c>
    </row>
    <row r="2075" spans="47:47" x14ac:dyDescent="0.25">
      <c r="AU2075" s="8" t="str">
        <f>IF(TRIM($G2075)="","",IF(COUNTIF(LISTS!$I$2:$I$16,TRIM($G2075))&gt;0,"COUNTED",IF(COUNTIF(LISTS!$J$2:$J$16,TRIM($G2075))&gt;0,"LEFT OUT","NEW")))</f>
        <v/>
      </c>
    </row>
    <row r="2076" spans="47:47" x14ac:dyDescent="0.25">
      <c r="AU2076" s="8" t="str">
        <f>IF(TRIM($G2076)="","",IF(COUNTIF(LISTS!$I$2:$I$16,TRIM($G2076))&gt;0,"COUNTED",IF(COUNTIF(LISTS!$J$2:$J$16,TRIM($G2076))&gt;0,"LEFT OUT","NEW")))</f>
        <v/>
      </c>
    </row>
    <row r="2077" spans="47:47" x14ac:dyDescent="0.25">
      <c r="AU2077" s="8" t="str">
        <f>IF(TRIM($G2077)="","",IF(COUNTIF(LISTS!$I$2:$I$16,TRIM($G2077))&gt;0,"COUNTED",IF(COUNTIF(LISTS!$J$2:$J$16,TRIM($G2077))&gt;0,"LEFT OUT","NEW")))</f>
        <v/>
      </c>
    </row>
    <row r="2078" spans="47:47" x14ac:dyDescent="0.25">
      <c r="AU2078" s="8" t="str">
        <f>IF(TRIM($G2078)="","",IF(COUNTIF(LISTS!$I$2:$I$16,TRIM($G2078))&gt;0,"COUNTED",IF(COUNTIF(LISTS!$J$2:$J$16,TRIM($G2078))&gt;0,"LEFT OUT","NEW")))</f>
        <v/>
      </c>
    </row>
    <row r="2079" spans="47:47" x14ac:dyDescent="0.25">
      <c r="AU2079" s="8" t="str">
        <f>IF(TRIM($G2079)="","",IF(COUNTIF(LISTS!$I$2:$I$16,TRIM($G2079))&gt;0,"COUNTED",IF(COUNTIF(LISTS!$J$2:$J$16,TRIM($G2079))&gt;0,"LEFT OUT","NEW")))</f>
        <v/>
      </c>
    </row>
    <row r="2080" spans="47:47" x14ac:dyDescent="0.25">
      <c r="AU2080" s="8" t="str">
        <f>IF(TRIM($G2080)="","",IF(COUNTIF(LISTS!$I$2:$I$16,TRIM($G2080))&gt;0,"COUNTED",IF(COUNTIF(LISTS!$J$2:$J$16,TRIM($G2080))&gt;0,"LEFT OUT","NEW")))</f>
        <v/>
      </c>
    </row>
    <row r="2081" spans="47:47" x14ac:dyDescent="0.25">
      <c r="AU2081" s="8" t="str">
        <f>IF(TRIM($G2081)="","",IF(COUNTIF(LISTS!$I$2:$I$16,TRIM($G2081))&gt;0,"COUNTED",IF(COUNTIF(LISTS!$J$2:$J$16,TRIM($G2081))&gt;0,"LEFT OUT","NEW")))</f>
        <v/>
      </c>
    </row>
    <row r="2082" spans="47:47" x14ac:dyDescent="0.25">
      <c r="AU2082" s="8" t="str">
        <f>IF(TRIM($G2082)="","",IF(COUNTIF(LISTS!$I$2:$I$16,TRIM($G2082))&gt;0,"COUNTED",IF(COUNTIF(LISTS!$J$2:$J$16,TRIM($G2082))&gt;0,"LEFT OUT","NEW")))</f>
        <v/>
      </c>
    </row>
    <row r="2083" spans="47:47" x14ac:dyDescent="0.25">
      <c r="AU2083" s="8" t="str">
        <f>IF(TRIM($G2083)="","",IF(COUNTIF(LISTS!$I$2:$I$16,TRIM($G2083))&gt;0,"COUNTED",IF(COUNTIF(LISTS!$J$2:$J$16,TRIM($G2083))&gt;0,"LEFT OUT","NEW")))</f>
        <v/>
      </c>
    </row>
    <row r="2084" spans="47:47" x14ac:dyDescent="0.25">
      <c r="AU2084" s="8" t="str">
        <f>IF(TRIM($G2084)="","",IF(COUNTIF(LISTS!$I$2:$I$16,TRIM($G2084))&gt;0,"COUNTED",IF(COUNTIF(LISTS!$J$2:$J$16,TRIM($G2084))&gt;0,"LEFT OUT","NEW")))</f>
        <v/>
      </c>
    </row>
    <row r="2085" spans="47:47" x14ac:dyDescent="0.25">
      <c r="AU2085" s="8" t="str">
        <f>IF(TRIM($G2085)="","",IF(COUNTIF(LISTS!$I$2:$I$16,TRIM($G2085))&gt;0,"COUNTED",IF(COUNTIF(LISTS!$J$2:$J$16,TRIM($G2085))&gt;0,"LEFT OUT","NEW")))</f>
        <v/>
      </c>
    </row>
    <row r="2086" spans="47:47" x14ac:dyDescent="0.25">
      <c r="AU2086" s="8" t="str">
        <f>IF(TRIM($G2086)="","",IF(COUNTIF(LISTS!$I$2:$I$16,TRIM($G2086))&gt;0,"COUNTED",IF(COUNTIF(LISTS!$J$2:$J$16,TRIM($G2086))&gt;0,"LEFT OUT","NEW")))</f>
        <v/>
      </c>
    </row>
    <row r="2087" spans="47:47" x14ac:dyDescent="0.25">
      <c r="AU2087" s="8" t="str">
        <f>IF(TRIM($G2087)="","",IF(COUNTIF(LISTS!$I$2:$I$16,TRIM($G2087))&gt;0,"COUNTED",IF(COUNTIF(LISTS!$J$2:$J$16,TRIM($G2087))&gt;0,"LEFT OUT","NEW")))</f>
        <v/>
      </c>
    </row>
    <row r="2088" spans="47:47" x14ac:dyDescent="0.25">
      <c r="AU2088" s="8" t="str">
        <f>IF(TRIM($G2088)="","",IF(COUNTIF(LISTS!$I$2:$I$16,TRIM($G2088))&gt;0,"COUNTED",IF(COUNTIF(LISTS!$J$2:$J$16,TRIM($G2088))&gt;0,"LEFT OUT","NEW")))</f>
        <v/>
      </c>
    </row>
    <row r="2089" spans="47:47" x14ac:dyDescent="0.25">
      <c r="AU2089" s="8" t="str">
        <f>IF(TRIM($G2089)="","",IF(COUNTIF(LISTS!$I$2:$I$16,TRIM($G2089))&gt;0,"COUNTED",IF(COUNTIF(LISTS!$J$2:$J$16,TRIM($G2089))&gt;0,"LEFT OUT","NEW")))</f>
        <v/>
      </c>
    </row>
    <row r="2090" spans="47:47" x14ac:dyDescent="0.25">
      <c r="AU2090" s="8" t="str">
        <f>IF(TRIM($G2090)="","",IF(COUNTIF(LISTS!$I$2:$I$16,TRIM($G2090))&gt;0,"COUNTED",IF(COUNTIF(LISTS!$J$2:$J$16,TRIM($G2090))&gt;0,"LEFT OUT","NEW")))</f>
        <v/>
      </c>
    </row>
    <row r="2091" spans="47:47" x14ac:dyDescent="0.25">
      <c r="AU2091" s="8" t="str">
        <f>IF(TRIM($G2091)="","",IF(COUNTIF(LISTS!$I$2:$I$16,TRIM($G2091))&gt;0,"COUNTED",IF(COUNTIF(LISTS!$J$2:$J$16,TRIM($G2091))&gt;0,"LEFT OUT","NEW")))</f>
        <v/>
      </c>
    </row>
    <row r="2092" spans="47:47" x14ac:dyDescent="0.25">
      <c r="AU2092" s="8" t="str">
        <f>IF(TRIM($G2092)="","",IF(COUNTIF(LISTS!$I$2:$I$16,TRIM($G2092))&gt;0,"COUNTED",IF(COUNTIF(LISTS!$J$2:$J$16,TRIM($G2092))&gt;0,"LEFT OUT","NEW")))</f>
        <v/>
      </c>
    </row>
    <row r="2093" spans="47:47" x14ac:dyDescent="0.25">
      <c r="AU2093" s="8" t="str">
        <f>IF(TRIM($G2093)="","",IF(COUNTIF(LISTS!$I$2:$I$16,TRIM($G2093))&gt;0,"COUNTED",IF(COUNTIF(LISTS!$J$2:$J$16,TRIM($G2093))&gt;0,"LEFT OUT","NEW")))</f>
        <v/>
      </c>
    </row>
    <row r="2094" spans="47:47" x14ac:dyDescent="0.25">
      <c r="AU2094" s="8" t="str">
        <f>IF(TRIM($G2094)="","",IF(COUNTIF(LISTS!$I$2:$I$16,TRIM($G2094))&gt;0,"COUNTED",IF(COUNTIF(LISTS!$J$2:$J$16,TRIM($G2094))&gt;0,"LEFT OUT","NEW")))</f>
        <v/>
      </c>
    </row>
    <row r="2095" spans="47:47" x14ac:dyDescent="0.25">
      <c r="AU2095" s="8" t="str">
        <f>IF(TRIM($G2095)="","",IF(COUNTIF(LISTS!$I$2:$I$16,TRIM($G2095))&gt;0,"COUNTED",IF(COUNTIF(LISTS!$J$2:$J$16,TRIM($G2095))&gt;0,"LEFT OUT","NEW")))</f>
        <v/>
      </c>
    </row>
    <row r="2096" spans="47:47" x14ac:dyDescent="0.25">
      <c r="AU2096" s="8" t="str">
        <f>IF(TRIM($G2096)="","",IF(COUNTIF(LISTS!$I$2:$I$16,TRIM($G2096))&gt;0,"COUNTED",IF(COUNTIF(LISTS!$J$2:$J$16,TRIM($G2096))&gt;0,"LEFT OUT","NEW")))</f>
        <v/>
      </c>
    </row>
    <row r="2097" spans="47:47" x14ac:dyDescent="0.25">
      <c r="AU2097" s="8" t="str">
        <f>IF(TRIM($G2097)="","",IF(COUNTIF(LISTS!$I$2:$I$16,TRIM($G2097))&gt;0,"COUNTED",IF(COUNTIF(LISTS!$J$2:$J$16,TRIM($G2097))&gt;0,"LEFT OUT","NEW")))</f>
        <v/>
      </c>
    </row>
    <row r="2098" spans="47:47" x14ac:dyDescent="0.25">
      <c r="AU2098" s="8" t="str">
        <f>IF(TRIM($G2098)="","",IF(COUNTIF(LISTS!$I$2:$I$16,TRIM($G2098))&gt;0,"COUNTED",IF(COUNTIF(LISTS!$J$2:$J$16,TRIM($G2098))&gt;0,"LEFT OUT","NEW")))</f>
        <v/>
      </c>
    </row>
    <row r="2099" spans="47:47" x14ac:dyDescent="0.25">
      <c r="AU2099" s="8" t="str">
        <f>IF(TRIM($G2099)="","",IF(COUNTIF(LISTS!$I$2:$I$16,TRIM($G2099))&gt;0,"COUNTED",IF(COUNTIF(LISTS!$J$2:$J$16,TRIM($G2099))&gt;0,"LEFT OUT","NEW")))</f>
        <v/>
      </c>
    </row>
    <row r="2100" spans="47:47" x14ac:dyDescent="0.25">
      <c r="AU2100" s="8" t="str">
        <f>IF(TRIM($G2100)="","",IF(COUNTIF(LISTS!$I$2:$I$16,TRIM($G2100))&gt;0,"COUNTED",IF(COUNTIF(LISTS!$J$2:$J$16,TRIM($G2100))&gt;0,"LEFT OUT","NEW")))</f>
        <v/>
      </c>
    </row>
    <row r="2101" spans="47:47" x14ac:dyDescent="0.25">
      <c r="AU2101" s="8" t="str">
        <f>IF(TRIM($G2101)="","",IF(COUNTIF(LISTS!$I$2:$I$16,TRIM($G2101))&gt;0,"COUNTED",IF(COUNTIF(LISTS!$J$2:$J$16,TRIM($G2101))&gt;0,"LEFT OUT","NEW")))</f>
        <v/>
      </c>
    </row>
    <row r="2102" spans="47:47" x14ac:dyDescent="0.25">
      <c r="AU2102" s="8" t="str">
        <f>IF(TRIM($G2102)="","",IF(COUNTIF(LISTS!$I$2:$I$16,TRIM($G2102))&gt;0,"COUNTED",IF(COUNTIF(LISTS!$J$2:$J$16,TRIM($G2102))&gt;0,"LEFT OUT","NEW")))</f>
        <v/>
      </c>
    </row>
    <row r="2103" spans="47:47" x14ac:dyDescent="0.25">
      <c r="AU2103" s="8" t="str">
        <f>IF(TRIM($G2103)="","",IF(COUNTIF(LISTS!$I$2:$I$16,TRIM($G2103))&gt;0,"COUNTED",IF(COUNTIF(LISTS!$J$2:$J$16,TRIM($G2103))&gt;0,"LEFT OUT","NEW")))</f>
        <v/>
      </c>
    </row>
    <row r="2104" spans="47:47" x14ac:dyDescent="0.25">
      <c r="AU2104" s="8" t="str">
        <f>IF(TRIM($G2104)="","",IF(COUNTIF(LISTS!$I$2:$I$16,TRIM($G2104))&gt;0,"COUNTED",IF(COUNTIF(LISTS!$J$2:$J$16,TRIM($G2104))&gt;0,"LEFT OUT","NEW")))</f>
        <v/>
      </c>
    </row>
    <row r="2105" spans="47:47" x14ac:dyDescent="0.25">
      <c r="AU2105" s="8" t="str">
        <f>IF(TRIM($G2105)="","",IF(COUNTIF(LISTS!$I$2:$I$16,TRIM($G2105))&gt;0,"COUNTED",IF(COUNTIF(LISTS!$J$2:$J$16,TRIM($G2105))&gt;0,"LEFT OUT","NEW")))</f>
        <v/>
      </c>
    </row>
    <row r="2106" spans="47:47" x14ac:dyDescent="0.25">
      <c r="AU2106" s="8" t="str">
        <f>IF(TRIM($G2106)="","",IF(COUNTIF(LISTS!$I$2:$I$16,TRIM($G2106))&gt;0,"COUNTED",IF(COUNTIF(LISTS!$J$2:$J$16,TRIM($G2106))&gt;0,"LEFT OUT","NEW")))</f>
        <v/>
      </c>
    </row>
    <row r="2107" spans="47:47" x14ac:dyDescent="0.25">
      <c r="AU2107" s="8" t="str">
        <f>IF(TRIM($G2107)="","",IF(COUNTIF(LISTS!$I$2:$I$16,TRIM($G2107))&gt;0,"COUNTED",IF(COUNTIF(LISTS!$J$2:$J$16,TRIM($G2107))&gt;0,"LEFT OUT","NEW")))</f>
        <v/>
      </c>
    </row>
    <row r="2108" spans="47:47" x14ac:dyDescent="0.25">
      <c r="AU2108" s="8" t="str">
        <f>IF(TRIM($G2108)="","",IF(COUNTIF(LISTS!$I$2:$I$16,TRIM($G2108))&gt;0,"COUNTED",IF(COUNTIF(LISTS!$J$2:$J$16,TRIM($G2108))&gt;0,"LEFT OUT","NEW")))</f>
        <v/>
      </c>
    </row>
    <row r="2109" spans="47:47" x14ac:dyDescent="0.25">
      <c r="AU2109" s="8" t="str">
        <f>IF(TRIM($G2109)="","",IF(COUNTIF(LISTS!$I$2:$I$16,TRIM($G2109))&gt;0,"COUNTED",IF(COUNTIF(LISTS!$J$2:$J$16,TRIM($G2109))&gt;0,"LEFT OUT","NEW")))</f>
        <v/>
      </c>
    </row>
    <row r="2110" spans="47:47" x14ac:dyDescent="0.25">
      <c r="AU2110" s="8" t="str">
        <f>IF(TRIM($G2110)="","",IF(COUNTIF(LISTS!$I$2:$I$16,TRIM($G2110))&gt;0,"COUNTED",IF(COUNTIF(LISTS!$J$2:$J$16,TRIM($G2110))&gt;0,"LEFT OUT","NEW")))</f>
        <v/>
      </c>
    </row>
    <row r="2111" spans="47:47" x14ac:dyDescent="0.25">
      <c r="AU2111" s="8" t="str">
        <f>IF(TRIM($G2111)="","",IF(COUNTIF(LISTS!$I$2:$I$16,TRIM($G2111))&gt;0,"COUNTED",IF(COUNTIF(LISTS!$J$2:$J$16,TRIM($G2111))&gt;0,"LEFT OUT","NEW")))</f>
        <v/>
      </c>
    </row>
    <row r="2112" spans="47:47" x14ac:dyDescent="0.25">
      <c r="AU2112" s="8" t="str">
        <f>IF(TRIM($G2112)="","",IF(COUNTIF(LISTS!$I$2:$I$16,TRIM($G2112))&gt;0,"COUNTED",IF(COUNTIF(LISTS!$J$2:$J$16,TRIM($G2112))&gt;0,"LEFT OUT","NEW")))</f>
        <v/>
      </c>
    </row>
    <row r="2113" spans="47:47" x14ac:dyDescent="0.25">
      <c r="AU2113" s="8" t="str">
        <f>IF(TRIM($G2113)="","",IF(COUNTIF(LISTS!$I$2:$I$16,TRIM($G2113))&gt;0,"COUNTED",IF(COUNTIF(LISTS!$J$2:$J$16,TRIM($G2113))&gt;0,"LEFT OUT","NEW")))</f>
        <v/>
      </c>
    </row>
    <row r="2114" spans="47:47" x14ac:dyDescent="0.25">
      <c r="AU2114" s="8" t="str">
        <f>IF(TRIM($G2114)="","",IF(COUNTIF(LISTS!$I$2:$I$16,TRIM($G2114))&gt;0,"COUNTED",IF(COUNTIF(LISTS!$J$2:$J$16,TRIM($G2114))&gt;0,"LEFT OUT","NEW")))</f>
        <v/>
      </c>
    </row>
    <row r="2115" spans="47:47" x14ac:dyDescent="0.25">
      <c r="AU2115" s="8" t="str">
        <f>IF(TRIM($G2115)="","",IF(COUNTIF(LISTS!$I$2:$I$16,TRIM($G2115))&gt;0,"COUNTED",IF(COUNTIF(LISTS!$J$2:$J$16,TRIM($G2115))&gt;0,"LEFT OUT","NEW")))</f>
        <v/>
      </c>
    </row>
    <row r="2116" spans="47:47" x14ac:dyDescent="0.25">
      <c r="AU2116" s="8" t="str">
        <f>IF(TRIM($G2116)="","",IF(COUNTIF(LISTS!$I$2:$I$16,TRIM($G2116))&gt;0,"COUNTED",IF(COUNTIF(LISTS!$J$2:$J$16,TRIM($G2116))&gt;0,"LEFT OUT","NEW")))</f>
        <v/>
      </c>
    </row>
    <row r="2117" spans="47:47" x14ac:dyDescent="0.25">
      <c r="AU2117" s="8" t="str">
        <f>IF(TRIM($G2117)="","",IF(COUNTIF(LISTS!$I$2:$I$16,TRIM($G2117))&gt;0,"COUNTED",IF(COUNTIF(LISTS!$J$2:$J$16,TRIM($G2117))&gt;0,"LEFT OUT","NEW")))</f>
        <v/>
      </c>
    </row>
    <row r="2118" spans="47:47" x14ac:dyDescent="0.25">
      <c r="AU2118" s="8" t="str">
        <f>IF(TRIM($G2118)="","",IF(COUNTIF(LISTS!$I$2:$I$16,TRIM($G2118))&gt;0,"COUNTED",IF(COUNTIF(LISTS!$J$2:$J$16,TRIM($G2118))&gt;0,"LEFT OUT","NEW")))</f>
        <v/>
      </c>
    </row>
    <row r="2119" spans="47:47" x14ac:dyDescent="0.25">
      <c r="AU2119" s="8" t="str">
        <f>IF(TRIM($G2119)="","",IF(COUNTIF(LISTS!$I$2:$I$16,TRIM($G2119))&gt;0,"COUNTED",IF(COUNTIF(LISTS!$J$2:$J$16,TRIM($G2119))&gt;0,"LEFT OUT","NEW")))</f>
        <v/>
      </c>
    </row>
    <row r="2120" spans="47:47" x14ac:dyDescent="0.25">
      <c r="AU2120" s="8" t="str">
        <f>IF(TRIM($G2120)="","",IF(COUNTIF(LISTS!$I$2:$I$16,TRIM($G2120))&gt;0,"COUNTED",IF(COUNTIF(LISTS!$J$2:$J$16,TRIM($G2120))&gt;0,"LEFT OUT","NEW")))</f>
        <v/>
      </c>
    </row>
    <row r="2121" spans="47:47" x14ac:dyDescent="0.25">
      <c r="AU2121" s="8" t="str">
        <f>IF(TRIM($G2121)="","",IF(COUNTIF(LISTS!$I$2:$I$16,TRIM($G2121))&gt;0,"COUNTED",IF(COUNTIF(LISTS!$J$2:$J$16,TRIM($G2121))&gt;0,"LEFT OUT","NEW")))</f>
        <v/>
      </c>
    </row>
    <row r="2122" spans="47:47" x14ac:dyDescent="0.25">
      <c r="AU2122" s="8" t="str">
        <f>IF(TRIM($G2122)="","",IF(COUNTIF(LISTS!$I$2:$I$16,TRIM($G2122))&gt;0,"COUNTED",IF(COUNTIF(LISTS!$J$2:$J$16,TRIM($G2122))&gt;0,"LEFT OUT","NEW")))</f>
        <v/>
      </c>
    </row>
    <row r="2123" spans="47:47" x14ac:dyDescent="0.25">
      <c r="AU2123" s="8" t="str">
        <f>IF(TRIM($G2123)="","",IF(COUNTIF(LISTS!$I$2:$I$16,TRIM($G2123))&gt;0,"COUNTED",IF(COUNTIF(LISTS!$J$2:$J$16,TRIM($G2123))&gt;0,"LEFT OUT","NEW")))</f>
        <v/>
      </c>
    </row>
    <row r="2124" spans="47:47" x14ac:dyDescent="0.25">
      <c r="AU2124" s="8" t="str">
        <f>IF(TRIM($G2124)="","",IF(COUNTIF(LISTS!$I$2:$I$16,TRIM($G2124))&gt;0,"COUNTED",IF(COUNTIF(LISTS!$J$2:$J$16,TRIM($G2124))&gt;0,"LEFT OUT","NEW")))</f>
        <v/>
      </c>
    </row>
    <row r="2125" spans="47:47" x14ac:dyDescent="0.25">
      <c r="AU2125" s="8" t="str">
        <f>IF(TRIM($G2125)="","",IF(COUNTIF(LISTS!$I$2:$I$16,TRIM($G2125))&gt;0,"COUNTED",IF(COUNTIF(LISTS!$J$2:$J$16,TRIM($G2125))&gt;0,"LEFT OUT","NEW")))</f>
        <v/>
      </c>
    </row>
    <row r="2126" spans="47:47" x14ac:dyDescent="0.25">
      <c r="AU2126" s="8" t="str">
        <f>IF(TRIM($G2126)="","",IF(COUNTIF(LISTS!$I$2:$I$16,TRIM($G2126))&gt;0,"COUNTED",IF(COUNTIF(LISTS!$J$2:$J$16,TRIM($G2126))&gt;0,"LEFT OUT","NEW")))</f>
        <v/>
      </c>
    </row>
    <row r="2127" spans="47:47" x14ac:dyDescent="0.25">
      <c r="AU2127" s="8" t="str">
        <f>IF(TRIM($G2127)="","",IF(COUNTIF(LISTS!$I$2:$I$16,TRIM($G2127))&gt;0,"COUNTED",IF(COUNTIF(LISTS!$J$2:$J$16,TRIM($G2127))&gt;0,"LEFT OUT","NEW")))</f>
        <v/>
      </c>
    </row>
    <row r="2128" spans="47:47" x14ac:dyDescent="0.25">
      <c r="AU2128" s="8" t="str">
        <f>IF(TRIM($G2128)="","",IF(COUNTIF(LISTS!$I$2:$I$16,TRIM($G2128))&gt;0,"COUNTED",IF(COUNTIF(LISTS!$J$2:$J$16,TRIM($G2128))&gt;0,"LEFT OUT","NEW")))</f>
        <v/>
      </c>
    </row>
    <row r="2129" spans="47:47" x14ac:dyDescent="0.25">
      <c r="AU2129" s="8" t="str">
        <f>IF(TRIM($G2129)="","",IF(COUNTIF(LISTS!$I$2:$I$16,TRIM($G2129))&gt;0,"COUNTED",IF(COUNTIF(LISTS!$J$2:$J$16,TRIM($G2129))&gt;0,"LEFT OUT","NEW")))</f>
        <v/>
      </c>
    </row>
    <row r="2130" spans="47:47" x14ac:dyDescent="0.25">
      <c r="AU2130" s="8" t="str">
        <f>IF(TRIM($G2130)="","",IF(COUNTIF(LISTS!$I$2:$I$16,TRIM($G2130))&gt;0,"COUNTED",IF(COUNTIF(LISTS!$J$2:$J$16,TRIM($G2130))&gt;0,"LEFT OUT","NEW")))</f>
        <v/>
      </c>
    </row>
    <row r="2131" spans="47:47" x14ac:dyDescent="0.25">
      <c r="AU2131" s="8" t="str">
        <f>IF(TRIM($G2131)="","",IF(COUNTIF(LISTS!$I$2:$I$16,TRIM($G2131))&gt;0,"COUNTED",IF(COUNTIF(LISTS!$J$2:$J$16,TRIM($G2131))&gt;0,"LEFT OUT","NEW")))</f>
        <v/>
      </c>
    </row>
    <row r="2132" spans="47:47" x14ac:dyDescent="0.25">
      <c r="AU2132" s="8" t="str">
        <f>IF(TRIM($G2132)="","",IF(COUNTIF(LISTS!$I$2:$I$16,TRIM($G2132))&gt;0,"COUNTED",IF(COUNTIF(LISTS!$J$2:$J$16,TRIM($G2132))&gt;0,"LEFT OUT","NEW")))</f>
        <v/>
      </c>
    </row>
    <row r="2133" spans="47:47" x14ac:dyDescent="0.25">
      <c r="AU2133" s="8" t="str">
        <f>IF(TRIM($G2133)="","",IF(COUNTIF(LISTS!$I$2:$I$16,TRIM($G2133))&gt;0,"COUNTED",IF(COUNTIF(LISTS!$J$2:$J$16,TRIM($G2133))&gt;0,"LEFT OUT","NEW")))</f>
        <v/>
      </c>
    </row>
    <row r="2134" spans="47:47" x14ac:dyDescent="0.25">
      <c r="AU2134" s="8" t="str">
        <f>IF(TRIM($G2134)="","",IF(COUNTIF(LISTS!$I$2:$I$16,TRIM($G2134))&gt;0,"COUNTED",IF(COUNTIF(LISTS!$J$2:$J$16,TRIM($G2134))&gt;0,"LEFT OUT","NEW")))</f>
        <v/>
      </c>
    </row>
    <row r="2135" spans="47:47" x14ac:dyDescent="0.25">
      <c r="AU2135" s="8" t="str">
        <f>IF(TRIM($G2135)="","",IF(COUNTIF(LISTS!$I$2:$I$16,TRIM($G2135))&gt;0,"COUNTED",IF(COUNTIF(LISTS!$J$2:$J$16,TRIM($G2135))&gt;0,"LEFT OUT","NEW")))</f>
        <v/>
      </c>
    </row>
    <row r="2136" spans="47:47" x14ac:dyDescent="0.25">
      <c r="AU2136" s="8" t="str">
        <f>IF(TRIM($G2136)="","",IF(COUNTIF(LISTS!$I$2:$I$16,TRIM($G2136))&gt;0,"COUNTED",IF(COUNTIF(LISTS!$J$2:$J$16,TRIM($G2136))&gt;0,"LEFT OUT","NEW")))</f>
        <v/>
      </c>
    </row>
    <row r="2137" spans="47:47" x14ac:dyDescent="0.25">
      <c r="AU2137" s="8" t="str">
        <f>IF(TRIM($G2137)="","",IF(COUNTIF(LISTS!$I$2:$I$16,TRIM($G2137))&gt;0,"COUNTED",IF(COUNTIF(LISTS!$J$2:$J$16,TRIM($G2137))&gt;0,"LEFT OUT","NEW")))</f>
        <v/>
      </c>
    </row>
    <row r="2138" spans="47:47" x14ac:dyDescent="0.25">
      <c r="AU2138" s="8" t="str">
        <f>IF(TRIM($G2138)="","",IF(COUNTIF(LISTS!$I$2:$I$16,TRIM($G2138))&gt;0,"COUNTED",IF(COUNTIF(LISTS!$J$2:$J$16,TRIM($G2138))&gt;0,"LEFT OUT","NEW")))</f>
        <v/>
      </c>
    </row>
    <row r="2139" spans="47:47" x14ac:dyDescent="0.25">
      <c r="AU2139" s="8" t="str">
        <f>IF(TRIM($G2139)="","",IF(COUNTIF(LISTS!$I$2:$I$16,TRIM($G2139))&gt;0,"COUNTED",IF(COUNTIF(LISTS!$J$2:$J$16,TRIM($G2139))&gt;0,"LEFT OUT","NEW")))</f>
        <v/>
      </c>
    </row>
    <row r="2140" spans="47:47" x14ac:dyDescent="0.25">
      <c r="AU2140" s="8" t="str">
        <f>IF(TRIM($G2140)="","",IF(COUNTIF(LISTS!$I$2:$I$16,TRIM($G2140))&gt;0,"COUNTED",IF(COUNTIF(LISTS!$J$2:$J$16,TRIM($G2140))&gt;0,"LEFT OUT","NEW")))</f>
        <v/>
      </c>
    </row>
    <row r="2141" spans="47:47" x14ac:dyDescent="0.25">
      <c r="AU2141" s="8" t="str">
        <f>IF(TRIM($G2141)="","",IF(COUNTIF(LISTS!$I$2:$I$16,TRIM($G2141))&gt;0,"COUNTED",IF(COUNTIF(LISTS!$J$2:$J$16,TRIM($G2141))&gt;0,"LEFT OUT","NEW")))</f>
        <v/>
      </c>
    </row>
    <row r="2142" spans="47:47" x14ac:dyDescent="0.25">
      <c r="AU2142" s="8" t="str">
        <f>IF(TRIM($G2142)="","",IF(COUNTIF(LISTS!$I$2:$I$16,TRIM($G2142))&gt;0,"COUNTED",IF(COUNTIF(LISTS!$J$2:$J$16,TRIM($G2142))&gt;0,"LEFT OUT","NEW")))</f>
        <v/>
      </c>
    </row>
    <row r="2143" spans="47:47" x14ac:dyDescent="0.25">
      <c r="AU2143" s="8" t="str">
        <f>IF(TRIM($G2143)="","",IF(COUNTIF(LISTS!$I$2:$I$16,TRIM($G2143))&gt;0,"COUNTED",IF(COUNTIF(LISTS!$J$2:$J$16,TRIM($G2143))&gt;0,"LEFT OUT","NEW")))</f>
        <v/>
      </c>
    </row>
    <row r="2144" spans="47:47" x14ac:dyDescent="0.25">
      <c r="AU2144" s="8" t="str">
        <f>IF(TRIM($G2144)="","",IF(COUNTIF(LISTS!$I$2:$I$16,TRIM($G2144))&gt;0,"COUNTED",IF(COUNTIF(LISTS!$J$2:$J$16,TRIM($G2144))&gt;0,"LEFT OUT","NEW")))</f>
        <v/>
      </c>
    </row>
    <row r="2145" spans="47:47" x14ac:dyDescent="0.25">
      <c r="AU2145" s="8" t="str">
        <f>IF(TRIM($G2145)="","",IF(COUNTIF(LISTS!$I$2:$I$16,TRIM($G2145))&gt;0,"COUNTED",IF(COUNTIF(LISTS!$J$2:$J$16,TRIM($G2145))&gt;0,"LEFT OUT","NEW")))</f>
        <v/>
      </c>
    </row>
    <row r="2146" spans="47:47" x14ac:dyDescent="0.25">
      <c r="AU2146" s="8" t="str">
        <f>IF(TRIM($G2146)="","",IF(COUNTIF(LISTS!$I$2:$I$16,TRIM($G2146))&gt;0,"COUNTED",IF(COUNTIF(LISTS!$J$2:$J$16,TRIM($G2146))&gt;0,"LEFT OUT","NEW")))</f>
        <v/>
      </c>
    </row>
    <row r="2147" spans="47:47" x14ac:dyDescent="0.25">
      <c r="AU2147" s="8" t="str">
        <f>IF(TRIM($G2147)="","",IF(COUNTIF(LISTS!$I$2:$I$16,TRIM($G2147))&gt;0,"COUNTED",IF(COUNTIF(LISTS!$J$2:$J$16,TRIM($G2147))&gt;0,"LEFT OUT","NEW")))</f>
        <v/>
      </c>
    </row>
    <row r="2148" spans="47:47" x14ac:dyDescent="0.25">
      <c r="AU2148" s="8" t="str">
        <f>IF(TRIM($G2148)="","",IF(COUNTIF(LISTS!$I$2:$I$16,TRIM($G2148))&gt;0,"COUNTED",IF(COUNTIF(LISTS!$J$2:$J$16,TRIM($G2148))&gt;0,"LEFT OUT","NEW")))</f>
        <v/>
      </c>
    </row>
    <row r="2149" spans="47:47" x14ac:dyDescent="0.25">
      <c r="AU2149" s="8" t="str">
        <f>IF(TRIM($G2149)="","",IF(COUNTIF(LISTS!$I$2:$I$16,TRIM($G2149))&gt;0,"COUNTED",IF(COUNTIF(LISTS!$J$2:$J$16,TRIM($G2149))&gt;0,"LEFT OUT","NEW")))</f>
        <v/>
      </c>
    </row>
    <row r="2150" spans="47:47" x14ac:dyDescent="0.25">
      <c r="AU2150" s="8" t="str">
        <f>IF(TRIM($G2150)="","",IF(COUNTIF(LISTS!$I$2:$I$16,TRIM($G2150))&gt;0,"COUNTED",IF(COUNTIF(LISTS!$J$2:$J$16,TRIM($G2150))&gt;0,"LEFT OUT","NEW")))</f>
        <v/>
      </c>
    </row>
    <row r="2151" spans="47:47" x14ac:dyDescent="0.25">
      <c r="AU2151" s="8" t="str">
        <f>IF(TRIM($G2151)="","",IF(COUNTIF(LISTS!$I$2:$I$16,TRIM($G2151))&gt;0,"COUNTED",IF(COUNTIF(LISTS!$J$2:$J$16,TRIM($G2151))&gt;0,"LEFT OUT","NEW")))</f>
        <v/>
      </c>
    </row>
    <row r="2152" spans="47:47" x14ac:dyDescent="0.25">
      <c r="AU2152" s="8" t="str">
        <f>IF(TRIM($G2152)="","",IF(COUNTIF(LISTS!$I$2:$I$16,TRIM($G2152))&gt;0,"COUNTED",IF(COUNTIF(LISTS!$J$2:$J$16,TRIM($G2152))&gt;0,"LEFT OUT","NEW")))</f>
        <v/>
      </c>
    </row>
    <row r="2153" spans="47:47" x14ac:dyDescent="0.25">
      <c r="AU2153" s="8" t="str">
        <f>IF(TRIM($G2153)="","",IF(COUNTIF(LISTS!$I$2:$I$16,TRIM($G2153))&gt;0,"COUNTED",IF(COUNTIF(LISTS!$J$2:$J$16,TRIM($G2153))&gt;0,"LEFT OUT","NEW")))</f>
        <v/>
      </c>
    </row>
    <row r="2154" spans="47:47" x14ac:dyDescent="0.25">
      <c r="AU2154" s="8" t="str">
        <f>IF(TRIM($G2154)="","",IF(COUNTIF(LISTS!$I$2:$I$16,TRIM($G2154))&gt;0,"COUNTED",IF(COUNTIF(LISTS!$J$2:$J$16,TRIM($G2154))&gt;0,"LEFT OUT","NEW")))</f>
        <v/>
      </c>
    </row>
    <row r="2155" spans="47:47" x14ac:dyDescent="0.25">
      <c r="AU2155" s="8" t="str">
        <f>IF(TRIM($G2155)="","",IF(COUNTIF(LISTS!$I$2:$I$16,TRIM($G2155))&gt;0,"COUNTED",IF(COUNTIF(LISTS!$J$2:$J$16,TRIM($G2155))&gt;0,"LEFT OUT","NEW")))</f>
        <v/>
      </c>
    </row>
    <row r="2156" spans="47:47" x14ac:dyDescent="0.25">
      <c r="AU2156" s="8" t="str">
        <f>IF(TRIM($G2156)="","",IF(COUNTIF(LISTS!$I$2:$I$16,TRIM($G2156))&gt;0,"COUNTED",IF(COUNTIF(LISTS!$J$2:$J$16,TRIM($G2156))&gt;0,"LEFT OUT","NEW")))</f>
        <v/>
      </c>
    </row>
    <row r="2157" spans="47:47" x14ac:dyDescent="0.25">
      <c r="AU2157" s="8" t="str">
        <f>IF(TRIM($G2157)="","",IF(COUNTIF(LISTS!$I$2:$I$16,TRIM($G2157))&gt;0,"COUNTED",IF(COUNTIF(LISTS!$J$2:$J$16,TRIM($G2157))&gt;0,"LEFT OUT","NEW")))</f>
        <v/>
      </c>
    </row>
    <row r="2158" spans="47:47" x14ac:dyDescent="0.25">
      <c r="AU2158" s="8" t="str">
        <f>IF(TRIM($G2158)="","",IF(COUNTIF(LISTS!$I$2:$I$16,TRIM($G2158))&gt;0,"COUNTED",IF(COUNTIF(LISTS!$J$2:$J$16,TRIM($G2158))&gt;0,"LEFT OUT","NEW")))</f>
        <v/>
      </c>
    </row>
    <row r="2159" spans="47:47" x14ac:dyDescent="0.25">
      <c r="AU2159" s="8" t="str">
        <f>IF(TRIM($G2159)="","",IF(COUNTIF(LISTS!$I$2:$I$16,TRIM($G2159))&gt;0,"COUNTED",IF(COUNTIF(LISTS!$J$2:$J$16,TRIM($G2159))&gt;0,"LEFT OUT","NEW")))</f>
        <v/>
      </c>
    </row>
    <row r="2160" spans="47:47" x14ac:dyDescent="0.25">
      <c r="AU2160" s="8" t="str">
        <f>IF(TRIM($G2160)="","",IF(COUNTIF(LISTS!$I$2:$I$16,TRIM($G2160))&gt;0,"COUNTED",IF(COUNTIF(LISTS!$J$2:$J$16,TRIM($G2160))&gt;0,"LEFT OUT","NEW")))</f>
        <v/>
      </c>
    </row>
    <row r="2161" spans="47:47" x14ac:dyDescent="0.25">
      <c r="AU2161" s="8" t="str">
        <f>IF(TRIM($G2161)="","",IF(COUNTIF(LISTS!$I$2:$I$16,TRIM($G2161))&gt;0,"COUNTED",IF(COUNTIF(LISTS!$J$2:$J$16,TRIM($G2161))&gt;0,"LEFT OUT","NEW")))</f>
        <v/>
      </c>
    </row>
    <row r="2162" spans="47:47" x14ac:dyDescent="0.25">
      <c r="AU2162" s="8" t="str">
        <f>IF(TRIM($G2162)="","",IF(COUNTIF(LISTS!$I$2:$I$16,TRIM($G2162))&gt;0,"COUNTED",IF(COUNTIF(LISTS!$J$2:$J$16,TRIM($G2162))&gt;0,"LEFT OUT","NEW")))</f>
        <v/>
      </c>
    </row>
    <row r="2163" spans="47:47" x14ac:dyDescent="0.25">
      <c r="AU2163" s="8" t="str">
        <f>IF(TRIM($G2163)="","",IF(COUNTIF(LISTS!$I$2:$I$16,TRIM($G2163))&gt;0,"COUNTED",IF(COUNTIF(LISTS!$J$2:$J$16,TRIM($G2163))&gt;0,"LEFT OUT","NEW")))</f>
        <v/>
      </c>
    </row>
    <row r="2164" spans="47:47" x14ac:dyDescent="0.25">
      <c r="AU2164" s="8" t="str">
        <f>IF(TRIM($G2164)="","",IF(COUNTIF(LISTS!$I$2:$I$16,TRIM($G2164))&gt;0,"COUNTED",IF(COUNTIF(LISTS!$J$2:$J$16,TRIM($G2164))&gt;0,"LEFT OUT","NEW")))</f>
        <v/>
      </c>
    </row>
    <row r="2165" spans="47:47" x14ac:dyDescent="0.25">
      <c r="AU2165" s="8" t="str">
        <f>IF(TRIM($G2165)="","",IF(COUNTIF(LISTS!$I$2:$I$16,TRIM($G2165))&gt;0,"COUNTED",IF(COUNTIF(LISTS!$J$2:$J$16,TRIM($G2165))&gt;0,"LEFT OUT","NEW")))</f>
        <v/>
      </c>
    </row>
    <row r="2166" spans="47:47" x14ac:dyDescent="0.25">
      <c r="AU2166" s="8" t="str">
        <f>IF(TRIM($G2166)="","",IF(COUNTIF(LISTS!$I$2:$I$16,TRIM($G2166))&gt;0,"COUNTED",IF(COUNTIF(LISTS!$J$2:$J$16,TRIM($G2166))&gt;0,"LEFT OUT","NEW")))</f>
        <v/>
      </c>
    </row>
    <row r="2167" spans="47:47" x14ac:dyDescent="0.25">
      <c r="AU2167" s="8" t="str">
        <f>IF(TRIM($G2167)="","",IF(COUNTIF(LISTS!$I$2:$I$16,TRIM($G2167))&gt;0,"COUNTED",IF(COUNTIF(LISTS!$J$2:$J$16,TRIM($G2167))&gt;0,"LEFT OUT","NEW")))</f>
        <v/>
      </c>
    </row>
    <row r="2168" spans="47:47" x14ac:dyDescent="0.25">
      <c r="AU2168" s="8" t="str">
        <f>IF(TRIM($G2168)="","",IF(COUNTIF(LISTS!$I$2:$I$16,TRIM($G2168))&gt;0,"COUNTED",IF(COUNTIF(LISTS!$J$2:$J$16,TRIM($G2168))&gt;0,"LEFT OUT","NEW")))</f>
        <v/>
      </c>
    </row>
    <row r="2169" spans="47:47" x14ac:dyDescent="0.25">
      <c r="AU2169" s="8" t="str">
        <f>IF(TRIM($G2169)="","",IF(COUNTIF(LISTS!$I$2:$I$16,TRIM($G2169))&gt;0,"COUNTED",IF(COUNTIF(LISTS!$J$2:$J$16,TRIM($G2169))&gt;0,"LEFT OUT","NEW")))</f>
        <v/>
      </c>
    </row>
    <row r="2170" spans="47:47" x14ac:dyDescent="0.25">
      <c r="AU2170" s="8" t="str">
        <f>IF(TRIM($G2170)="","",IF(COUNTIF(LISTS!$I$2:$I$16,TRIM($G2170))&gt;0,"COUNTED",IF(COUNTIF(LISTS!$J$2:$J$16,TRIM($G2170))&gt;0,"LEFT OUT","NEW")))</f>
        <v/>
      </c>
    </row>
    <row r="2171" spans="47:47" x14ac:dyDescent="0.25">
      <c r="AU2171" s="8" t="str">
        <f>IF(TRIM($G2171)="","",IF(COUNTIF(LISTS!$I$2:$I$16,TRIM($G2171))&gt;0,"COUNTED",IF(COUNTIF(LISTS!$J$2:$J$16,TRIM($G2171))&gt;0,"LEFT OUT","NEW")))</f>
        <v/>
      </c>
    </row>
    <row r="2172" spans="47:47" x14ac:dyDescent="0.25">
      <c r="AU2172" s="8" t="str">
        <f>IF(TRIM($G2172)="","",IF(COUNTIF(LISTS!$I$2:$I$16,TRIM($G2172))&gt;0,"COUNTED",IF(COUNTIF(LISTS!$J$2:$J$16,TRIM($G2172))&gt;0,"LEFT OUT","NEW")))</f>
        <v/>
      </c>
    </row>
    <row r="2173" spans="47:47" x14ac:dyDescent="0.25">
      <c r="AU2173" s="8" t="str">
        <f>IF(TRIM($G2173)="","",IF(COUNTIF(LISTS!$I$2:$I$16,TRIM($G2173))&gt;0,"COUNTED",IF(COUNTIF(LISTS!$J$2:$J$16,TRIM($G2173))&gt;0,"LEFT OUT","NEW")))</f>
        <v/>
      </c>
    </row>
    <row r="2174" spans="47:47" x14ac:dyDescent="0.25">
      <c r="AU2174" s="8" t="str">
        <f>IF(TRIM($G2174)="","",IF(COUNTIF(LISTS!$I$2:$I$16,TRIM($G2174))&gt;0,"COUNTED",IF(COUNTIF(LISTS!$J$2:$J$16,TRIM($G2174))&gt;0,"LEFT OUT","NEW")))</f>
        <v/>
      </c>
    </row>
    <row r="2175" spans="47:47" x14ac:dyDescent="0.25">
      <c r="AU2175" s="8" t="str">
        <f>IF(TRIM($G2175)="","",IF(COUNTIF(LISTS!$I$2:$I$16,TRIM($G2175))&gt;0,"COUNTED",IF(COUNTIF(LISTS!$J$2:$J$16,TRIM($G2175))&gt;0,"LEFT OUT","NEW")))</f>
        <v/>
      </c>
    </row>
    <row r="2176" spans="47:47" x14ac:dyDescent="0.25">
      <c r="AU2176" s="8" t="str">
        <f>IF(TRIM($G2176)="","",IF(COUNTIF(LISTS!$I$2:$I$16,TRIM($G2176))&gt;0,"COUNTED",IF(COUNTIF(LISTS!$J$2:$J$16,TRIM($G2176))&gt;0,"LEFT OUT","NEW")))</f>
        <v/>
      </c>
    </row>
    <row r="2177" spans="47:47" x14ac:dyDescent="0.25">
      <c r="AU2177" s="8" t="str">
        <f>IF(TRIM($G2177)="","",IF(COUNTIF(LISTS!$I$2:$I$16,TRIM($G2177))&gt;0,"COUNTED",IF(COUNTIF(LISTS!$J$2:$J$16,TRIM($G2177))&gt;0,"LEFT OUT","NEW")))</f>
        <v/>
      </c>
    </row>
    <row r="2178" spans="47:47" x14ac:dyDescent="0.25">
      <c r="AU2178" s="8" t="str">
        <f>IF(TRIM($G2178)="","",IF(COUNTIF(LISTS!$I$2:$I$16,TRIM($G2178))&gt;0,"COUNTED",IF(COUNTIF(LISTS!$J$2:$J$16,TRIM($G2178))&gt;0,"LEFT OUT","NEW")))</f>
        <v/>
      </c>
    </row>
    <row r="2179" spans="47:47" x14ac:dyDescent="0.25">
      <c r="AU2179" s="8" t="str">
        <f>IF(TRIM($G2179)="","",IF(COUNTIF(LISTS!$I$2:$I$16,TRIM($G2179))&gt;0,"COUNTED",IF(COUNTIF(LISTS!$J$2:$J$16,TRIM($G2179))&gt;0,"LEFT OUT","NEW")))</f>
        <v/>
      </c>
    </row>
    <row r="2180" spans="47:47" x14ac:dyDescent="0.25">
      <c r="AU2180" s="8" t="str">
        <f>IF(TRIM($G2180)="","",IF(COUNTIF(LISTS!$I$2:$I$16,TRIM($G2180))&gt;0,"COUNTED",IF(COUNTIF(LISTS!$J$2:$J$16,TRIM($G2180))&gt;0,"LEFT OUT","NEW")))</f>
        <v/>
      </c>
    </row>
    <row r="2181" spans="47:47" x14ac:dyDescent="0.25">
      <c r="AU2181" s="8" t="str">
        <f>IF(TRIM($G2181)="","",IF(COUNTIF(LISTS!$I$2:$I$16,TRIM($G2181))&gt;0,"COUNTED",IF(COUNTIF(LISTS!$J$2:$J$16,TRIM($G2181))&gt;0,"LEFT OUT","NEW")))</f>
        <v/>
      </c>
    </row>
    <row r="2182" spans="47:47" x14ac:dyDescent="0.25">
      <c r="AU2182" s="8" t="str">
        <f>IF(TRIM($G2182)="","",IF(COUNTIF(LISTS!$I$2:$I$16,TRIM($G2182))&gt;0,"COUNTED",IF(COUNTIF(LISTS!$J$2:$J$16,TRIM($G2182))&gt;0,"LEFT OUT","NEW")))</f>
        <v/>
      </c>
    </row>
    <row r="2183" spans="47:47" x14ac:dyDescent="0.25">
      <c r="AU2183" s="8" t="str">
        <f>IF(TRIM($G2183)="","",IF(COUNTIF(LISTS!$I$2:$I$16,TRIM($G2183))&gt;0,"COUNTED",IF(COUNTIF(LISTS!$J$2:$J$16,TRIM($G2183))&gt;0,"LEFT OUT","NEW")))</f>
        <v/>
      </c>
    </row>
    <row r="2184" spans="47:47" x14ac:dyDescent="0.25">
      <c r="AU2184" s="8" t="str">
        <f>IF(TRIM($G2184)="","",IF(COUNTIF(LISTS!$I$2:$I$16,TRIM($G2184))&gt;0,"COUNTED",IF(COUNTIF(LISTS!$J$2:$J$16,TRIM($G2184))&gt;0,"LEFT OUT","NEW")))</f>
        <v/>
      </c>
    </row>
    <row r="2185" spans="47:47" x14ac:dyDescent="0.25">
      <c r="AU2185" s="8" t="str">
        <f>IF(TRIM($G2185)="","",IF(COUNTIF(LISTS!$I$2:$I$16,TRIM($G2185))&gt;0,"COUNTED",IF(COUNTIF(LISTS!$J$2:$J$16,TRIM($G2185))&gt;0,"LEFT OUT","NEW")))</f>
        <v/>
      </c>
    </row>
    <row r="2186" spans="47:47" x14ac:dyDescent="0.25">
      <c r="AU2186" s="8" t="str">
        <f>IF(TRIM($G2186)="","",IF(COUNTIF(LISTS!$I$2:$I$16,TRIM($G2186))&gt;0,"COUNTED",IF(COUNTIF(LISTS!$J$2:$J$16,TRIM($G2186))&gt;0,"LEFT OUT","NEW")))</f>
        <v/>
      </c>
    </row>
    <row r="2187" spans="47:47" x14ac:dyDescent="0.25">
      <c r="AU2187" s="8" t="str">
        <f>IF(TRIM($G2187)="","",IF(COUNTIF(LISTS!$I$2:$I$16,TRIM($G2187))&gt;0,"COUNTED",IF(COUNTIF(LISTS!$J$2:$J$16,TRIM($G2187))&gt;0,"LEFT OUT","NEW")))</f>
        <v/>
      </c>
    </row>
    <row r="2188" spans="47:47" x14ac:dyDescent="0.25">
      <c r="AU2188" s="8" t="str">
        <f>IF(TRIM($G2188)="","",IF(COUNTIF(LISTS!$I$2:$I$16,TRIM($G2188))&gt;0,"COUNTED",IF(COUNTIF(LISTS!$J$2:$J$16,TRIM($G2188))&gt;0,"LEFT OUT","NEW")))</f>
        <v/>
      </c>
    </row>
    <row r="2189" spans="47:47" x14ac:dyDescent="0.25">
      <c r="AU2189" s="8" t="str">
        <f>IF(TRIM($G2189)="","",IF(COUNTIF(LISTS!$I$2:$I$16,TRIM($G2189))&gt;0,"COUNTED",IF(COUNTIF(LISTS!$J$2:$J$16,TRIM($G2189))&gt;0,"LEFT OUT","NEW")))</f>
        <v/>
      </c>
    </row>
    <row r="2190" spans="47:47" x14ac:dyDescent="0.25">
      <c r="AU2190" s="8" t="str">
        <f>IF(TRIM($G2190)="","",IF(COUNTIF(LISTS!$I$2:$I$16,TRIM($G2190))&gt;0,"COUNTED",IF(COUNTIF(LISTS!$J$2:$J$16,TRIM($G2190))&gt;0,"LEFT OUT","NEW")))</f>
        <v/>
      </c>
    </row>
    <row r="2191" spans="47:47" x14ac:dyDescent="0.25">
      <c r="AU2191" s="8" t="str">
        <f>IF(TRIM($G2191)="","",IF(COUNTIF(LISTS!$I$2:$I$16,TRIM($G2191))&gt;0,"COUNTED",IF(COUNTIF(LISTS!$J$2:$J$16,TRIM($G2191))&gt;0,"LEFT OUT","NEW")))</f>
        <v/>
      </c>
    </row>
    <row r="2192" spans="47:47" x14ac:dyDescent="0.25">
      <c r="AU2192" s="8" t="str">
        <f>IF(TRIM($G2192)="","",IF(COUNTIF(LISTS!$I$2:$I$16,TRIM($G2192))&gt;0,"COUNTED",IF(COUNTIF(LISTS!$J$2:$J$16,TRIM($G2192))&gt;0,"LEFT OUT","NEW")))</f>
        <v/>
      </c>
    </row>
    <row r="2193" spans="47:47" x14ac:dyDescent="0.25">
      <c r="AU2193" s="8" t="str">
        <f>IF(TRIM($G2193)="","",IF(COUNTIF(LISTS!$I$2:$I$16,TRIM($G2193))&gt;0,"COUNTED",IF(COUNTIF(LISTS!$J$2:$J$16,TRIM($G2193))&gt;0,"LEFT OUT","NEW")))</f>
        <v/>
      </c>
    </row>
    <row r="2194" spans="47:47" x14ac:dyDescent="0.25">
      <c r="AU2194" s="8" t="str">
        <f>IF(TRIM($G2194)="","",IF(COUNTIF(LISTS!$I$2:$I$16,TRIM($G2194))&gt;0,"COUNTED",IF(COUNTIF(LISTS!$J$2:$J$16,TRIM($G2194))&gt;0,"LEFT OUT","NEW")))</f>
        <v/>
      </c>
    </row>
    <row r="2195" spans="47:47" x14ac:dyDescent="0.25">
      <c r="AU2195" s="8" t="str">
        <f>IF(TRIM($G2195)="","",IF(COUNTIF(LISTS!$I$2:$I$16,TRIM($G2195))&gt;0,"COUNTED",IF(COUNTIF(LISTS!$J$2:$J$16,TRIM($G2195))&gt;0,"LEFT OUT","NEW")))</f>
        <v/>
      </c>
    </row>
    <row r="2196" spans="47:47" x14ac:dyDescent="0.25">
      <c r="AU2196" s="8" t="str">
        <f>IF(TRIM($G2196)="","",IF(COUNTIF(LISTS!$I$2:$I$16,TRIM($G2196))&gt;0,"COUNTED",IF(COUNTIF(LISTS!$J$2:$J$16,TRIM($G2196))&gt;0,"LEFT OUT","NEW")))</f>
        <v/>
      </c>
    </row>
    <row r="2197" spans="47:47" x14ac:dyDescent="0.25">
      <c r="AU2197" s="8" t="str">
        <f>IF(TRIM($G2197)="","",IF(COUNTIF(LISTS!$I$2:$I$16,TRIM($G2197))&gt;0,"COUNTED",IF(COUNTIF(LISTS!$J$2:$J$16,TRIM($G2197))&gt;0,"LEFT OUT","NEW")))</f>
        <v/>
      </c>
    </row>
    <row r="2198" spans="47:47" x14ac:dyDescent="0.25">
      <c r="AU2198" s="8" t="str">
        <f>IF(TRIM($G2198)="","",IF(COUNTIF(LISTS!$I$2:$I$16,TRIM($G2198))&gt;0,"COUNTED",IF(COUNTIF(LISTS!$J$2:$J$16,TRIM($G2198))&gt;0,"LEFT OUT","NEW")))</f>
        <v/>
      </c>
    </row>
    <row r="2199" spans="47:47" x14ac:dyDescent="0.25">
      <c r="AU2199" s="8" t="str">
        <f>IF(TRIM($G2199)="","",IF(COUNTIF(LISTS!$I$2:$I$16,TRIM($G2199))&gt;0,"COUNTED",IF(COUNTIF(LISTS!$J$2:$J$16,TRIM($G2199))&gt;0,"LEFT OUT","NEW")))</f>
        <v/>
      </c>
    </row>
    <row r="2200" spans="47:47" x14ac:dyDescent="0.25">
      <c r="AU2200" s="8" t="str">
        <f>IF(TRIM($G2200)="","",IF(COUNTIF(LISTS!$I$2:$I$16,TRIM($G2200))&gt;0,"COUNTED",IF(COUNTIF(LISTS!$J$2:$J$16,TRIM($G2200))&gt;0,"LEFT OUT","NEW")))</f>
        <v/>
      </c>
    </row>
    <row r="2201" spans="47:47" x14ac:dyDescent="0.25">
      <c r="AU2201" s="8" t="str">
        <f>IF(TRIM($G2201)="","",IF(COUNTIF(LISTS!$I$2:$I$16,TRIM($G2201))&gt;0,"COUNTED",IF(COUNTIF(LISTS!$J$2:$J$16,TRIM($G2201))&gt;0,"LEFT OUT","NEW")))</f>
        <v/>
      </c>
    </row>
    <row r="2202" spans="47:47" x14ac:dyDescent="0.25">
      <c r="AU2202" s="8" t="str">
        <f>IF(TRIM($G2202)="","",IF(COUNTIF(LISTS!$I$2:$I$16,TRIM($G2202))&gt;0,"COUNTED",IF(COUNTIF(LISTS!$J$2:$J$16,TRIM($G2202))&gt;0,"LEFT OUT","NEW")))</f>
        <v/>
      </c>
    </row>
    <row r="2203" spans="47:47" x14ac:dyDescent="0.25">
      <c r="AU2203" s="8" t="str">
        <f>IF(TRIM($G2203)="","",IF(COUNTIF(LISTS!$I$2:$I$16,TRIM($G2203))&gt;0,"COUNTED",IF(COUNTIF(LISTS!$J$2:$J$16,TRIM($G2203))&gt;0,"LEFT OUT","NEW")))</f>
        <v/>
      </c>
    </row>
    <row r="2204" spans="47:47" x14ac:dyDescent="0.25">
      <c r="AU2204" s="8" t="str">
        <f>IF(TRIM($G2204)="","",IF(COUNTIF(LISTS!$I$2:$I$16,TRIM($G2204))&gt;0,"COUNTED",IF(COUNTIF(LISTS!$J$2:$J$16,TRIM($G2204))&gt;0,"LEFT OUT","NEW")))</f>
        <v/>
      </c>
    </row>
    <row r="2205" spans="47:47" x14ac:dyDescent="0.25">
      <c r="AU2205" s="8" t="str">
        <f>IF(TRIM($G2205)="","",IF(COUNTIF(LISTS!$I$2:$I$16,TRIM($G2205))&gt;0,"COUNTED",IF(COUNTIF(LISTS!$J$2:$J$16,TRIM($G2205))&gt;0,"LEFT OUT","NEW")))</f>
        <v/>
      </c>
    </row>
    <row r="2206" spans="47:47" x14ac:dyDescent="0.25">
      <c r="AU2206" s="8" t="str">
        <f>IF(TRIM($G2206)="","",IF(COUNTIF(LISTS!$I$2:$I$16,TRIM($G2206))&gt;0,"COUNTED",IF(COUNTIF(LISTS!$J$2:$J$16,TRIM($G2206))&gt;0,"LEFT OUT","NEW")))</f>
        <v/>
      </c>
    </row>
    <row r="2207" spans="47:47" x14ac:dyDescent="0.25">
      <c r="AU2207" s="8" t="str">
        <f>IF(TRIM($G2207)="","",IF(COUNTIF(LISTS!$I$2:$I$16,TRIM($G2207))&gt;0,"COUNTED",IF(COUNTIF(LISTS!$J$2:$J$16,TRIM($G2207))&gt;0,"LEFT OUT","NEW")))</f>
        <v/>
      </c>
    </row>
    <row r="2208" spans="47:47" x14ac:dyDescent="0.25">
      <c r="AU2208" s="8" t="str">
        <f>IF(TRIM($G2208)="","",IF(COUNTIF(LISTS!$I$2:$I$16,TRIM($G2208))&gt;0,"COUNTED",IF(COUNTIF(LISTS!$J$2:$J$16,TRIM($G2208))&gt;0,"LEFT OUT","NEW")))</f>
        <v/>
      </c>
    </row>
    <row r="2209" spans="47:47" x14ac:dyDescent="0.25">
      <c r="AU2209" s="8" t="str">
        <f>IF(TRIM($G2209)="","",IF(COUNTIF(LISTS!$I$2:$I$16,TRIM($G2209))&gt;0,"COUNTED",IF(COUNTIF(LISTS!$J$2:$J$16,TRIM($G2209))&gt;0,"LEFT OUT","NEW")))</f>
        <v/>
      </c>
    </row>
    <row r="2210" spans="47:47" x14ac:dyDescent="0.25">
      <c r="AU2210" s="8" t="str">
        <f>IF(TRIM($G2210)="","",IF(COUNTIF(LISTS!$I$2:$I$16,TRIM($G2210))&gt;0,"COUNTED",IF(COUNTIF(LISTS!$J$2:$J$16,TRIM($G2210))&gt;0,"LEFT OUT","NEW")))</f>
        <v/>
      </c>
    </row>
    <row r="2211" spans="47:47" x14ac:dyDescent="0.25">
      <c r="AU2211" s="8" t="str">
        <f>IF(TRIM($G2211)="","",IF(COUNTIF(LISTS!$I$2:$I$16,TRIM($G2211))&gt;0,"COUNTED",IF(COUNTIF(LISTS!$J$2:$J$16,TRIM($G2211))&gt;0,"LEFT OUT","NEW")))</f>
        <v/>
      </c>
    </row>
    <row r="2212" spans="47:47" x14ac:dyDescent="0.25">
      <c r="AU2212" s="8" t="str">
        <f>IF(TRIM($G2212)="","",IF(COUNTIF(LISTS!$I$2:$I$16,TRIM($G2212))&gt;0,"COUNTED",IF(COUNTIF(LISTS!$J$2:$J$16,TRIM($G2212))&gt;0,"LEFT OUT","NEW")))</f>
        <v/>
      </c>
    </row>
    <row r="2213" spans="47:47" x14ac:dyDescent="0.25">
      <c r="AU2213" s="8" t="str">
        <f>IF(TRIM($G2213)="","",IF(COUNTIF(LISTS!$I$2:$I$16,TRIM($G2213))&gt;0,"COUNTED",IF(COUNTIF(LISTS!$J$2:$J$16,TRIM($G2213))&gt;0,"LEFT OUT","NEW")))</f>
        <v/>
      </c>
    </row>
    <row r="2214" spans="47:47" x14ac:dyDescent="0.25">
      <c r="AU2214" s="8" t="str">
        <f>IF(TRIM($G2214)="","",IF(COUNTIF(LISTS!$I$2:$I$16,TRIM($G2214))&gt;0,"COUNTED",IF(COUNTIF(LISTS!$J$2:$J$16,TRIM($G2214))&gt;0,"LEFT OUT","NEW")))</f>
        <v/>
      </c>
    </row>
    <row r="2215" spans="47:47" x14ac:dyDescent="0.25">
      <c r="AU2215" s="8" t="str">
        <f>IF(TRIM($G2215)="","",IF(COUNTIF(LISTS!$I$2:$I$16,TRIM($G2215))&gt;0,"COUNTED",IF(COUNTIF(LISTS!$J$2:$J$16,TRIM($G2215))&gt;0,"LEFT OUT","NEW")))</f>
        <v/>
      </c>
    </row>
    <row r="2216" spans="47:47" x14ac:dyDescent="0.25">
      <c r="AU2216" s="8" t="str">
        <f>IF(TRIM($G2216)="","",IF(COUNTIF(LISTS!$I$2:$I$16,TRIM($G2216))&gt;0,"COUNTED",IF(COUNTIF(LISTS!$J$2:$J$16,TRIM($G2216))&gt;0,"LEFT OUT","NEW")))</f>
        <v/>
      </c>
    </row>
    <row r="2217" spans="47:47" x14ac:dyDescent="0.25">
      <c r="AU2217" s="8" t="str">
        <f>IF(TRIM($G2217)="","",IF(COUNTIF(LISTS!$I$2:$I$16,TRIM($G2217))&gt;0,"COUNTED",IF(COUNTIF(LISTS!$J$2:$J$16,TRIM($G2217))&gt;0,"LEFT OUT","NEW")))</f>
        <v/>
      </c>
    </row>
    <row r="2218" spans="47:47" x14ac:dyDescent="0.25">
      <c r="AU2218" s="8" t="str">
        <f>IF(TRIM($G2218)="","",IF(COUNTIF(LISTS!$I$2:$I$16,TRIM($G2218))&gt;0,"COUNTED",IF(COUNTIF(LISTS!$J$2:$J$16,TRIM($G2218))&gt;0,"LEFT OUT","NEW")))</f>
        <v/>
      </c>
    </row>
    <row r="2219" spans="47:47" x14ac:dyDescent="0.25">
      <c r="AU2219" s="8" t="str">
        <f>IF(TRIM($G2219)="","",IF(COUNTIF(LISTS!$I$2:$I$16,TRIM($G2219))&gt;0,"COUNTED",IF(COUNTIF(LISTS!$J$2:$J$16,TRIM($G2219))&gt;0,"LEFT OUT","NEW")))</f>
        <v/>
      </c>
    </row>
    <row r="2220" spans="47:47" x14ac:dyDescent="0.25">
      <c r="AU2220" s="8" t="str">
        <f>IF(TRIM($G2220)="","",IF(COUNTIF(LISTS!$I$2:$I$16,TRIM($G2220))&gt;0,"COUNTED",IF(COUNTIF(LISTS!$J$2:$J$16,TRIM($G2220))&gt;0,"LEFT OUT","NEW")))</f>
        <v/>
      </c>
    </row>
    <row r="2221" spans="47:47" x14ac:dyDescent="0.25">
      <c r="AU2221" s="8" t="str">
        <f>IF(TRIM($G2221)="","",IF(COUNTIF(LISTS!$I$2:$I$16,TRIM($G2221))&gt;0,"COUNTED",IF(COUNTIF(LISTS!$J$2:$J$16,TRIM($G2221))&gt;0,"LEFT OUT","NEW")))</f>
        <v/>
      </c>
    </row>
    <row r="2222" spans="47:47" x14ac:dyDescent="0.25">
      <c r="AU2222" s="8" t="str">
        <f>IF(TRIM($G2222)="","",IF(COUNTIF(LISTS!$I$2:$I$16,TRIM($G2222))&gt;0,"COUNTED",IF(COUNTIF(LISTS!$J$2:$J$16,TRIM($G2222))&gt;0,"LEFT OUT","NEW")))</f>
        <v/>
      </c>
    </row>
    <row r="2223" spans="47:47" x14ac:dyDescent="0.25">
      <c r="AU2223" s="8" t="str">
        <f>IF(TRIM($G2223)="","",IF(COUNTIF(LISTS!$I$2:$I$16,TRIM($G2223))&gt;0,"COUNTED",IF(COUNTIF(LISTS!$J$2:$J$16,TRIM($G2223))&gt;0,"LEFT OUT","NEW")))</f>
        <v/>
      </c>
    </row>
    <row r="2224" spans="47:47" x14ac:dyDescent="0.25">
      <c r="AU2224" s="8" t="str">
        <f>IF(TRIM($G2224)="","",IF(COUNTIF(LISTS!$I$2:$I$16,TRIM($G2224))&gt;0,"COUNTED",IF(COUNTIF(LISTS!$J$2:$J$16,TRIM($G2224))&gt;0,"LEFT OUT","NEW")))</f>
        <v/>
      </c>
    </row>
    <row r="2225" spans="47:47" x14ac:dyDescent="0.25">
      <c r="AU2225" s="8" t="str">
        <f>IF(TRIM($G2225)="","",IF(COUNTIF(LISTS!$I$2:$I$16,TRIM($G2225))&gt;0,"COUNTED",IF(COUNTIF(LISTS!$J$2:$J$16,TRIM($G2225))&gt;0,"LEFT OUT","NEW")))</f>
        <v/>
      </c>
    </row>
    <row r="2226" spans="47:47" x14ac:dyDescent="0.25">
      <c r="AU2226" s="8" t="str">
        <f>IF(TRIM($G2226)="","",IF(COUNTIF(LISTS!$I$2:$I$16,TRIM($G2226))&gt;0,"COUNTED",IF(COUNTIF(LISTS!$J$2:$J$16,TRIM($G2226))&gt;0,"LEFT OUT","NEW")))</f>
        <v/>
      </c>
    </row>
    <row r="2227" spans="47:47" x14ac:dyDescent="0.25">
      <c r="AU2227" s="8" t="str">
        <f>IF(TRIM($G2227)="","",IF(COUNTIF(LISTS!$I$2:$I$16,TRIM($G2227))&gt;0,"COUNTED",IF(COUNTIF(LISTS!$J$2:$J$16,TRIM($G2227))&gt;0,"LEFT OUT","NEW")))</f>
        <v/>
      </c>
    </row>
    <row r="2228" spans="47:47" x14ac:dyDescent="0.25">
      <c r="AU2228" s="8" t="str">
        <f>IF(TRIM($G2228)="","",IF(COUNTIF(LISTS!$I$2:$I$16,TRIM($G2228))&gt;0,"COUNTED",IF(COUNTIF(LISTS!$J$2:$J$16,TRIM($G2228))&gt;0,"LEFT OUT","NEW")))</f>
        <v/>
      </c>
    </row>
    <row r="2229" spans="47:47" x14ac:dyDescent="0.25">
      <c r="AU2229" s="8" t="str">
        <f>IF(TRIM($G2229)="","",IF(COUNTIF(LISTS!$I$2:$I$16,TRIM($G2229))&gt;0,"COUNTED",IF(COUNTIF(LISTS!$J$2:$J$16,TRIM($G2229))&gt;0,"LEFT OUT","NEW")))</f>
        <v/>
      </c>
    </row>
    <row r="2230" spans="47:47" x14ac:dyDescent="0.25">
      <c r="AU2230" s="8" t="str">
        <f>IF(TRIM($G2230)="","",IF(COUNTIF(LISTS!$I$2:$I$16,TRIM($G2230))&gt;0,"COUNTED",IF(COUNTIF(LISTS!$J$2:$J$16,TRIM($G2230))&gt;0,"LEFT OUT","NEW")))</f>
        <v/>
      </c>
    </row>
    <row r="2231" spans="47:47" x14ac:dyDescent="0.25">
      <c r="AU2231" s="8" t="str">
        <f>IF(TRIM($G2231)="","",IF(COUNTIF(LISTS!$I$2:$I$16,TRIM($G2231))&gt;0,"COUNTED",IF(COUNTIF(LISTS!$J$2:$J$16,TRIM($G2231))&gt;0,"LEFT OUT","NEW")))</f>
        <v/>
      </c>
    </row>
    <row r="2232" spans="47:47" x14ac:dyDescent="0.25">
      <c r="AU2232" s="8" t="str">
        <f>IF(TRIM($G2232)="","",IF(COUNTIF(LISTS!$I$2:$I$16,TRIM($G2232))&gt;0,"COUNTED",IF(COUNTIF(LISTS!$J$2:$J$16,TRIM($G2232))&gt;0,"LEFT OUT","NEW")))</f>
        <v/>
      </c>
    </row>
    <row r="2233" spans="47:47" x14ac:dyDescent="0.25">
      <c r="AU2233" s="8" t="str">
        <f>IF(TRIM($G2233)="","",IF(COUNTIF(LISTS!$I$2:$I$16,TRIM($G2233))&gt;0,"COUNTED",IF(COUNTIF(LISTS!$J$2:$J$16,TRIM($G2233))&gt;0,"LEFT OUT","NEW")))</f>
        <v/>
      </c>
    </row>
    <row r="2234" spans="47:47" x14ac:dyDescent="0.25">
      <c r="AU2234" s="8" t="str">
        <f>IF(TRIM($G2234)="","",IF(COUNTIF(LISTS!$I$2:$I$16,TRIM($G2234))&gt;0,"COUNTED",IF(COUNTIF(LISTS!$J$2:$J$16,TRIM($G2234))&gt;0,"LEFT OUT","NEW")))</f>
        <v/>
      </c>
    </row>
    <row r="2235" spans="47:47" x14ac:dyDescent="0.25">
      <c r="AU2235" s="8" t="str">
        <f>IF(TRIM($G2235)="","",IF(COUNTIF(LISTS!$I$2:$I$16,TRIM($G2235))&gt;0,"COUNTED",IF(COUNTIF(LISTS!$J$2:$J$16,TRIM($G2235))&gt;0,"LEFT OUT","NEW")))</f>
        <v/>
      </c>
    </row>
    <row r="2236" spans="47:47" x14ac:dyDescent="0.25">
      <c r="AU2236" s="8" t="str">
        <f>IF(TRIM($G2236)="","",IF(COUNTIF(LISTS!$I$2:$I$16,TRIM($G2236))&gt;0,"COUNTED",IF(COUNTIF(LISTS!$J$2:$J$16,TRIM($G2236))&gt;0,"LEFT OUT","NEW")))</f>
        <v/>
      </c>
    </row>
    <row r="2237" spans="47:47" x14ac:dyDescent="0.25">
      <c r="AU2237" s="8" t="str">
        <f>IF(TRIM($G2237)="","",IF(COUNTIF(LISTS!$I$2:$I$16,TRIM($G2237))&gt;0,"COUNTED",IF(COUNTIF(LISTS!$J$2:$J$16,TRIM($G2237))&gt;0,"LEFT OUT","NEW")))</f>
        <v/>
      </c>
    </row>
    <row r="2238" spans="47:47" x14ac:dyDescent="0.25">
      <c r="AU2238" s="8" t="str">
        <f>IF(TRIM($G2238)="","",IF(COUNTIF(LISTS!$I$2:$I$16,TRIM($G2238))&gt;0,"COUNTED",IF(COUNTIF(LISTS!$J$2:$J$16,TRIM($G2238))&gt;0,"LEFT OUT","NEW")))</f>
        <v/>
      </c>
    </row>
    <row r="2239" spans="47:47" x14ac:dyDescent="0.25">
      <c r="AU2239" s="8" t="str">
        <f>IF(TRIM($G2239)="","",IF(COUNTIF(LISTS!$I$2:$I$16,TRIM($G2239))&gt;0,"COUNTED",IF(COUNTIF(LISTS!$J$2:$J$16,TRIM($G2239))&gt;0,"LEFT OUT","NEW")))</f>
        <v/>
      </c>
    </row>
    <row r="2240" spans="47:47" x14ac:dyDescent="0.25">
      <c r="AU2240" s="8" t="str">
        <f>IF(TRIM($G2240)="","",IF(COUNTIF(LISTS!$I$2:$I$16,TRIM($G2240))&gt;0,"COUNTED",IF(COUNTIF(LISTS!$J$2:$J$16,TRIM($G2240))&gt;0,"LEFT OUT","NEW")))</f>
        <v/>
      </c>
    </row>
    <row r="2241" spans="47:47" x14ac:dyDescent="0.25">
      <c r="AU2241" s="8" t="str">
        <f>IF(TRIM($G2241)="","",IF(COUNTIF(LISTS!$I$2:$I$16,TRIM($G2241))&gt;0,"COUNTED",IF(COUNTIF(LISTS!$J$2:$J$16,TRIM($G2241))&gt;0,"LEFT OUT","NEW")))</f>
        <v/>
      </c>
    </row>
    <row r="2242" spans="47:47" x14ac:dyDescent="0.25">
      <c r="AU2242" s="8" t="str">
        <f>IF(TRIM($G2242)="","",IF(COUNTIF(LISTS!$I$2:$I$16,TRIM($G2242))&gt;0,"COUNTED",IF(COUNTIF(LISTS!$J$2:$J$16,TRIM($G2242))&gt;0,"LEFT OUT","NEW")))</f>
        <v/>
      </c>
    </row>
    <row r="2243" spans="47:47" x14ac:dyDescent="0.25">
      <c r="AU2243" s="8" t="str">
        <f>IF(TRIM($G2243)="","",IF(COUNTIF(LISTS!$I$2:$I$16,TRIM($G2243))&gt;0,"COUNTED",IF(COUNTIF(LISTS!$J$2:$J$16,TRIM($G2243))&gt;0,"LEFT OUT","NEW")))</f>
        <v/>
      </c>
    </row>
    <row r="2244" spans="47:47" x14ac:dyDescent="0.25">
      <c r="AU2244" s="8" t="str">
        <f>IF(TRIM($G2244)="","",IF(COUNTIF(LISTS!$I$2:$I$16,TRIM($G2244))&gt;0,"COUNTED",IF(COUNTIF(LISTS!$J$2:$J$16,TRIM($G2244))&gt;0,"LEFT OUT","NEW")))</f>
        <v/>
      </c>
    </row>
    <row r="2245" spans="47:47" x14ac:dyDescent="0.25">
      <c r="AU2245" s="8" t="str">
        <f>IF(TRIM($G2245)="","",IF(COUNTIF(LISTS!$I$2:$I$16,TRIM($G2245))&gt;0,"COUNTED",IF(COUNTIF(LISTS!$J$2:$J$16,TRIM($G2245))&gt;0,"LEFT OUT","NEW")))</f>
        <v/>
      </c>
    </row>
    <row r="2246" spans="47:47" x14ac:dyDescent="0.25">
      <c r="AU2246" s="8" t="str">
        <f>IF(TRIM($G2246)="","",IF(COUNTIF(LISTS!$I$2:$I$16,TRIM($G2246))&gt;0,"COUNTED",IF(COUNTIF(LISTS!$J$2:$J$16,TRIM($G2246))&gt;0,"LEFT OUT","NEW")))</f>
        <v/>
      </c>
    </row>
    <row r="2247" spans="47:47" x14ac:dyDescent="0.25">
      <c r="AU2247" s="8" t="str">
        <f>IF(TRIM($G2247)="","",IF(COUNTIF(LISTS!$I$2:$I$16,TRIM($G2247))&gt;0,"COUNTED",IF(COUNTIF(LISTS!$J$2:$J$16,TRIM($G2247))&gt;0,"LEFT OUT","NEW")))</f>
        <v/>
      </c>
    </row>
    <row r="2248" spans="47:47" x14ac:dyDescent="0.25">
      <c r="AU2248" s="8" t="str">
        <f>IF(TRIM($G2248)="","",IF(COUNTIF(LISTS!$I$2:$I$16,TRIM($G2248))&gt;0,"COUNTED",IF(COUNTIF(LISTS!$J$2:$J$16,TRIM($G2248))&gt;0,"LEFT OUT","NEW")))</f>
        <v/>
      </c>
    </row>
    <row r="2249" spans="47:47" x14ac:dyDescent="0.25">
      <c r="AU2249" s="8" t="str">
        <f>IF(TRIM($G2249)="","",IF(COUNTIF(LISTS!$I$2:$I$16,TRIM($G2249))&gt;0,"COUNTED",IF(COUNTIF(LISTS!$J$2:$J$16,TRIM($G2249))&gt;0,"LEFT OUT","NEW")))</f>
        <v/>
      </c>
    </row>
    <row r="2250" spans="47:47" x14ac:dyDescent="0.25">
      <c r="AU2250" s="8" t="str">
        <f>IF(TRIM($G2250)="","",IF(COUNTIF(LISTS!$I$2:$I$16,TRIM($G2250))&gt;0,"COUNTED",IF(COUNTIF(LISTS!$J$2:$J$16,TRIM($G2250))&gt;0,"LEFT OUT","NEW")))</f>
        <v/>
      </c>
    </row>
    <row r="2251" spans="47:47" x14ac:dyDescent="0.25">
      <c r="AU2251" s="8" t="str">
        <f>IF(TRIM($G2251)="","",IF(COUNTIF(LISTS!$I$2:$I$16,TRIM($G2251))&gt;0,"COUNTED",IF(COUNTIF(LISTS!$J$2:$J$16,TRIM($G2251))&gt;0,"LEFT OUT","NEW")))</f>
        <v/>
      </c>
    </row>
    <row r="2252" spans="47:47" x14ac:dyDescent="0.25">
      <c r="AU2252" s="8" t="str">
        <f>IF(TRIM($G2252)="","",IF(COUNTIF(LISTS!$I$2:$I$16,TRIM($G2252))&gt;0,"COUNTED",IF(COUNTIF(LISTS!$J$2:$J$16,TRIM($G2252))&gt;0,"LEFT OUT","NEW")))</f>
        <v/>
      </c>
    </row>
    <row r="2253" spans="47:47" x14ac:dyDescent="0.25">
      <c r="AU2253" s="8" t="str">
        <f>IF(TRIM($G2253)="","",IF(COUNTIF(LISTS!$I$2:$I$16,TRIM($G2253))&gt;0,"COUNTED",IF(COUNTIF(LISTS!$J$2:$J$16,TRIM($G2253))&gt;0,"LEFT OUT","NEW")))</f>
        <v/>
      </c>
    </row>
    <row r="2254" spans="47:47" x14ac:dyDescent="0.25">
      <c r="AU2254" s="8" t="str">
        <f>IF(TRIM($G2254)="","",IF(COUNTIF(LISTS!$I$2:$I$16,TRIM($G2254))&gt;0,"COUNTED",IF(COUNTIF(LISTS!$J$2:$J$16,TRIM($G2254))&gt;0,"LEFT OUT","NEW")))</f>
        <v/>
      </c>
    </row>
    <row r="2255" spans="47:47" x14ac:dyDescent="0.25">
      <c r="AU2255" s="8" t="str">
        <f>IF(TRIM($G2255)="","",IF(COUNTIF(LISTS!$I$2:$I$16,TRIM($G2255))&gt;0,"COUNTED",IF(COUNTIF(LISTS!$J$2:$J$16,TRIM($G2255))&gt;0,"LEFT OUT","NEW")))</f>
        <v/>
      </c>
    </row>
    <row r="2256" spans="47:47" x14ac:dyDescent="0.25">
      <c r="AU2256" s="8" t="str">
        <f>IF(TRIM($G2256)="","",IF(COUNTIF(LISTS!$I$2:$I$16,TRIM($G2256))&gt;0,"COUNTED",IF(COUNTIF(LISTS!$J$2:$J$16,TRIM($G2256))&gt;0,"LEFT OUT","NEW")))</f>
        <v/>
      </c>
    </row>
    <row r="2257" spans="47:47" x14ac:dyDescent="0.25">
      <c r="AU2257" s="8" t="str">
        <f>IF(TRIM($G2257)="","",IF(COUNTIF(LISTS!$I$2:$I$16,TRIM($G2257))&gt;0,"COUNTED",IF(COUNTIF(LISTS!$J$2:$J$16,TRIM($G2257))&gt;0,"LEFT OUT","NEW")))</f>
        <v/>
      </c>
    </row>
    <row r="2258" spans="47:47" x14ac:dyDescent="0.25">
      <c r="AU2258" s="8" t="str">
        <f>IF(TRIM($G2258)="","",IF(COUNTIF(LISTS!$I$2:$I$16,TRIM($G2258))&gt;0,"COUNTED",IF(COUNTIF(LISTS!$J$2:$J$16,TRIM($G2258))&gt;0,"LEFT OUT","NEW")))</f>
        <v/>
      </c>
    </row>
    <row r="2259" spans="47:47" x14ac:dyDescent="0.25">
      <c r="AU2259" s="8" t="str">
        <f>IF(TRIM($G2259)="","",IF(COUNTIF(LISTS!$I$2:$I$16,TRIM($G2259))&gt;0,"COUNTED",IF(COUNTIF(LISTS!$J$2:$J$16,TRIM($G2259))&gt;0,"LEFT OUT","NEW")))</f>
        <v/>
      </c>
    </row>
    <row r="2260" spans="47:47" x14ac:dyDescent="0.25">
      <c r="AU2260" s="8" t="str">
        <f>IF(TRIM($G2260)="","",IF(COUNTIF(LISTS!$I$2:$I$16,TRIM($G2260))&gt;0,"COUNTED",IF(COUNTIF(LISTS!$J$2:$J$16,TRIM($G2260))&gt;0,"LEFT OUT","NEW")))</f>
        <v/>
      </c>
    </row>
    <row r="2261" spans="47:47" x14ac:dyDescent="0.25">
      <c r="AU2261" s="8" t="str">
        <f>IF(TRIM($G2261)="","",IF(COUNTIF(LISTS!$I$2:$I$16,TRIM($G2261))&gt;0,"COUNTED",IF(COUNTIF(LISTS!$J$2:$J$16,TRIM($G2261))&gt;0,"LEFT OUT","NEW")))</f>
        <v/>
      </c>
    </row>
    <row r="2262" spans="47:47" x14ac:dyDescent="0.25">
      <c r="AU2262" s="8" t="str">
        <f>IF(TRIM($G2262)="","",IF(COUNTIF(LISTS!$I$2:$I$16,TRIM($G2262))&gt;0,"COUNTED",IF(COUNTIF(LISTS!$J$2:$J$16,TRIM($G2262))&gt;0,"LEFT OUT","NEW")))</f>
        <v/>
      </c>
    </row>
    <row r="2263" spans="47:47" x14ac:dyDescent="0.25">
      <c r="AU2263" s="8" t="str">
        <f>IF(TRIM($G2263)="","",IF(COUNTIF(LISTS!$I$2:$I$16,TRIM($G2263))&gt;0,"COUNTED",IF(COUNTIF(LISTS!$J$2:$J$16,TRIM($G2263))&gt;0,"LEFT OUT","NEW")))</f>
        <v/>
      </c>
    </row>
    <row r="2264" spans="47:47" x14ac:dyDescent="0.25">
      <c r="AU2264" s="8" t="str">
        <f>IF(TRIM($G2264)="","",IF(COUNTIF(LISTS!$I$2:$I$16,TRIM($G2264))&gt;0,"COUNTED",IF(COUNTIF(LISTS!$J$2:$J$16,TRIM($G2264))&gt;0,"LEFT OUT","NEW")))</f>
        <v/>
      </c>
    </row>
    <row r="2265" spans="47:47" x14ac:dyDescent="0.25">
      <c r="AU2265" s="8" t="str">
        <f>IF(TRIM($G2265)="","",IF(COUNTIF(LISTS!$I$2:$I$16,TRIM($G2265))&gt;0,"COUNTED",IF(COUNTIF(LISTS!$J$2:$J$16,TRIM($G2265))&gt;0,"LEFT OUT","NEW")))</f>
        <v/>
      </c>
    </row>
    <row r="2266" spans="47:47" x14ac:dyDescent="0.25">
      <c r="AU2266" s="8" t="str">
        <f>IF(TRIM($G2266)="","",IF(COUNTIF(LISTS!$I$2:$I$16,TRIM($G2266))&gt;0,"COUNTED",IF(COUNTIF(LISTS!$J$2:$J$16,TRIM($G2266))&gt;0,"LEFT OUT","NEW")))</f>
        <v/>
      </c>
    </row>
    <row r="2267" spans="47:47" x14ac:dyDescent="0.25">
      <c r="AU2267" s="8" t="str">
        <f>IF(TRIM($G2267)="","",IF(COUNTIF(LISTS!$I$2:$I$16,TRIM($G2267))&gt;0,"COUNTED",IF(COUNTIF(LISTS!$J$2:$J$16,TRIM($G2267))&gt;0,"LEFT OUT","NEW")))</f>
        <v/>
      </c>
    </row>
    <row r="2268" spans="47:47" x14ac:dyDescent="0.25">
      <c r="AU2268" s="8" t="str">
        <f>IF(TRIM($G2268)="","",IF(COUNTIF(LISTS!$I$2:$I$16,TRIM($G2268))&gt;0,"COUNTED",IF(COUNTIF(LISTS!$J$2:$J$16,TRIM($G2268))&gt;0,"LEFT OUT","NEW")))</f>
        <v/>
      </c>
    </row>
    <row r="2269" spans="47:47" x14ac:dyDescent="0.25">
      <c r="AU2269" s="8" t="str">
        <f>IF(TRIM($G2269)="","",IF(COUNTIF(LISTS!$I$2:$I$16,TRIM($G2269))&gt;0,"COUNTED",IF(COUNTIF(LISTS!$J$2:$J$16,TRIM($G2269))&gt;0,"LEFT OUT","NEW")))</f>
        <v/>
      </c>
    </row>
    <row r="2270" spans="47:47" x14ac:dyDescent="0.25">
      <c r="AU2270" s="8" t="str">
        <f>IF(TRIM($G2270)="","",IF(COUNTIF(LISTS!$I$2:$I$16,TRIM($G2270))&gt;0,"COUNTED",IF(COUNTIF(LISTS!$J$2:$J$16,TRIM($G2270))&gt;0,"LEFT OUT","NEW")))</f>
        <v/>
      </c>
    </row>
    <row r="2271" spans="47:47" x14ac:dyDescent="0.25">
      <c r="AU2271" s="8" t="str">
        <f>IF(TRIM($G2271)="","",IF(COUNTIF(LISTS!$I$2:$I$16,TRIM($G2271))&gt;0,"COUNTED",IF(COUNTIF(LISTS!$J$2:$J$16,TRIM($G2271))&gt;0,"LEFT OUT","NEW")))</f>
        <v/>
      </c>
    </row>
    <row r="2272" spans="47:47" x14ac:dyDescent="0.25">
      <c r="AU2272" s="8" t="str">
        <f>IF(TRIM($G2272)="","",IF(COUNTIF(LISTS!$I$2:$I$16,TRIM($G2272))&gt;0,"COUNTED",IF(COUNTIF(LISTS!$J$2:$J$16,TRIM($G2272))&gt;0,"LEFT OUT","NEW")))</f>
        <v/>
      </c>
    </row>
    <row r="2273" spans="47:47" x14ac:dyDescent="0.25">
      <c r="AU2273" s="8" t="str">
        <f>IF(TRIM($G2273)="","",IF(COUNTIF(LISTS!$I$2:$I$16,TRIM($G2273))&gt;0,"COUNTED",IF(COUNTIF(LISTS!$J$2:$J$16,TRIM($G2273))&gt;0,"LEFT OUT","NEW")))</f>
        <v/>
      </c>
    </row>
    <row r="2274" spans="47:47" x14ac:dyDescent="0.25">
      <c r="AU2274" s="8" t="str">
        <f>IF(TRIM($G2274)="","",IF(COUNTIF(LISTS!$I$2:$I$16,TRIM($G2274))&gt;0,"COUNTED",IF(COUNTIF(LISTS!$J$2:$J$16,TRIM($G2274))&gt;0,"LEFT OUT","NEW")))</f>
        <v/>
      </c>
    </row>
    <row r="2275" spans="47:47" x14ac:dyDescent="0.25">
      <c r="AU2275" s="8" t="str">
        <f>IF(TRIM($G2275)="","",IF(COUNTIF(LISTS!$I$2:$I$16,TRIM($G2275))&gt;0,"COUNTED",IF(COUNTIF(LISTS!$J$2:$J$16,TRIM($G2275))&gt;0,"LEFT OUT","NEW")))</f>
        <v/>
      </c>
    </row>
    <row r="2276" spans="47:47" x14ac:dyDescent="0.25">
      <c r="AU2276" s="8" t="str">
        <f>IF(TRIM($G2276)="","",IF(COUNTIF(LISTS!$I$2:$I$16,TRIM($G2276))&gt;0,"COUNTED",IF(COUNTIF(LISTS!$J$2:$J$16,TRIM($G2276))&gt;0,"LEFT OUT","NEW")))</f>
        <v/>
      </c>
    </row>
    <row r="2277" spans="47:47" x14ac:dyDescent="0.25">
      <c r="AU2277" s="8" t="str">
        <f>IF(TRIM($G2277)="","",IF(COUNTIF(LISTS!$I$2:$I$16,TRIM($G2277))&gt;0,"COUNTED",IF(COUNTIF(LISTS!$J$2:$J$16,TRIM($G2277))&gt;0,"LEFT OUT","NEW")))</f>
        <v/>
      </c>
    </row>
    <row r="2278" spans="47:47" x14ac:dyDescent="0.25">
      <c r="AU2278" s="8" t="str">
        <f>IF(TRIM($G2278)="","",IF(COUNTIF(LISTS!$I$2:$I$16,TRIM($G2278))&gt;0,"COUNTED",IF(COUNTIF(LISTS!$J$2:$J$16,TRIM($G2278))&gt;0,"LEFT OUT","NEW")))</f>
        <v/>
      </c>
    </row>
    <row r="2279" spans="47:47" x14ac:dyDescent="0.25">
      <c r="AU2279" s="8" t="str">
        <f>IF(TRIM($G2279)="","",IF(COUNTIF(LISTS!$I$2:$I$16,TRIM($G2279))&gt;0,"COUNTED",IF(COUNTIF(LISTS!$J$2:$J$16,TRIM($G2279))&gt;0,"LEFT OUT","NEW")))</f>
        <v/>
      </c>
    </row>
    <row r="2280" spans="47:47" x14ac:dyDescent="0.25">
      <c r="AU2280" s="8" t="str">
        <f>IF(TRIM($G2280)="","",IF(COUNTIF(LISTS!$I$2:$I$16,TRIM($G2280))&gt;0,"COUNTED",IF(COUNTIF(LISTS!$J$2:$J$16,TRIM($G2280))&gt;0,"LEFT OUT","NEW")))</f>
        <v/>
      </c>
    </row>
    <row r="2281" spans="47:47" x14ac:dyDescent="0.25">
      <c r="AU2281" s="8" t="str">
        <f>IF(TRIM($G2281)="","",IF(COUNTIF(LISTS!$I$2:$I$16,TRIM($G2281))&gt;0,"COUNTED",IF(COUNTIF(LISTS!$J$2:$J$16,TRIM($G2281))&gt;0,"LEFT OUT","NEW")))</f>
        <v/>
      </c>
    </row>
    <row r="2282" spans="47:47" x14ac:dyDescent="0.25">
      <c r="AU2282" s="8" t="str">
        <f>IF(TRIM($G2282)="","",IF(COUNTIF(LISTS!$I$2:$I$16,TRIM($G2282))&gt;0,"COUNTED",IF(COUNTIF(LISTS!$J$2:$J$16,TRIM($G2282))&gt;0,"LEFT OUT","NEW")))</f>
        <v/>
      </c>
    </row>
    <row r="2283" spans="47:47" x14ac:dyDescent="0.25">
      <c r="AU2283" s="8" t="str">
        <f>IF(TRIM($G2283)="","",IF(COUNTIF(LISTS!$I$2:$I$16,TRIM($G2283))&gt;0,"COUNTED",IF(COUNTIF(LISTS!$J$2:$J$16,TRIM($G2283))&gt;0,"LEFT OUT","NEW")))</f>
        <v/>
      </c>
    </row>
    <row r="2284" spans="47:47" x14ac:dyDescent="0.25">
      <c r="AU2284" s="8" t="str">
        <f>IF(TRIM($G2284)="","",IF(COUNTIF(LISTS!$I$2:$I$16,TRIM($G2284))&gt;0,"COUNTED",IF(COUNTIF(LISTS!$J$2:$J$16,TRIM($G2284))&gt;0,"LEFT OUT","NEW")))</f>
        <v/>
      </c>
    </row>
    <row r="2285" spans="47:47" x14ac:dyDescent="0.25">
      <c r="AU2285" s="8" t="str">
        <f>IF(TRIM($G2285)="","",IF(COUNTIF(LISTS!$I$2:$I$16,TRIM($G2285))&gt;0,"COUNTED",IF(COUNTIF(LISTS!$J$2:$J$16,TRIM($G2285))&gt;0,"LEFT OUT","NEW")))</f>
        <v/>
      </c>
    </row>
    <row r="2286" spans="47:47" x14ac:dyDescent="0.25">
      <c r="AU2286" s="8" t="str">
        <f>IF(TRIM($G2286)="","",IF(COUNTIF(LISTS!$I$2:$I$16,TRIM($G2286))&gt;0,"COUNTED",IF(COUNTIF(LISTS!$J$2:$J$16,TRIM($G2286))&gt;0,"LEFT OUT","NEW")))</f>
        <v/>
      </c>
    </row>
    <row r="2287" spans="47:47" x14ac:dyDescent="0.25">
      <c r="AU2287" s="8" t="str">
        <f>IF(TRIM($G2287)="","",IF(COUNTIF(LISTS!$I$2:$I$16,TRIM($G2287))&gt;0,"COUNTED",IF(COUNTIF(LISTS!$J$2:$J$16,TRIM($G2287))&gt;0,"LEFT OUT","NEW")))</f>
        <v/>
      </c>
    </row>
    <row r="2288" spans="47:47" x14ac:dyDescent="0.25">
      <c r="AU2288" s="8" t="str">
        <f>IF(TRIM($G2288)="","",IF(COUNTIF(LISTS!$I$2:$I$16,TRIM($G2288))&gt;0,"COUNTED",IF(COUNTIF(LISTS!$J$2:$J$16,TRIM($G2288))&gt;0,"LEFT OUT","NEW")))</f>
        <v/>
      </c>
    </row>
    <row r="2289" spans="47:47" x14ac:dyDescent="0.25">
      <c r="AU2289" s="8" t="str">
        <f>IF(TRIM($G2289)="","",IF(COUNTIF(LISTS!$I$2:$I$16,TRIM($G2289))&gt;0,"COUNTED",IF(COUNTIF(LISTS!$J$2:$J$16,TRIM($G2289))&gt;0,"LEFT OUT","NEW")))</f>
        <v/>
      </c>
    </row>
    <row r="2290" spans="47:47" x14ac:dyDescent="0.25">
      <c r="AU2290" s="8" t="str">
        <f>IF(TRIM($G2290)="","",IF(COUNTIF(LISTS!$I$2:$I$16,TRIM($G2290))&gt;0,"COUNTED",IF(COUNTIF(LISTS!$J$2:$J$16,TRIM($G2290))&gt;0,"LEFT OUT","NEW")))</f>
        <v/>
      </c>
    </row>
    <row r="2291" spans="47:47" x14ac:dyDescent="0.25">
      <c r="AU2291" s="8" t="str">
        <f>IF(TRIM($G2291)="","",IF(COUNTIF(LISTS!$I$2:$I$16,TRIM($G2291))&gt;0,"COUNTED",IF(COUNTIF(LISTS!$J$2:$J$16,TRIM($G2291))&gt;0,"LEFT OUT","NEW")))</f>
        <v/>
      </c>
    </row>
    <row r="2292" spans="47:47" x14ac:dyDescent="0.25">
      <c r="AU2292" s="8" t="str">
        <f>IF(TRIM($G2292)="","",IF(COUNTIF(LISTS!$I$2:$I$16,TRIM($G2292))&gt;0,"COUNTED",IF(COUNTIF(LISTS!$J$2:$J$16,TRIM($G2292))&gt;0,"LEFT OUT","NEW")))</f>
        <v/>
      </c>
    </row>
    <row r="2293" spans="47:47" x14ac:dyDescent="0.25">
      <c r="AU2293" s="8" t="str">
        <f>IF(TRIM($G2293)="","",IF(COUNTIF(LISTS!$I$2:$I$16,TRIM($G2293))&gt;0,"COUNTED",IF(COUNTIF(LISTS!$J$2:$J$16,TRIM($G2293))&gt;0,"LEFT OUT","NEW")))</f>
        <v/>
      </c>
    </row>
    <row r="2294" spans="47:47" x14ac:dyDescent="0.25">
      <c r="AU2294" s="8" t="str">
        <f>IF(TRIM($G2294)="","",IF(COUNTIF(LISTS!$I$2:$I$16,TRIM($G2294))&gt;0,"COUNTED",IF(COUNTIF(LISTS!$J$2:$J$16,TRIM($G2294))&gt;0,"LEFT OUT","NEW")))</f>
        <v/>
      </c>
    </row>
    <row r="2295" spans="47:47" x14ac:dyDescent="0.25">
      <c r="AU2295" s="8" t="str">
        <f>IF(TRIM($G2295)="","",IF(COUNTIF(LISTS!$I$2:$I$16,TRIM($G2295))&gt;0,"COUNTED",IF(COUNTIF(LISTS!$J$2:$J$16,TRIM($G2295))&gt;0,"LEFT OUT","NEW")))</f>
        <v/>
      </c>
    </row>
    <row r="2296" spans="47:47" x14ac:dyDescent="0.25">
      <c r="AU2296" s="8" t="str">
        <f>IF(TRIM($G2296)="","",IF(COUNTIF(LISTS!$I$2:$I$16,TRIM($G2296))&gt;0,"COUNTED",IF(COUNTIF(LISTS!$J$2:$J$16,TRIM($G2296))&gt;0,"LEFT OUT","NEW")))</f>
        <v/>
      </c>
    </row>
    <row r="2297" spans="47:47" x14ac:dyDescent="0.25">
      <c r="AU2297" s="8" t="str">
        <f>IF(TRIM($G2297)="","",IF(COUNTIF(LISTS!$I$2:$I$16,TRIM($G2297))&gt;0,"COUNTED",IF(COUNTIF(LISTS!$J$2:$J$16,TRIM($G2297))&gt;0,"LEFT OUT","NEW")))</f>
        <v/>
      </c>
    </row>
    <row r="2298" spans="47:47" x14ac:dyDescent="0.25">
      <c r="AU2298" s="8" t="str">
        <f>IF(TRIM($G2298)="","",IF(COUNTIF(LISTS!$I$2:$I$16,TRIM($G2298))&gt;0,"COUNTED",IF(COUNTIF(LISTS!$J$2:$J$16,TRIM($G2298))&gt;0,"LEFT OUT","NEW")))</f>
        <v/>
      </c>
    </row>
    <row r="2299" spans="47:47" x14ac:dyDescent="0.25">
      <c r="AU2299" s="8" t="str">
        <f>IF(TRIM($G2299)="","",IF(COUNTIF(LISTS!$I$2:$I$16,TRIM($G2299))&gt;0,"COUNTED",IF(COUNTIF(LISTS!$J$2:$J$16,TRIM($G2299))&gt;0,"LEFT OUT","NEW")))</f>
        <v/>
      </c>
    </row>
    <row r="2300" spans="47:47" x14ac:dyDescent="0.25">
      <c r="AU2300" s="8" t="str">
        <f>IF(TRIM($G2300)="","",IF(COUNTIF(LISTS!$I$2:$I$16,TRIM($G2300))&gt;0,"COUNTED",IF(COUNTIF(LISTS!$J$2:$J$16,TRIM($G2300))&gt;0,"LEFT OUT","NEW")))</f>
        <v/>
      </c>
    </row>
    <row r="2301" spans="47:47" x14ac:dyDescent="0.25">
      <c r="AU2301" s="8" t="str">
        <f>IF(TRIM($G2301)="","",IF(COUNTIF(LISTS!$I$2:$I$16,TRIM($G2301))&gt;0,"COUNTED",IF(COUNTIF(LISTS!$J$2:$J$16,TRIM($G2301))&gt;0,"LEFT OUT","NEW")))</f>
        <v/>
      </c>
    </row>
    <row r="2302" spans="47:47" x14ac:dyDescent="0.25">
      <c r="AU2302" s="8" t="str">
        <f>IF(TRIM($G2302)="","",IF(COUNTIF(LISTS!$I$2:$I$16,TRIM($G2302))&gt;0,"COUNTED",IF(COUNTIF(LISTS!$J$2:$J$16,TRIM($G2302))&gt;0,"LEFT OUT","NEW")))</f>
        <v/>
      </c>
    </row>
    <row r="2303" spans="47:47" x14ac:dyDescent="0.25">
      <c r="AU2303" s="8" t="str">
        <f>IF(TRIM($G2303)="","",IF(COUNTIF(LISTS!$I$2:$I$16,TRIM($G2303))&gt;0,"COUNTED",IF(COUNTIF(LISTS!$J$2:$J$16,TRIM($G2303))&gt;0,"LEFT OUT","NEW")))</f>
        <v/>
      </c>
    </row>
    <row r="2304" spans="47:47" x14ac:dyDescent="0.25">
      <c r="AU2304" s="8" t="str">
        <f>IF(TRIM($G2304)="","",IF(COUNTIF(LISTS!$I$2:$I$16,TRIM($G2304))&gt;0,"COUNTED",IF(COUNTIF(LISTS!$J$2:$J$16,TRIM($G2304))&gt;0,"LEFT OUT","NEW")))</f>
        <v/>
      </c>
    </row>
    <row r="2305" spans="47:47" x14ac:dyDescent="0.25">
      <c r="AU2305" s="8" t="str">
        <f>IF(TRIM($G2305)="","",IF(COUNTIF(LISTS!$I$2:$I$16,TRIM($G2305))&gt;0,"COUNTED",IF(COUNTIF(LISTS!$J$2:$J$16,TRIM($G2305))&gt;0,"LEFT OUT","NEW")))</f>
        <v/>
      </c>
    </row>
    <row r="2306" spans="47:47" x14ac:dyDescent="0.25">
      <c r="AU2306" s="8" t="str">
        <f>IF(TRIM($G2306)="","",IF(COUNTIF(LISTS!$I$2:$I$16,TRIM($G2306))&gt;0,"COUNTED",IF(COUNTIF(LISTS!$J$2:$J$16,TRIM($G2306))&gt;0,"LEFT OUT","NEW")))</f>
        <v/>
      </c>
    </row>
    <row r="2307" spans="47:47" x14ac:dyDescent="0.25">
      <c r="AU2307" s="8" t="str">
        <f>IF(TRIM($G2307)="","",IF(COUNTIF(LISTS!$I$2:$I$16,TRIM($G2307))&gt;0,"COUNTED",IF(COUNTIF(LISTS!$J$2:$J$16,TRIM($G2307))&gt;0,"LEFT OUT","NEW")))</f>
        <v/>
      </c>
    </row>
    <row r="2308" spans="47:47" x14ac:dyDescent="0.25">
      <c r="AU2308" s="8" t="str">
        <f>IF(TRIM($G2308)="","",IF(COUNTIF(LISTS!$I$2:$I$16,TRIM($G2308))&gt;0,"COUNTED",IF(COUNTIF(LISTS!$J$2:$J$16,TRIM($G2308))&gt;0,"LEFT OUT","NEW")))</f>
        <v/>
      </c>
    </row>
    <row r="2309" spans="47:47" x14ac:dyDescent="0.25">
      <c r="AU2309" s="8" t="str">
        <f>IF(TRIM($G2309)="","",IF(COUNTIF(LISTS!$I$2:$I$16,TRIM($G2309))&gt;0,"COUNTED",IF(COUNTIF(LISTS!$J$2:$J$16,TRIM($G2309))&gt;0,"LEFT OUT","NEW")))</f>
        <v/>
      </c>
    </row>
    <row r="2310" spans="47:47" x14ac:dyDescent="0.25">
      <c r="AU2310" s="8" t="str">
        <f>IF(TRIM($G2310)="","",IF(COUNTIF(LISTS!$I$2:$I$16,TRIM($G2310))&gt;0,"COUNTED",IF(COUNTIF(LISTS!$J$2:$J$16,TRIM($G2310))&gt;0,"LEFT OUT","NEW")))</f>
        <v/>
      </c>
    </row>
    <row r="2311" spans="47:47" x14ac:dyDescent="0.25">
      <c r="AU2311" s="8" t="str">
        <f>IF(TRIM($G2311)="","",IF(COUNTIF(LISTS!$I$2:$I$16,TRIM($G2311))&gt;0,"COUNTED",IF(COUNTIF(LISTS!$J$2:$J$16,TRIM($G2311))&gt;0,"LEFT OUT","NEW")))</f>
        <v/>
      </c>
    </row>
    <row r="2312" spans="47:47" x14ac:dyDescent="0.25">
      <c r="AU2312" s="8" t="str">
        <f>IF(TRIM($G2312)="","",IF(COUNTIF(LISTS!$I$2:$I$16,TRIM($G2312))&gt;0,"COUNTED",IF(COUNTIF(LISTS!$J$2:$J$16,TRIM($G2312))&gt;0,"LEFT OUT","NEW")))</f>
        <v/>
      </c>
    </row>
    <row r="2313" spans="47:47" x14ac:dyDescent="0.25">
      <c r="AU2313" s="8" t="str">
        <f>IF(TRIM($G2313)="","",IF(COUNTIF(LISTS!$I$2:$I$16,TRIM($G2313))&gt;0,"COUNTED",IF(COUNTIF(LISTS!$J$2:$J$16,TRIM($G2313))&gt;0,"LEFT OUT","NEW")))</f>
        <v/>
      </c>
    </row>
    <row r="2314" spans="47:47" x14ac:dyDescent="0.25">
      <c r="AU2314" s="8" t="str">
        <f>IF(TRIM($G2314)="","",IF(COUNTIF(LISTS!$I$2:$I$16,TRIM($G2314))&gt;0,"COUNTED",IF(COUNTIF(LISTS!$J$2:$J$16,TRIM($G2314))&gt;0,"LEFT OUT","NEW")))</f>
        <v/>
      </c>
    </row>
    <row r="2315" spans="47:47" x14ac:dyDescent="0.25">
      <c r="AU2315" s="8" t="str">
        <f>IF(TRIM($G2315)="","",IF(COUNTIF(LISTS!$I$2:$I$16,TRIM($G2315))&gt;0,"COUNTED",IF(COUNTIF(LISTS!$J$2:$J$16,TRIM($G2315))&gt;0,"LEFT OUT","NEW")))</f>
        <v/>
      </c>
    </row>
    <row r="2316" spans="47:47" x14ac:dyDescent="0.25">
      <c r="AU2316" s="8" t="str">
        <f>IF(TRIM($G2316)="","",IF(COUNTIF(LISTS!$I$2:$I$16,TRIM($G2316))&gt;0,"COUNTED",IF(COUNTIF(LISTS!$J$2:$J$16,TRIM($G2316))&gt;0,"LEFT OUT","NEW")))</f>
        <v/>
      </c>
    </row>
    <row r="2317" spans="47:47" x14ac:dyDescent="0.25">
      <c r="AU2317" s="8" t="str">
        <f>IF(TRIM($G2317)="","",IF(COUNTIF(LISTS!$I$2:$I$16,TRIM($G2317))&gt;0,"COUNTED",IF(COUNTIF(LISTS!$J$2:$J$16,TRIM($G2317))&gt;0,"LEFT OUT","NEW")))</f>
        <v/>
      </c>
    </row>
    <row r="2318" spans="47:47" x14ac:dyDescent="0.25">
      <c r="AU2318" s="8" t="str">
        <f>IF(TRIM($G2318)="","",IF(COUNTIF(LISTS!$I$2:$I$16,TRIM($G2318))&gt;0,"COUNTED",IF(COUNTIF(LISTS!$J$2:$J$16,TRIM($G2318))&gt;0,"LEFT OUT","NEW")))</f>
        <v/>
      </c>
    </row>
    <row r="2319" spans="47:47" x14ac:dyDescent="0.25">
      <c r="AU2319" s="8" t="str">
        <f>IF(TRIM($G2319)="","",IF(COUNTIF(LISTS!$I$2:$I$16,TRIM($G2319))&gt;0,"COUNTED",IF(COUNTIF(LISTS!$J$2:$J$16,TRIM($G2319))&gt;0,"LEFT OUT","NEW")))</f>
        <v/>
      </c>
    </row>
    <row r="2320" spans="47:47" x14ac:dyDescent="0.25">
      <c r="AU2320" s="8" t="str">
        <f>IF(TRIM($G2320)="","",IF(COUNTIF(LISTS!$I$2:$I$16,TRIM($G2320))&gt;0,"COUNTED",IF(COUNTIF(LISTS!$J$2:$J$16,TRIM($G2320))&gt;0,"LEFT OUT","NEW")))</f>
        <v/>
      </c>
    </row>
    <row r="2321" spans="47:47" x14ac:dyDescent="0.25">
      <c r="AU2321" s="8" t="str">
        <f>IF(TRIM($G2321)="","",IF(COUNTIF(LISTS!$I$2:$I$16,TRIM($G2321))&gt;0,"COUNTED",IF(COUNTIF(LISTS!$J$2:$J$16,TRIM($G2321))&gt;0,"LEFT OUT","NEW")))</f>
        <v/>
      </c>
    </row>
    <row r="2322" spans="47:47" x14ac:dyDescent="0.25">
      <c r="AU2322" s="8" t="str">
        <f>IF(TRIM($G2322)="","",IF(COUNTIF(LISTS!$I$2:$I$16,TRIM($G2322))&gt;0,"COUNTED",IF(COUNTIF(LISTS!$J$2:$J$16,TRIM($G2322))&gt;0,"LEFT OUT","NEW")))</f>
        <v/>
      </c>
    </row>
    <row r="2323" spans="47:47" x14ac:dyDescent="0.25">
      <c r="AU2323" s="8" t="str">
        <f>IF(TRIM($G2323)="","",IF(COUNTIF(LISTS!$I$2:$I$16,TRIM($G2323))&gt;0,"COUNTED",IF(COUNTIF(LISTS!$J$2:$J$16,TRIM($G2323))&gt;0,"LEFT OUT","NEW")))</f>
        <v/>
      </c>
    </row>
    <row r="2324" spans="47:47" x14ac:dyDescent="0.25">
      <c r="AU2324" s="8" t="str">
        <f>IF(TRIM($G2324)="","",IF(COUNTIF(LISTS!$I$2:$I$16,TRIM($G2324))&gt;0,"COUNTED",IF(COUNTIF(LISTS!$J$2:$J$16,TRIM($G2324))&gt;0,"LEFT OUT","NEW")))</f>
        <v/>
      </c>
    </row>
    <row r="2325" spans="47:47" x14ac:dyDescent="0.25">
      <c r="AU2325" s="8" t="str">
        <f>IF(TRIM($G2325)="","",IF(COUNTIF(LISTS!$I$2:$I$16,TRIM($G2325))&gt;0,"COUNTED",IF(COUNTIF(LISTS!$J$2:$J$16,TRIM($G2325))&gt;0,"LEFT OUT","NEW")))</f>
        <v/>
      </c>
    </row>
    <row r="2326" spans="47:47" x14ac:dyDescent="0.25">
      <c r="AU2326" s="8" t="str">
        <f>IF(TRIM($G2326)="","",IF(COUNTIF(LISTS!$I$2:$I$16,TRIM($G2326))&gt;0,"COUNTED",IF(COUNTIF(LISTS!$J$2:$J$16,TRIM($G2326))&gt;0,"LEFT OUT","NEW")))</f>
        <v/>
      </c>
    </row>
    <row r="2327" spans="47:47" x14ac:dyDescent="0.25">
      <c r="AU2327" s="8" t="str">
        <f>IF(TRIM($G2327)="","",IF(COUNTIF(LISTS!$I$2:$I$16,TRIM($G2327))&gt;0,"COUNTED",IF(COUNTIF(LISTS!$J$2:$J$16,TRIM($G2327))&gt;0,"LEFT OUT","NEW")))</f>
        <v/>
      </c>
    </row>
    <row r="2328" spans="47:47" x14ac:dyDescent="0.25">
      <c r="AU2328" s="8" t="str">
        <f>IF(TRIM($G2328)="","",IF(COUNTIF(LISTS!$I$2:$I$16,TRIM($G2328))&gt;0,"COUNTED",IF(COUNTIF(LISTS!$J$2:$J$16,TRIM($G2328))&gt;0,"LEFT OUT","NEW")))</f>
        <v/>
      </c>
    </row>
    <row r="2329" spans="47:47" x14ac:dyDescent="0.25">
      <c r="AU2329" s="8" t="str">
        <f>IF(TRIM($G2329)="","",IF(COUNTIF(LISTS!$I$2:$I$16,TRIM($G2329))&gt;0,"COUNTED",IF(COUNTIF(LISTS!$J$2:$J$16,TRIM($G2329))&gt;0,"LEFT OUT","NEW")))</f>
        <v/>
      </c>
    </row>
    <row r="2330" spans="47:47" x14ac:dyDescent="0.25">
      <c r="AU2330" s="8" t="str">
        <f>IF(TRIM($G2330)="","",IF(COUNTIF(LISTS!$I$2:$I$16,TRIM($G2330))&gt;0,"COUNTED",IF(COUNTIF(LISTS!$J$2:$J$16,TRIM($G2330))&gt;0,"LEFT OUT","NEW")))</f>
        <v/>
      </c>
    </row>
    <row r="2331" spans="47:47" x14ac:dyDescent="0.25">
      <c r="AU2331" s="8" t="str">
        <f>IF(TRIM($G2331)="","",IF(COUNTIF(LISTS!$I$2:$I$16,TRIM($G2331))&gt;0,"COUNTED",IF(COUNTIF(LISTS!$J$2:$J$16,TRIM($G2331))&gt;0,"LEFT OUT","NEW")))</f>
        <v/>
      </c>
    </row>
    <row r="2332" spans="47:47" x14ac:dyDescent="0.25">
      <c r="AU2332" s="8" t="str">
        <f>IF(TRIM($G2332)="","",IF(COUNTIF(LISTS!$I$2:$I$16,TRIM($G2332))&gt;0,"COUNTED",IF(COUNTIF(LISTS!$J$2:$J$16,TRIM($G2332))&gt;0,"LEFT OUT","NEW")))</f>
        <v/>
      </c>
    </row>
    <row r="2333" spans="47:47" x14ac:dyDescent="0.25">
      <c r="AU2333" s="8" t="str">
        <f>IF(TRIM($G2333)="","",IF(COUNTIF(LISTS!$I$2:$I$16,TRIM($G2333))&gt;0,"COUNTED",IF(COUNTIF(LISTS!$J$2:$J$16,TRIM($G2333))&gt;0,"LEFT OUT","NEW")))</f>
        <v/>
      </c>
    </row>
    <row r="2334" spans="47:47" x14ac:dyDescent="0.25">
      <c r="AU2334" s="8" t="str">
        <f>IF(TRIM($G2334)="","",IF(COUNTIF(LISTS!$I$2:$I$16,TRIM($G2334))&gt;0,"COUNTED",IF(COUNTIF(LISTS!$J$2:$J$16,TRIM($G2334))&gt;0,"LEFT OUT","NEW")))</f>
        <v/>
      </c>
    </row>
    <row r="2335" spans="47:47" x14ac:dyDescent="0.25">
      <c r="AU2335" s="8" t="str">
        <f>IF(TRIM($G2335)="","",IF(COUNTIF(LISTS!$I$2:$I$16,TRIM($G2335))&gt;0,"COUNTED",IF(COUNTIF(LISTS!$J$2:$J$16,TRIM($G2335))&gt;0,"LEFT OUT","NEW")))</f>
        <v/>
      </c>
    </row>
    <row r="2336" spans="47:47" x14ac:dyDescent="0.25">
      <c r="AU2336" s="8" t="str">
        <f>IF(TRIM($G2336)="","",IF(COUNTIF(LISTS!$I$2:$I$16,TRIM($G2336))&gt;0,"COUNTED",IF(COUNTIF(LISTS!$J$2:$J$16,TRIM($G2336))&gt;0,"LEFT OUT","NEW")))</f>
        <v/>
      </c>
    </row>
    <row r="2337" spans="47:47" x14ac:dyDescent="0.25">
      <c r="AU2337" s="8" t="str">
        <f>IF(TRIM($G2337)="","",IF(COUNTIF(LISTS!$I$2:$I$16,TRIM($G2337))&gt;0,"COUNTED",IF(COUNTIF(LISTS!$J$2:$J$16,TRIM($G2337))&gt;0,"LEFT OUT","NEW")))</f>
        <v/>
      </c>
    </row>
    <row r="2338" spans="47:47" x14ac:dyDescent="0.25">
      <c r="AU2338" s="8" t="str">
        <f>IF(TRIM($G2338)="","",IF(COUNTIF(LISTS!$I$2:$I$16,TRIM($G2338))&gt;0,"COUNTED",IF(COUNTIF(LISTS!$J$2:$J$16,TRIM($G2338))&gt;0,"LEFT OUT","NEW")))</f>
        <v/>
      </c>
    </row>
    <row r="2339" spans="47:47" x14ac:dyDescent="0.25">
      <c r="AU2339" s="8" t="str">
        <f>IF(TRIM($G2339)="","",IF(COUNTIF(LISTS!$I$2:$I$16,TRIM($G2339))&gt;0,"COUNTED",IF(COUNTIF(LISTS!$J$2:$J$16,TRIM($G2339))&gt;0,"LEFT OUT","NEW")))</f>
        <v/>
      </c>
    </row>
    <row r="2340" spans="47:47" x14ac:dyDescent="0.25">
      <c r="AU2340" s="8" t="str">
        <f>IF(TRIM($G2340)="","",IF(COUNTIF(LISTS!$I$2:$I$16,TRIM($G2340))&gt;0,"COUNTED",IF(COUNTIF(LISTS!$J$2:$J$16,TRIM($G2340))&gt;0,"LEFT OUT","NEW")))</f>
        <v/>
      </c>
    </row>
    <row r="2341" spans="47:47" x14ac:dyDescent="0.25">
      <c r="AU2341" s="8" t="str">
        <f>IF(TRIM($G2341)="","",IF(COUNTIF(LISTS!$I$2:$I$16,TRIM($G2341))&gt;0,"COUNTED",IF(COUNTIF(LISTS!$J$2:$J$16,TRIM($G2341))&gt;0,"LEFT OUT","NEW")))</f>
        <v/>
      </c>
    </row>
    <row r="2342" spans="47:47" x14ac:dyDescent="0.25">
      <c r="AU2342" s="8" t="str">
        <f>IF(TRIM($G2342)="","",IF(COUNTIF(LISTS!$I$2:$I$16,TRIM($G2342))&gt;0,"COUNTED",IF(COUNTIF(LISTS!$J$2:$J$16,TRIM($G2342))&gt;0,"LEFT OUT","NEW")))</f>
        <v/>
      </c>
    </row>
    <row r="2343" spans="47:47" x14ac:dyDescent="0.25">
      <c r="AU2343" s="8" t="str">
        <f>IF(TRIM($G2343)="","",IF(COUNTIF(LISTS!$I$2:$I$16,TRIM($G2343))&gt;0,"COUNTED",IF(COUNTIF(LISTS!$J$2:$J$16,TRIM($G2343))&gt;0,"LEFT OUT","NEW")))</f>
        <v/>
      </c>
    </row>
    <row r="2344" spans="47:47" x14ac:dyDescent="0.25">
      <c r="AU2344" s="8" t="str">
        <f>IF(TRIM($G2344)="","",IF(COUNTIF(LISTS!$I$2:$I$16,TRIM($G2344))&gt;0,"COUNTED",IF(COUNTIF(LISTS!$J$2:$J$16,TRIM($G2344))&gt;0,"LEFT OUT","NEW")))</f>
        <v/>
      </c>
    </row>
    <row r="2345" spans="47:47" x14ac:dyDescent="0.25">
      <c r="AU2345" s="8" t="str">
        <f>IF(TRIM($G2345)="","",IF(COUNTIF(LISTS!$I$2:$I$16,TRIM($G2345))&gt;0,"COUNTED",IF(COUNTIF(LISTS!$J$2:$J$16,TRIM($G2345))&gt;0,"LEFT OUT","NEW")))</f>
        <v/>
      </c>
    </row>
    <row r="2346" spans="47:47" x14ac:dyDescent="0.25">
      <c r="AU2346" s="8" t="str">
        <f>IF(TRIM($G2346)="","",IF(COUNTIF(LISTS!$I$2:$I$16,TRIM($G2346))&gt;0,"COUNTED",IF(COUNTIF(LISTS!$J$2:$J$16,TRIM($G2346))&gt;0,"LEFT OUT","NEW")))</f>
        <v/>
      </c>
    </row>
    <row r="2347" spans="47:47" x14ac:dyDescent="0.25">
      <c r="AU2347" s="8" t="str">
        <f>IF(TRIM($G2347)="","",IF(COUNTIF(LISTS!$I$2:$I$16,TRIM($G2347))&gt;0,"COUNTED",IF(COUNTIF(LISTS!$J$2:$J$16,TRIM($G2347))&gt;0,"LEFT OUT","NEW")))</f>
        <v/>
      </c>
    </row>
    <row r="2348" spans="47:47" x14ac:dyDescent="0.25">
      <c r="AU2348" s="8" t="str">
        <f>IF(TRIM($G2348)="","",IF(COUNTIF(LISTS!$I$2:$I$16,TRIM($G2348))&gt;0,"COUNTED",IF(COUNTIF(LISTS!$J$2:$J$16,TRIM($G2348))&gt;0,"LEFT OUT","NEW")))</f>
        <v/>
      </c>
    </row>
    <row r="2349" spans="47:47" x14ac:dyDescent="0.25">
      <c r="AU2349" s="8" t="str">
        <f>IF(TRIM($G2349)="","",IF(COUNTIF(LISTS!$I$2:$I$16,TRIM($G2349))&gt;0,"COUNTED",IF(COUNTIF(LISTS!$J$2:$J$16,TRIM($G2349))&gt;0,"LEFT OUT","NEW")))</f>
        <v/>
      </c>
    </row>
    <row r="2350" spans="47:47" x14ac:dyDescent="0.25">
      <c r="AU2350" s="8" t="str">
        <f>IF(TRIM($G2350)="","",IF(COUNTIF(LISTS!$I$2:$I$16,TRIM($G2350))&gt;0,"COUNTED",IF(COUNTIF(LISTS!$J$2:$J$16,TRIM($G2350))&gt;0,"LEFT OUT","NEW")))</f>
        <v/>
      </c>
    </row>
    <row r="2351" spans="47:47" x14ac:dyDescent="0.25">
      <c r="AU2351" s="8" t="str">
        <f>IF(TRIM($G2351)="","",IF(COUNTIF(LISTS!$I$2:$I$16,TRIM($G2351))&gt;0,"COUNTED",IF(COUNTIF(LISTS!$J$2:$J$16,TRIM($G2351))&gt;0,"LEFT OUT","NEW")))</f>
        <v/>
      </c>
    </row>
    <row r="2352" spans="47:47" x14ac:dyDescent="0.25">
      <c r="AU2352" s="8" t="str">
        <f>IF(TRIM($G2352)="","",IF(COUNTIF(LISTS!$I$2:$I$16,TRIM($G2352))&gt;0,"COUNTED",IF(COUNTIF(LISTS!$J$2:$J$16,TRIM($G2352))&gt;0,"LEFT OUT","NEW")))</f>
        <v/>
      </c>
    </row>
    <row r="2353" spans="47:47" x14ac:dyDescent="0.25">
      <c r="AU2353" s="8" t="str">
        <f>IF(TRIM($G2353)="","",IF(COUNTIF(LISTS!$I$2:$I$16,TRIM($G2353))&gt;0,"COUNTED",IF(COUNTIF(LISTS!$J$2:$J$16,TRIM($G2353))&gt;0,"LEFT OUT","NEW")))</f>
        <v/>
      </c>
    </row>
    <row r="2354" spans="47:47" x14ac:dyDescent="0.25">
      <c r="AU2354" s="8" t="str">
        <f>IF(TRIM($G2354)="","",IF(COUNTIF(LISTS!$I$2:$I$16,TRIM($G2354))&gt;0,"COUNTED",IF(COUNTIF(LISTS!$J$2:$J$16,TRIM($G2354))&gt;0,"LEFT OUT","NEW")))</f>
        <v/>
      </c>
    </row>
    <row r="2355" spans="47:47" x14ac:dyDescent="0.25">
      <c r="AU2355" s="8" t="str">
        <f>IF(TRIM($G2355)="","",IF(COUNTIF(LISTS!$I$2:$I$16,TRIM($G2355))&gt;0,"COUNTED",IF(COUNTIF(LISTS!$J$2:$J$16,TRIM($G2355))&gt;0,"LEFT OUT","NEW")))</f>
        <v/>
      </c>
    </row>
    <row r="2356" spans="47:47" x14ac:dyDescent="0.25">
      <c r="AU2356" s="8" t="str">
        <f>IF(TRIM($G2356)="","",IF(COUNTIF(LISTS!$I$2:$I$16,TRIM($G2356))&gt;0,"COUNTED",IF(COUNTIF(LISTS!$J$2:$J$16,TRIM($G2356))&gt;0,"LEFT OUT","NEW")))</f>
        <v/>
      </c>
    </row>
    <row r="2357" spans="47:47" x14ac:dyDescent="0.25">
      <c r="AU2357" s="8" t="str">
        <f>IF(TRIM($G2357)="","",IF(COUNTIF(LISTS!$I$2:$I$16,TRIM($G2357))&gt;0,"COUNTED",IF(COUNTIF(LISTS!$J$2:$J$16,TRIM($G2357))&gt;0,"LEFT OUT","NEW")))</f>
        <v/>
      </c>
    </row>
    <row r="2358" spans="47:47" x14ac:dyDescent="0.25">
      <c r="AU2358" s="8" t="str">
        <f>IF(TRIM($G2358)="","",IF(COUNTIF(LISTS!$I$2:$I$16,TRIM($G2358))&gt;0,"COUNTED",IF(COUNTIF(LISTS!$J$2:$J$16,TRIM($G2358))&gt;0,"LEFT OUT","NEW")))</f>
        <v/>
      </c>
    </row>
    <row r="2359" spans="47:47" x14ac:dyDescent="0.25">
      <c r="AU2359" s="8" t="str">
        <f>IF(TRIM($G2359)="","",IF(COUNTIF(LISTS!$I$2:$I$16,TRIM($G2359))&gt;0,"COUNTED",IF(COUNTIF(LISTS!$J$2:$J$16,TRIM($G2359))&gt;0,"LEFT OUT","NEW")))</f>
        <v/>
      </c>
    </row>
    <row r="2360" spans="47:47" x14ac:dyDescent="0.25">
      <c r="AU2360" s="8" t="str">
        <f>IF(TRIM($G2360)="","",IF(COUNTIF(LISTS!$I$2:$I$16,TRIM($G2360))&gt;0,"COUNTED",IF(COUNTIF(LISTS!$J$2:$J$16,TRIM($G2360))&gt;0,"LEFT OUT","NEW")))</f>
        <v/>
      </c>
    </row>
    <row r="2361" spans="47:47" x14ac:dyDescent="0.25">
      <c r="AU2361" s="8" t="str">
        <f>IF(TRIM($G2361)="","",IF(COUNTIF(LISTS!$I$2:$I$16,TRIM($G2361))&gt;0,"COUNTED",IF(COUNTIF(LISTS!$J$2:$J$16,TRIM($G2361))&gt;0,"LEFT OUT","NEW")))</f>
        <v/>
      </c>
    </row>
    <row r="2362" spans="47:47" x14ac:dyDescent="0.25">
      <c r="AU2362" s="8" t="str">
        <f>IF(TRIM($G2362)="","",IF(COUNTIF(LISTS!$I$2:$I$16,TRIM($G2362))&gt;0,"COUNTED",IF(COUNTIF(LISTS!$J$2:$J$16,TRIM($G2362))&gt;0,"LEFT OUT","NEW")))</f>
        <v/>
      </c>
    </row>
    <row r="2363" spans="47:47" x14ac:dyDescent="0.25">
      <c r="AU2363" s="8" t="str">
        <f>IF(TRIM($G2363)="","",IF(COUNTIF(LISTS!$I$2:$I$16,TRIM($G2363))&gt;0,"COUNTED",IF(COUNTIF(LISTS!$J$2:$J$16,TRIM($G2363))&gt;0,"LEFT OUT","NEW")))</f>
        <v/>
      </c>
    </row>
    <row r="2364" spans="47:47" x14ac:dyDescent="0.25">
      <c r="AU2364" s="8" t="str">
        <f>IF(TRIM($G2364)="","",IF(COUNTIF(LISTS!$I$2:$I$16,TRIM($G2364))&gt;0,"COUNTED",IF(COUNTIF(LISTS!$J$2:$J$16,TRIM($G2364))&gt;0,"LEFT OUT","NEW")))</f>
        <v/>
      </c>
    </row>
    <row r="2365" spans="47:47" x14ac:dyDescent="0.25">
      <c r="AU2365" s="8" t="str">
        <f>IF(TRIM($G2365)="","",IF(COUNTIF(LISTS!$I$2:$I$16,TRIM($G2365))&gt;0,"COUNTED",IF(COUNTIF(LISTS!$J$2:$J$16,TRIM($G2365))&gt;0,"LEFT OUT","NEW")))</f>
        <v/>
      </c>
    </row>
    <row r="2366" spans="47:47" x14ac:dyDescent="0.25">
      <c r="AU2366" s="8" t="str">
        <f>IF(TRIM($G2366)="","",IF(COUNTIF(LISTS!$I$2:$I$16,TRIM($G2366))&gt;0,"COUNTED",IF(COUNTIF(LISTS!$J$2:$J$16,TRIM($G2366))&gt;0,"LEFT OUT","NEW")))</f>
        <v/>
      </c>
    </row>
    <row r="2367" spans="47:47" x14ac:dyDescent="0.25">
      <c r="AU2367" s="8" t="str">
        <f>IF(TRIM($G2367)="","",IF(COUNTIF(LISTS!$I$2:$I$16,TRIM($G2367))&gt;0,"COUNTED",IF(COUNTIF(LISTS!$J$2:$J$16,TRIM($G2367))&gt;0,"LEFT OUT","NEW")))</f>
        <v/>
      </c>
    </row>
    <row r="2368" spans="47:47" x14ac:dyDescent="0.25">
      <c r="AU2368" s="8" t="str">
        <f>IF(TRIM($G2368)="","",IF(COUNTIF(LISTS!$I$2:$I$16,TRIM($G2368))&gt;0,"COUNTED",IF(COUNTIF(LISTS!$J$2:$J$16,TRIM($G2368))&gt;0,"LEFT OUT","NEW")))</f>
        <v/>
      </c>
    </row>
    <row r="2369" spans="47:47" x14ac:dyDescent="0.25">
      <c r="AU2369" s="8" t="str">
        <f>IF(TRIM($G2369)="","",IF(COUNTIF(LISTS!$I$2:$I$16,TRIM($G2369))&gt;0,"COUNTED",IF(COUNTIF(LISTS!$J$2:$J$16,TRIM($G2369))&gt;0,"LEFT OUT","NEW")))</f>
        <v/>
      </c>
    </row>
    <row r="2370" spans="47:47" x14ac:dyDescent="0.25">
      <c r="AU2370" s="8" t="str">
        <f>IF(TRIM($G2370)="","",IF(COUNTIF(LISTS!$I$2:$I$16,TRIM($G2370))&gt;0,"COUNTED",IF(COUNTIF(LISTS!$J$2:$J$16,TRIM($G2370))&gt;0,"LEFT OUT","NEW")))</f>
        <v/>
      </c>
    </row>
    <row r="2371" spans="47:47" x14ac:dyDescent="0.25">
      <c r="AU2371" s="8" t="str">
        <f>IF(TRIM($G2371)="","",IF(COUNTIF(LISTS!$I$2:$I$16,TRIM($G2371))&gt;0,"COUNTED",IF(COUNTIF(LISTS!$J$2:$J$16,TRIM($G2371))&gt;0,"LEFT OUT","NEW")))</f>
        <v/>
      </c>
    </row>
    <row r="2372" spans="47:47" x14ac:dyDescent="0.25">
      <c r="AU2372" s="8" t="str">
        <f>IF(TRIM($G2372)="","",IF(COUNTIF(LISTS!$I$2:$I$16,TRIM($G2372))&gt;0,"COUNTED",IF(COUNTIF(LISTS!$J$2:$J$16,TRIM($G2372))&gt;0,"LEFT OUT","NEW")))</f>
        <v/>
      </c>
    </row>
    <row r="2373" spans="47:47" x14ac:dyDescent="0.25">
      <c r="AU2373" s="8" t="str">
        <f>IF(TRIM($G2373)="","",IF(COUNTIF(LISTS!$I$2:$I$16,TRIM($G2373))&gt;0,"COUNTED",IF(COUNTIF(LISTS!$J$2:$J$16,TRIM($G2373))&gt;0,"LEFT OUT","NEW")))</f>
        <v/>
      </c>
    </row>
    <row r="2374" spans="47:47" x14ac:dyDescent="0.25">
      <c r="AU2374" s="8" t="str">
        <f>IF(TRIM($G2374)="","",IF(COUNTIF(LISTS!$I$2:$I$16,TRIM($G2374))&gt;0,"COUNTED",IF(COUNTIF(LISTS!$J$2:$J$16,TRIM($G2374))&gt;0,"LEFT OUT","NEW")))</f>
        <v/>
      </c>
    </row>
    <row r="2375" spans="47:47" x14ac:dyDescent="0.25">
      <c r="AU2375" s="8" t="str">
        <f>IF(TRIM($G2375)="","",IF(COUNTIF(LISTS!$I$2:$I$16,TRIM($G2375))&gt;0,"COUNTED",IF(COUNTIF(LISTS!$J$2:$J$16,TRIM($G2375))&gt;0,"LEFT OUT","NEW")))</f>
        <v/>
      </c>
    </row>
    <row r="2376" spans="47:47" x14ac:dyDescent="0.25">
      <c r="AU2376" s="8" t="str">
        <f>IF(TRIM($G2376)="","",IF(COUNTIF(LISTS!$I$2:$I$16,TRIM($G2376))&gt;0,"COUNTED",IF(COUNTIF(LISTS!$J$2:$J$16,TRIM($G2376))&gt;0,"LEFT OUT","NEW")))</f>
        <v/>
      </c>
    </row>
    <row r="2377" spans="47:47" x14ac:dyDescent="0.25">
      <c r="AU2377" s="8" t="str">
        <f>IF(TRIM($G2377)="","",IF(COUNTIF(LISTS!$I$2:$I$16,TRIM($G2377))&gt;0,"COUNTED",IF(COUNTIF(LISTS!$J$2:$J$16,TRIM($G2377))&gt;0,"LEFT OUT","NEW")))</f>
        <v/>
      </c>
    </row>
    <row r="2378" spans="47:47" x14ac:dyDescent="0.25">
      <c r="AU2378" s="8" t="str">
        <f>IF(TRIM($G2378)="","",IF(COUNTIF(LISTS!$I$2:$I$16,TRIM($G2378))&gt;0,"COUNTED",IF(COUNTIF(LISTS!$J$2:$J$16,TRIM($G2378))&gt;0,"LEFT OUT","NEW")))</f>
        <v/>
      </c>
    </row>
    <row r="2379" spans="47:47" x14ac:dyDescent="0.25">
      <c r="AU2379" s="8" t="str">
        <f>IF(TRIM($G2379)="","",IF(COUNTIF(LISTS!$I$2:$I$16,TRIM($G2379))&gt;0,"COUNTED",IF(COUNTIF(LISTS!$J$2:$J$16,TRIM($G2379))&gt;0,"LEFT OUT","NEW")))</f>
        <v/>
      </c>
    </row>
    <row r="2380" spans="47:47" x14ac:dyDescent="0.25">
      <c r="AU2380" s="8" t="str">
        <f>IF(TRIM($G2380)="","",IF(COUNTIF(LISTS!$I$2:$I$16,TRIM($G2380))&gt;0,"COUNTED",IF(COUNTIF(LISTS!$J$2:$J$16,TRIM($G2380))&gt;0,"LEFT OUT","NEW")))</f>
        <v/>
      </c>
    </row>
    <row r="2381" spans="47:47" x14ac:dyDescent="0.25">
      <c r="AU2381" s="8" t="str">
        <f>IF(TRIM($G2381)="","",IF(COUNTIF(LISTS!$I$2:$I$16,TRIM($G2381))&gt;0,"COUNTED",IF(COUNTIF(LISTS!$J$2:$J$16,TRIM($G2381))&gt;0,"LEFT OUT","NEW")))</f>
        <v/>
      </c>
    </row>
    <row r="2382" spans="47:47" x14ac:dyDescent="0.25">
      <c r="AU2382" s="8" t="str">
        <f>IF(TRIM($G2382)="","",IF(COUNTIF(LISTS!$I$2:$I$16,TRIM($G2382))&gt;0,"COUNTED",IF(COUNTIF(LISTS!$J$2:$J$16,TRIM($G2382))&gt;0,"LEFT OUT","NEW")))</f>
        <v/>
      </c>
    </row>
    <row r="2383" spans="47:47" x14ac:dyDescent="0.25">
      <c r="AU2383" s="8" t="str">
        <f>IF(TRIM($G2383)="","",IF(COUNTIF(LISTS!$I$2:$I$16,TRIM($G2383))&gt;0,"COUNTED",IF(COUNTIF(LISTS!$J$2:$J$16,TRIM($G2383))&gt;0,"LEFT OUT","NEW")))</f>
        <v/>
      </c>
    </row>
    <row r="2384" spans="47:47" x14ac:dyDescent="0.25">
      <c r="AU2384" s="8" t="str">
        <f>IF(TRIM($G2384)="","",IF(COUNTIF(LISTS!$I$2:$I$16,TRIM($G2384))&gt;0,"COUNTED",IF(COUNTIF(LISTS!$J$2:$J$16,TRIM($G2384))&gt;0,"LEFT OUT","NEW")))</f>
        <v/>
      </c>
    </row>
    <row r="2385" spans="47:47" x14ac:dyDescent="0.25">
      <c r="AU2385" s="8" t="str">
        <f>IF(TRIM($G2385)="","",IF(COUNTIF(LISTS!$I$2:$I$16,TRIM($G2385))&gt;0,"COUNTED",IF(COUNTIF(LISTS!$J$2:$J$16,TRIM($G2385))&gt;0,"LEFT OUT","NEW")))</f>
        <v/>
      </c>
    </row>
    <row r="2386" spans="47:47" x14ac:dyDescent="0.25">
      <c r="AU2386" s="8" t="str">
        <f>IF(TRIM($G2386)="","",IF(COUNTIF(LISTS!$I$2:$I$16,TRIM($G2386))&gt;0,"COUNTED",IF(COUNTIF(LISTS!$J$2:$J$16,TRIM($G2386))&gt;0,"LEFT OUT","NEW")))</f>
        <v/>
      </c>
    </row>
    <row r="2387" spans="47:47" x14ac:dyDescent="0.25">
      <c r="AU2387" s="8" t="str">
        <f>IF(TRIM($G2387)="","",IF(COUNTIF(LISTS!$I$2:$I$16,TRIM($G2387))&gt;0,"COUNTED",IF(COUNTIF(LISTS!$J$2:$J$16,TRIM($G2387))&gt;0,"LEFT OUT","NEW")))</f>
        <v/>
      </c>
    </row>
    <row r="2388" spans="47:47" x14ac:dyDescent="0.25">
      <c r="AU2388" s="8" t="str">
        <f>IF(TRIM($G2388)="","",IF(COUNTIF(LISTS!$I$2:$I$16,TRIM($G2388))&gt;0,"COUNTED",IF(COUNTIF(LISTS!$J$2:$J$16,TRIM($G2388))&gt;0,"LEFT OUT","NEW")))</f>
        <v/>
      </c>
    </row>
    <row r="2389" spans="47:47" x14ac:dyDescent="0.25">
      <c r="AU2389" s="8" t="str">
        <f>IF(TRIM($G2389)="","",IF(COUNTIF(LISTS!$I$2:$I$16,TRIM($G2389))&gt;0,"COUNTED",IF(COUNTIF(LISTS!$J$2:$J$16,TRIM($G2389))&gt;0,"LEFT OUT","NEW")))</f>
        <v/>
      </c>
    </row>
    <row r="2390" spans="47:47" x14ac:dyDescent="0.25">
      <c r="AU2390" s="8" t="str">
        <f>IF(TRIM($G2390)="","",IF(COUNTIF(LISTS!$I$2:$I$16,TRIM($G2390))&gt;0,"COUNTED",IF(COUNTIF(LISTS!$J$2:$J$16,TRIM($G2390))&gt;0,"LEFT OUT","NEW")))</f>
        <v/>
      </c>
    </row>
    <row r="2391" spans="47:47" x14ac:dyDescent="0.25">
      <c r="AU2391" s="8" t="str">
        <f>IF(TRIM($G2391)="","",IF(COUNTIF(LISTS!$I$2:$I$16,TRIM($G2391))&gt;0,"COUNTED",IF(COUNTIF(LISTS!$J$2:$J$16,TRIM($G2391))&gt;0,"LEFT OUT","NEW")))</f>
        <v/>
      </c>
    </row>
    <row r="2392" spans="47:47" x14ac:dyDescent="0.25">
      <c r="AU2392" s="8" t="str">
        <f>IF(TRIM($G2392)="","",IF(COUNTIF(LISTS!$I$2:$I$16,TRIM($G2392))&gt;0,"COUNTED",IF(COUNTIF(LISTS!$J$2:$J$16,TRIM($G2392))&gt;0,"LEFT OUT","NEW")))</f>
        <v/>
      </c>
    </row>
    <row r="2393" spans="47:47" x14ac:dyDescent="0.25">
      <c r="AU2393" s="8" t="str">
        <f>IF(TRIM($G2393)="","",IF(COUNTIF(LISTS!$I$2:$I$16,TRIM($G2393))&gt;0,"COUNTED",IF(COUNTIF(LISTS!$J$2:$J$16,TRIM($G2393))&gt;0,"LEFT OUT","NEW")))</f>
        <v/>
      </c>
    </row>
    <row r="2394" spans="47:47" x14ac:dyDescent="0.25">
      <c r="AU2394" s="8" t="str">
        <f>IF(TRIM($G2394)="","",IF(COUNTIF(LISTS!$I$2:$I$16,TRIM($G2394))&gt;0,"COUNTED",IF(COUNTIF(LISTS!$J$2:$J$16,TRIM($G2394))&gt;0,"LEFT OUT","NEW")))</f>
        <v/>
      </c>
    </row>
    <row r="2395" spans="47:47" x14ac:dyDescent="0.25">
      <c r="AU2395" s="8" t="str">
        <f>IF(TRIM($G2395)="","",IF(COUNTIF(LISTS!$I$2:$I$16,TRIM($G2395))&gt;0,"COUNTED",IF(COUNTIF(LISTS!$J$2:$J$16,TRIM($G2395))&gt;0,"LEFT OUT","NEW")))</f>
        <v/>
      </c>
    </row>
    <row r="2396" spans="47:47" x14ac:dyDescent="0.25">
      <c r="AU2396" s="8" t="str">
        <f>IF(TRIM($G2396)="","",IF(COUNTIF(LISTS!$I$2:$I$16,TRIM($G2396))&gt;0,"COUNTED",IF(COUNTIF(LISTS!$J$2:$J$16,TRIM($G2396))&gt;0,"LEFT OUT","NEW")))</f>
        <v/>
      </c>
    </row>
    <row r="2397" spans="47:47" x14ac:dyDescent="0.25">
      <c r="AU2397" s="8" t="str">
        <f>IF(TRIM($G2397)="","",IF(COUNTIF(LISTS!$I$2:$I$16,TRIM($G2397))&gt;0,"COUNTED",IF(COUNTIF(LISTS!$J$2:$J$16,TRIM($G2397))&gt;0,"LEFT OUT","NEW")))</f>
        <v/>
      </c>
    </row>
    <row r="2398" spans="47:47" x14ac:dyDescent="0.25">
      <c r="AU2398" s="8" t="str">
        <f>IF(TRIM($G2398)="","",IF(COUNTIF(LISTS!$I$2:$I$16,TRIM($G2398))&gt;0,"COUNTED",IF(COUNTIF(LISTS!$J$2:$J$16,TRIM($G2398))&gt;0,"LEFT OUT","NEW")))</f>
        <v/>
      </c>
    </row>
    <row r="2399" spans="47:47" x14ac:dyDescent="0.25">
      <c r="AU2399" s="8" t="str">
        <f>IF(TRIM($G2399)="","",IF(COUNTIF(LISTS!$I$2:$I$16,TRIM($G2399))&gt;0,"COUNTED",IF(COUNTIF(LISTS!$J$2:$J$16,TRIM($G2399))&gt;0,"LEFT OUT","NEW")))</f>
        <v/>
      </c>
    </row>
    <row r="2400" spans="47:47" x14ac:dyDescent="0.25">
      <c r="AU2400" s="8" t="str">
        <f>IF(TRIM($G2400)="","",IF(COUNTIF(LISTS!$I$2:$I$16,TRIM($G2400))&gt;0,"COUNTED",IF(COUNTIF(LISTS!$J$2:$J$16,TRIM($G2400))&gt;0,"LEFT OUT","NEW")))</f>
        <v/>
      </c>
    </row>
    <row r="2401" spans="47:47" x14ac:dyDescent="0.25">
      <c r="AU2401" s="8" t="str">
        <f>IF(TRIM($G2401)="","",IF(COUNTIF(LISTS!$I$2:$I$16,TRIM($G2401))&gt;0,"COUNTED",IF(COUNTIF(LISTS!$J$2:$J$16,TRIM($G2401))&gt;0,"LEFT OUT","NEW")))</f>
        <v/>
      </c>
    </row>
    <row r="2402" spans="47:47" x14ac:dyDescent="0.25">
      <c r="AU2402" s="8" t="str">
        <f>IF(TRIM($G2402)="","",IF(COUNTIF(LISTS!$I$2:$I$16,TRIM($G2402))&gt;0,"COUNTED",IF(COUNTIF(LISTS!$J$2:$J$16,TRIM($G2402))&gt;0,"LEFT OUT","NEW")))</f>
        <v/>
      </c>
    </row>
    <row r="2403" spans="47:47" x14ac:dyDescent="0.25">
      <c r="AU2403" s="8" t="str">
        <f>IF(TRIM($G2403)="","",IF(COUNTIF(LISTS!$I$2:$I$16,TRIM($G2403))&gt;0,"COUNTED",IF(COUNTIF(LISTS!$J$2:$J$16,TRIM($G2403))&gt;0,"LEFT OUT","NEW")))</f>
        <v/>
      </c>
    </row>
    <row r="2404" spans="47:47" x14ac:dyDescent="0.25">
      <c r="AU2404" s="8" t="str">
        <f>IF(TRIM($G2404)="","",IF(COUNTIF(LISTS!$I$2:$I$16,TRIM($G2404))&gt;0,"COUNTED",IF(COUNTIF(LISTS!$J$2:$J$16,TRIM($G2404))&gt;0,"LEFT OUT","NEW")))</f>
        <v/>
      </c>
    </row>
    <row r="2405" spans="47:47" x14ac:dyDescent="0.25">
      <c r="AU2405" s="8" t="str">
        <f>IF(TRIM($G2405)="","",IF(COUNTIF(LISTS!$I$2:$I$16,TRIM($G2405))&gt;0,"COUNTED",IF(COUNTIF(LISTS!$J$2:$J$16,TRIM($G2405))&gt;0,"LEFT OUT","NEW")))</f>
        <v/>
      </c>
    </row>
    <row r="2406" spans="47:47" x14ac:dyDescent="0.25">
      <c r="AU2406" s="8" t="str">
        <f>IF(TRIM($G2406)="","",IF(COUNTIF(LISTS!$I$2:$I$16,TRIM($G2406))&gt;0,"COUNTED",IF(COUNTIF(LISTS!$J$2:$J$16,TRIM($G2406))&gt;0,"LEFT OUT","NEW")))</f>
        <v/>
      </c>
    </row>
    <row r="2407" spans="47:47" x14ac:dyDescent="0.25">
      <c r="AU2407" s="8" t="str">
        <f>IF(TRIM($G2407)="","",IF(COUNTIF(LISTS!$I$2:$I$16,TRIM($G2407))&gt;0,"COUNTED",IF(COUNTIF(LISTS!$J$2:$J$16,TRIM($G2407))&gt;0,"LEFT OUT","NEW")))</f>
        <v/>
      </c>
    </row>
    <row r="2408" spans="47:47" x14ac:dyDescent="0.25">
      <c r="AU2408" s="8" t="str">
        <f>IF(TRIM($G2408)="","",IF(COUNTIF(LISTS!$I$2:$I$16,TRIM($G2408))&gt;0,"COUNTED",IF(COUNTIF(LISTS!$J$2:$J$16,TRIM($G2408))&gt;0,"LEFT OUT","NEW")))</f>
        <v/>
      </c>
    </row>
    <row r="2409" spans="47:47" x14ac:dyDescent="0.25">
      <c r="AU2409" s="8" t="str">
        <f>IF(TRIM($G2409)="","",IF(COUNTIF(LISTS!$I$2:$I$16,TRIM($G2409))&gt;0,"COUNTED",IF(COUNTIF(LISTS!$J$2:$J$16,TRIM($G2409))&gt;0,"LEFT OUT","NEW")))</f>
        <v/>
      </c>
    </row>
    <row r="2410" spans="47:47" x14ac:dyDescent="0.25">
      <c r="AU2410" s="8" t="str">
        <f>IF(TRIM($G2410)="","",IF(COUNTIF(LISTS!$I$2:$I$16,TRIM($G2410))&gt;0,"COUNTED",IF(COUNTIF(LISTS!$J$2:$J$16,TRIM($G2410))&gt;0,"LEFT OUT","NEW")))</f>
        <v/>
      </c>
    </row>
    <row r="2411" spans="47:47" x14ac:dyDescent="0.25">
      <c r="AU2411" s="8" t="str">
        <f>IF(TRIM($G2411)="","",IF(COUNTIF(LISTS!$I$2:$I$16,TRIM($G2411))&gt;0,"COUNTED",IF(COUNTIF(LISTS!$J$2:$J$16,TRIM($G2411))&gt;0,"LEFT OUT","NEW")))</f>
        <v/>
      </c>
    </row>
    <row r="2412" spans="47:47" x14ac:dyDescent="0.25">
      <c r="AU2412" s="8" t="str">
        <f>IF(TRIM($G2412)="","",IF(COUNTIF(LISTS!$I$2:$I$16,TRIM($G2412))&gt;0,"COUNTED",IF(COUNTIF(LISTS!$J$2:$J$16,TRIM($G2412))&gt;0,"LEFT OUT","NEW")))</f>
        <v/>
      </c>
    </row>
    <row r="2413" spans="47:47" x14ac:dyDescent="0.25">
      <c r="AU2413" s="8" t="str">
        <f>IF(TRIM($G2413)="","",IF(COUNTIF(LISTS!$I$2:$I$16,TRIM($G2413))&gt;0,"COUNTED",IF(COUNTIF(LISTS!$J$2:$J$16,TRIM($G2413))&gt;0,"LEFT OUT","NEW")))</f>
        <v/>
      </c>
    </row>
    <row r="2414" spans="47:47" x14ac:dyDescent="0.25">
      <c r="AU2414" s="8" t="str">
        <f>IF(TRIM($G2414)="","",IF(COUNTIF(LISTS!$I$2:$I$16,TRIM($G2414))&gt;0,"COUNTED",IF(COUNTIF(LISTS!$J$2:$J$16,TRIM($G2414))&gt;0,"LEFT OUT","NEW")))</f>
        <v/>
      </c>
    </row>
    <row r="2415" spans="47:47" x14ac:dyDescent="0.25">
      <c r="AU2415" s="8" t="str">
        <f>IF(TRIM($G2415)="","",IF(COUNTIF(LISTS!$I$2:$I$16,TRIM($G2415))&gt;0,"COUNTED",IF(COUNTIF(LISTS!$J$2:$J$16,TRIM($G2415))&gt;0,"LEFT OUT","NEW")))</f>
        <v/>
      </c>
    </row>
    <row r="2416" spans="47:47" x14ac:dyDescent="0.25">
      <c r="AU2416" s="8" t="str">
        <f>IF(TRIM($G2416)="","",IF(COUNTIF(LISTS!$I$2:$I$16,TRIM($G2416))&gt;0,"COUNTED",IF(COUNTIF(LISTS!$J$2:$J$16,TRIM($G2416))&gt;0,"LEFT OUT","NEW")))</f>
        <v/>
      </c>
    </row>
    <row r="2417" spans="47:47" x14ac:dyDescent="0.25">
      <c r="AU2417" s="8" t="str">
        <f>IF(TRIM($G2417)="","",IF(COUNTIF(LISTS!$I$2:$I$16,TRIM($G2417))&gt;0,"COUNTED",IF(COUNTIF(LISTS!$J$2:$J$16,TRIM($G2417))&gt;0,"LEFT OUT","NEW")))</f>
        <v/>
      </c>
    </row>
    <row r="2418" spans="47:47" x14ac:dyDescent="0.25">
      <c r="AU2418" s="8" t="str">
        <f>IF(TRIM($G2418)="","",IF(COUNTIF(LISTS!$I$2:$I$16,TRIM($G2418))&gt;0,"COUNTED",IF(COUNTIF(LISTS!$J$2:$J$16,TRIM($G2418))&gt;0,"LEFT OUT","NEW")))</f>
        <v/>
      </c>
    </row>
    <row r="2419" spans="47:47" x14ac:dyDescent="0.25">
      <c r="AU2419" s="8" t="str">
        <f>IF(TRIM($G2419)="","",IF(COUNTIF(LISTS!$I$2:$I$16,TRIM($G2419))&gt;0,"COUNTED",IF(COUNTIF(LISTS!$J$2:$J$16,TRIM($G2419))&gt;0,"LEFT OUT","NEW")))</f>
        <v/>
      </c>
    </row>
    <row r="2420" spans="47:47" x14ac:dyDescent="0.25">
      <c r="AU2420" s="8" t="str">
        <f>IF(TRIM($G2420)="","",IF(COUNTIF(LISTS!$I$2:$I$16,TRIM($G2420))&gt;0,"COUNTED",IF(COUNTIF(LISTS!$J$2:$J$16,TRIM($G2420))&gt;0,"LEFT OUT","NEW")))</f>
        <v/>
      </c>
    </row>
    <row r="2421" spans="47:47" x14ac:dyDescent="0.25">
      <c r="AU2421" s="8" t="str">
        <f>IF(TRIM($G2421)="","",IF(COUNTIF(LISTS!$I$2:$I$16,TRIM($G2421))&gt;0,"COUNTED",IF(COUNTIF(LISTS!$J$2:$J$16,TRIM($G2421))&gt;0,"LEFT OUT","NEW")))</f>
        <v/>
      </c>
    </row>
    <row r="2422" spans="47:47" x14ac:dyDescent="0.25">
      <c r="AU2422" s="8" t="str">
        <f>IF(TRIM($G2422)="","",IF(COUNTIF(LISTS!$I$2:$I$16,TRIM($G2422))&gt;0,"COUNTED",IF(COUNTIF(LISTS!$J$2:$J$16,TRIM($G2422))&gt;0,"LEFT OUT","NEW")))</f>
        <v/>
      </c>
    </row>
    <row r="2423" spans="47:47" x14ac:dyDescent="0.25">
      <c r="AU2423" s="8" t="str">
        <f>IF(TRIM($G2423)="","",IF(COUNTIF(LISTS!$I$2:$I$16,TRIM($G2423))&gt;0,"COUNTED",IF(COUNTIF(LISTS!$J$2:$J$16,TRIM($G2423))&gt;0,"LEFT OUT","NEW")))</f>
        <v/>
      </c>
    </row>
    <row r="2424" spans="47:47" x14ac:dyDescent="0.25">
      <c r="AU2424" s="8" t="str">
        <f>IF(TRIM($G2424)="","",IF(COUNTIF(LISTS!$I$2:$I$16,TRIM($G2424))&gt;0,"COUNTED",IF(COUNTIF(LISTS!$J$2:$J$16,TRIM($G2424))&gt;0,"LEFT OUT","NEW")))</f>
        <v/>
      </c>
    </row>
    <row r="2425" spans="47:47" x14ac:dyDescent="0.25">
      <c r="AU2425" s="8" t="str">
        <f>IF(TRIM($G2425)="","",IF(COUNTIF(LISTS!$I$2:$I$16,TRIM($G2425))&gt;0,"COUNTED",IF(COUNTIF(LISTS!$J$2:$J$16,TRIM($G2425))&gt;0,"LEFT OUT","NEW")))</f>
        <v/>
      </c>
    </row>
    <row r="2426" spans="47:47" x14ac:dyDescent="0.25">
      <c r="AU2426" s="8" t="str">
        <f>IF(TRIM($G2426)="","",IF(COUNTIF(LISTS!$I$2:$I$16,TRIM($G2426))&gt;0,"COUNTED",IF(COUNTIF(LISTS!$J$2:$J$16,TRIM($G2426))&gt;0,"LEFT OUT","NEW")))</f>
        <v/>
      </c>
    </row>
    <row r="2427" spans="47:47" x14ac:dyDescent="0.25">
      <c r="AU2427" s="8" t="str">
        <f>IF(TRIM($G2427)="","",IF(COUNTIF(LISTS!$I$2:$I$16,TRIM($G2427))&gt;0,"COUNTED",IF(COUNTIF(LISTS!$J$2:$J$16,TRIM($G2427))&gt;0,"LEFT OUT","NEW")))</f>
        <v/>
      </c>
    </row>
    <row r="2428" spans="47:47" x14ac:dyDescent="0.25">
      <c r="AU2428" s="8" t="str">
        <f>IF(TRIM($G2428)="","",IF(COUNTIF(LISTS!$I$2:$I$16,TRIM($G2428))&gt;0,"COUNTED",IF(COUNTIF(LISTS!$J$2:$J$16,TRIM($G2428))&gt;0,"LEFT OUT","NEW")))</f>
        <v/>
      </c>
    </row>
    <row r="2429" spans="47:47" x14ac:dyDescent="0.25">
      <c r="AU2429" s="8" t="str">
        <f>IF(TRIM($G2429)="","",IF(COUNTIF(LISTS!$I$2:$I$16,TRIM($G2429))&gt;0,"COUNTED",IF(COUNTIF(LISTS!$J$2:$J$16,TRIM($G2429))&gt;0,"LEFT OUT","NEW")))</f>
        <v/>
      </c>
    </row>
    <row r="2430" spans="47:47" x14ac:dyDescent="0.25">
      <c r="AU2430" s="8" t="str">
        <f>IF(TRIM($G2430)="","",IF(COUNTIF(LISTS!$I$2:$I$16,TRIM($G2430))&gt;0,"COUNTED",IF(COUNTIF(LISTS!$J$2:$J$16,TRIM($G2430))&gt;0,"LEFT OUT","NEW")))</f>
        <v/>
      </c>
    </row>
    <row r="2431" spans="47:47" x14ac:dyDescent="0.25">
      <c r="AU2431" s="8" t="str">
        <f>IF(TRIM($G2431)="","",IF(COUNTIF(LISTS!$I$2:$I$16,TRIM($G2431))&gt;0,"COUNTED",IF(COUNTIF(LISTS!$J$2:$J$16,TRIM($G2431))&gt;0,"LEFT OUT","NEW")))</f>
        <v/>
      </c>
    </row>
    <row r="2432" spans="47:47" x14ac:dyDescent="0.25">
      <c r="AU2432" s="8" t="str">
        <f>IF(TRIM($G2432)="","",IF(COUNTIF(LISTS!$I$2:$I$16,TRIM($G2432))&gt;0,"COUNTED",IF(COUNTIF(LISTS!$J$2:$J$16,TRIM($G2432))&gt;0,"LEFT OUT","NEW")))</f>
        <v/>
      </c>
    </row>
    <row r="2433" spans="47:47" x14ac:dyDescent="0.25">
      <c r="AU2433" s="8" t="str">
        <f>IF(TRIM($G2433)="","",IF(COUNTIF(LISTS!$I$2:$I$16,TRIM($G2433))&gt;0,"COUNTED",IF(COUNTIF(LISTS!$J$2:$J$16,TRIM($G2433))&gt;0,"LEFT OUT","NEW")))</f>
        <v/>
      </c>
    </row>
    <row r="2434" spans="47:47" x14ac:dyDescent="0.25">
      <c r="AU2434" s="8" t="str">
        <f>IF(TRIM($G2434)="","",IF(COUNTIF(LISTS!$I$2:$I$16,TRIM($G2434))&gt;0,"COUNTED",IF(COUNTIF(LISTS!$J$2:$J$16,TRIM($G2434))&gt;0,"LEFT OUT","NEW")))</f>
        <v/>
      </c>
    </row>
    <row r="2435" spans="47:47" x14ac:dyDescent="0.25">
      <c r="AU2435" s="8" t="str">
        <f>IF(TRIM($G2435)="","",IF(COUNTIF(LISTS!$I$2:$I$16,TRIM($G2435))&gt;0,"COUNTED",IF(COUNTIF(LISTS!$J$2:$J$16,TRIM($G2435))&gt;0,"LEFT OUT","NEW")))</f>
        <v/>
      </c>
    </row>
    <row r="2436" spans="47:47" x14ac:dyDescent="0.25">
      <c r="AU2436" s="8" t="str">
        <f>IF(TRIM($G2436)="","",IF(COUNTIF(LISTS!$I$2:$I$16,TRIM($G2436))&gt;0,"COUNTED",IF(COUNTIF(LISTS!$J$2:$J$16,TRIM($G2436))&gt;0,"LEFT OUT","NEW")))</f>
        <v/>
      </c>
    </row>
    <row r="2437" spans="47:47" x14ac:dyDescent="0.25">
      <c r="AU2437" s="8" t="str">
        <f>IF(TRIM($G2437)="","",IF(COUNTIF(LISTS!$I$2:$I$16,TRIM($G2437))&gt;0,"COUNTED",IF(COUNTIF(LISTS!$J$2:$J$16,TRIM($G2437))&gt;0,"LEFT OUT","NEW")))</f>
        <v/>
      </c>
    </row>
    <row r="2438" spans="47:47" x14ac:dyDescent="0.25">
      <c r="AU2438" s="8" t="str">
        <f>IF(TRIM($G2438)="","",IF(COUNTIF(LISTS!$I$2:$I$16,TRIM($G2438))&gt;0,"COUNTED",IF(COUNTIF(LISTS!$J$2:$J$16,TRIM($G2438))&gt;0,"LEFT OUT","NEW")))</f>
        <v/>
      </c>
    </row>
    <row r="2439" spans="47:47" x14ac:dyDescent="0.25">
      <c r="AU2439" s="8" t="str">
        <f>IF(TRIM($G2439)="","",IF(COUNTIF(LISTS!$I$2:$I$16,TRIM($G2439))&gt;0,"COUNTED",IF(COUNTIF(LISTS!$J$2:$J$16,TRIM($G2439))&gt;0,"LEFT OUT","NEW")))</f>
        <v/>
      </c>
    </row>
    <row r="2440" spans="47:47" x14ac:dyDescent="0.25">
      <c r="AU2440" s="8" t="str">
        <f>IF(TRIM($G2440)="","",IF(COUNTIF(LISTS!$I$2:$I$16,TRIM($G2440))&gt;0,"COUNTED",IF(COUNTIF(LISTS!$J$2:$J$16,TRIM($G2440))&gt;0,"LEFT OUT","NEW")))</f>
        <v/>
      </c>
    </row>
    <row r="2441" spans="47:47" x14ac:dyDescent="0.25">
      <c r="AU2441" s="8" t="str">
        <f>IF(TRIM($G2441)="","",IF(COUNTIF(LISTS!$I$2:$I$16,TRIM($G2441))&gt;0,"COUNTED",IF(COUNTIF(LISTS!$J$2:$J$16,TRIM($G2441))&gt;0,"LEFT OUT","NEW")))</f>
        <v/>
      </c>
    </row>
    <row r="2442" spans="47:47" x14ac:dyDescent="0.25">
      <c r="AU2442" s="8" t="str">
        <f>IF(TRIM($G2442)="","",IF(COUNTIF(LISTS!$I$2:$I$16,TRIM($G2442))&gt;0,"COUNTED",IF(COUNTIF(LISTS!$J$2:$J$16,TRIM($G2442))&gt;0,"LEFT OUT","NEW")))</f>
        <v/>
      </c>
    </row>
    <row r="2443" spans="47:47" x14ac:dyDescent="0.25">
      <c r="AU2443" s="8" t="str">
        <f>IF(TRIM($G2443)="","",IF(COUNTIF(LISTS!$I$2:$I$16,TRIM($G2443))&gt;0,"COUNTED",IF(COUNTIF(LISTS!$J$2:$J$16,TRIM($G2443))&gt;0,"LEFT OUT","NEW")))</f>
        <v/>
      </c>
    </row>
    <row r="2444" spans="47:47" x14ac:dyDescent="0.25">
      <c r="AU2444" s="8" t="str">
        <f>IF(TRIM($G2444)="","",IF(COUNTIF(LISTS!$I$2:$I$16,TRIM($G2444))&gt;0,"COUNTED",IF(COUNTIF(LISTS!$J$2:$J$16,TRIM($G2444))&gt;0,"LEFT OUT","NEW")))</f>
        <v/>
      </c>
    </row>
    <row r="2445" spans="47:47" x14ac:dyDescent="0.25">
      <c r="AU2445" s="8" t="str">
        <f>IF(TRIM($G2445)="","",IF(COUNTIF(LISTS!$I$2:$I$16,TRIM($G2445))&gt;0,"COUNTED",IF(COUNTIF(LISTS!$J$2:$J$16,TRIM($G2445))&gt;0,"LEFT OUT","NEW")))</f>
        <v/>
      </c>
    </row>
    <row r="2446" spans="47:47" x14ac:dyDescent="0.25">
      <c r="AU2446" s="8" t="str">
        <f>IF(TRIM($G2446)="","",IF(COUNTIF(LISTS!$I$2:$I$16,TRIM($G2446))&gt;0,"COUNTED",IF(COUNTIF(LISTS!$J$2:$J$16,TRIM($G2446))&gt;0,"LEFT OUT","NEW")))</f>
        <v/>
      </c>
    </row>
    <row r="2447" spans="47:47" x14ac:dyDescent="0.25">
      <c r="AU2447" s="8" t="str">
        <f>IF(TRIM($G2447)="","",IF(COUNTIF(LISTS!$I$2:$I$16,TRIM($G2447))&gt;0,"COUNTED",IF(COUNTIF(LISTS!$J$2:$J$16,TRIM($G2447))&gt;0,"LEFT OUT","NEW")))</f>
        <v/>
      </c>
    </row>
    <row r="2448" spans="47:47" x14ac:dyDescent="0.25">
      <c r="AU2448" s="8" t="str">
        <f>IF(TRIM($G2448)="","",IF(COUNTIF(LISTS!$I$2:$I$16,TRIM($G2448))&gt;0,"COUNTED",IF(COUNTIF(LISTS!$J$2:$J$16,TRIM($G2448))&gt;0,"LEFT OUT","NEW")))</f>
        <v/>
      </c>
    </row>
    <row r="2449" spans="47:47" x14ac:dyDescent="0.25">
      <c r="AU2449" s="8" t="str">
        <f>IF(TRIM($G2449)="","",IF(COUNTIF(LISTS!$I$2:$I$16,TRIM($G2449))&gt;0,"COUNTED",IF(COUNTIF(LISTS!$J$2:$J$16,TRIM($G2449))&gt;0,"LEFT OUT","NEW")))</f>
        <v/>
      </c>
    </row>
    <row r="2450" spans="47:47" x14ac:dyDescent="0.25">
      <c r="AU2450" s="8" t="str">
        <f>IF(TRIM($G2450)="","",IF(COUNTIF(LISTS!$I$2:$I$16,TRIM($G2450))&gt;0,"COUNTED",IF(COUNTIF(LISTS!$J$2:$J$16,TRIM($G2450))&gt;0,"LEFT OUT","NEW")))</f>
        <v/>
      </c>
    </row>
    <row r="2451" spans="47:47" x14ac:dyDescent="0.25">
      <c r="AU2451" s="8" t="str">
        <f>IF(TRIM($G2451)="","",IF(COUNTIF(LISTS!$I$2:$I$16,TRIM($G2451))&gt;0,"COUNTED",IF(COUNTIF(LISTS!$J$2:$J$16,TRIM($G2451))&gt;0,"LEFT OUT","NEW")))</f>
        <v/>
      </c>
    </row>
    <row r="2452" spans="47:47" x14ac:dyDescent="0.25">
      <c r="AU2452" s="8" t="str">
        <f>IF(TRIM($G2452)="","",IF(COUNTIF(LISTS!$I$2:$I$16,TRIM($G2452))&gt;0,"COUNTED",IF(COUNTIF(LISTS!$J$2:$J$16,TRIM($G2452))&gt;0,"LEFT OUT","NEW")))</f>
        <v/>
      </c>
    </row>
    <row r="2453" spans="47:47" x14ac:dyDescent="0.25">
      <c r="AU2453" s="8" t="str">
        <f>IF(TRIM($G2453)="","",IF(COUNTIF(LISTS!$I$2:$I$16,TRIM($G2453))&gt;0,"COUNTED",IF(COUNTIF(LISTS!$J$2:$J$16,TRIM($G2453))&gt;0,"LEFT OUT","NEW")))</f>
        <v/>
      </c>
    </row>
    <row r="2454" spans="47:47" x14ac:dyDescent="0.25">
      <c r="AU2454" s="8" t="str">
        <f>IF(TRIM($G2454)="","",IF(COUNTIF(LISTS!$I$2:$I$16,TRIM($G2454))&gt;0,"COUNTED",IF(COUNTIF(LISTS!$J$2:$J$16,TRIM($G2454))&gt;0,"LEFT OUT","NEW")))</f>
        <v/>
      </c>
    </row>
    <row r="2455" spans="47:47" x14ac:dyDescent="0.25">
      <c r="AU2455" s="8" t="str">
        <f>IF(TRIM($G2455)="","",IF(COUNTIF(LISTS!$I$2:$I$16,TRIM($G2455))&gt;0,"COUNTED",IF(COUNTIF(LISTS!$J$2:$J$16,TRIM($G2455))&gt;0,"LEFT OUT","NEW")))</f>
        <v/>
      </c>
    </row>
    <row r="2456" spans="47:47" x14ac:dyDescent="0.25">
      <c r="AU2456" s="8" t="str">
        <f>IF(TRIM($G2456)="","",IF(COUNTIF(LISTS!$I$2:$I$16,TRIM($G2456))&gt;0,"COUNTED",IF(COUNTIF(LISTS!$J$2:$J$16,TRIM($G2456))&gt;0,"LEFT OUT","NEW")))</f>
        <v/>
      </c>
    </row>
    <row r="2457" spans="47:47" x14ac:dyDescent="0.25">
      <c r="AU2457" s="8" t="str">
        <f>IF(TRIM($G2457)="","",IF(COUNTIF(LISTS!$I$2:$I$16,TRIM($G2457))&gt;0,"COUNTED",IF(COUNTIF(LISTS!$J$2:$J$16,TRIM($G2457))&gt;0,"LEFT OUT","NEW")))</f>
        <v/>
      </c>
    </row>
    <row r="2458" spans="47:47" x14ac:dyDescent="0.25">
      <c r="AU2458" s="8" t="str">
        <f>IF(TRIM($G2458)="","",IF(COUNTIF(LISTS!$I$2:$I$16,TRIM($G2458))&gt;0,"COUNTED",IF(COUNTIF(LISTS!$J$2:$J$16,TRIM($G2458))&gt;0,"LEFT OUT","NEW")))</f>
        <v/>
      </c>
    </row>
    <row r="2459" spans="47:47" x14ac:dyDescent="0.25">
      <c r="AU2459" s="8" t="str">
        <f>IF(TRIM($G2459)="","",IF(COUNTIF(LISTS!$I$2:$I$16,TRIM($G2459))&gt;0,"COUNTED",IF(COUNTIF(LISTS!$J$2:$J$16,TRIM($G2459))&gt;0,"LEFT OUT","NEW")))</f>
        <v/>
      </c>
    </row>
    <row r="2460" spans="47:47" x14ac:dyDescent="0.25">
      <c r="AU2460" s="8" t="str">
        <f>IF(TRIM($G2460)="","",IF(COUNTIF(LISTS!$I$2:$I$16,TRIM($G2460))&gt;0,"COUNTED",IF(COUNTIF(LISTS!$J$2:$J$16,TRIM($G2460))&gt;0,"LEFT OUT","NEW")))</f>
        <v/>
      </c>
    </row>
    <row r="2461" spans="47:47" x14ac:dyDescent="0.25">
      <c r="AU2461" s="8" t="str">
        <f>IF(TRIM($G2461)="","",IF(COUNTIF(LISTS!$I$2:$I$16,TRIM($G2461))&gt;0,"COUNTED",IF(COUNTIF(LISTS!$J$2:$J$16,TRIM($G2461))&gt;0,"LEFT OUT","NEW")))</f>
        <v/>
      </c>
    </row>
    <row r="2462" spans="47:47" x14ac:dyDescent="0.25">
      <c r="AU2462" s="8" t="str">
        <f>IF(TRIM($G2462)="","",IF(COUNTIF(LISTS!$I$2:$I$16,TRIM($G2462))&gt;0,"COUNTED",IF(COUNTIF(LISTS!$J$2:$J$16,TRIM($G2462))&gt;0,"LEFT OUT","NEW")))</f>
        <v/>
      </c>
    </row>
    <row r="2463" spans="47:47" x14ac:dyDescent="0.25">
      <c r="AU2463" s="8" t="str">
        <f>IF(TRIM($G2463)="","",IF(COUNTIF(LISTS!$I$2:$I$16,TRIM($G2463))&gt;0,"COUNTED",IF(COUNTIF(LISTS!$J$2:$J$16,TRIM($G2463))&gt;0,"LEFT OUT","NEW")))</f>
        <v/>
      </c>
    </row>
    <row r="2464" spans="47:47" x14ac:dyDescent="0.25">
      <c r="AU2464" s="8" t="str">
        <f>IF(TRIM($G2464)="","",IF(COUNTIF(LISTS!$I$2:$I$16,TRIM($G2464))&gt;0,"COUNTED",IF(COUNTIF(LISTS!$J$2:$J$16,TRIM($G2464))&gt;0,"LEFT OUT","NEW")))</f>
        <v/>
      </c>
    </row>
    <row r="2465" spans="47:47" x14ac:dyDescent="0.25">
      <c r="AU2465" s="8" t="str">
        <f>IF(TRIM($G2465)="","",IF(COUNTIF(LISTS!$I$2:$I$16,TRIM($G2465))&gt;0,"COUNTED",IF(COUNTIF(LISTS!$J$2:$J$16,TRIM($G2465))&gt;0,"LEFT OUT","NEW")))</f>
        <v/>
      </c>
    </row>
    <row r="2466" spans="47:47" x14ac:dyDescent="0.25">
      <c r="AU2466" s="8" t="str">
        <f>IF(TRIM($G2466)="","",IF(COUNTIF(LISTS!$I$2:$I$16,TRIM($G2466))&gt;0,"COUNTED",IF(COUNTIF(LISTS!$J$2:$J$16,TRIM($G2466))&gt;0,"LEFT OUT","NEW")))</f>
        <v/>
      </c>
    </row>
    <row r="2467" spans="47:47" x14ac:dyDescent="0.25">
      <c r="AU2467" s="8" t="str">
        <f>IF(TRIM($G2467)="","",IF(COUNTIF(LISTS!$I$2:$I$16,TRIM($G2467))&gt;0,"COUNTED",IF(COUNTIF(LISTS!$J$2:$J$16,TRIM($G2467))&gt;0,"LEFT OUT","NEW")))</f>
        <v/>
      </c>
    </row>
    <row r="2468" spans="47:47" x14ac:dyDescent="0.25">
      <c r="AU2468" s="8" t="str">
        <f>IF(TRIM($G2468)="","",IF(COUNTIF(LISTS!$I$2:$I$16,TRIM($G2468))&gt;0,"COUNTED",IF(COUNTIF(LISTS!$J$2:$J$16,TRIM($G2468))&gt;0,"LEFT OUT","NEW")))</f>
        <v/>
      </c>
    </row>
    <row r="2469" spans="47:47" x14ac:dyDescent="0.25">
      <c r="AU2469" s="8" t="str">
        <f>IF(TRIM($G2469)="","",IF(COUNTIF(LISTS!$I$2:$I$16,TRIM($G2469))&gt;0,"COUNTED",IF(COUNTIF(LISTS!$J$2:$J$16,TRIM($G2469))&gt;0,"LEFT OUT","NEW")))</f>
        <v/>
      </c>
    </row>
    <row r="2470" spans="47:47" x14ac:dyDescent="0.25">
      <c r="AU2470" s="8" t="str">
        <f>IF(TRIM($G2470)="","",IF(COUNTIF(LISTS!$I$2:$I$16,TRIM($G2470))&gt;0,"COUNTED",IF(COUNTIF(LISTS!$J$2:$J$16,TRIM($G2470))&gt;0,"LEFT OUT","NEW")))</f>
        <v/>
      </c>
    </row>
    <row r="2471" spans="47:47" x14ac:dyDescent="0.25">
      <c r="AU2471" s="8" t="str">
        <f>IF(TRIM($G2471)="","",IF(COUNTIF(LISTS!$I$2:$I$16,TRIM($G2471))&gt;0,"COUNTED",IF(COUNTIF(LISTS!$J$2:$J$16,TRIM($G2471))&gt;0,"LEFT OUT","NEW")))</f>
        <v/>
      </c>
    </row>
    <row r="2472" spans="47:47" x14ac:dyDescent="0.25">
      <c r="AU2472" s="8" t="str">
        <f>IF(TRIM($G2472)="","",IF(COUNTIF(LISTS!$I$2:$I$16,TRIM($G2472))&gt;0,"COUNTED",IF(COUNTIF(LISTS!$J$2:$J$16,TRIM($G2472))&gt;0,"LEFT OUT","NEW")))</f>
        <v/>
      </c>
    </row>
    <row r="2473" spans="47:47" x14ac:dyDescent="0.25">
      <c r="AU2473" s="8" t="str">
        <f>IF(TRIM($G2473)="","",IF(COUNTIF(LISTS!$I$2:$I$16,TRIM($G2473))&gt;0,"COUNTED",IF(COUNTIF(LISTS!$J$2:$J$16,TRIM($G2473))&gt;0,"LEFT OUT","NEW")))</f>
        <v/>
      </c>
    </row>
    <row r="2474" spans="47:47" x14ac:dyDescent="0.25">
      <c r="AU2474" s="8" t="str">
        <f>IF(TRIM($G2474)="","",IF(COUNTIF(LISTS!$I$2:$I$16,TRIM($G2474))&gt;0,"COUNTED",IF(COUNTIF(LISTS!$J$2:$J$16,TRIM($G2474))&gt;0,"LEFT OUT","NEW")))</f>
        <v/>
      </c>
    </row>
    <row r="2475" spans="47:47" x14ac:dyDescent="0.25">
      <c r="AU2475" s="8" t="str">
        <f>IF(TRIM($G2475)="","",IF(COUNTIF(LISTS!$I$2:$I$16,TRIM($G2475))&gt;0,"COUNTED",IF(COUNTIF(LISTS!$J$2:$J$16,TRIM($G2475))&gt;0,"LEFT OUT","NEW")))</f>
        <v/>
      </c>
    </row>
    <row r="2476" spans="47:47" x14ac:dyDescent="0.25">
      <c r="AU2476" s="8" t="str">
        <f>IF(TRIM($G2476)="","",IF(COUNTIF(LISTS!$I$2:$I$16,TRIM($G2476))&gt;0,"COUNTED",IF(COUNTIF(LISTS!$J$2:$J$16,TRIM($G2476))&gt;0,"LEFT OUT","NEW")))</f>
        <v/>
      </c>
    </row>
    <row r="2477" spans="47:47" x14ac:dyDescent="0.25">
      <c r="AU2477" s="8" t="str">
        <f>IF(TRIM($G2477)="","",IF(COUNTIF(LISTS!$I$2:$I$16,TRIM($G2477))&gt;0,"COUNTED",IF(COUNTIF(LISTS!$J$2:$J$16,TRIM($G2477))&gt;0,"LEFT OUT","NEW")))</f>
        <v/>
      </c>
    </row>
    <row r="2478" spans="47:47" x14ac:dyDescent="0.25">
      <c r="AU2478" s="8" t="str">
        <f>IF(TRIM($G2478)="","",IF(COUNTIF(LISTS!$I$2:$I$16,TRIM($G2478))&gt;0,"COUNTED",IF(COUNTIF(LISTS!$J$2:$J$16,TRIM($G2478))&gt;0,"LEFT OUT","NEW")))</f>
        <v/>
      </c>
    </row>
    <row r="2479" spans="47:47" x14ac:dyDescent="0.25">
      <c r="AU2479" s="8" t="str">
        <f>IF(TRIM($G2479)="","",IF(COUNTIF(LISTS!$I$2:$I$16,TRIM($G2479))&gt;0,"COUNTED",IF(COUNTIF(LISTS!$J$2:$J$16,TRIM($G2479))&gt;0,"LEFT OUT","NEW")))</f>
        <v/>
      </c>
    </row>
    <row r="2480" spans="47:47" x14ac:dyDescent="0.25">
      <c r="AU2480" s="8" t="str">
        <f>IF(TRIM($G2480)="","",IF(COUNTIF(LISTS!$I$2:$I$16,TRIM($G2480))&gt;0,"COUNTED",IF(COUNTIF(LISTS!$J$2:$J$16,TRIM($G2480))&gt;0,"LEFT OUT","NEW")))</f>
        <v/>
      </c>
    </row>
    <row r="2481" spans="47:47" x14ac:dyDescent="0.25">
      <c r="AU2481" s="8" t="str">
        <f>IF(TRIM($G2481)="","",IF(COUNTIF(LISTS!$I$2:$I$16,TRIM($G2481))&gt;0,"COUNTED",IF(COUNTIF(LISTS!$J$2:$J$16,TRIM($G2481))&gt;0,"LEFT OUT","NEW")))</f>
        <v/>
      </c>
    </row>
    <row r="2482" spans="47:47" x14ac:dyDescent="0.25">
      <c r="AU2482" s="8" t="str">
        <f>IF(TRIM($G2482)="","",IF(COUNTIF(LISTS!$I$2:$I$16,TRIM($G2482))&gt;0,"COUNTED",IF(COUNTIF(LISTS!$J$2:$J$16,TRIM($G2482))&gt;0,"LEFT OUT","NEW")))</f>
        <v/>
      </c>
    </row>
    <row r="2483" spans="47:47" x14ac:dyDescent="0.25">
      <c r="AU2483" s="8" t="str">
        <f>IF(TRIM($G2483)="","",IF(COUNTIF(LISTS!$I$2:$I$16,TRIM($G2483))&gt;0,"COUNTED",IF(COUNTIF(LISTS!$J$2:$J$16,TRIM($G2483))&gt;0,"LEFT OUT","NEW")))</f>
        <v/>
      </c>
    </row>
    <row r="2484" spans="47:47" x14ac:dyDescent="0.25">
      <c r="AU2484" s="8" t="str">
        <f>IF(TRIM($G2484)="","",IF(COUNTIF(LISTS!$I$2:$I$16,TRIM($G2484))&gt;0,"COUNTED",IF(COUNTIF(LISTS!$J$2:$J$16,TRIM($G2484))&gt;0,"LEFT OUT","NEW")))</f>
        <v/>
      </c>
    </row>
    <row r="2485" spans="47:47" x14ac:dyDescent="0.25">
      <c r="AU2485" s="8" t="str">
        <f>IF(TRIM($G2485)="","",IF(COUNTIF(LISTS!$I$2:$I$16,TRIM($G2485))&gt;0,"COUNTED",IF(COUNTIF(LISTS!$J$2:$J$16,TRIM($G2485))&gt;0,"LEFT OUT","NEW")))</f>
        <v/>
      </c>
    </row>
    <row r="2486" spans="47:47" x14ac:dyDescent="0.25">
      <c r="AU2486" s="8" t="str">
        <f>IF(TRIM($G2486)="","",IF(COUNTIF(LISTS!$I$2:$I$16,TRIM($G2486))&gt;0,"COUNTED",IF(COUNTIF(LISTS!$J$2:$J$16,TRIM($G2486))&gt;0,"LEFT OUT","NEW")))</f>
        <v/>
      </c>
    </row>
    <row r="2487" spans="47:47" x14ac:dyDescent="0.25">
      <c r="AU2487" s="8" t="str">
        <f>IF(TRIM($G2487)="","",IF(COUNTIF(LISTS!$I$2:$I$16,TRIM($G2487))&gt;0,"COUNTED",IF(COUNTIF(LISTS!$J$2:$J$16,TRIM($G2487))&gt;0,"LEFT OUT","NEW")))</f>
        <v/>
      </c>
    </row>
    <row r="2488" spans="47:47" x14ac:dyDescent="0.25">
      <c r="AU2488" s="8" t="str">
        <f>IF(TRIM($G2488)="","",IF(COUNTIF(LISTS!$I$2:$I$16,TRIM($G2488))&gt;0,"COUNTED",IF(COUNTIF(LISTS!$J$2:$J$16,TRIM($G2488))&gt;0,"LEFT OUT","NEW")))</f>
        <v/>
      </c>
    </row>
    <row r="2489" spans="47:47" x14ac:dyDescent="0.25">
      <c r="AU2489" s="8" t="str">
        <f>IF(TRIM($G2489)="","",IF(COUNTIF(LISTS!$I$2:$I$16,TRIM($G2489))&gt;0,"COUNTED",IF(COUNTIF(LISTS!$J$2:$J$16,TRIM($G2489))&gt;0,"LEFT OUT","NEW")))</f>
        <v/>
      </c>
    </row>
    <row r="2490" spans="47:47" x14ac:dyDescent="0.25">
      <c r="AU2490" s="8" t="str">
        <f>IF(TRIM($G2490)="","",IF(COUNTIF(LISTS!$I$2:$I$16,TRIM($G2490))&gt;0,"COUNTED",IF(COUNTIF(LISTS!$J$2:$J$16,TRIM($G2490))&gt;0,"LEFT OUT","NEW")))</f>
        <v/>
      </c>
    </row>
    <row r="2491" spans="47:47" x14ac:dyDescent="0.25">
      <c r="AU2491" s="8" t="str">
        <f>IF(TRIM($G2491)="","",IF(COUNTIF(LISTS!$I$2:$I$16,TRIM($G2491))&gt;0,"COUNTED",IF(COUNTIF(LISTS!$J$2:$J$16,TRIM($G2491))&gt;0,"LEFT OUT","NEW")))</f>
        <v/>
      </c>
    </row>
    <row r="2492" spans="47:47" x14ac:dyDescent="0.25">
      <c r="AU2492" s="8" t="str">
        <f>IF(TRIM($G2492)="","",IF(COUNTIF(LISTS!$I$2:$I$16,TRIM($G2492))&gt;0,"COUNTED",IF(COUNTIF(LISTS!$J$2:$J$16,TRIM($G2492))&gt;0,"LEFT OUT","NEW")))</f>
        <v/>
      </c>
    </row>
    <row r="2493" spans="47:47" x14ac:dyDescent="0.25">
      <c r="AU2493" s="8" t="str">
        <f>IF(TRIM($G2493)="","",IF(COUNTIF(LISTS!$I$2:$I$16,TRIM($G2493))&gt;0,"COUNTED",IF(COUNTIF(LISTS!$J$2:$J$16,TRIM($G2493))&gt;0,"LEFT OUT","NEW")))</f>
        <v/>
      </c>
    </row>
    <row r="2494" spans="47:47" x14ac:dyDescent="0.25">
      <c r="AU2494" s="8" t="str">
        <f>IF(TRIM($G2494)="","",IF(COUNTIF(LISTS!$I$2:$I$16,TRIM($G2494))&gt;0,"COUNTED",IF(COUNTIF(LISTS!$J$2:$J$16,TRIM($G2494))&gt;0,"LEFT OUT","NEW")))</f>
        <v/>
      </c>
    </row>
    <row r="2495" spans="47:47" x14ac:dyDescent="0.25">
      <c r="AU2495" s="8" t="str">
        <f>IF(TRIM($G2495)="","",IF(COUNTIF(LISTS!$I$2:$I$16,TRIM($G2495))&gt;0,"COUNTED",IF(COUNTIF(LISTS!$J$2:$J$16,TRIM($G2495))&gt;0,"LEFT OUT","NEW")))</f>
        <v/>
      </c>
    </row>
    <row r="2496" spans="47:47" x14ac:dyDescent="0.25">
      <c r="AU2496" s="8" t="str">
        <f>IF(TRIM($G2496)="","",IF(COUNTIF(LISTS!$I$2:$I$16,TRIM($G2496))&gt;0,"COUNTED",IF(COUNTIF(LISTS!$J$2:$J$16,TRIM($G2496))&gt;0,"LEFT OUT","NEW")))</f>
        <v/>
      </c>
    </row>
    <row r="2497" spans="47:47" x14ac:dyDescent="0.25">
      <c r="AU2497" s="8" t="str">
        <f>IF(TRIM($G2497)="","",IF(COUNTIF(LISTS!$I$2:$I$16,TRIM($G2497))&gt;0,"COUNTED",IF(COUNTIF(LISTS!$J$2:$J$16,TRIM($G2497))&gt;0,"LEFT OUT","NEW")))</f>
        <v/>
      </c>
    </row>
    <row r="2498" spans="47:47" x14ac:dyDescent="0.25">
      <c r="AU2498" s="8" t="str">
        <f>IF(TRIM($G2498)="","",IF(COUNTIF(LISTS!$I$2:$I$16,TRIM($G2498))&gt;0,"COUNTED",IF(COUNTIF(LISTS!$J$2:$J$16,TRIM($G2498))&gt;0,"LEFT OUT","NEW")))</f>
        <v/>
      </c>
    </row>
    <row r="2499" spans="47:47" x14ac:dyDescent="0.25">
      <c r="AU2499" s="8" t="str">
        <f>IF(TRIM($G2499)="","",IF(COUNTIF(LISTS!$I$2:$I$16,TRIM($G2499))&gt;0,"COUNTED",IF(COUNTIF(LISTS!$J$2:$J$16,TRIM($G2499))&gt;0,"LEFT OUT","NEW")))</f>
        <v/>
      </c>
    </row>
    <row r="2500" spans="47:47" x14ac:dyDescent="0.25">
      <c r="AU2500" s="8" t="str">
        <f>IF(TRIM($G2500)="","",IF(COUNTIF(LISTS!$I$2:$I$16,TRIM($G2500))&gt;0,"COUNTED",IF(COUNTIF(LISTS!$J$2:$J$16,TRIM($G2500))&gt;0,"LEFT OUT","NEW")))</f>
        <v/>
      </c>
    </row>
    <row r="2501" spans="47:47" x14ac:dyDescent="0.25">
      <c r="AU2501" s="8" t="str">
        <f>IF(TRIM($G2501)="","",IF(COUNTIF(LISTS!$I$2:$I$16,TRIM($G2501))&gt;0,"COUNTED",IF(COUNTIF(LISTS!$J$2:$J$16,TRIM($G2501))&gt;0,"LEFT OUT","NEW")))</f>
        <v/>
      </c>
    </row>
    <row r="2502" spans="47:47" x14ac:dyDescent="0.25">
      <c r="AU2502" s="8" t="str">
        <f>IF(TRIM($G2502)="","",IF(COUNTIF(LISTS!$I$2:$I$16,TRIM($G2502))&gt;0,"COUNTED",IF(COUNTIF(LISTS!$J$2:$J$16,TRIM($G2502))&gt;0,"LEFT OUT","NEW")))</f>
        <v/>
      </c>
    </row>
    <row r="2503" spans="47:47" x14ac:dyDescent="0.25">
      <c r="AU2503" s="8" t="str">
        <f>IF(TRIM($G2503)="","",IF(COUNTIF(LISTS!$I$2:$I$16,TRIM($G2503))&gt;0,"COUNTED",IF(COUNTIF(LISTS!$J$2:$J$16,TRIM($G2503))&gt;0,"LEFT OUT","NEW")))</f>
        <v/>
      </c>
    </row>
    <row r="2504" spans="47:47" x14ac:dyDescent="0.25">
      <c r="AU2504" s="8" t="str">
        <f>IF(TRIM($G2504)="","",IF(COUNTIF(LISTS!$I$2:$I$16,TRIM($G2504))&gt;0,"COUNTED",IF(COUNTIF(LISTS!$J$2:$J$16,TRIM($G2504))&gt;0,"LEFT OUT","NEW")))</f>
        <v/>
      </c>
    </row>
    <row r="2505" spans="47:47" x14ac:dyDescent="0.25">
      <c r="AU2505" s="8" t="str">
        <f>IF(TRIM($G2505)="","",IF(COUNTIF(LISTS!$I$2:$I$16,TRIM($G2505))&gt;0,"COUNTED",IF(COUNTIF(LISTS!$J$2:$J$16,TRIM($G2505))&gt;0,"LEFT OUT","NEW")))</f>
        <v/>
      </c>
    </row>
    <row r="2506" spans="47:47" x14ac:dyDescent="0.25">
      <c r="AU2506" s="8" t="str">
        <f>IF(TRIM($G2506)="","",IF(COUNTIF(LISTS!$I$2:$I$16,TRIM($G2506))&gt;0,"COUNTED",IF(COUNTIF(LISTS!$J$2:$J$16,TRIM($G2506))&gt;0,"LEFT OUT","NEW")))</f>
        <v/>
      </c>
    </row>
    <row r="2507" spans="47:47" x14ac:dyDescent="0.25">
      <c r="AU2507" s="8" t="str">
        <f>IF(TRIM($G2507)="","",IF(COUNTIF(LISTS!$I$2:$I$16,TRIM($G2507))&gt;0,"COUNTED",IF(COUNTIF(LISTS!$J$2:$J$16,TRIM($G2507))&gt;0,"LEFT OUT","NEW")))</f>
        <v/>
      </c>
    </row>
    <row r="2508" spans="47:47" x14ac:dyDescent="0.25">
      <c r="AU2508" s="8" t="str">
        <f>IF(TRIM($G2508)="","",IF(COUNTIF(LISTS!$I$2:$I$16,TRIM($G2508))&gt;0,"COUNTED",IF(COUNTIF(LISTS!$J$2:$J$16,TRIM($G2508))&gt;0,"LEFT OUT","NEW")))</f>
        <v/>
      </c>
    </row>
    <row r="2509" spans="47:47" x14ac:dyDescent="0.25">
      <c r="AU2509" s="8" t="str">
        <f>IF(TRIM($G2509)="","",IF(COUNTIF(LISTS!$I$2:$I$16,TRIM($G2509))&gt;0,"COUNTED",IF(COUNTIF(LISTS!$J$2:$J$16,TRIM($G2509))&gt;0,"LEFT OUT","NEW")))</f>
        <v/>
      </c>
    </row>
    <row r="2510" spans="47:47" x14ac:dyDescent="0.25">
      <c r="AU2510" s="8" t="str">
        <f>IF(TRIM($G2510)="","",IF(COUNTIF(LISTS!$I$2:$I$16,TRIM($G2510))&gt;0,"COUNTED",IF(COUNTIF(LISTS!$J$2:$J$16,TRIM($G2510))&gt;0,"LEFT OUT","NEW")))</f>
        <v/>
      </c>
    </row>
    <row r="2511" spans="47:47" x14ac:dyDescent="0.25">
      <c r="AU2511" s="8" t="str">
        <f>IF(TRIM($G2511)="","",IF(COUNTIF(LISTS!$I$2:$I$16,TRIM($G2511))&gt;0,"COUNTED",IF(COUNTIF(LISTS!$J$2:$J$16,TRIM($G2511))&gt;0,"LEFT OUT","NEW")))</f>
        <v/>
      </c>
    </row>
    <row r="2512" spans="47:47" x14ac:dyDescent="0.25">
      <c r="AU2512" s="8" t="str">
        <f>IF(TRIM($G2512)="","",IF(COUNTIF(LISTS!$I$2:$I$16,TRIM($G2512))&gt;0,"COUNTED",IF(COUNTIF(LISTS!$J$2:$J$16,TRIM($G2512))&gt;0,"LEFT OUT","NEW")))</f>
        <v/>
      </c>
    </row>
    <row r="2513" spans="47:47" x14ac:dyDescent="0.25">
      <c r="AU2513" s="8" t="str">
        <f>IF(TRIM($G2513)="","",IF(COUNTIF(LISTS!$I$2:$I$16,TRIM($G2513))&gt;0,"COUNTED",IF(COUNTIF(LISTS!$J$2:$J$16,TRIM($G2513))&gt;0,"LEFT OUT","NEW")))</f>
        <v/>
      </c>
    </row>
    <row r="2514" spans="47:47" x14ac:dyDescent="0.25">
      <c r="AU2514" s="8" t="str">
        <f>IF(TRIM($G2514)="","",IF(COUNTIF(LISTS!$I$2:$I$16,TRIM($G2514))&gt;0,"COUNTED",IF(COUNTIF(LISTS!$J$2:$J$16,TRIM($G2514))&gt;0,"LEFT OUT","NEW")))</f>
        <v/>
      </c>
    </row>
    <row r="2515" spans="47:47" x14ac:dyDescent="0.25">
      <c r="AU2515" s="8" t="str">
        <f>IF(TRIM($G2515)="","",IF(COUNTIF(LISTS!$I$2:$I$16,TRIM($G2515))&gt;0,"COUNTED",IF(COUNTIF(LISTS!$J$2:$J$16,TRIM($G2515))&gt;0,"LEFT OUT","NEW")))</f>
        <v/>
      </c>
    </row>
    <row r="2516" spans="47:47" x14ac:dyDescent="0.25">
      <c r="AU2516" s="8" t="str">
        <f>IF(TRIM($G2516)="","",IF(COUNTIF(LISTS!$I$2:$I$16,TRIM($G2516))&gt;0,"COUNTED",IF(COUNTIF(LISTS!$J$2:$J$16,TRIM($G2516))&gt;0,"LEFT OUT","NEW")))</f>
        <v/>
      </c>
    </row>
    <row r="2517" spans="47:47" x14ac:dyDescent="0.25">
      <c r="AU2517" s="8" t="str">
        <f>IF(TRIM($G2517)="","",IF(COUNTIF(LISTS!$I$2:$I$16,TRIM($G2517))&gt;0,"COUNTED",IF(COUNTIF(LISTS!$J$2:$J$16,TRIM($G2517))&gt;0,"LEFT OUT","NEW")))</f>
        <v/>
      </c>
    </row>
    <row r="2518" spans="47:47" x14ac:dyDescent="0.25">
      <c r="AU2518" s="8" t="str">
        <f>IF(TRIM($G2518)="","",IF(COUNTIF(LISTS!$I$2:$I$16,TRIM($G2518))&gt;0,"COUNTED",IF(COUNTIF(LISTS!$J$2:$J$16,TRIM($G2518))&gt;0,"LEFT OUT","NEW")))</f>
        <v/>
      </c>
    </row>
    <row r="2519" spans="47:47" x14ac:dyDescent="0.25">
      <c r="AU2519" s="8" t="str">
        <f>IF(TRIM($G2519)="","",IF(COUNTIF(LISTS!$I$2:$I$16,TRIM($G2519))&gt;0,"COUNTED",IF(COUNTIF(LISTS!$J$2:$J$16,TRIM($G2519))&gt;0,"LEFT OUT","NEW")))</f>
        <v/>
      </c>
    </row>
    <row r="2520" spans="47:47" x14ac:dyDescent="0.25">
      <c r="AU2520" s="8" t="str">
        <f>IF(TRIM($G2520)="","",IF(COUNTIF(LISTS!$I$2:$I$16,TRIM($G2520))&gt;0,"COUNTED",IF(COUNTIF(LISTS!$J$2:$J$16,TRIM($G2520))&gt;0,"LEFT OUT","NEW")))</f>
        <v/>
      </c>
    </row>
    <row r="2521" spans="47:47" x14ac:dyDescent="0.25">
      <c r="AU2521" s="8" t="str">
        <f>IF(TRIM($G2521)="","",IF(COUNTIF(LISTS!$I$2:$I$16,TRIM($G2521))&gt;0,"COUNTED",IF(COUNTIF(LISTS!$J$2:$J$16,TRIM($G2521))&gt;0,"LEFT OUT","NEW")))</f>
        <v/>
      </c>
    </row>
    <row r="2522" spans="47:47" x14ac:dyDescent="0.25">
      <c r="AU2522" s="8" t="str">
        <f>IF(TRIM($G2522)="","",IF(COUNTIF(LISTS!$I$2:$I$16,TRIM($G2522))&gt;0,"COUNTED",IF(COUNTIF(LISTS!$J$2:$J$16,TRIM($G2522))&gt;0,"LEFT OUT","NEW")))</f>
        <v/>
      </c>
    </row>
    <row r="2523" spans="47:47" x14ac:dyDescent="0.25">
      <c r="AU2523" s="8" t="str">
        <f>IF(TRIM($G2523)="","",IF(COUNTIF(LISTS!$I$2:$I$16,TRIM($G2523))&gt;0,"COUNTED",IF(COUNTIF(LISTS!$J$2:$J$16,TRIM($G2523))&gt;0,"LEFT OUT","NEW")))</f>
        <v/>
      </c>
    </row>
    <row r="2524" spans="47:47" x14ac:dyDescent="0.25">
      <c r="AU2524" s="8" t="str">
        <f>IF(TRIM($G2524)="","",IF(COUNTIF(LISTS!$I$2:$I$16,TRIM($G2524))&gt;0,"COUNTED",IF(COUNTIF(LISTS!$J$2:$J$16,TRIM($G2524))&gt;0,"LEFT OUT","NEW")))</f>
        <v/>
      </c>
    </row>
    <row r="2525" spans="47:47" x14ac:dyDescent="0.25">
      <c r="AU2525" s="8" t="str">
        <f>IF(TRIM($G2525)="","",IF(COUNTIF(LISTS!$I$2:$I$16,TRIM($G2525))&gt;0,"COUNTED",IF(COUNTIF(LISTS!$J$2:$J$16,TRIM($G2525))&gt;0,"LEFT OUT","NEW")))</f>
        <v/>
      </c>
    </row>
    <row r="2526" spans="47:47" x14ac:dyDescent="0.25">
      <c r="AU2526" s="8" t="str">
        <f>IF(TRIM($G2526)="","",IF(COUNTIF(LISTS!$I$2:$I$16,TRIM($G2526))&gt;0,"COUNTED",IF(COUNTIF(LISTS!$J$2:$J$16,TRIM($G2526))&gt;0,"LEFT OUT","NEW")))</f>
        <v/>
      </c>
    </row>
    <row r="2527" spans="47:47" x14ac:dyDescent="0.25">
      <c r="AU2527" s="8" t="str">
        <f>IF(TRIM($G2527)="","",IF(COUNTIF(LISTS!$I$2:$I$16,TRIM($G2527))&gt;0,"COUNTED",IF(COUNTIF(LISTS!$J$2:$J$16,TRIM($G2527))&gt;0,"LEFT OUT","NEW")))</f>
        <v/>
      </c>
    </row>
    <row r="2528" spans="47:47" x14ac:dyDescent="0.25">
      <c r="AU2528" s="8" t="str">
        <f>IF(TRIM($G2528)="","",IF(COUNTIF(LISTS!$I$2:$I$16,TRIM($G2528))&gt;0,"COUNTED",IF(COUNTIF(LISTS!$J$2:$J$16,TRIM($G2528))&gt;0,"LEFT OUT","NEW")))</f>
        <v/>
      </c>
    </row>
    <row r="2529" spans="47:47" x14ac:dyDescent="0.25">
      <c r="AU2529" s="8" t="str">
        <f>IF(TRIM($G2529)="","",IF(COUNTIF(LISTS!$I$2:$I$16,TRIM($G2529))&gt;0,"COUNTED",IF(COUNTIF(LISTS!$J$2:$J$16,TRIM($G2529))&gt;0,"LEFT OUT","NEW")))</f>
        <v/>
      </c>
    </row>
    <row r="2530" spans="47:47" x14ac:dyDescent="0.25">
      <c r="AU2530" s="8" t="str">
        <f>IF(TRIM($G2530)="","",IF(COUNTIF(LISTS!$I$2:$I$16,TRIM($G2530))&gt;0,"COUNTED",IF(COUNTIF(LISTS!$J$2:$J$16,TRIM($G2530))&gt;0,"LEFT OUT","NEW")))</f>
        <v/>
      </c>
    </row>
    <row r="2531" spans="47:47" x14ac:dyDescent="0.25">
      <c r="AU2531" s="8" t="str">
        <f>IF(TRIM($G2531)="","",IF(COUNTIF(LISTS!$I$2:$I$16,TRIM($G2531))&gt;0,"COUNTED",IF(COUNTIF(LISTS!$J$2:$J$16,TRIM($G2531))&gt;0,"LEFT OUT","NEW")))</f>
        <v/>
      </c>
    </row>
    <row r="2532" spans="47:47" x14ac:dyDescent="0.25">
      <c r="AU2532" s="8" t="str">
        <f>IF(TRIM($G2532)="","",IF(COUNTIF(LISTS!$I$2:$I$16,TRIM($G2532))&gt;0,"COUNTED",IF(COUNTIF(LISTS!$J$2:$J$16,TRIM($G2532))&gt;0,"LEFT OUT","NEW")))</f>
        <v/>
      </c>
    </row>
    <row r="2533" spans="47:47" x14ac:dyDescent="0.25">
      <c r="AU2533" s="8" t="str">
        <f>IF(TRIM($G2533)="","",IF(COUNTIF(LISTS!$I$2:$I$16,TRIM($G2533))&gt;0,"COUNTED",IF(COUNTIF(LISTS!$J$2:$J$16,TRIM($G2533))&gt;0,"LEFT OUT","NEW")))</f>
        <v/>
      </c>
    </row>
    <row r="2534" spans="47:47" x14ac:dyDescent="0.25">
      <c r="AU2534" s="8" t="str">
        <f>IF(TRIM($G2534)="","",IF(COUNTIF(LISTS!$I$2:$I$16,TRIM($G2534))&gt;0,"COUNTED",IF(COUNTIF(LISTS!$J$2:$J$16,TRIM($G2534))&gt;0,"LEFT OUT","NEW")))</f>
        <v/>
      </c>
    </row>
    <row r="2535" spans="47:47" x14ac:dyDescent="0.25">
      <c r="AU2535" s="8" t="str">
        <f>IF(TRIM($G2535)="","",IF(COUNTIF(LISTS!$I$2:$I$16,TRIM($G2535))&gt;0,"COUNTED",IF(COUNTIF(LISTS!$J$2:$J$16,TRIM($G2535))&gt;0,"LEFT OUT","NEW")))</f>
        <v/>
      </c>
    </row>
    <row r="2536" spans="47:47" x14ac:dyDescent="0.25">
      <c r="AU2536" s="8" t="str">
        <f>IF(TRIM($G2536)="","",IF(COUNTIF(LISTS!$I$2:$I$16,TRIM($G2536))&gt;0,"COUNTED",IF(COUNTIF(LISTS!$J$2:$J$16,TRIM($G2536))&gt;0,"LEFT OUT","NEW")))</f>
        <v/>
      </c>
    </row>
    <row r="2537" spans="47:47" x14ac:dyDescent="0.25">
      <c r="AU2537" s="8" t="str">
        <f>IF(TRIM($G2537)="","",IF(COUNTIF(LISTS!$I$2:$I$16,TRIM($G2537))&gt;0,"COUNTED",IF(COUNTIF(LISTS!$J$2:$J$16,TRIM($G2537))&gt;0,"LEFT OUT","NEW")))</f>
        <v/>
      </c>
    </row>
    <row r="2538" spans="47:47" x14ac:dyDescent="0.25">
      <c r="AU2538" s="8" t="str">
        <f>IF(TRIM($G2538)="","",IF(COUNTIF(LISTS!$I$2:$I$16,TRIM($G2538))&gt;0,"COUNTED",IF(COUNTIF(LISTS!$J$2:$J$16,TRIM($G2538))&gt;0,"LEFT OUT","NEW")))</f>
        <v/>
      </c>
    </row>
    <row r="2539" spans="47:47" x14ac:dyDescent="0.25">
      <c r="AU2539" s="8" t="str">
        <f>IF(TRIM($G2539)="","",IF(COUNTIF(LISTS!$I$2:$I$16,TRIM($G2539))&gt;0,"COUNTED",IF(COUNTIF(LISTS!$J$2:$J$16,TRIM($G2539))&gt;0,"LEFT OUT","NEW")))</f>
        <v/>
      </c>
    </row>
    <row r="2540" spans="47:47" x14ac:dyDescent="0.25">
      <c r="AU2540" s="8" t="str">
        <f>IF(TRIM($G2540)="","",IF(COUNTIF(LISTS!$I$2:$I$16,TRIM($G2540))&gt;0,"COUNTED",IF(COUNTIF(LISTS!$J$2:$J$16,TRIM($G2540))&gt;0,"LEFT OUT","NEW")))</f>
        <v/>
      </c>
    </row>
    <row r="2541" spans="47:47" x14ac:dyDescent="0.25">
      <c r="AU2541" s="8" t="str">
        <f>IF(TRIM($G2541)="","",IF(COUNTIF(LISTS!$I$2:$I$16,TRIM($G2541))&gt;0,"COUNTED",IF(COUNTIF(LISTS!$J$2:$J$16,TRIM($G2541))&gt;0,"LEFT OUT","NEW")))</f>
        <v/>
      </c>
    </row>
    <row r="2542" spans="47:47" x14ac:dyDescent="0.25">
      <c r="AU2542" s="8" t="str">
        <f>IF(TRIM($G2542)="","",IF(COUNTIF(LISTS!$I$2:$I$16,TRIM($G2542))&gt;0,"COUNTED",IF(COUNTIF(LISTS!$J$2:$J$16,TRIM($G2542))&gt;0,"LEFT OUT","NEW")))</f>
        <v/>
      </c>
    </row>
    <row r="2543" spans="47:47" x14ac:dyDescent="0.25">
      <c r="AU2543" s="8" t="str">
        <f>IF(TRIM($G2543)="","",IF(COUNTIF(LISTS!$I$2:$I$16,TRIM($G2543))&gt;0,"COUNTED",IF(COUNTIF(LISTS!$J$2:$J$16,TRIM($G2543))&gt;0,"LEFT OUT","NEW")))</f>
        <v/>
      </c>
    </row>
    <row r="2544" spans="47:47" x14ac:dyDescent="0.25">
      <c r="AU2544" s="8" t="str">
        <f>IF(TRIM($G2544)="","",IF(COUNTIF(LISTS!$I$2:$I$16,TRIM($G2544))&gt;0,"COUNTED",IF(COUNTIF(LISTS!$J$2:$J$16,TRIM($G2544))&gt;0,"LEFT OUT","NEW")))</f>
        <v/>
      </c>
    </row>
    <row r="2545" spans="47:47" x14ac:dyDescent="0.25">
      <c r="AU2545" s="8" t="str">
        <f>IF(TRIM($G2545)="","",IF(COUNTIF(LISTS!$I$2:$I$16,TRIM($G2545))&gt;0,"COUNTED",IF(COUNTIF(LISTS!$J$2:$J$16,TRIM($G2545))&gt;0,"LEFT OUT","NEW")))</f>
        <v/>
      </c>
    </row>
    <row r="2546" spans="47:47" x14ac:dyDescent="0.25">
      <c r="AU2546" s="8" t="str">
        <f>IF(TRIM($G2546)="","",IF(COUNTIF(LISTS!$I$2:$I$16,TRIM($G2546))&gt;0,"COUNTED",IF(COUNTIF(LISTS!$J$2:$J$16,TRIM($G2546))&gt;0,"LEFT OUT","NEW")))</f>
        <v/>
      </c>
    </row>
    <row r="2547" spans="47:47" x14ac:dyDescent="0.25">
      <c r="AU2547" s="8" t="str">
        <f>IF(TRIM($G2547)="","",IF(COUNTIF(LISTS!$I$2:$I$16,TRIM($G2547))&gt;0,"COUNTED",IF(COUNTIF(LISTS!$J$2:$J$16,TRIM($G2547))&gt;0,"LEFT OUT","NEW")))</f>
        <v/>
      </c>
    </row>
    <row r="2548" spans="47:47" x14ac:dyDescent="0.25">
      <c r="AU2548" s="8" t="str">
        <f>IF(TRIM($G2548)="","",IF(COUNTIF(LISTS!$I$2:$I$16,TRIM($G2548))&gt;0,"COUNTED",IF(COUNTIF(LISTS!$J$2:$J$16,TRIM($G2548))&gt;0,"LEFT OUT","NEW")))</f>
        <v/>
      </c>
    </row>
    <row r="2549" spans="47:47" x14ac:dyDescent="0.25">
      <c r="AU2549" s="8" t="str">
        <f>IF(TRIM($G2549)="","",IF(COUNTIF(LISTS!$I$2:$I$16,TRIM($G2549))&gt;0,"COUNTED",IF(COUNTIF(LISTS!$J$2:$J$16,TRIM($G2549))&gt;0,"LEFT OUT","NEW")))</f>
        <v/>
      </c>
    </row>
    <row r="2550" spans="47:47" x14ac:dyDescent="0.25">
      <c r="AU2550" s="8" t="str">
        <f>IF(TRIM($G2550)="","",IF(COUNTIF(LISTS!$I$2:$I$16,TRIM($G2550))&gt;0,"COUNTED",IF(COUNTIF(LISTS!$J$2:$J$16,TRIM($G2550))&gt;0,"LEFT OUT","NEW")))</f>
        <v/>
      </c>
    </row>
    <row r="2551" spans="47:47" x14ac:dyDescent="0.25">
      <c r="AU2551" s="8" t="str">
        <f>IF(TRIM($G2551)="","",IF(COUNTIF(LISTS!$I$2:$I$16,TRIM($G2551))&gt;0,"COUNTED",IF(COUNTIF(LISTS!$J$2:$J$16,TRIM($G2551))&gt;0,"LEFT OUT","NEW")))</f>
        <v/>
      </c>
    </row>
    <row r="2552" spans="47:47" x14ac:dyDescent="0.25">
      <c r="AU2552" s="8" t="str">
        <f>IF(TRIM($G2552)="","",IF(COUNTIF(LISTS!$I$2:$I$16,TRIM($G2552))&gt;0,"COUNTED",IF(COUNTIF(LISTS!$J$2:$J$16,TRIM($G2552))&gt;0,"LEFT OUT","NEW")))</f>
        <v/>
      </c>
    </row>
    <row r="2553" spans="47:47" x14ac:dyDescent="0.25">
      <c r="AU2553" s="8" t="str">
        <f>IF(TRIM($G2553)="","",IF(COUNTIF(LISTS!$I$2:$I$16,TRIM($G2553))&gt;0,"COUNTED",IF(COUNTIF(LISTS!$J$2:$J$16,TRIM($G2553))&gt;0,"LEFT OUT","NEW")))</f>
        <v/>
      </c>
    </row>
    <row r="2554" spans="47:47" x14ac:dyDescent="0.25">
      <c r="AU2554" s="8" t="str">
        <f>IF(TRIM($G2554)="","",IF(COUNTIF(LISTS!$I$2:$I$16,TRIM($G2554))&gt;0,"COUNTED",IF(COUNTIF(LISTS!$J$2:$J$16,TRIM($G2554))&gt;0,"LEFT OUT","NEW")))</f>
        <v/>
      </c>
    </row>
    <row r="2555" spans="47:47" x14ac:dyDescent="0.25">
      <c r="AU2555" s="8" t="str">
        <f>IF(TRIM($G2555)="","",IF(COUNTIF(LISTS!$I$2:$I$16,TRIM($G2555))&gt;0,"COUNTED",IF(COUNTIF(LISTS!$J$2:$J$16,TRIM($G2555))&gt;0,"LEFT OUT","NEW")))</f>
        <v/>
      </c>
    </row>
    <row r="2556" spans="47:47" x14ac:dyDescent="0.25">
      <c r="AU2556" s="8" t="str">
        <f>IF(TRIM($G2556)="","",IF(COUNTIF(LISTS!$I$2:$I$16,TRIM($G2556))&gt;0,"COUNTED",IF(COUNTIF(LISTS!$J$2:$J$16,TRIM($G2556))&gt;0,"LEFT OUT","NEW")))</f>
        <v/>
      </c>
    </row>
    <row r="2557" spans="47:47" x14ac:dyDescent="0.25">
      <c r="AU2557" s="8" t="str">
        <f>IF(TRIM($G2557)="","",IF(COUNTIF(LISTS!$I$2:$I$16,TRIM($G2557))&gt;0,"COUNTED",IF(COUNTIF(LISTS!$J$2:$J$16,TRIM($G2557))&gt;0,"LEFT OUT","NEW")))</f>
        <v/>
      </c>
    </row>
    <row r="2558" spans="47:47" x14ac:dyDescent="0.25">
      <c r="AU2558" s="8" t="str">
        <f>IF(TRIM($G2558)="","",IF(COUNTIF(LISTS!$I$2:$I$16,TRIM($G2558))&gt;0,"COUNTED",IF(COUNTIF(LISTS!$J$2:$J$16,TRIM($G2558))&gt;0,"LEFT OUT","NEW")))</f>
        <v/>
      </c>
    </row>
    <row r="2559" spans="47:47" x14ac:dyDescent="0.25">
      <c r="AU2559" s="8" t="str">
        <f>IF(TRIM($G2559)="","",IF(COUNTIF(LISTS!$I$2:$I$16,TRIM($G2559))&gt;0,"COUNTED",IF(COUNTIF(LISTS!$J$2:$J$16,TRIM($G2559))&gt;0,"LEFT OUT","NEW")))</f>
        <v/>
      </c>
    </row>
    <row r="2560" spans="47:47" x14ac:dyDescent="0.25">
      <c r="AU2560" s="8" t="str">
        <f>IF(TRIM($G2560)="","",IF(COUNTIF(LISTS!$I$2:$I$16,TRIM($G2560))&gt;0,"COUNTED",IF(COUNTIF(LISTS!$J$2:$J$16,TRIM($G2560))&gt;0,"LEFT OUT","NEW")))</f>
        <v/>
      </c>
    </row>
    <row r="2561" spans="47:47" x14ac:dyDescent="0.25">
      <c r="AU2561" s="8" t="str">
        <f>IF(TRIM($G2561)="","",IF(COUNTIF(LISTS!$I$2:$I$16,TRIM($G2561))&gt;0,"COUNTED",IF(COUNTIF(LISTS!$J$2:$J$16,TRIM($G2561))&gt;0,"LEFT OUT","NEW")))</f>
        <v/>
      </c>
    </row>
    <row r="2562" spans="47:47" x14ac:dyDescent="0.25">
      <c r="AU2562" s="8" t="str">
        <f>IF(TRIM($G2562)="","",IF(COUNTIF(LISTS!$I$2:$I$16,TRIM($G2562))&gt;0,"COUNTED",IF(COUNTIF(LISTS!$J$2:$J$16,TRIM($G2562))&gt;0,"LEFT OUT","NEW")))</f>
        <v/>
      </c>
    </row>
    <row r="2563" spans="47:47" x14ac:dyDescent="0.25">
      <c r="AU2563" s="8" t="str">
        <f>IF(TRIM($G2563)="","",IF(COUNTIF(LISTS!$I$2:$I$16,TRIM($G2563))&gt;0,"COUNTED",IF(COUNTIF(LISTS!$J$2:$J$16,TRIM($G2563))&gt;0,"LEFT OUT","NEW")))</f>
        <v/>
      </c>
    </row>
    <row r="2564" spans="47:47" x14ac:dyDescent="0.25">
      <c r="AU2564" s="8" t="str">
        <f>IF(TRIM($G2564)="","",IF(COUNTIF(LISTS!$I$2:$I$16,TRIM($G2564))&gt;0,"COUNTED",IF(COUNTIF(LISTS!$J$2:$J$16,TRIM($G2564))&gt;0,"LEFT OUT","NEW")))</f>
        <v/>
      </c>
    </row>
    <row r="2565" spans="47:47" x14ac:dyDescent="0.25">
      <c r="AU2565" s="8" t="str">
        <f>IF(TRIM($G2565)="","",IF(COUNTIF(LISTS!$I$2:$I$16,TRIM($G2565))&gt;0,"COUNTED",IF(COUNTIF(LISTS!$J$2:$J$16,TRIM($G2565))&gt;0,"LEFT OUT","NEW")))</f>
        <v/>
      </c>
    </row>
    <row r="2566" spans="47:47" x14ac:dyDescent="0.25">
      <c r="AU2566" s="8" t="str">
        <f>IF(TRIM($G2566)="","",IF(COUNTIF(LISTS!$I$2:$I$16,TRIM($G2566))&gt;0,"COUNTED",IF(COUNTIF(LISTS!$J$2:$J$16,TRIM($G2566))&gt;0,"LEFT OUT","NEW")))</f>
        <v/>
      </c>
    </row>
    <row r="2567" spans="47:47" x14ac:dyDescent="0.25">
      <c r="AU2567" s="8" t="str">
        <f>IF(TRIM($G2567)="","",IF(COUNTIF(LISTS!$I$2:$I$16,TRIM($G2567))&gt;0,"COUNTED",IF(COUNTIF(LISTS!$J$2:$J$16,TRIM($G2567))&gt;0,"LEFT OUT","NEW")))</f>
        <v/>
      </c>
    </row>
    <row r="2568" spans="47:47" x14ac:dyDescent="0.25">
      <c r="AU2568" s="8" t="str">
        <f>IF(TRIM($G2568)="","",IF(COUNTIF(LISTS!$I$2:$I$16,TRIM($G2568))&gt;0,"COUNTED",IF(COUNTIF(LISTS!$J$2:$J$16,TRIM($G2568))&gt;0,"LEFT OUT","NEW")))</f>
        <v/>
      </c>
    </row>
    <row r="2569" spans="47:47" x14ac:dyDescent="0.25">
      <c r="AU2569" s="8" t="str">
        <f>IF(TRIM($G2569)="","",IF(COUNTIF(LISTS!$I$2:$I$16,TRIM($G2569))&gt;0,"COUNTED",IF(COUNTIF(LISTS!$J$2:$J$16,TRIM($G2569))&gt;0,"LEFT OUT","NEW")))</f>
        <v/>
      </c>
    </row>
    <row r="2570" spans="47:47" x14ac:dyDescent="0.25">
      <c r="AU2570" s="8" t="str">
        <f>IF(TRIM($G2570)="","",IF(COUNTIF(LISTS!$I$2:$I$16,TRIM($G2570))&gt;0,"COUNTED",IF(COUNTIF(LISTS!$J$2:$J$16,TRIM($G2570))&gt;0,"LEFT OUT","NEW")))</f>
        <v/>
      </c>
    </row>
    <row r="2571" spans="47:47" x14ac:dyDescent="0.25">
      <c r="AU2571" s="8" t="str">
        <f>IF(TRIM($G2571)="","",IF(COUNTIF(LISTS!$I$2:$I$16,TRIM($G2571))&gt;0,"COUNTED",IF(COUNTIF(LISTS!$J$2:$J$16,TRIM($G2571))&gt;0,"LEFT OUT","NEW")))</f>
        <v/>
      </c>
    </row>
    <row r="2572" spans="47:47" x14ac:dyDescent="0.25">
      <c r="AU2572" s="8" t="str">
        <f>IF(TRIM($G2572)="","",IF(COUNTIF(LISTS!$I$2:$I$16,TRIM($G2572))&gt;0,"COUNTED",IF(COUNTIF(LISTS!$J$2:$J$16,TRIM($G2572))&gt;0,"LEFT OUT","NEW")))</f>
        <v/>
      </c>
    </row>
    <row r="2573" spans="47:47" x14ac:dyDescent="0.25">
      <c r="AU2573" s="8" t="str">
        <f>IF(TRIM($G2573)="","",IF(COUNTIF(LISTS!$I$2:$I$16,TRIM($G2573))&gt;0,"COUNTED",IF(COUNTIF(LISTS!$J$2:$J$16,TRIM($G2573))&gt;0,"LEFT OUT","NEW")))</f>
        <v/>
      </c>
    </row>
    <row r="2574" spans="47:47" x14ac:dyDescent="0.25">
      <c r="AU2574" s="8" t="str">
        <f>IF(TRIM($G2574)="","",IF(COUNTIF(LISTS!$I$2:$I$16,TRIM($G2574))&gt;0,"COUNTED",IF(COUNTIF(LISTS!$J$2:$J$16,TRIM($G2574))&gt;0,"LEFT OUT","NEW")))</f>
        <v/>
      </c>
    </row>
    <row r="2575" spans="47:47" x14ac:dyDescent="0.25">
      <c r="AU2575" s="8" t="str">
        <f>IF(TRIM($G2575)="","",IF(COUNTIF(LISTS!$I$2:$I$16,TRIM($G2575))&gt;0,"COUNTED",IF(COUNTIF(LISTS!$J$2:$J$16,TRIM($G2575))&gt;0,"LEFT OUT","NEW")))</f>
        <v/>
      </c>
    </row>
    <row r="2576" spans="47:47" x14ac:dyDescent="0.25">
      <c r="AU2576" s="8" t="str">
        <f>IF(TRIM($G2576)="","",IF(COUNTIF(LISTS!$I$2:$I$16,TRIM($G2576))&gt;0,"COUNTED",IF(COUNTIF(LISTS!$J$2:$J$16,TRIM($G2576))&gt;0,"LEFT OUT","NEW")))</f>
        <v/>
      </c>
    </row>
    <row r="2577" spans="47:47" x14ac:dyDescent="0.25">
      <c r="AU2577" s="8" t="str">
        <f>IF(TRIM($G2577)="","",IF(COUNTIF(LISTS!$I$2:$I$16,TRIM($G2577))&gt;0,"COUNTED",IF(COUNTIF(LISTS!$J$2:$J$16,TRIM($G2577))&gt;0,"LEFT OUT","NEW")))</f>
        <v/>
      </c>
    </row>
    <row r="2578" spans="47:47" x14ac:dyDescent="0.25">
      <c r="AU2578" s="8" t="str">
        <f>IF(TRIM($G2578)="","",IF(COUNTIF(LISTS!$I$2:$I$16,TRIM($G2578))&gt;0,"COUNTED",IF(COUNTIF(LISTS!$J$2:$J$16,TRIM($G2578))&gt;0,"LEFT OUT","NEW")))</f>
        <v/>
      </c>
    </row>
    <row r="2579" spans="47:47" x14ac:dyDescent="0.25">
      <c r="AU2579" s="8" t="str">
        <f>IF(TRIM($G2579)="","",IF(COUNTIF(LISTS!$I$2:$I$16,TRIM($G2579))&gt;0,"COUNTED",IF(COUNTIF(LISTS!$J$2:$J$16,TRIM($G2579))&gt;0,"LEFT OUT","NEW")))</f>
        <v/>
      </c>
    </row>
    <row r="2580" spans="47:47" x14ac:dyDescent="0.25">
      <c r="AU2580" s="8" t="str">
        <f>IF(TRIM($G2580)="","",IF(COUNTIF(LISTS!$I$2:$I$16,TRIM($G2580))&gt;0,"COUNTED",IF(COUNTIF(LISTS!$J$2:$J$16,TRIM($G2580))&gt;0,"LEFT OUT","NEW")))</f>
        <v/>
      </c>
    </row>
    <row r="2581" spans="47:47" x14ac:dyDescent="0.25">
      <c r="AU2581" s="8" t="str">
        <f>IF(TRIM($G2581)="","",IF(COUNTIF(LISTS!$I$2:$I$16,TRIM($G2581))&gt;0,"COUNTED",IF(COUNTIF(LISTS!$J$2:$J$16,TRIM($G2581))&gt;0,"LEFT OUT","NEW")))</f>
        <v/>
      </c>
    </row>
    <row r="2582" spans="47:47" x14ac:dyDescent="0.25">
      <c r="AU2582" s="8" t="str">
        <f>IF(TRIM($G2582)="","",IF(COUNTIF(LISTS!$I$2:$I$16,TRIM($G2582))&gt;0,"COUNTED",IF(COUNTIF(LISTS!$J$2:$J$16,TRIM($G2582))&gt;0,"LEFT OUT","NEW")))</f>
        <v/>
      </c>
    </row>
    <row r="2583" spans="47:47" x14ac:dyDescent="0.25">
      <c r="AU2583" s="8" t="str">
        <f>IF(TRIM($G2583)="","",IF(COUNTIF(LISTS!$I$2:$I$16,TRIM($G2583))&gt;0,"COUNTED",IF(COUNTIF(LISTS!$J$2:$J$16,TRIM($G2583))&gt;0,"LEFT OUT","NEW")))</f>
        <v/>
      </c>
    </row>
    <row r="2584" spans="47:47" x14ac:dyDescent="0.25">
      <c r="AU2584" s="8" t="str">
        <f>IF(TRIM($G2584)="","",IF(COUNTIF(LISTS!$I$2:$I$16,TRIM($G2584))&gt;0,"COUNTED",IF(COUNTIF(LISTS!$J$2:$J$16,TRIM($G2584))&gt;0,"LEFT OUT","NEW")))</f>
        <v/>
      </c>
    </row>
    <row r="2585" spans="47:47" x14ac:dyDescent="0.25">
      <c r="AU2585" s="8" t="str">
        <f>IF(TRIM($G2585)="","",IF(COUNTIF(LISTS!$I$2:$I$16,TRIM($G2585))&gt;0,"COUNTED",IF(COUNTIF(LISTS!$J$2:$J$16,TRIM($G2585))&gt;0,"LEFT OUT","NEW")))</f>
        <v/>
      </c>
    </row>
    <row r="2586" spans="47:47" x14ac:dyDescent="0.25">
      <c r="AU2586" s="8" t="str">
        <f>IF(TRIM($G2586)="","",IF(COUNTIF(LISTS!$I$2:$I$16,TRIM($G2586))&gt;0,"COUNTED",IF(COUNTIF(LISTS!$J$2:$J$16,TRIM($G2586))&gt;0,"LEFT OUT","NEW")))</f>
        <v/>
      </c>
    </row>
    <row r="2587" spans="47:47" x14ac:dyDescent="0.25">
      <c r="AU2587" s="8" t="str">
        <f>IF(TRIM($G2587)="","",IF(COUNTIF(LISTS!$I$2:$I$16,TRIM($G2587))&gt;0,"COUNTED",IF(COUNTIF(LISTS!$J$2:$J$16,TRIM($G2587))&gt;0,"LEFT OUT","NEW")))</f>
        <v/>
      </c>
    </row>
    <row r="2588" spans="47:47" x14ac:dyDescent="0.25">
      <c r="AU2588" s="8" t="str">
        <f>IF(TRIM($G2588)="","",IF(COUNTIF(LISTS!$I$2:$I$16,TRIM($G2588))&gt;0,"COUNTED",IF(COUNTIF(LISTS!$J$2:$J$16,TRIM($G2588))&gt;0,"LEFT OUT","NEW")))</f>
        <v/>
      </c>
    </row>
    <row r="2589" spans="47:47" x14ac:dyDescent="0.25">
      <c r="AU2589" s="8" t="str">
        <f>IF(TRIM($G2589)="","",IF(COUNTIF(LISTS!$I$2:$I$16,TRIM($G2589))&gt;0,"COUNTED",IF(COUNTIF(LISTS!$J$2:$J$16,TRIM($G2589))&gt;0,"LEFT OUT","NEW")))</f>
        <v/>
      </c>
    </row>
    <row r="2590" spans="47:47" x14ac:dyDescent="0.25">
      <c r="AU2590" s="8" t="str">
        <f>IF(TRIM($G2590)="","",IF(COUNTIF(LISTS!$I$2:$I$16,TRIM($G2590))&gt;0,"COUNTED",IF(COUNTIF(LISTS!$J$2:$J$16,TRIM($G2590))&gt;0,"LEFT OUT","NEW")))</f>
        <v/>
      </c>
    </row>
    <row r="2591" spans="47:47" x14ac:dyDescent="0.25">
      <c r="AU2591" s="8" t="str">
        <f>IF(TRIM($G2591)="","",IF(COUNTIF(LISTS!$I$2:$I$16,TRIM($G2591))&gt;0,"COUNTED",IF(COUNTIF(LISTS!$J$2:$J$16,TRIM($G2591))&gt;0,"LEFT OUT","NEW")))</f>
        <v/>
      </c>
    </row>
    <row r="2592" spans="47:47" x14ac:dyDescent="0.25">
      <c r="AU2592" s="8" t="str">
        <f>IF(TRIM($G2592)="","",IF(COUNTIF(LISTS!$I$2:$I$16,TRIM($G2592))&gt;0,"COUNTED",IF(COUNTIF(LISTS!$J$2:$J$16,TRIM($G2592))&gt;0,"LEFT OUT","NEW")))</f>
        <v/>
      </c>
    </row>
    <row r="2593" spans="47:47" x14ac:dyDescent="0.25">
      <c r="AU2593" s="8" t="str">
        <f>IF(TRIM($G2593)="","",IF(COUNTIF(LISTS!$I$2:$I$16,TRIM($G2593))&gt;0,"COUNTED",IF(COUNTIF(LISTS!$J$2:$J$16,TRIM($G2593))&gt;0,"LEFT OUT","NEW")))</f>
        <v/>
      </c>
    </row>
    <row r="2594" spans="47:47" x14ac:dyDescent="0.25">
      <c r="AU2594" s="8" t="str">
        <f>IF(TRIM($G2594)="","",IF(COUNTIF(LISTS!$I$2:$I$16,TRIM($G2594))&gt;0,"COUNTED",IF(COUNTIF(LISTS!$J$2:$J$16,TRIM($G2594))&gt;0,"LEFT OUT","NEW")))</f>
        <v/>
      </c>
    </row>
    <row r="2595" spans="47:47" x14ac:dyDescent="0.25">
      <c r="AU2595" s="8" t="str">
        <f>IF(TRIM($G2595)="","",IF(COUNTIF(LISTS!$I$2:$I$16,TRIM($G2595))&gt;0,"COUNTED",IF(COUNTIF(LISTS!$J$2:$J$16,TRIM($G2595))&gt;0,"LEFT OUT","NEW")))</f>
        <v/>
      </c>
    </row>
    <row r="2596" spans="47:47" x14ac:dyDescent="0.25">
      <c r="AU2596" s="8" t="str">
        <f>IF(TRIM($G2596)="","",IF(COUNTIF(LISTS!$I$2:$I$16,TRIM($G2596))&gt;0,"COUNTED",IF(COUNTIF(LISTS!$J$2:$J$16,TRIM($G2596))&gt;0,"LEFT OUT","NEW")))</f>
        <v/>
      </c>
    </row>
    <row r="2597" spans="47:47" x14ac:dyDescent="0.25">
      <c r="AU2597" s="8" t="str">
        <f>IF(TRIM($G2597)="","",IF(COUNTIF(LISTS!$I$2:$I$16,TRIM($G2597))&gt;0,"COUNTED",IF(COUNTIF(LISTS!$J$2:$J$16,TRIM($G2597))&gt;0,"LEFT OUT","NEW")))</f>
        <v/>
      </c>
    </row>
    <row r="2598" spans="47:47" x14ac:dyDescent="0.25">
      <c r="AU2598" s="8" t="str">
        <f>IF(TRIM($G2598)="","",IF(COUNTIF(LISTS!$I$2:$I$16,TRIM($G2598))&gt;0,"COUNTED",IF(COUNTIF(LISTS!$J$2:$J$16,TRIM($G2598))&gt;0,"LEFT OUT","NEW")))</f>
        <v/>
      </c>
    </row>
    <row r="2599" spans="47:47" x14ac:dyDescent="0.25">
      <c r="AU2599" s="8" t="str">
        <f>IF(TRIM($G2599)="","",IF(COUNTIF(LISTS!$I$2:$I$16,TRIM($G2599))&gt;0,"COUNTED",IF(COUNTIF(LISTS!$J$2:$J$16,TRIM($G2599))&gt;0,"LEFT OUT","NEW")))</f>
        <v/>
      </c>
    </row>
    <row r="2600" spans="47:47" x14ac:dyDescent="0.25">
      <c r="AU2600" s="8" t="str">
        <f>IF(TRIM($G2600)="","",IF(COUNTIF(LISTS!$I$2:$I$16,TRIM($G2600))&gt;0,"COUNTED",IF(COUNTIF(LISTS!$J$2:$J$16,TRIM($G2600))&gt;0,"LEFT OUT","NEW")))</f>
        <v/>
      </c>
    </row>
    <row r="2601" spans="47:47" x14ac:dyDescent="0.25">
      <c r="AU2601" s="8" t="str">
        <f>IF(TRIM($G2601)="","",IF(COUNTIF(LISTS!$I$2:$I$16,TRIM($G2601))&gt;0,"COUNTED",IF(COUNTIF(LISTS!$J$2:$J$16,TRIM($G2601))&gt;0,"LEFT OUT","NEW")))</f>
        <v/>
      </c>
    </row>
    <row r="2602" spans="47:47" x14ac:dyDescent="0.25">
      <c r="AU2602" s="8" t="str">
        <f>IF(TRIM($G2602)="","",IF(COUNTIF(LISTS!$I$2:$I$16,TRIM($G2602))&gt;0,"COUNTED",IF(COUNTIF(LISTS!$J$2:$J$16,TRIM($G2602))&gt;0,"LEFT OUT","NEW")))</f>
        <v/>
      </c>
    </row>
    <row r="2603" spans="47:47" x14ac:dyDescent="0.25">
      <c r="AU2603" s="8" t="str">
        <f>IF(TRIM($G2603)="","",IF(COUNTIF(LISTS!$I$2:$I$16,TRIM($G2603))&gt;0,"COUNTED",IF(COUNTIF(LISTS!$J$2:$J$16,TRIM($G2603))&gt;0,"LEFT OUT","NEW")))</f>
        <v/>
      </c>
    </row>
    <row r="2604" spans="47:47" x14ac:dyDescent="0.25">
      <c r="AU2604" s="8" t="str">
        <f>IF(TRIM($G2604)="","",IF(COUNTIF(LISTS!$I$2:$I$16,TRIM($G2604))&gt;0,"COUNTED",IF(COUNTIF(LISTS!$J$2:$J$16,TRIM($G2604))&gt;0,"LEFT OUT","NEW")))</f>
        <v/>
      </c>
    </row>
    <row r="2605" spans="47:47" x14ac:dyDescent="0.25">
      <c r="AU2605" s="8" t="str">
        <f>IF(TRIM($G2605)="","",IF(COUNTIF(LISTS!$I$2:$I$16,TRIM($G2605))&gt;0,"COUNTED",IF(COUNTIF(LISTS!$J$2:$J$16,TRIM($G2605))&gt;0,"LEFT OUT","NEW")))</f>
        <v/>
      </c>
    </row>
    <row r="2606" spans="47:47" x14ac:dyDescent="0.25">
      <c r="AU2606" s="8" t="str">
        <f>IF(TRIM($G2606)="","",IF(COUNTIF(LISTS!$I$2:$I$16,TRIM($G2606))&gt;0,"COUNTED",IF(COUNTIF(LISTS!$J$2:$J$16,TRIM($G2606))&gt;0,"LEFT OUT","NEW")))</f>
        <v/>
      </c>
    </row>
    <row r="2607" spans="47:47" x14ac:dyDescent="0.25">
      <c r="AU2607" s="8" t="str">
        <f>IF(TRIM($G2607)="","",IF(COUNTIF(LISTS!$I$2:$I$16,TRIM($G2607))&gt;0,"COUNTED",IF(COUNTIF(LISTS!$J$2:$J$16,TRIM($G2607))&gt;0,"LEFT OUT","NEW")))</f>
        <v/>
      </c>
    </row>
    <row r="2608" spans="47:47" x14ac:dyDescent="0.25">
      <c r="AU2608" s="8" t="str">
        <f>IF(TRIM($G2608)="","",IF(COUNTIF(LISTS!$I$2:$I$16,TRIM($G2608))&gt;0,"COUNTED",IF(COUNTIF(LISTS!$J$2:$J$16,TRIM($G2608))&gt;0,"LEFT OUT","NEW")))</f>
        <v/>
      </c>
    </row>
    <row r="2609" spans="47:47" x14ac:dyDescent="0.25">
      <c r="AU2609" s="8" t="str">
        <f>IF(TRIM($G2609)="","",IF(COUNTIF(LISTS!$I$2:$I$16,TRIM($G2609))&gt;0,"COUNTED",IF(COUNTIF(LISTS!$J$2:$J$16,TRIM($G2609))&gt;0,"LEFT OUT","NEW")))</f>
        <v/>
      </c>
    </row>
    <row r="2610" spans="47:47" x14ac:dyDescent="0.25">
      <c r="AU2610" s="8" t="str">
        <f>IF(TRIM($G2610)="","",IF(COUNTIF(LISTS!$I$2:$I$16,TRIM($G2610))&gt;0,"COUNTED",IF(COUNTIF(LISTS!$J$2:$J$16,TRIM($G2610))&gt;0,"LEFT OUT","NEW")))</f>
        <v/>
      </c>
    </row>
    <row r="2611" spans="47:47" x14ac:dyDescent="0.25">
      <c r="AU2611" s="8" t="str">
        <f>IF(TRIM($G2611)="","",IF(COUNTIF(LISTS!$I$2:$I$16,TRIM($G2611))&gt;0,"COUNTED",IF(COUNTIF(LISTS!$J$2:$J$16,TRIM($G2611))&gt;0,"LEFT OUT","NEW")))</f>
        <v/>
      </c>
    </row>
    <row r="2612" spans="47:47" x14ac:dyDescent="0.25">
      <c r="AU2612" s="8" t="str">
        <f>IF(TRIM($G2612)="","",IF(COUNTIF(LISTS!$I$2:$I$16,TRIM($G2612))&gt;0,"COUNTED",IF(COUNTIF(LISTS!$J$2:$J$16,TRIM($G2612))&gt;0,"LEFT OUT","NEW")))</f>
        <v/>
      </c>
    </row>
    <row r="2613" spans="47:47" x14ac:dyDescent="0.25">
      <c r="AU2613" s="8" t="str">
        <f>IF(TRIM($G2613)="","",IF(COUNTIF(LISTS!$I$2:$I$16,TRIM($G2613))&gt;0,"COUNTED",IF(COUNTIF(LISTS!$J$2:$J$16,TRIM($G2613))&gt;0,"LEFT OUT","NEW")))</f>
        <v/>
      </c>
    </row>
    <row r="2614" spans="47:47" x14ac:dyDescent="0.25">
      <c r="AU2614" s="8" t="str">
        <f>IF(TRIM($G2614)="","",IF(COUNTIF(LISTS!$I$2:$I$16,TRIM($G2614))&gt;0,"COUNTED",IF(COUNTIF(LISTS!$J$2:$J$16,TRIM($G2614))&gt;0,"LEFT OUT","NEW")))</f>
        <v/>
      </c>
    </row>
    <row r="2615" spans="47:47" x14ac:dyDescent="0.25">
      <c r="AU2615" s="8" t="str">
        <f>IF(TRIM($G2615)="","",IF(COUNTIF(LISTS!$I$2:$I$16,TRIM($G2615))&gt;0,"COUNTED",IF(COUNTIF(LISTS!$J$2:$J$16,TRIM($G2615))&gt;0,"LEFT OUT","NEW")))</f>
        <v/>
      </c>
    </row>
    <row r="2616" spans="47:47" x14ac:dyDescent="0.25">
      <c r="AU2616" s="8" t="str">
        <f>IF(TRIM($G2616)="","",IF(COUNTIF(LISTS!$I$2:$I$16,TRIM($G2616))&gt;0,"COUNTED",IF(COUNTIF(LISTS!$J$2:$J$16,TRIM($G2616))&gt;0,"LEFT OUT","NEW")))</f>
        <v/>
      </c>
    </row>
    <row r="2617" spans="47:47" x14ac:dyDescent="0.25">
      <c r="AU2617" s="8" t="str">
        <f>IF(TRIM($G2617)="","",IF(COUNTIF(LISTS!$I$2:$I$16,TRIM($G2617))&gt;0,"COUNTED",IF(COUNTIF(LISTS!$J$2:$J$16,TRIM($G2617))&gt;0,"LEFT OUT","NEW")))</f>
        <v/>
      </c>
    </row>
    <row r="2618" spans="47:47" x14ac:dyDescent="0.25">
      <c r="AU2618" s="8" t="str">
        <f>IF(TRIM($G2618)="","",IF(COUNTIF(LISTS!$I$2:$I$16,TRIM($G2618))&gt;0,"COUNTED",IF(COUNTIF(LISTS!$J$2:$J$16,TRIM($G2618))&gt;0,"LEFT OUT","NEW")))</f>
        <v/>
      </c>
    </row>
    <row r="2619" spans="47:47" x14ac:dyDescent="0.25">
      <c r="AU2619" s="8" t="str">
        <f>IF(TRIM($G2619)="","",IF(COUNTIF(LISTS!$I$2:$I$16,TRIM($G2619))&gt;0,"COUNTED",IF(COUNTIF(LISTS!$J$2:$J$16,TRIM($G2619))&gt;0,"LEFT OUT","NEW")))</f>
        <v/>
      </c>
    </row>
    <row r="2620" spans="47:47" x14ac:dyDescent="0.25">
      <c r="AU2620" s="8" t="str">
        <f>IF(TRIM($G2620)="","",IF(COUNTIF(LISTS!$I$2:$I$16,TRIM($G2620))&gt;0,"COUNTED",IF(COUNTIF(LISTS!$J$2:$J$16,TRIM($G2620))&gt;0,"LEFT OUT","NEW")))</f>
        <v/>
      </c>
    </row>
    <row r="2621" spans="47:47" x14ac:dyDescent="0.25">
      <c r="AU2621" s="8" t="str">
        <f>IF(TRIM($G2621)="","",IF(COUNTIF(LISTS!$I$2:$I$16,TRIM($G2621))&gt;0,"COUNTED",IF(COUNTIF(LISTS!$J$2:$J$16,TRIM($G2621))&gt;0,"LEFT OUT","NEW")))</f>
        <v/>
      </c>
    </row>
    <row r="2622" spans="47:47" x14ac:dyDescent="0.25">
      <c r="AU2622" s="8" t="str">
        <f>IF(TRIM($G2622)="","",IF(COUNTIF(LISTS!$I$2:$I$16,TRIM($G2622))&gt;0,"COUNTED",IF(COUNTIF(LISTS!$J$2:$J$16,TRIM($G2622))&gt;0,"LEFT OUT","NEW")))</f>
        <v/>
      </c>
    </row>
    <row r="2623" spans="47:47" x14ac:dyDescent="0.25">
      <c r="AU2623" s="8" t="str">
        <f>IF(TRIM($G2623)="","",IF(COUNTIF(LISTS!$I$2:$I$16,TRIM($G2623))&gt;0,"COUNTED",IF(COUNTIF(LISTS!$J$2:$J$16,TRIM($G2623))&gt;0,"LEFT OUT","NEW")))</f>
        <v/>
      </c>
    </row>
    <row r="2624" spans="47:47" x14ac:dyDescent="0.25">
      <c r="AU2624" s="8" t="str">
        <f>IF(TRIM($G2624)="","",IF(COUNTIF(LISTS!$I$2:$I$16,TRIM($G2624))&gt;0,"COUNTED",IF(COUNTIF(LISTS!$J$2:$J$16,TRIM($G2624))&gt;0,"LEFT OUT","NEW")))</f>
        <v/>
      </c>
    </row>
    <row r="2625" spans="47:47" x14ac:dyDescent="0.25">
      <c r="AU2625" s="8" t="str">
        <f>IF(TRIM($G2625)="","",IF(COUNTIF(LISTS!$I$2:$I$16,TRIM($G2625))&gt;0,"COUNTED",IF(COUNTIF(LISTS!$J$2:$J$16,TRIM($G2625))&gt;0,"LEFT OUT","NEW")))</f>
        <v/>
      </c>
    </row>
    <row r="2626" spans="47:47" x14ac:dyDescent="0.25">
      <c r="AU2626" s="8" t="str">
        <f>IF(TRIM($G2626)="","",IF(COUNTIF(LISTS!$I$2:$I$16,TRIM($G2626))&gt;0,"COUNTED",IF(COUNTIF(LISTS!$J$2:$J$16,TRIM($G2626))&gt;0,"LEFT OUT","NEW")))</f>
        <v/>
      </c>
    </row>
    <row r="2627" spans="47:47" x14ac:dyDescent="0.25">
      <c r="AU2627" s="8" t="str">
        <f>IF(TRIM($G2627)="","",IF(COUNTIF(LISTS!$I$2:$I$16,TRIM($G2627))&gt;0,"COUNTED",IF(COUNTIF(LISTS!$J$2:$J$16,TRIM($G2627))&gt;0,"LEFT OUT","NEW")))</f>
        <v/>
      </c>
    </row>
    <row r="2628" spans="47:47" x14ac:dyDescent="0.25">
      <c r="AU2628" s="8" t="str">
        <f>IF(TRIM($G2628)="","",IF(COUNTIF(LISTS!$I$2:$I$16,TRIM($G2628))&gt;0,"COUNTED",IF(COUNTIF(LISTS!$J$2:$J$16,TRIM($G2628))&gt;0,"LEFT OUT","NEW")))</f>
        <v/>
      </c>
    </row>
    <row r="2629" spans="47:47" x14ac:dyDescent="0.25">
      <c r="AU2629" s="8" t="str">
        <f>IF(TRIM($G2629)="","",IF(COUNTIF(LISTS!$I$2:$I$16,TRIM($G2629))&gt;0,"COUNTED",IF(COUNTIF(LISTS!$J$2:$J$16,TRIM($G2629))&gt;0,"LEFT OUT","NEW")))</f>
        <v/>
      </c>
    </row>
    <row r="2630" spans="47:47" x14ac:dyDescent="0.25">
      <c r="AU2630" s="8" t="str">
        <f>IF(TRIM($G2630)="","",IF(COUNTIF(LISTS!$I$2:$I$16,TRIM($G2630))&gt;0,"COUNTED",IF(COUNTIF(LISTS!$J$2:$J$16,TRIM($G2630))&gt;0,"LEFT OUT","NEW")))</f>
        <v/>
      </c>
    </row>
    <row r="2631" spans="47:47" x14ac:dyDescent="0.25">
      <c r="AU2631" s="8" t="str">
        <f>IF(TRIM($G2631)="","",IF(COUNTIF(LISTS!$I$2:$I$16,TRIM($G2631))&gt;0,"COUNTED",IF(COUNTIF(LISTS!$J$2:$J$16,TRIM($G2631))&gt;0,"LEFT OUT","NEW")))</f>
        <v/>
      </c>
    </row>
    <row r="2632" spans="47:47" x14ac:dyDescent="0.25">
      <c r="AU2632" s="8" t="str">
        <f>IF(TRIM($G2632)="","",IF(COUNTIF(LISTS!$I$2:$I$16,TRIM($G2632))&gt;0,"COUNTED",IF(COUNTIF(LISTS!$J$2:$J$16,TRIM($G2632))&gt;0,"LEFT OUT","NEW")))</f>
        <v/>
      </c>
    </row>
    <row r="2633" spans="47:47" x14ac:dyDescent="0.25">
      <c r="AU2633" s="8" t="str">
        <f>IF(TRIM($G2633)="","",IF(COUNTIF(LISTS!$I$2:$I$16,TRIM($G2633))&gt;0,"COUNTED",IF(COUNTIF(LISTS!$J$2:$J$16,TRIM($G2633))&gt;0,"LEFT OUT","NEW")))</f>
        <v/>
      </c>
    </row>
    <row r="2634" spans="47:47" x14ac:dyDescent="0.25">
      <c r="AU2634" s="8" t="str">
        <f>IF(TRIM($G2634)="","",IF(COUNTIF(LISTS!$I$2:$I$16,TRIM($G2634))&gt;0,"COUNTED",IF(COUNTIF(LISTS!$J$2:$J$16,TRIM($G2634))&gt;0,"LEFT OUT","NEW")))</f>
        <v/>
      </c>
    </row>
    <row r="2635" spans="47:47" x14ac:dyDescent="0.25">
      <c r="AU2635" s="8" t="str">
        <f>IF(TRIM($G2635)="","",IF(COUNTIF(LISTS!$I$2:$I$16,TRIM($G2635))&gt;0,"COUNTED",IF(COUNTIF(LISTS!$J$2:$J$16,TRIM($G2635))&gt;0,"LEFT OUT","NEW")))</f>
        <v/>
      </c>
    </row>
    <row r="2636" spans="47:47" x14ac:dyDescent="0.25">
      <c r="AU2636" s="8" t="str">
        <f>IF(TRIM($G2636)="","",IF(COUNTIF(LISTS!$I$2:$I$16,TRIM($G2636))&gt;0,"COUNTED",IF(COUNTIF(LISTS!$J$2:$J$16,TRIM($G2636))&gt;0,"LEFT OUT","NEW")))</f>
        <v/>
      </c>
    </row>
    <row r="2637" spans="47:47" x14ac:dyDescent="0.25">
      <c r="AU2637" s="8" t="str">
        <f>IF(TRIM($G2637)="","",IF(COUNTIF(LISTS!$I$2:$I$16,TRIM($G2637))&gt;0,"COUNTED",IF(COUNTIF(LISTS!$J$2:$J$16,TRIM($G2637))&gt;0,"LEFT OUT","NEW")))</f>
        <v/>
      </c>
    </row>
    <row r="2638" spans="47:47" x14ac:dyDescent="0.25">
      <c r="AU2638" s="8" t="str">
        <f>IF(TRIM($G2638)="","",IF(COUNTIF(LISTS!$I$2:$I$16,TRIM($G2638))&gt;0,"COUNTED",IF(COUNTIF(LISTS!$J$2:$J$16,TRIM($G2638))&gt;0,"LEFT OUT","NEW")))</f>
        <v/>
      </c>
    </row>
    <row r="2639" spans="47:47" x14ac:dyDescent="0.25">
      <c r="AU2639" s="8" t="str">
        <f>IF(TRIM($G2639)="","",IF(COUNTIF(LISTS!$I$2:$I$16,TRIM($G2639))&gt;0,"COUNTED",IF(COUNTIF(LISTS!$J$2:$J$16,TRIM($G2639))&gt;0,"LEFT OUT","NEW")))</f>
        <v/>
      </c>
    </row>
    <row r="2640" spans="47:47" x14ac:dyDescent="0.25">
      <c r="AU2640" s="8" t="str">
        <f>IF(TRIM($G2640)="","",IF(COUNTIF(LISTS!$I$2:$I$16,TRIM($G2640))&gt;0,"COUNTED",IF(COUNTIF(LISTS!$J$2:$J$16,TRIM($G2640))&gt;0,"LEFT OUT","NEW")))</f>
        <v/>
      </c>
    </row>
    <row r="2641" spans="47:47" x14ac:dyDescent="0.25">
      <c r="AU2641" s="8" t="str">
        <f>IF(TRIM($G2641)="","",IF(COUNTIF(LISTS!$I$2:$I$16,TRIM($G2641))&gt;0,"COUNTED",IF(COUNTIF(LISTS!$J$2:$J$16,TRIM($G2641))&gt;0,"LEFT OUT","NEW")))</f>
        <v/>
      </c>
    </row>
    <row r="2642" spans="47:47" x14ac:dyDescent="0.25">
      <c r="AU2642" s="8" t="str">
        <f>IF(TRIM($G2642)="","",IF(COUNTIF(LISTS!$I$2:$I$16,TRIM($G2642))&gt;0,"COUNTED",IF(COUNTIF(LISTS!$J$2:$J$16,TRIM($G2642))&gt;0,"LEFT OUT","NEW")))</f>
        <v/>
      </c>
    </row>
    <row r="2643" spans="47:47" x14ac:dyDescent="0.25">
      <c r="AU2643" s="8" t="str">
        <f>IF(TRIM($G2643)="","",IF(COUNTIF(LISTS!$I$2:$I$16,TRIM($G2643))&gt;0,"COUNTED",IF(COUNTIF(LISTS!$J$2:$J$16,TRIM($G2643))&gt;0,"LEFT OUT","NEW")))</f>
        <v/>
      </c>
    </row>
    <row r="2644" spans="47:47" x14ac:dyDescent="0.25">
      <c r="AU2644" s="8" t="str">
        <f>IF(TRIM($G2644)="","",IF(COUNTIF(LISTS!$I$2:$I$16,TRIM($G2644))&gt;0,"COUNTED",IF(COUNTIF(LISTS!$J$2:$J$16,TRIM($G2644))&gt;0,"LEFT OUT","NEW")))</f>
        <v/>
      </c>
    </row>
    <row r="2645" spans="47:47" x14ac:dyDescent="0.25">
      <c r="AU2645" s="8" t="str">
        <f>IF(TRIM($G2645)="","",IF(COUNTIF(LISTS!$I$2:$I$16,TRIM($G2645))&gt;0,"COUNTED",IF(COUNTIF(LISTS!$J$2:$J$16,TRIM($G2645))&gt;0,"LEFT OUT","NEW")))</f>
        <v/>
      </c>
    </row>
    <row r="2646" spans="47:47" x14ac:dyDescent="0.25">
      <c r="AU2646" s="8" t="str">
        <f>IF(TRIM($G2646)="","",IF(COUNTIF(LISTS!$I$2:$I$16,TRIM($G2646))&gt;0,"COUNTED",IF(COUNTIF(LISTS!$J$2:$J$16,TRIM($G2646))&gt;0,"LEFT OUT","NEW")))</f>
        <v/>
      </c>
    </row>
    <row r="2647" spans="47:47" x14ac:dyDescent="0.25">
      <c r="AU2647" s="8" t="str">
        <f>IF(TRIM($G2647)="","",IF(COUNTIF(LISTS!$I$2:$I$16,TRIM($G2647))&gt;0,"COUNTED",IF(COUNTIF(LISTS!$J$2:$J$16,TRIM($G2647))&gt;0,"LEFT OUT","NEW")))</f>
        <v/>
      </c>
    </row>
    <row r="2648" spans="47:47" x14ac:dyDescent="0.25">
      <c r="AU2648" s="8" t="str">
        <f>IF(TRIM($G2648)="","",IF(COUNTIF(LISTS!$I$2:$I$16,TRIM($G2648))&gt;0,"COUNTED",IF(COUNTIF(LISTS!$J$2:$J$16,TRIM($G2648))&gt;0,"LEFT OUT","NEW")))</f>
        <v/>
      </c>
    </row>
    <row r="2649" spans="47:47" x14ac:dyDescent="0.25">
      <c r="AU2649" s="8" t="str">
        <f>IF(TRIM($G2649)="","",IF(COUNTIF(LISTS!$I$2:$I$16,TRIM($G2649))&gt;0,"COUNTED",IF(COUNTIF(LISTS!$J$2:$J$16,TRIM($G2649))&gt;0,"LEFT OUT","NEW")))</f>
        <v/>
      </c>
    </row>
    <row r="2650" spans="47:47" x14ac:dyDescent="0.25">
      <c r="AU2650" s="8" t="str">
        <f>IF(TRIM($G2650)="","",IF(COUNTIF(LISTS!$I$2:$I$16,TRIM($G2650))&gt;0,"COUNTED",IF(COUNTIF(LISTS!$J$2:$J$16,TRIM($G2650))&gt;0,"LEFT OUT","NEW")))</f>
        <v/>
      </c>
    </row>
    <row r="2651" spans="47:47" x14ac:dyDescent="0.25">
      <c r="AU2651" s="8" t="str">
        <f>IF(TRIM($G2651)="","",IF(COUNTIF(LISTS!$I$2:$I$16,TRIM($G2651))&gt;0,"COUNTED",IF(COUNTIF(LISTS!$J$2:$J$16,TRIM($G2651))&gt;0,"LEFT OUT","NEW")))</f>
        <v/>
      </c>
    </row>
    <row r="2652" spans="47:47" x14ac:dyDescent="0.25">
      <c r="AU2652" s="8" t="str">
        <f>IF(TRIM($G2652)="","",IF(COUNTIF(LISTS!$I$2:$I$16,TRIM($G2652))&gt;0,"COUNTED",IF(COUNTIF(LISTS!$J$2:$J$16,TRIM($G2652))&gt;0,"LEFT OUT","NEW")))</f>
        <v/>
      </c>
    </row>
    <row r="2653" spans="47:47" x14ac:dyDescent="0.25">
      <c r="AU2653" s="8" t="str">
        <f>IF(TRIM($G2653)="","",IF(COUNTIF(LISTS!$I$2:$I$16,TRIM($G2653))&gt;0,"COUNTED",IF(COUNTIF(LISTS!$J$2:$J$16,TRIM($G2653))&gt;0,"LEFT OUT","NEW")))</f>
        <v/>
      </c>
    </row>
    <row r="2654" spans="47:47" x14ac:dyDescent="0.25">
      <c r="AU2654" s="8" t="str">
        <f>IF(TRIM($G2654)="","",IF(COUNTIF(LISTS!$I$2:$I$16,TRIM($G2654))&gt;0,"COUNTED",IF(COUNTIF(LISTS!$J$2:$J$16,TRIM($G2654))&gt;0,"LEFT OUT","NEW")))</f>
        <v/>
      </c>
    </row>
    <row r="2655" spans="47:47" x14ac:dyDescent="0.25">
      <c r="AU2655" s="8" t="str">
        <f>IF(TRIM($G2655)="","",IF(COUNTIF(LISTS!$I$2:$I$16,TRIM($G2655))&gt;0,"COUNTED",IF(COUNTIF(LISTS!$J$2:$J$16,TRIM($G2655))&gt;0,"LEFT OUT","NEW")))</f>
        <v/>
      </c>
    </row>
    <row r="2656" spans="47:47" x14ac:dyDescent="0.25">
      <c r="AU2656" s="8" t="str">
        <f>IF(TRIM($G2656)="","",IF(COUNTIF(LISTS!$I$2:$I$16,TRIM($G2656))&gt;0,"COUNTED",IF(COUNTIF(LISTS!$J$2:$J$16,TRIM($G2656))&gt;0,"LEFT OUT","NEW")))</f>
        <v/>
      </c>
    </row>
    <row r="2657" spans="47:47" x14ac:dyDescent="0.25">
      <c r="AU2657" s="8" t="str">
        <f>IF(TRIM($G2657)="","",IF(COUNTIF(LISTS!$I$2:$I$16,TRIM($G2657))&gt;0,"COUNTED",IF(COUNTIF(LISTS!$J$2:$J$16,TRIM($G2657))&gt;0,"LEFT OUT","NEW")))</f>
        <v/>
      </c>
    </row>
    <row r="2658" spans="47:47" x14ac:dyDescent="0.25">
      <c r="AU2658" s="8" t="str">
        <f>IF(TRIM($G2658)="","",IF(COUNTIF(LISTS!$I$2:$I$16,TRIM($G2658))&gt;0,"COUNTED",IF(COUNTIF(LISTS!$J$2:$J$16,TRIM($G2658))&gt;0,"LEFT OUT","NEW")))</f>
        <v/>
      </c>
    </row>
    <row r="2659" spans="47:47" x14ac:dyDescent="0.25">
      <c r="AU2659" s="8" t="str">
        <f>IF(TRIM($G2659)="","",IF(COUNTIF(LISTS!$I$2:$I$16,TRIM($G2659))&gt;0,"COUNTED",IF(COUNTIF(LISTS!$J$2:$J$16,TRIM($G2659))&gt;0,"LEFT OUT","NEW")))</f>
        <v/>
      </c>
    </row>
    <row r="2660" spans="47:47" x14ac:dyDescent="0.25">
      <c r="AU2660" s="8" t="str">
        <f>IF(TRIM($G2660)="","",IF(COUNTIF(LISTS!$I$2:$I$16,TRIM($G2660))&gt;0,"COUNTED",IF(COUNTIF(LISTS!$J$2:$J$16,TRIM($G2660))&gt;0,"LEFT OUT","NEW")))</f>
        <v/>
      </c>
    </row>
    <row r="2661" spans="47:47" x14ac:dyDescent="0.25">
      <c r="AU2661" s="8" t="str">
        <f>IF(TRIM($G2661)="","",IF(COUNTIF(LISTS!$I$2:$I$16,TRIM($G2661))&gt;0,"COUNTED",IF(COUNTIF(LISTS!$J$2:$J$16,TRIM($G2661))&gt;0,"LEFT OUT","NEW")))</f>
        <v/>
      </c>
    </row>
    <row r="2662" spans="47:47" x14ac:dyDescent="0.25">
      <c r="AU2662" s="8" t="str">
        <f>IF(TRIM($G2662)="","",IF(COUNTIF(LISTS!$I$2:$I$16,TRIM($G2662))&gt;0,"COUNTED",IF(COUNTIF(LISTS!$J$2:$J$16,TRIM($G2662))&gt;0,"LEFT OUT","NEW")))</f>
        <v/>
      </c>
    </row>
    <row r="2663" spans="47:47" x14ac:dyDescent="0.25">
      <c r="AU2663" s="8" t="str">
        <f>IF(TRIM($G2663)="","",IF(COUNTIF(LISTS!$I$2:$I$16,TRIM($G2663))&gt;0,"COUNTED",IF(COUNTIF(LISTS!$J$2:$J$16,TRIM($G2663))&gt;0,"LEFT OUT","NEW")))</f>
        <v/>
      </c>
    </row>
    <row r="2664" spans="47:47" x14ac:dyDescent="0.25">
      <c r="AU2664" s="8" t="str">
        <f>IF(TRIM($G2664)="","",IF(COUNTIF(LISTS!$I$2:$I$16,TRIM($G2664))&gt;0,"COUNTED",IF(COUNTIF(LISTS!$J$2:$J$16,TRIM($G2664))&gt;0,"LEFT OUT","NEW")))</f>
        <v/>
      </c>
    </row>
    <row r="2665" spans="47:47" x14ac:dyDescent="0.25">
      <c r="AU2665" s="8" t="str">
        <f>IF(TRIM($G2665)="","",IF(COUNTIF(LISTS!$I$2:$I$16,TRIM($G2665))&gt;0,"COUNTED",IF(COUNTIF(LISTS!$J$2:$J$16,TRIM($G2665))&gt;0,"LEFT OUT","NEW")))</f>
        <v/>
      </c>
    </row>
    <row r="2666" spans="47:47" x14ac:dyDescent="0.25">
      <c r="AU2666" s="8" t="str">
        <f>IF(TRIM($G2666)="","",IF(COUNTIF(LISTS!$I$2:$I$16,TRIM($G2666))&gt;0,"COUNTED",IF(COUNTIF(LISTS!$J$2:$J$16,TRIM($G2666))&gt;0,"LEFT OUT","NEW")))</f>
        <v/>
      </c>
    </row>
    <row r="2667" spans="47:47" x14ac:dyDescent="0.25">
      <c r="AU2667" s="8" t="str">
        <f>IF(TRIM($G2667)="","",IF(COUNTIF(LISTS!$I$2:$I$16,TRIM($G2667))&gt;0,"COUNTED",IF(COUNTIF(LISTS!$J$2:$J$16,TRIM($G2667))&gt;0,"LEFT OUT","NEW")))</f>
        <v/>
      </c>
    </row>
    <row r="2668" spans="47:47" x14ac:dyDescent="0.25">
      <c r="AU2668" s="8" t="str">
        <f>IF(TRIM($G2668)="","",IF(COUNTIF(LISTS!$I$2:$I$16,TRIM($G2668))&gt;0,"COUNTED",IF(COUNTIF(LISTS!$J$2:$J$16,TRIM($G2668))&gt;0,"LEFT OUT","NEW")))</f>
        <v/>
      </c>
    </row>
    <row r="2669" spans="47:47" x14ac:dyDescent="0.25">
      <c r="AU2669" s="8" t="str">
        <f>IF(TRIM($G2669)="","",IF(COUNTIF(LISTS!$I$2:$I$16,TRIM($G2669))&gt;0,"COUNTED",IF(COUNTIF(LISTS!$J$2:$J$16,TRIM($G2669))&gt;0,"LEFT OUT","NEW")))</f>
        <v/>
      </c>
    </row>
    <row r="2670" spans="47:47" x14ac:dyDescent="0.25">
      <c r="AU2670" s="8" t="str">
        <f>IF(TRIM($G2670)="","",IF(COUNTIF(LISTS!$I$2:$I$16,TRIM($G2670))&gt;0,"COUNTED",IF(COUNTIF(LISTS!$J$2:$J$16,TRIM($G2670))&gt;0,"LEFT OUT","NEW")))</f>
        <v/>
      </c>
    </row>
    <row r="2671" spans="47:47" x14ac:dyDescent="0.25">
      <c r="AU2671" s="8" t="str">
        <f>IF(TRIM($G2671)="","",IF(COUNTIF(LISTS!$I$2:$I$16,TRIM($G2671))&gt;0,"COUNTED",IF(COUNTIF(LISTS!$J$2:$J$16,TRIM($G2671))&gt;0,"LEFT OUT","NEW")))</f>
        <v/>
      </c>
    </row>
    <row r="2672" spans="47:47" x14ac:dyDescent="0.25">
      <c r="AU2672" s="8" t="str">
        <f>IF(TRIM($G2672)="","",IF(COUNTIF(LISTS!$I$2:$I$16,TRIM($G2672))&gt;0,"COUNTED",IF(COUNTIF(LISTS!$J$2:$J$16,TRIM($G2672))&gt;0,"LEFT OUT","NEW")))</f>
        <v/>
      </c>
    </row>
    <row r="2673" spans="47:47" x14ac:dyDescent="0.25">
      <c r="AU2673" s="8" t="str">
        <f>IF(TRIM($G2673)="","",IF(COUNTIF(LISTS!$I$2:$I$16,TRIM($G2673))&gt;0,"COUNTED",IF(COUNTIF(LISTS!$J$2:$J$16,TRIM($G2673))&gt;0,"LEFT OUT","NEW")))</f>
        <v/>
      </c>
    </row>
    <row r="2674" spans="47:47" x14ac:dyDescent="0.25">
      <c r="AU2674" s="8" t="str">
        <f>IF(TRIM($G2674)="","",IF(COUNTIF(LISTS!$I$2:$I$16,TRIM($G2674))&gt;0,"COUNTED",IF(COUNTIF(LISTS!$J$2:$J$16,TRIM($G2674))&gt;0,"LEFT OUT","NEW")))</f>
        <v/>
      </c>
    </row>
    <row r="2675" spans="47:47" x14ac:dyDescent="0.25">
      <c r="AU2675" s="8" t="str">
        <f>IF(TRIM($G2675)="","",IF(COUNTIF(LISTS!$I$2:$I$16,TRIM($G2675))&gt;0,"COUNTED",IF(COUNTIF(LISTS!$J$2:$J$16,TRIM($G2675))&gt;0,"LEFT OUT","NEW")))</f>
        <v/>
      </c>
    </row>
    <row r="2676" spans="47:47" x14ac:dyDescent="0.25">
      <c r="AU2676" s="8" t="str">
        <f>IF(TRIM($G2676)="","",IF(COUNTIF(LISTS!$I$2:$I$16,TRIM($G2676))&gt;0,"COUNTED",IF(COUNTIF(LISTS!$J$2:$J$16,TRIM($G2676))&gt;0,"LEFT OUT","NEW")))</f>
        <v/>
      </c>
    </row>
    <row r="2677" spans="47:47" x14ac:dyDescent="0.25">
      <c r="AU2677" s="8" t="str">
        <f>IF(TRIM($G2677)="","",IF(COUNTIF(LISTS!$I$2:$I$16,TRIM($G2677))&gt;0,"COUNTED",IF(COUNTIF(LISTS!$J$2:$J$16,TRIM($G2677))&gt;0,"LEFT OUT","NEW")))</f>
        <v/>
      </c>
    </row>
    <row r="2678" spans="47:47" x14ac:dyDescent="0.25">
      <c r="AU2678" s="8" t="str">
        <f>IF(TRIM($G2678)="","",IF(COUNTIF(LISTS!$I$2:$I$16,TRIM($G2678))&gt;0,"COUNTED",IF(COUNTIF(LISTS!$J$2:$J$16,TRIM($G2678))&gt;0,"LEFT OUT","NEW")))</f>
        <v/>
      </c>
    </row>
    <row r="2679" spans="47:47" x14ac:dyDescent="0.25">
      <c r="AU2679" s="8" t="str">
        <f>IF(TRIM($G2679)="","",IF(COUNTIF(LISTS!$I$2:$I$16,TRIM($G2679))&gt;0,"COUNTED",IF(COUNTIF(LISTS!$J$2:$J$16,TRIM($G2679))&gt;0,"LEFT OUT","NEW")))</f>
        <v/>
      </c>
    </row>
    <row r="2680" spans="47:47" x14ac:dyDescent="0.25">
      <c r="AU2680" s="8" t="str">
        <f>IF(TRIM($G2680)="","",IF(COUNTIF(LISTS!$I$2:$I$16,TRIM($G2680))&gt;0,"COUNTED",IF(COUNTIF(LISTS!$J$2:$J$16,TRIM($G2680))&gt;0,"LEFT OUT","NEW")))</f>
        <v/>
      </c>
    </row>
    <row r="2681" spans="47:47" x14ac:dyDescent="0.25">
      <c r="AU2681" s="8" t="str">
        <f>IF(TRIM($G2681)="","",IF(COUNTIF(LISTS!$I$2:$I$16,TRIM($G2681))&gt;0,"COUNTED",IF(COUNTIF(LISTS!$J$2:$J$16,TRIM($G2681))&gt;0,"LEFT OUT","NEW")))</f>
        <v/>
      </c>
    </row>
    <row r="2682" spans="47:47" x14ac:dyDescent="0.25">
      <c r="AU2682" s="8" t="str">
        <f>IF(TRIM($G2682)="","",IF(COUNTIF(LISTS!$I$2:$I$16,TRIM($G2682))&gt;0,"COUNTED",IF(COUNTIF(LISTS!$J$2:$J$16,TRIM($G2682))&gt;0,"LEFT OUT","NEW")))</f>
        <v/>
      </c>
    </row>
    <row r="2683" spans="47:47" x14ac:dyDescent="0.25">
      <c r="AU2683" s="8" t="str">
        <f>IF(TRIM($G2683)="","",IF(COUNTIF(LISTS!$I$2:$I$16,TRIM($G2683))&gt;0,"COUNTED",IF(COUNTIF(LISTS!$J$2:$J$16,TRIM($G2683))&gt;0,"LEFT OUT","NEW")))</f>
        <v/>
      </c>
    </row>
    <row r="2684" spans="47:47" x14ac:dyDescent="0.25">
      <c r="AU2684" s="8" t="str">
        <f>IF(TRIM($G2684)="","",IF(COUNTIF(LISTS!$I$2:$I$16,TRIM($G2684))&gt;0,"COUNTED",IF(COUNTIF(LISTS!$J$2:$J$16,TRIM($G2684))&gt;0,"LEFT OUT","NEW")))</f>
        <v/>
      </c>
    </row>
    <row r="2685" spans="47:47" x14ac:dyDescent="0.25">
      <c r="AU2685" s="8" t="str">
        <f>IF(TRIM($G2685)="","",IF(COUNTIF(LISTS!$I$2:$I$16,TRIM($G2685))&gt;0,"COUNTED",IF(COUNTIF(LISTS!$J$2:$J$16,TRIM($G2685))&gt;0,"LEFT OUT","NEW")))</f>
        <v/>
      </c>
    </row>
    <row r="2686" spans="47:47" x14ac:dyDescent="0.25">
      <c r="AU2686" s="8" t="str">
        <f>IF(TRIM($G2686)="","",IF(COUNTIF(LISTS!$I$2:$I$16,TRIM($G2686))&gt;0,"COUNTED",IF(COUNTIF(LISTS!$J$2:$J$16,TRIM($G2686))&gt;0,"LEFT OUT","NEW")))</f>
        <v/>
      </c>
    </row>
    <row r="2687" spans="47:47" x14ac:dyDescent="0.25">
      <c r="AU2687" s="8" t="str">
        <f>IF(TRIM($G2687)="","",IF(COUNTIF(LISTS!$I$2:$I$16,TRIM($G2687))&gt;0,"COUNTED",IF(COUNTIF(LISTS!$J$2:$J$16,TRIM($G2687))&gt;0,"LEFT OUT","NEW")))</f>
        <v/>
      </c>
    </row>
    <row r="2688" spans="47:47" x14ac:dyDescent="0.25">
      <c r="AU2688" s="8" t="str">
        <f>IF(TRIM($G2688)="","",IF(COUNTIF(LISTS!$I$2:$I$16,TRIM($G2688))&gt;0,"COUNTED",IF(COUNTIF(LISTS!$J$2:$J$16,TRIM($G2688))&gt;0,"LEFT OUT","NEW")))</f>
        <v/>
      </c>
    </row>
    <row r="2689" spans="47:47" x14ac:dyDescent="0.25">
      <c r="AU2689" s="8" t="str">
        <f>IF(TRIM($G2689)="","",IF(COUNTIF(LISTS!$I$2:$I$16,TRIM($G2689))&gt;0,"COUNTED",IF(COUNTIF(LISTS!$J$2:$J$16,TRIM($G2689))&gt;0,"LEFT OUT","NEW")))</f>
        <v/>
      </c>
    </row>
    <row r="2690" spans="47:47" x14ac:dyDescent="0.25">
      <c r="AU2690" s="8" t="str">
        <f>IF(TRIM($G2690)="","",IF(COUNTIF(LISTS!$I$2:$I$16,TRIM($G2690))&gt;0,"COUNTED",IF(COUNTIF(LISTS!$J$2:$J$16,TRIM($G2690))&gt;0,"LEFT OUT","NEW")))</f>
        <v/>
      </c>
    </row>
    <row r="2691" spans="47:47" x14ac:dyDescent="0.25">
      <c r="AU2691" s="8" t="str">
        <f>IF(TRIM($G2691)="","",IF(COUNTIF(LISTS!$I$2:$I$16,TRIM($G2691))&gt;0,"COUNTED",IF(COUNTIF(LISTS!$J$2:$J$16,TRIM($G2691))&gt;0,"LEFT OUT","NEW")))</f>
        <v/>
      </c>
    </row>
    <row r="2692" spans="47:47" x14ac:dyDescent="0.25">
      <c r="AU2692" s="8" t="str">
        <f>IF(TRIM($G2692)="","",IF(COUNTIF(LISTS!$I$2:$I$16,TRIM($G2692))&gt;0,"COUNTED",IF(COUNTIF(LISTS!$J$2:$J$16,TRIM($G2692))&gt;0,"LEFT OUT","NEW")))</f>
        <v/>
      </c>
    </row>
    <row r="2693" spans="47:47" x14ac:dyDescent="0.25">
      <c r="AU2693" s="8" t="str">
        <f>IF(TRIM($G2693)="","",IF(COUNTIF(LISTS!$I$2:$I$16,TRIM($G2693))&gt;0,"COUNTED",IF(COUNTIF(LISTS!$J$2:$J$16,TRIM($G2693))&gt;0,"LEFT OUT","NEW")))</f>
        <v/>
      </c>
    </row>
    <row r="2694" spans="47:47" x14ac:dyDescent="0.25">
      <c r="AU2694" s="8" t="str">
        <f>IF(TRIM($G2694)="","",IF(COUNTIF(LISTS!$I$2:$I$16,TRIM($G2694))&gt;0,"COUNTED",IF(COUNTIF(LISTS!$J$2:$J$16,TRIM($G2694))&gt;0,"LEFT OUT","NEW")))</f>
        <v/>
      </c>
    </row>
    <row r="2695" spans="47:47" x14ac:dyDescent="0.25">
      <c r="AU2695" s="8" t="str">
        <f>IF(TRIM($G2695)="","",IF(COUNTIF(LISTS!$I$2:$I$16,TRIM($G2695))&gt;0,"COUNTED",IF(COUNTIF(LISTS!$J$2:$J$16,TRIM($G2695))&gt;0,"LEFT OUT","NEW")))</f>
        <v/>
      </c>
    </row>
    <row r="2696" spans="47:47" x14ac:dyDescent="0.25">
      <c r="AU2696" s="8" t="str">
        <f>IF(TRIM($G2696)="","",IF(COUNTIF(LISTS!$I$2:$I$16,TRIM($G2696))&gt;0,"COUNTED",IF(COUNTIF(LISTS!$J$2:$J$16,TRIM($G2696))&gt;0,"LEFT OUT","NEW")))</f>
        <v/>
      </c>
    </row>
    <row r="2697" spans="47:47" x14ac:dyDescent="0.25">
      <c r="AU2697" s="8" t="str">
        <f>IF(TRIM($G2697)="","",IF(COUNTIF(LISTS!$I$2:$I$16,TRIM($G2697))&gt;0,"COUNTED",IF(COUNTIF(LISTS!$J$2:$J$16,TRIM($G2697))&gt;0,"LEFT OUT","NEW")))</f>
        <v/>
      </c>
    </row>
    <row r="2698" spans="47:47" x14ac:dyDescent="0.25">
      <c r="AU2698" s="8" t="str">
        <f>IF(TRIM($G2698)="","",IF(COUNTIF(LISTS!$I$2:$I$16,TRIM($G2698))&gt;0,"COUNTED",IF(COUNTIF(LISTS!$J$2:$J$16,TRIM($G2698))&gt;0,"LEFT OUT","NEW")))</f>
        <v/>
      </c>
    </row>
    <row r="2699" spans="47:47" x14ac:dyDescent="0.25">
      <c r="AU2699" s="8" t="str">
        <f>IF(TRIM($G2699)="","",IF(COUNTIF(LISTS!$I$2:$I$16,TRIM($G2699))&gt;0,"COUNTED",IF(COUNTIF(LISTS!$J$2:$J$16,TRIM($G2699))&gt;0,"LEFT OUT","NEW")))</f>
        <v/>
      </c>
    </row>
    <row r="2700" spans="47:47" x14ac:dyDescent="0.25">
      <c r="AU2700" s="8" t="str">
        <f>IF(TRIM($G2700)="","",IF(COUNTIF(LISTS!$I$2:$I$16,TRIM($G2700))&gt;0,"COUNTED",IF(COUNTIF(LISTS!$J$2:$J$16,TRIM($G2700))&gt;0,"LEFT OUT","NEW")))</f>
        <v/>
      </c>
    </row>
    <row r="2701" spans="47:47" x14ac:dyDescent="0.25">
      <c r="AU2701" s="8" t="str">
        <f>IF(TRIM($G2701)="","",IF(COUNTIF(LISTS!$I$2:$I$16,TRIM($G2701))&gt;0,"COUNTED",IF(COUNTIF(LISTS!$J$2:$J$16,TRIM($G2701))&gt;0,"LEFT OUT","NEW")))</f>
        <v/>
      </c>
    </row>
    <row r="2702" spans="47:47" x14ac:dyDescent="0.25">
      <c r="AU2702" s="8" t="str">
        <f>IF(TRIM($G2702)="","",IF(COUNTIF(LISTS!$I$2:$I$16,TRIM($G2702))&gt;0,"COUNTED",IF(COUNTIF(LISTS!$J$2:$J$16,TRIM($G2702))&gt;0,"LEFT OUT","NEW")))</f>
        <v/>
      </c>
    </row>
    <row r="2703" spans="47:47" x14ac:dyDescent="0.25">
      <c r="AU2703" s="8" t="str">
        <f>IF(TRIM($G2703)="","",IF(COUNTIF(LISTS!$I$2:$I$16,TRIM($G2703))&gt;0,"COUNTED",IF(COUNTIF(LISTS!$J$2:$J$16,TRIM($G2703))&gt;0,"LEFT OUT","NEW")))</f>
        <v/>
      </c>
    </row>
    <row r="2704" spans="47:47" x14ac:dyDescent="0.25">
      <c r="AU2704" s="8" t="str">
        <f>IF(TRIM($G2704)="","",IF(COUNTIF(LISTS!$I$2:$I$16,TRIM($G2704))&gt;0,"COUNTED",IF(COUNTIF(LISTS!$J$2:$J$16,TRIM($G2704))&gt;0,"LEFT OUT","NEW")))</f>
        <v/>
      </c>
    </row>
    <row r="2705" spans="47:47" x14ac:dyDescent="0.25">
      <c r="AU2705" s="8" t="str">
        <f>IF(TRIM($G2705)="","",IF(COUNTIF(LISTS!$I$2:$I$16,TRIM($G2705))&gt;0,"COUNTED",IF(COUNTIF(LISTS!$J$2:$J$16,TRIM($G2705))&gt;0,"LEFT OUT","NEW")))</f>
        <v/>
      </c>
    </row>
    <row r="2706" spans="47:47" x14ac:dyDescent="0.25">
      <c r="AU2706" s="8" t="str">
        <f>IF(TRIM($G2706)="","",IF(COUNTIF(LISTS!$I$2:$I$16,TRIM($G2706))&gt;0,"COUNTED",IF(COUNTIF(LISTS!$J$2:$J$16,TRIM($G2706))&gt;0,"LEFT OUT","NEW")))</f>
        <v/>
      </c>
    </row>
    <row r="2707" spans="47:47" x14ac:dyDescent="0.25">
      <c r="AU2707" s="8" t="str">
        <f>IF(TRIM($G2707)="","",IF(COUNTIF(LISTS!$I$2:$I$16,TRIM($G2707))&gt;0,"COUNTED",IF(COUNTIF(LISTS!$J$2:$J$16,TRIM($G2707))&gt;0,"LEFT OUT","NEW")))</f>
        <v/>
      </c>
    </row>
    <row r="2708" spans="47:47" x14ac:dyDescent="0.25">
      <c r="AU2708" s="8" t="str">
        <f>IF(TRIM($G2708)="","",IF(COUNTIF(LISTS!$I$2:$I$16,TRIM($G2708))&gt;0,"COUNTED",IF(COUNTIF(LISTS!$J$2:$J$16,TRIM($G2708))&gt;0,"LEFT OUT","NEW")))</f>
        <v/>
      </c>
    </row>
    <row r="2709" spans="47:47" x14ac:dyDescent="0.25">
      <c r="AU2709" s="8" t="str">
        <f>IF(TRIM($G2709)="","",IF(COUNTIF(LISTS!$I$2:$I$16,TRIM($G2709))&gt;0,"COUNTED",IF(COUNTIF(LISTS!$J$2:$J$16,TRIM($G2709))&gt;0,"LEFT OUT","NEW")))</f>
        <v/>
      </c>
    </row>
    <row r="2710" spans="47:47" x14ac:dyDescent="0.25">
      <c r="AU2710" s="8" t="str">
        <f>IF(TRIM($G2710)="","",IF(COUNTIF(LISTS!$I$2:$I$16,TRIM($G2710))&gt;0,"COUNTED",IF(COUNTIF(LISTS!$J$2:$J$16,TRIM($G2710))&gt;0,"LEFT OUT","NEW")))</f>
        <v/>
      </c>
    </row>
    <row r="2711" spans="47:47" x14ac:dyDescent="0.25">
      <c r="AU2711" s="8" t="str">
        <f>IF(TRIM($G2711)="","",IF(COUNTIF(LISTS!$I$2:$I$16,TRIM($G2711))&gt;0,"COUNTED",IF(COUNTIF(LISTS!$J$2:$J$16,TRIM($G2711))&gt;0,"LEFT OUT","NEW")))</f>
        <v/>
      </c>
    </row>
    <row r="2712" spans="47:47" x14ac:dyDescent="0.25">
      <c r="AU2712" s="8" t="str">
        <f>IF(TRIM($G2712)="","",IF(COUNTIF(LISTS!$I$2:$I$16,TRIM($G2712))&gt;0,"COUNTED",IF(COUNTIF(LISTS!$J$2:$J$16,TRIM($G2712))&gt;0,"LEFT OUT","NEW")))</f>
        <v/>
      </c>
    </row>
    <row r="2713" spans="47:47" x14ac:dyDescent="0.25">
      <c r="AU2713" s="8" t="str">
        <f>IF(TRIM($G2713)="","",IF(COUNTIF(LISTS!$I$2:$I$16,TRIM($G2713))&gt;0,"COUNTED",IF(COUNTIF(LISTS!$J$2:$J$16,TRIM($G2713))&gt;0,"LEFT OUT","NEW")))</f>
        <v/>
      </c>
    </row>
    <row r="2714" spans="47:47" x14ac:dyDescent="0.25">
      <c r="AU2714" s="8" t="str">
        <f>IF(TRIM($G2714)="","",IF(COUNTIF(LISTS!$I$2:$I$16,TRIM($G2714))&gt;0,"COUNTED",IF(COUNTIF(LISTS!$J$2:$J$16,TRIM($G2714))&gt;0,"LEFT OUT","NEW")))</f>
        <v/>
      </c>
    </row>
    <row r="2715" spans="47:47" x14ac:dyDescent="0.25">
      <c r="AU2715" s="8" t="str">
        <f>IF(TRIM($G2715)="","",IF(COUNTIF(LISTS!$I$2:$I$16,TRIM($G2715))&gt;0,"COUNTED",IF(COUNTIF(LISTS!$J$2:$J$16,TRIM($G2715))&gt;0,"LEFT OUT","NEW")))</f>
        <v/>
      </c>
    </row>
    <row r="2716" spans="47:47" x14ac:dyDescent="0.25">
      <c r="AU2716" s="8" t="str">
        <f>IF(TRIM($G2716)="","",IF(COUNTIF(LISTS!$I$2:$I$16,TRIM($G2716))&gt;0,"COUNTED",IF(COUNTIF(LISTS!$J$2:$J$16,TRIM($G2716))&gt;0,"LEFT OUT","NEW")))</f>
        <v/>
      </c>
    </row>
    <row r="2717" spans="47:47" x14ac:dyDescent="0.25">
      <c r="AU2717" s="8" t="str">
        <f>IF(TRIM($G2717)="","",IF(COUNTIF(LISTS!$I$2:$I$16,TRIM($G2717))&gt;0,"COUNTED",IF(COUNTIF(LISTS!$J$2:$J$16,TRIM($G2717))&gt;0,"LEFT OUT","NEW")))</f>
        <v/>
      </c>
    </row>
    <row r="2718" spans="47:47" x14ac:dyDescent="0.25">
      <c r="AU2718" s="8" t="str">
        <f>IF(TRIM($G2718)="","",IF(COUNTIF(LISTS!$I$2:$I$16,TRIM($G2718))&gt;0,"COUNTED",IF(COUNTIF(LISTS!$J$2:$J$16,TRIM($G2718))&gt;0,"LEFT OUT","NEW")))</f>
        <v/>
      </c>
    </row>
    <row r="2719" spans="47:47" x14ac:dyDescent="0.25">
      <c r="AU2719" s="8" t="str">
        <f>IF(TRIM($G2719)="","",IF(COUNTIF(LISTS!$I$2:$I$16,TRIM($G2719))&gt;0,"COUNTED",IF(COUNTIF(LISTS!$J$2:$J$16,TRIM($G2719))&gt;0,"LEFT OUT","NEW")))</f>
        <v/>
      </c>
    </row>
    <row r="2720" spans="47:47" x14ac:dyDescent="0.25">
      <c r="AU2720" s="8" t="str">
        <f>IF(TRIM($G2720)="","",IF(COUNTIF(LISTS!$I$2:$I$16,TRIM($G2720))&gt;0,"COUNTED",IF(COUNTIF(LISTS!$J$2:$J$16,TRIM($G2720))&gt;0,"LEFT OUT","NEW")))</f>
        <v/>
      </c>
    </row>
    <row r="2721" spans="47:47" x14ac:dyDescent="0.25">
      <c r="AU2721" s="8" t="str">
        <f>IF(TRIM($G2721)="","",IF(COUNTIF(LISTS!$I$2:$I$16,TRIM($G2721))&gt;0,"COUNTED",IF(COUNTIF(LISTS!$J$2:$J$16,TRIM($G2721))&gt;0,"LEFT OUT","NEW")))</f>
        <v/>
      </c>
    </row>
    <row r="2722" spans="47:47" x14ac:dyDescent="0.25">
      <c r="AU2722" s="8" t="str">
        <f>IF(TRIM($G2722)="","",IF(COUNTIF(LISTS!$I$2:$I$16,TRIM($G2722))&gt;0,"COUNTED",IF(COUNTIF(LISTS!$J$2:$J$16,TRIM($G2722))&gt;0,"LEFT OUT","NEW")))</f>
        <v/>
      </c>
    </row>
    <row r="2723" spans="47:47" x14ac:dyDescent="0.25">
      <c r="AU2723" s="8" t="str">
        <f>IF(TRIM($G2723)="","",IF(COUNTIF(LISTS!$I$2:$I$16,TRIM($G2723))&gt;0,"COUNTED",IF(COUNTIF(LISTS!$J$2:$J$16,TRIM($G2723))&gt;0,"LEFT OUT","NEW")))</f>
        <v/>
      </c>
    </row>
    <row r="2724" spans="47:47" x14ac:dyDescent="0.25">
      <c r="AU2724" s="8" t="str">
        <f>IF(TRIM($G2724)="","",IF(COUNTIF(LISTS!$I$2:$I$16,TRIM($G2724))&gt;0,"COUNTED",IF(COUNTIF(LISTS!$J$2:$J$16,TRIM($G2724))&gt;0,"LEFT OUT","NEW")))</f>
        <v/>
      </c>
    </row>
    <row r="2725" spans="47:47" x14ac:dyDescent="0.25">
      <c r="AU2725" s="8" t="str">
        <f>IF(TRIM($G2725)="","",IF(COUNTIF(LISTS!$I$2:$I$16,TRIM($G2725))&gt;0,"COUNTED",IF(COUNTIF(LISTS!$J$2:$J$16,TRIM($G2725))&gt;0,"LEFT OUT","NEW")))</f>
        <v/>
      </c>
    </row>
    <row r="2726" spans="47:47" x14ac:dyDescent="0.25">
      <c r="AU2726" s="8" t="str">
        <f>IF(TRIM($G2726)="","",IF(COUNTIF(LISTS!$I$2:$I$16,TRIM($G2726))&gt;0,"COUNTED",IF(COUNTIF(LISTS!$J$2:$J$16,TRIM($G2726))&gt;0,"LEFT OUT","NEW")))</f>
        <v/>
      </c>
    </row>
    <row r="2727" spans="47:47" x14ac:dyDescent="0.25">
      <c r="AU2727" s="8" t="str">
        <f>IF(TRIM($G2727)="","",IF(COUNTIF(LISTS!$I$2:$I$16,TRIM($G2727))&gt;0,"COUNTED",IF(COUNTIF(LISTS!$J$2:$J$16,TRIM($G2727))&gt;0,"LEFT OUT","NEW")))</f>
        <v/>
      </c>
    </row>
    <row r="2728" spans="47:47" x14ac:dyDescent="0.25">
      <c r="AU2728" s="8" t="str">
        <f>IF(TRIM($G2728)="","",IF(COUNTIF(LISTS!$I$2:$I$16,TRIM($G2728))&gt;0,"COUNTED",IF(COUNTIF(LISTS!$J$2:$J$16,TRIM($G2728))&gt;0,"LEFT OUT","NEW")))</f>
        <v/>
      </c>
    </row>
    <row r="2729" spans="47:47" x14ac:dyDescent="0.25">
      <c r="AU2729" s="8" t="str">
        <f>IF(TRIM($G2729)="","",IF(COUNTIF(LISTS!$I$2:$I$16,TRIM($G2729))&gt;0,"COUNTED",IF(COUNTIF(LISTS!$J$2:$J$16,TRIM($G2729))&gt;0,"LEFT OUT","NEW")))</f>
        <v/>
      </c>
    </row>
    <row r="2730" spans="47:47" x14ac:dyDescent="0.25">
      <c r="AU2730" s="8" t="str">
        <f>IF(TRIM($G2730)="","",IF(COUNTIF(LISTS!$I$2:$I$16,TRIM($G2730))&gt;0,"COUNTED",IF(COUNTIF(LISTS!$J$2:$J$16,TRIM($G2730))&gt;0,"LEFT OUT","NEW")))</f>
        <v/>
      </c>
    </row>
    <row r="2731" spans="47:47" x14ac:dyDescent="0.25">
      <c r="AU2731" s="8" t="str">
        <f>IF(TRIM($G2731)="","",IF(COUNTIF(LISTS!$I$2:$I$16,TRIM($G2731))&gt;0,"COUNTED",IF(COUNTIF(LISTS!$J$2:$J$16,TRIM($G2731))&gt;0,"LEFT OUT","NEW")))</f>
        <v/>
      </c>
    </row>
    <row r="2732" spans="47:47" x14ac:dyDescent="0.25">
      <c r="AU2732" s="8" t="str">
        <f>IF(TRIM($G2732)="","",IF(COUNTIF(LISTS!$I$2:$I$16,TRIM($G2732))&gt;0,"COUNTED",IF(COUNTIF(LISTS!$J$2:$J$16,TRIM($G2732))&gt;0,"LEFT OUT","NEW")))</f>
        <v/>
      </c>
    </row>
    <row r="2733" spans="47:47" x14ac:dyDescent="0.25">
      <c r="AU2733" s="8" t="str">
        <f>IF(TRIM($G2733)="","",IF(COUNTIF(LISTS!$I$2:$I$16,TRIM($G2733))&gt;0,"COUNTED",IF(COUNTIF(LISTS!$J$2:$J$16,TRIM($G2733))&gt;0,"LEFT OUT","NEW")))</f>
        <v/>
      </c>
    </row>
    <row r="2734" spans="47:47" x14ac:dyDescent="0.25">
      <c r="AU2734" s="8" t="str">
        <f>IF(TRIM($G2734)="","",IF(COUNTIF(LISTS!$I$2:$I$16,TRIM($G2734))&gt;0,"COUNTED",IF(COUNTIF(LISTS!$J$2:$J$16,TRIM($G2734))&gt;0,"LEFT OUT","NEW")))</f>
        <v/>
      </c>
    </row>
    <row r="2735" spans="47:47" x14ac:dyDescent="0.25">
      <c r="AU2735" s="8" t="str">
        <f>IF(TRIM($G2735)="","",IF(COUNTIF(LISTS!$I$2:$I$16,TRIM($G2735))&gt;0,"COUNTED",IF(COUNTIF(LISTS!$J$2:$J$16,TRIM($G2735))&gt;0,"LEFT OUT","NEW")))</f>
        <v/>
      </c>
    </row>
    <row r="2736" spans="47:47" x14ac:dyDescent="0.25">
      <c r="AU2736" s="8" t="str">
        <f>IF(TRIM($G2736)="","",IF(COUNTIF(LISTS!$I$2:$I$16,TRIM($G2736))&gt;0,"COUNTED",IF(COUNTIF(LISTS!$J$2:$J$16,TRIM($G2736))&gt;0,"LEFT OUT","NEW")))</f>
        <v/>
      </c>
    </row>
    <row r="2737" spans="47:47" x14ac:dyDescent="0.25">
      <c r="AU2737" s="8" t="str">
        <f>IF(TRIM($G2737)="","",IF(COUNTIF(LISTS!$I$2:$I$16,TRIM($G2737))&gt;0,"COUNTED",IF(COUNTIF(LISTS!$J$2:$J$16,TRIM($G2737))&gt;0,"LEFT OUT","NEW")))</f>
        <v/>
      </c>
    </row>
    <row r="2738" spans="47:47" x14ac:dyDescent="0.25">
      <c r="AU2738" s="8" t="str">
        <f>IF(TRIM($G2738)="","",IF(COUNTIF(LISTS!$I$2:$I$16,TRIM($G2738))&gt;0,"COUNTED",IF(COUNTIF(LISTS!$J$2:$J$16,TRIM($G2738))&gt;0,"LEFT OUT","NEW")))</f>
        <v/>
      </c>
    </row>
    <row r="2739" spans="47:47" x14ac:dyDescent="0.25">
      <c r="AU2739" s="8" t="str">
        <f>IF(TRIM($G2739)="","",IF(COUNTIF(LISTS!$I$2:$I$16,TRIM($G2739))&gt;0,"COUNTED",IF(COUNTIF(LISTS!$J$2:$J$16,TRIM($G2739))&gt;0,"LEFT OUT","NEW")))</f>
        <v/>
      </c>
    </row>
    <row r="2740" spans="47:47" x14ac:dyDescent="0.25">
      <c r="AU2740" s="8" t="str">
        <f>IF(TRIM($G2740)="","",IF(COUNTIF(LISTS!$I$2:$I$16,TRIM($G2740))&gt;0,"COUNTED",IF(COUNTIF(LISTS!$J$2:$J$16,TRIM($G2740))&gt;0,"LEFT OUT","NEW")))</f>
        <v/>
      </c>
    </row>
    <row r="2741" spans="47:47" x14ac:dyDescent="0.25">
      <c r="AU2741" s="8" t="str">
        <f>IF(TRIM($G2741)="","",IF(COUNTIF(LISTS!$I$2:$I$16,TRIM($G2741))&gt;0,"COUNTED",IF(COUNTIF(LISTS!$J$2:$J$16,TRIM($G2741))&gt;0,"LEFT OUT","NEW")))</f>
        <v/>
      </c>
    </row>
    <row r="2742" spans="47:47" x14ac:dyDescent="0.25">
      <c r="AU2742" s="8" t="str">
        <f>IF(TRIM($G2742)="","",IF(COUNTIF(LISTS!$I$2:$I$16,TRIM($G2742))&gt;0,"COUNTED",IF(COUNTIF(LISTS!$J$2:$J$16,TRIM($G2742))&gt;0,"LEFT OUT","NEW")))</f>
        <v/>
      </c>
    </row>
    <row r="2743" spans="47:47" x14ac:dyDescent="0.25">
      <c r="AU2743" s="8" t="str">
        <f>IF(TRIM($G2743)="","",IF(COUNTIF(LISTS!$I$2:$I$16,TRIM($G2743))&gt;0,"COUNTED",IF(COUNTIF(LISTS!$J$2:$J$16,TRIM($G2743))&gt;0,"LEFT OUT","NEW")))</f>
        <v/>
      </c>
    </row>
    <row r="2744" spans="47:47" x14ac:dyDescent="0.25">
      <c r="AU2744" s="8" t="str">
        <f>IF(TRIM($G2744)="","",IF(COUNTIF(LISTS!$I$2:$I$16,TRIM($G2744))&gt;0,"COUNTED",IF(COUNTIF(LISTS!$J$2:$J$16,TRIM($G2744))&gt;0,"LEFT OUT","NEW")))</f>
        <v/>
      </c>
    </row>
    <row r="2745" spans="47:47" x14ac:dyDescent="0.25">
      <c r="AU2745" s="8" t="str">
        <f>IF(TRIM($G2745)="","",IF(COUNTIF(LISTS!$I$2:$I$16,TRIM($G2745))&gt;0,"COUNTED",IF(COUNTIF(LISTS!$J$2:$J$16,TRIM($G2745))&gt;0,"LEFT OUT","NEW")))</f>
        <v/>
      </c>
    </row>
    <row r="2746" spans="47:47" x14ac:dyDescent="0.25">
      <c r="AU2746" s="8" t="str">
        <f>IF(TRIM($G2746)="","",IF(COUNTIF(LISTS!$I$2:$I$16,TRIM($G2746))&gt;0,"COUNTED",IF(COUNTIF(LISTS!$J$2:$J$16,TRIM($G2746))&gt;0,"LEFT OUT","NEW")))</f>
        <v/>
      </c>
    </row>
    <row r="2747" spans="47:47" x14ac:dyDescent="0.25">
      <c r="AU2747" s="8" t="str">
        <f>IF(TRIM($G2747)="","",IF(COUNTIF(LISTS!$I$2:$I$16,TRIM($G2747))&gt;0,"COUNTED",IF(COUNTIF(LISTS!$J$2:$J$16,TRIM($G2747))&gt;0,"LEFT OUT","NEW")))</f>
        <v/>
      </c>
    </row>
    <row r="2748" spans="47:47" x14ac:dyDescent="0.25">
      <c r="AU2748" s="8" t="str">
        <f>IF(TRIM($G2748)="","",IF(COUNTIF(LISTS!$I$2:$I$16,TRIM($G2748))&gt;0,"COUNTED",IF(COUNTIF(LISTS!$J$2:$J$16,TRIM($G2748))&gt;0,"LEFT OUT","NEW")))</f>
        <v/>
      </c>
    </row>
    <row r="2749" spans="47:47" x14ac:dyDescent="0.25">
      <c r="AU2749" s="8" t="str">
        <f>IF(TRIM($G2749)="","",IF(COUNTIF(LISTS!$I$2:$I$16,TRIM($G2749))&gt;0,"COUNTED",IF(COUNTIF(LISTS!$J$2:$J$16,TRIM($G2749))&gt;0,"LEFT OUT","NEW")))</f>
        <v/>
      </c>
    </row>
    <row r="2750" spans="47:47" x14ac:dyDescent="0.25">
      <c r="AU2750" s="8" t="str">
        <f>IF(TRIM($G2750)="","",IF(COUNTIF(LISTS!$I$2:$I$16,TRIM($G2750))&gt;0,"COUNTED",IF(COUNTIF(LISTS!$J$2:$J$16,TRIM($G2750))&gt;0,"LEFT OUT","NEW")))</f>
        <v/>
      </c>
    </row>
    <row r="2751" spans="47:47" x14ac:dyDescent="0.25">
      <c r="AU2751" s="8" t="str">
        <f>IF(TRIM($G2751)="","",IF(COUNTIF(LISTS!$I$2:$I$16,TRIM($G2751))&gt;0,"COUNTED",IF(COUNTIF(LISTS!$J$2:$J$16,TRIM($G2751))&gt;0,"LEFT OUT","NEW")))</f>
        <v/>
      </c>
    </row>
    <row r="2752" spans="47:47" x14ac:dyDescent="0.25">
      <c r="AU2752" s="8" t="str">
        <f>IF(TRIM($G2752)="","",IF(COUNTIF(LISTS!$I$2:$I$16,TRIM($G2752))&gt;0,"COUNTED",IF(COUNTIF(LISTS!$J$2:$J$16,TRIM($G2752))&gt;0,"LEFT OUT","NEW")))</f>
        <v/>
      </c>
    </row>
    <row r="2753" spans="47:47" x14ac:dyDescent="0.25">
      <c r="AU2753" s="8" t="str">
        <f>IF(TRIM($G2753)="","",IF(COUNTIF(LISTS!$I$2:$I$16,TRIM($G2753))&gt;0,"COUNTED",IF(COUNTIF(LISTS!$J$2:$J$16,TRIM($G2753))&gt;0,"LEFT OUT","NEW")))</f>
        <v/>
      </c>
    </row>
    <row r="2754" spans="47:47" x14ac:dyDescent="0.25">
      <c r="AU2754" s="8" t="str">
        <f>IF(TRIM($G2754)="","",IF(COUNTIF(LISTS!$I$2:$I$16,TRIM($G2754))&gt;0,"COUNTED",IF(COUNTIF(LISTS!$J$2:$J$16,TRIM($G2754))&gt;0,"LEFT OUT","NEW")))</f>
        <v/>
      </c>
    </row>
    <row r="2755" spans="47:47" x14ac:dyDescent="0.25">
      <c r="AU2755" s="8" t="str">
        <f>IF(TRIM($G2755)="","",IF(COUNTIF(LISTS!$I$2:$I$16,TRIM($G2755))&gt;0,"COUNTED",IF(COUNTIF(LISTS!$J$2:$J$16,TRIM($G2755))&gt;0,"LEFT OUT","NEW")))</f>
        <v/>
      </c>
    </row>
    <row r="2756" spans="47:47" x14ac:dyDescent="0.25">
      <c r="AU2756" s="8" t="str">
        <f>IF(TRIM($G2756)="","",IF(COUNTIF(LISTS!$I$2:$I$16,TRIM($G2756))&gt;0,"COUNTED",IF(COUNTIF(LISTS!$J$2:$J$16,TRIM($G2756))&gt;0,"LEFT OUT","NEW")))</f>
        <v/>
      </c>
    </row>
    <row r="2757" spans="47:47" x14ac:dyDescent="0.25">
      <c r="AU2757" s="8" t="str">
        <f>IF(TRIM($G2757)="","",IF(COUNTIF(LISTS!$I$2:$I$16,TRIM($G2757))&gt;0,"COUNTED",IF(COUNTIF(LISTS!$J$2:$J$16,TRIM($G2757))&gt;0,"LEFT OUT","NEW")))</f>
        <v/>
      </c>
    </row>
    <row r="2758" spans="47:47" x14ac:dyDescent="0.25">
      <c r="AU2758" s="8" t="str">
        <f>IF(TRIM($G2758)="","",IF(COUNTIF(LISTS!$I$2:$I$16,TRIM($G2758))&gt;0,"COUNTED",IF(COUNTIF(LISTS!$J$2:$J$16,TRIM($G2758))&gt;0,"LEFT OUT","NEW")))</f>
        <v/>
      </c>
    </row>
    <row r="2759" spans="47:47" x14ac:dyDescent="0.25">
      <c r="AU2759" s="8" t="str">
        <f>IF(TRIM($G2759)="","",IF(COUNTIF(LISTS!$I$2:$I$16,TRIM($G2759))&gt;0,"COUNTED",IF(COUNTIF(LISTS!$J$2:$J$16,TRIM($G2759))&gt;0,"LEFT OUT","NEW")))</f>
        <v/>
      </c>
    </row>
    <row r="2760" spans="47:47" x14ac:dyDescent="0.25">
      <c r="AU2760" s="8" t="str">
        <f>IF(TRIM($G2760)="","",IF(COUNTIF(LISTS!$I$2:$I$16,TRIM($G2760))&gt;0,"COUNTED",IF(COUNTIF(LISTS!$J$2:$J$16,TRIM($G2760))&gt;0,"LEFT OUT","NEW")))</f>
        <v/>
      </c>
    </row>
    <row r="2761" spans="47:47" x14ac:dyDescent="0.25">
      <c r="AU2761" s="8" t="str">
        <f>IF(TRIM($G2761)="","",IF(COUNTIF(LISTS!$I$2:$I$16,TRIM($G2761))&gt;0,"COUNTED",IF(COUNTIF(LISTS!$J$2:$J$16,TRIM($G2761))&gt;0,"LEFT OUT","NEW")))</f>
        <v/>
      </c>
    </row>
    <row r="2762" spans="47:47" x14ac:dyDescent="0.25">
      <c r="AU2762" s="8" t="str">
        <f>IF(TRIM($G2762)="","",IF(COUNTIF(LISTS!$I$2:$I$16,TRIM($G2762))&gt;0,"COUNTED",IF(COUNTIF(LISTS!$J$2:$J$16,TRIM($G2762))&gt;0,"LEFT OUT","NEW")))</f>
        <v/>
      </c>
    </row>
    <row r="2763" spans="47:47" x14ac:dyDescent="0.25">
      <c r="AU2763" s="8" t="str">
        <f>IF(TRIM($G2763)="","",IF(COUNTIF(LISTS!$I$2:$I$16,TRIM($G2763))&gt;0,"COUNTED",IF(COUNTIF(LISTS!$J$2:$J$16,TRIM($G2763))&gt;0,"LEFT OUT","NEW")))</f>
        <v/>
      </c>
    </row>
    <row r="2764" spans="47:47" x14ac:dyDescent="0.25">
      <c r="AU2764" s="8" t="str">
        <f>IF(TRIM($G2764)="","",IF(COUNTIF(LISTS!$I$2:$I$16,TRIM($G2764))&gt;0,"COUNTED",IF(COUNTIF(LISTS!$J$2:$J$16,TRIM($G2764))&gt;0,"LEFT OUT","NEW")))</f>
        <v/>
      </c>
    </row>
    <row r="2765" spans="47:47" x14ac:dyDescent="0.25">
      <c r="AU2765" s="8" t="str">
        <f>IF(TRIM($G2765)="","",IF(COUNTIF(LISTS!$I$2:$I$16,TRIM($G2765))&gt;0,"COUNTED",IF(COUNTIF(LISTS!$J$2:$J$16,TRIM($G2765))&gt;0,"LEFT OUT","NEW")))</f>
        <v/>
      </c>
    </row>
    <row r="2766" spans="47:47" x14ac:dyDescent="0.25">
      <c r="AU2766" s="8" t="str">
        <f>IF(TRIM($G2766)="","",IF(COUNTIF(LISTS!$I$2:$I$16,TRIM($G2766))&gt;0,"COUNTED",IF(COUNTIF(LISTS!$J$2:$J$16,TRIM($G2766))&gt;0,"LEFT OUT","NEW")))</f>
        <v/>
      </c>
    </row>
    <row r="2767" spans="47:47" x14ac:dyDescent="0.25">
      <c r="AU2767" s="8" t="str">
        <f>IF(TRIM($G2767)="","",IF(COUNTIF(LISTS!$I$2:$I$16,TRIM($G2767))&gt;0,"COUNTED",IF(COUNTIF(LISTS!$J$2:$J$16,TRIM($G2767))&gt;0,"LEFT OUT","NEW")))</f>
        <v/>
      </c>
    </row>
    <row r="2768" spans="47:47" x14ac:dyDescent="0.25">
      <c r="AU2768" s="8" t="str">
        <f>IF(TRIM($G2768)="","",IF(COUNTIF(LISTS!$I$2:$I$16,TRIM($G2768))&gt;0,"COUNTED",IF(COUNTIF(LISTS!$J$2:$J$16,TRIM($G2768))&gt;0,"LEFT OUT","NEW")))</f>
        <v/>
      </c>
    </row>
    <row r="2769" spans="47:47" x14ac:dyDescent="0.25">
      <c r="AU2769" s="8" t="str">
        <f>IF(TRIM($G2769)="","",IF(COUNTIF(LISTS!$I$2:$I$16,TRIM($G2769))&gt;0,"COUNTED",IF(COUNTIF(LISTS!$J$2:$J$16,TRIM($G2769))&gt;0,"LEFT OUT","NEW")))</f>
        <v/>
      </c>
    </row>
    <row r="2770" spans="47:47" x14ac:dyDescent="0.25">
      <c r="AU2770" s="8" t="str">
        <f>IF(TRIM($G2770)="","",IF(COUNTIF(LISTS!$I$2:$I$16,TRIM($G2770))&gt;0,"COUNTED",IF(COUNTIF(LISTS!$J$2:$J$16,TRIM($G2770))&gt;0,"LEFT OUT","NEW")))</f>
        <v/>
      </c>
    </row>
    <row r="2771" spans="47:47" x14ac:dyDescent="0.25">
      <c r="AU2771" s="8" t="str">
        <f>IF(TRIM($G2771)="","",IF(COUNTIF(LISTS!$I$2:$I$16,TRIM($G2771))&gt;0,"COUNTED",IF(COUNTIF(LISTS!$J$2:$J$16,TRIM($G2771))&gt;0,"LEFT OUT","NEW")))</f>
        <v/>
      </c>
    </row>
    <row r="2772" spans="47:47" x14ac:dyDescent="0.25">
      <c r="AU2772" s="8" t="str">
        <f>IF(TRIM($G2772)="","",IF(COUNTIF(LISTS!$I$2:$I$16,TRIM($G2772))&gt;0,"COUNTED",IF(COUNTIF(LISTS!$J$2:$J$16,TRIM($G2772))&gt;0,"LEFT OUT","NEW")))</f>
        <v/>
      </c>
    </row>
    <row r="2773" spans="47:47" x14ac:dyDescent="0.25">
      <c r="AU2773" s="8" t="str">
        <f>IF(TRIM($G2773)="","",IF(COUNTIF(LISTS!$I$2:$I$16,TRIM($G2773))&gt;0,"COUNTED",IF(COUNTIF(LISTS!$J$2:$J$16,TRIM($G2773))&gt;0,"LEFT OUT","NEW")))</f>
        <v/>
      </c>
    </row>
    <row r="2774" spans="47:47" x14ac:dyDescent="0.25">
      <c r="AU2774" s="8" t="str">
        <f>IF(TRIM($G2774)="","",IF(COUNTIF(LISTS!$I$2:$I$16,TRIM($G2774))&gt;0,"COUNTED",IF(COUNTIF(LISTS!$J$2:$J$16,TRIM($G2774))&gt;0,"LEFT OUT","NEW")))</f>
        <v/>
      </c>
    </row>
    <row r="2775" spans="47:47" x14ac:dyDescent="0.25">
      <c r="AU2775" s="8" t="str">
        <f>IF(TRIM($G2775)="","",IF(COUNTIF(LISTS!$I$2:$I$16,TRIM($G2775))&gt;0,"COUNTED",IF(COUNTIF(LISTS!$J$2:$J$16,TRIM($G2775))&gt;0,"LEFT OUT","NEW")))</f>
        <v/>
      </c>
    </row>
    <row r="2776" spans="47:47" x14ac:dyDescent="0.25">
      <c r="AU2776" s="8" t="str">
        <f>IF(TRIM($G2776)="","",IF(COUNTIF(LISTS!$I$2:$I$16,TRIM($G2776))&gt;0,"COUNTED",IF(COUNTIF(LISTS!$J$2:$J$16,TRIM($G2776))&gt;0,"LEFT OUT","NEW")))</f>
        <v/>
      </c>
    </row>
    <row r="2777" spans="47:47" x14ac:dyDescent="0.25">
      <c r="AU2777" s="8" t="str">
        <f>IF(TRIM($G2777)="","",IF(COUNTIF(LISTS!$I$2:$I$16,TRIM($G2777))&gt;0,"COUNTED",IF(COUNTIF(LISTS!$J$2:$J$16,TRIM($G2777))&gt;0,"LEFT OUT","NEW")))</f>
        <v/>
      </c>
    </row>
    <row r="2778" spans="47:47" x14ac:dyDescent="0.25">
      <c r="AU2778" s="8" t="str">
        <f>IF(TRIM($G2778)="","",IF(COUNTIF(LISTS!$I$2:$I$16,TRIM($G2778))&gt;0,"COUNTED",IF(COUNTIF(LISTS!$J$2:$J$16,TRIM($G2778))&gt;0,"LEFT OUT","NEW")))</f>
        <v/>
      </c>
    </row>
    <row r="2779" spans="47:47" x14ac:dyDescent="0.25">
      <c r="AU2779" s="8" t="str">
        <f>IF(TRIM($G2779)="","",IF(COUNTIF(LISTS!$I$2:$I$16,TRIM($G2779))&gt;0,"COUNTED",IF(COUNTIF(LISTS!$J$2:$J$16,TRIM($G2779))&gt;0,"LEFT OUT","NEW")))</f>
        <v/>
      </c>
    </row>
    <row r="2780" spans="47:47" x14ac:dyDescent="0.25">
      <c r="AU2780" s="8" t="str">
        <f>IF(TRIM($G2780)="","",IF(COUNTIF(LISTS!$I$2:$I$16,TRIM($G2780))&gt;0,"COUNTED",IF(COUNTIF(LISTS!$J$2:$J$16,TRIM($G2780))&gt;0,"LEFT OUT","NEW")))</f>
        <v/>
      </c>
    </row>
    <row r="2781" spans="47:47" x14ac:dyDescent="0.25">
      <c r="AU2781" s="8" t="str">
        <f>IF(TRIM($G2781)="","",IF(COUNTIF(LISTS!$I$2:$I$16,TRIM($G2781))&gt;0,"COUNTED",IF(COUNTIF(LISTS!$J$2:$J$16,TRIM($G2781))&gt;0,"LEFT OUT","NEW")))</f>
        <v/>
      </c>
    </row>
    <row r="2782" spans="47:47" x14ac:dyDescent="0.25">
      <c r="AU2782" s="8" t="str">
        <f>IF(TRIM($G2782)="","",IF(COUNTIF(LISTS!$I$2:$I$16,TRIM($G2782))&gt;0,"COUNTED",IF(COUNTIF(LISTS!$J$2:$J$16,TRIM($G2782))&gt;0,"LEFT OUT","NEW")))</f>
        <v/>
      </c>
    </row>
    <row r="2783" spans="47:47" x14ac:dyDescent="0.25">
      <c r="AU2783" s="8" t="str">
        <f>IF(TRIM($G2783)="","",IF(COUNTIF(LISTS!$I$2:$I$16,TRIM($G2783))&gt;0,"COUNTED",IF(COUNTIF(LISTS!$J$2:$J$16,TRIM($G2783))&gt;0,"LEFT OUT","NEW")))</f>
        <v/>
      </c>
    </row>
    <row r="2784" spans="47:47" x14ac:dyDescent="0.25">
      <c r="AU2784" s="8" t="str">
        <f>IF(TRIM($G2784)="","",IF(COUNTIF(LISTS!$I$2:$I$16,TRIM($G2784))&gt;0,"COUNTED",IF(COUNTIF(LISTS!$J$2:$J$16,TRIM($G2784))&gt;0,"LEFT OUT","NEW")))</f>
        <v/>
      </c>
    </row>
    <row r="2785" spans="47:47" x14ac:dyDescent="0.25">
      <c r="AU2785" s="8" t="str">
        <f>IF(TRIM($G2785)="","",IF(COUNTIF(LISTS!$I$2:$I$16,TRIM($G2785))&gt;0,"COUNTED",IF(COUNTIF(LISTS!$J$2:$J$16,TRIM($G2785))&gt;0,"LEFT OUT","NEW")))</f>
        <v/>
      </c>
    </row>
    <row r="2786" spans="47:47" x14ac:dyDescent="0.25">
      <c r="AU2786" s="8" t="str">
        <f>IF(TRIM($G2786)="","",IF(COUNTIF(LISTS!$I$2:$I$16,TRIM($G2786))&gt;0,"COUNTED",IF(COUNTIF(LISTS!$J$2:$J$16,TRIM($G2786))&gt;0,"LEFT OUT","NEW")))</f>
        <v/>
      </c>
    </row>
    <row r="2787" spans="47:47" x14ac:dyDescent="0.25">
      <c r="AU2787" s="8" t="str">
        <f>IF(TRIM($G2787)="","",IF(COUNTIF(LISTS!$I$2:$I$16,TRIM($G2787))&gt;0,"COUNTED",IF(COUNTIF(LISTS!$J$2:$J$16,TRIM($G2787))&gt;0,"LEFT OUT","NEW")))</f>
        <v/>
      </c>
    </row>
    <row r="2788" spans="47:47" x14ac:dyDescent="0.25">
      <c r="AU2788" s="8" t="str">
        <f>IF(TRIM($G2788)="","",IF(COUNTIF(LISTS!$I$2:$I$16,TRIM($G2788))&gt;0,"COUNTED",IF(COUNTIF(LISTS!$J$2:$J$16,TRIM($G2788))&gt;0,"LEFT OUT","NEW")))</f>
        <v/>
      </c>
    </row>
    <row r="2789" spans="47:47" x14ac:dyDescent="0.25">
      <c r="AU2789" s="8" t="str">
        <f>IF(TRIM($G2789)="","",IF(COUNTIF(LISTS!$I$2:$I$16,TRIM($G2789))&gt;0,"COUNTED",IF(COUNTIF(LISTS!$J$2:$J$16,TRIM($G2789))&gt;0,"LEFT OUT","NEW")))</f>
        <v/>
      </c>
    </row>
    <row r="2790" spans="47:47" x14ac:dyDescent="0.25">
      <c r="AU2790" s="8" t="str">
        <f>IF(TRIM($G2790)="","",IF(COUNTIF(LISTS!$I$2:$I$16,TRIM($G2790))&gt;0,"COUNTED",IF(COUNTIF(LISTS!$J$2:$J$16,TRIM($G2790))&gt;0,"LEFT OUT","NEW")))</f>
        <v/>
      </c>
    </row>
    <row r="2791" spans="47:47" x14ac:dyDescent="0.25">
      <c r="AU2791" s="8" t="str">
        <f>IF(TRIM($G2791)="","",IF(COUNTIF(LISTS!$I$2:$I$16,TRIM($G2791))&gt;0,"COUNTED",IF(COUNTIF(LISTS!$J$2:$J$16,TRIM($G2791))&gt;0,"LEFT OUT","NEW")))</f>
        <v/>
      </c>
    </row>
    <row r="2792" spans="47:47" x14ac:dyDescent="0.25">
      <c r="AU2792" s="8" t="str">
        <f>IF(TRIM($G2792)="","",IF(COUNTIF(LISTS!$I$2:$I$16,TRIM($G2792))&gt;0,"COUNTED",IF(COUNTIF(LISTS!$J$2:$J$16,TRIM($G2792))&gt;0,"LEFT OUT","NEW")))</f>
        <v/>
      </c>
    </row>
    <row r="2793" spans="47:47" x14ac:dyDescent="0.25">
      <c r="AU2793" s="8" t="str">
        <f>IF(TRIM($G2793)="","",IF(COUNTIF(LISTS!$I$2:$I$16,TRIM($G2793))&gt;0,"COUNTED",IF(COUNTIF(LISTS!$J$2:$J$16,TRIM($G2793))&gt;0,"LEFT OUT","NEW")))</f>
        <v/>
      </c>
    </row>
    <row r="2794" spans="47:47" x14ac:dyDescent="0.25">
      <c r="AU2794" s="8" t="str">
        <f>IF(TRIM($G2794)="","",IF(COUNTIF(LISTS!$I$2:$I$16,TRIM($G2794))&gt;0,"COUNTED",IF(COUNTIF(LISTS!$J$2:$J$16,TRIM($G2794))&gt;0,"LEFT OUT","NEW")))</f>
        <v/>
      </c>
    </row>
    <row r="2795" spans="47:47" x14ac:dyDescent="0.25">
      <c r="AU2795" s="8" t="str">
        <f>IF(TRIM($G2795)="","",IF(COUNTIF(LISTS!$I$2:$I$16,TRIM($G2795))&gt;0,"COUNTED",IF(COUNTIF(LISTS!$J$2:$J$16,TRIM($G2795))&gt;0,"LEFT OUT","NEW")))</f>
        <v/>
      </c>
    </row>
    <row r="2796" spans="47:47" x14ac:dyDescent="0.25">
      <c r="AU2796" s="8" t="str">
        <f>IF(TRIM($G2796)="","",IF(COUNTIF(LISTS!$I$2:$I$16,TRIM($G2796))&gt;0,"COUNTED",IF(COUNTIF(LISTS!$J$2:$J$16,TRIM($G2796))&gt;0,"LEFT OUT","NEW")))</f>
        <v/>
      </c>
    </row>
    <row r="2797" spans="47:47" x14ac:dyDescent="0.25">
      <c r="AU2797" s="8" t="str">
        <f>IF(TRIM($G2797)="","",IF(COUNTIF(LISTS!$I$2:$I$16,TRIM($G2797))&gt;0,"COUNTED",IF(COUNTIF(LISTS!$J$2:$J$16,TRIM($G2797))&gt;0,"LEFT OUT","NEW")))</f>
        <v/>
      </c>
    </row>
    <row r="2798" spans="47:47" x14ac:dyDescent="0.25">
      <c r="AU2798" s="8" t="str">
        <f>IF(TRIM($G2798)="","",IF(COUNTIF(LISTS!$I$2:$I$16,TRIM($G2798))&gt;0,"COUNTED",IF(COUNTIF(LISTS!$J$2:$J$16,TRIM($G2798))&gt;0,"LEFT OUT","NEW")))</f>
        <v/>
      </c>
    </row>
    <row r="2799" spans="47:47" x14ac:dyDescent="0.25">
      <c r="AU2799" s="8" t="str">
        <f>IF(TRIM($G2799)="","",IF(COUNTIF(LISTS!$I$2:$I$16,TRIM($G2799))&gt;0,"COUNTED",IF(COUNTIF(LISTS!$J$2:$J$16,TRIM($G2799))&gt;0,"LEFT OUT","NEW")))</f>
        <v/>
      </c>
    </row>
    <row r="2800" spans="47:47" x14ac:dyDescent="0.25">
      <c r="AU2800" s="8" t="str">
        <f>IF(TRIM($G2800)="","",IF(COUNTIF(LISTS!$I$2:$I$16,TRIM($G2800))&gt;0,"COUNTED",IF(COUNTIF(LISTS!$J$2:$J$16,TRIM($G2800))&gt;0,"LEFT OUT","NEW")))</f>
        <v/>
      </c>
    </row>
    <row r="2801" spans="47:47" x14ac:dyDescent="0.25">
      <c r="AU2801" s="8" t="str">
        <f>IF(TRIM($G2801)="","",IF(COUNTIF(LISTS!$I$2:$I$16,TRIM($G2801))&gt;0,"COUNTED",IF(COUNTIF(LISTS!$J$2:$J$16,TRIM($G2801))&gt;0,"LEFT OUT","NEW")))</f>
        <v/>
      </c>
    </row>
    <row r="2802" spans="47:47" x14ac:dyDescent="0.25">
      <c r="AU2802" s="8" t="str">
        <f>IF(TRIM($G2802)="","",IF(COUNTIF(LISTS!$I$2:$I$16,TRIM($G2802))&gt;0,"COUNTED",IF(COUNTIF(LISTS!$J$2:$J$16,TRIM($G2802))&gt;0,"LEFT OUT","NEW")))</f>
        <v/>
      </c>
    </row>
    <row r="2803" spans="47:47" x14ac:dyDescent="0.25">
      <c r="AU2803" s="8" t="str">
        <f>IF(TRIM($G2803)="","",IF(COUNTIF(LISTS!$I$2:$I$16,TRIM($G2803))&gt;0,"COUNTED",IF(COUNTIF(LISTS!$J$2:$J$16,TRIM($G2803))&gt;0,"LEFT OUT","NEW")))</f>
        <v/>
      </c>
    </row>
    <row r="2804" spans="47:47" x14ac:dyDescent="0.25">
      <c r="AU2804" s="8" t="str">
        <f>IF(TRIM($G2804)="","",IF(COUNTIF(LISTS!$I$2:$I$16,TRIM($G2804))&gt;0,"COUNTED",IF(COUNTIF(LISTS!$J$2:$J$16,TRIM($G2804))&gt;0,"LEFT OUT","NEW")))</f>
        <v/>
      </c>
    </row>
    <row r="2805" spans="47:47" x14ac:dyDescent="0.25">
      <c r="AU2805" s="8" t="str">
        <f>IF(TRIM($G2805)="","",IF(COUNTIF(LISTS!$I$2:$I$16,TRIM($G2805))&gt;0,"COUNTED",IF(COUNTIF(LISTS!$J$2:$J$16,TRIM($G2805))&gt;0,"LEFT OUT","NEW")))</f>
        <v/>
      </c>
    </row>
    <row r="2806" spans="47:47" x14ac:dyDescent="0.25">
      <c r="AU2806" s="8" t="str">
        <f>IF(TRIM($G2806)="","",IF(COUNTIF(LISTS!$I$2:$I$16,TRIM($G2806))&gt;0,"COUNTED",IF(COUNTIF(LISTS!$J$2:$J$16,TRIM($G2806))&gt;0,"LEFT OUT","NEW")))</f>
        <v/>
      </c>
    </row>
    <row r="2807" spans="47:47" x14ac:dyDescent="0.25">
      <c r="AU2807" s="8" t="str">
        <f>IF(TRIM($G2807)="","",IF(COUNTIF(LISTS!$I$2:$I$16,TRIM($G2807))&gt;0,"COUNTED",IF(COUNTIF(LISTS!$J$2:$J$16,TRIM($G2807))&gt;0,"LEFT OUT","NEW")))</f>
        <v/>
      </c>
    </row>
    <row r="2808" spans="47:47" x14ac:dyDescent="0.25">
      <c r="AU2808" s="8" t="str">
        <f>IF(TRIM($G2808)="","",IF(COUNTIF(LISTS!$I$2:$I$16,TRIM($G2808))&gt;0,"COUNTED",IF(COUNTIF(LISTS!$J$2:$J$16,TRIM($G2808))&gt;0,"LEFT OUT","NEW")))</f>
        <v/>
      </c>
    </row>
    <row r="2809" spans="47:47" x14ac:dyDescent="0.25">
      <c r="AU2809" s="8" t="str">
        <f>IF(TRIM($G2809)="","",IF(COUNTIF(LISTS!$I$2:$I$16,TRIM($G2809))&gt;0,"COUNTED",IF(COUNTIF(LISTS!$J$2:$J$16,TRIM($G2809))&gt;0,"LEFT OUT","NEW")))</f>
        <v/>
      </c>
    </row>
    <row r="2810" spans="47:47" x14ac:dyDescent="0.25">
      <c r="AU2810" s="8" t="str">
        <f>IF(TRIM($G2810)="","",IF(COUNTIF(LISTS!$I$2:$I$16,TRIM($G2810))&gt;0,"COUNTED",IF(COUNTIF(LISTS!$J$2:$J$16,TRIM($G2810))&gt;0,"LEFT OUT","NEW")))</f>
        <v/>
      </c>
    </row>
    <row r="2811" spans="47:47" x14ac:dyDescent="0.25">
      <c r="AU2811" s="8" t="str">
        <f>IF(TRIM($G2811)="","",IF(COUNTIF(LISTS!$I$2:$I$16,TRIM($G2811))&gt;0,"COUNTED",IF(COUNTIF(LISTS!$J$2:$J$16,TRIM($G2811))&gt;0,"LEFT OUT","NEW")))</f>
        <v/>
      </c>
    </row>
    <row r="2812" spans="47:47" x14ac:dyDescent="0.25">
      <c r="AU2812" s="8" t="str">
        <f>IF(TRIM($G2812)="","",IF(COUNTIF(LISTS!$I$2:$I$16,TRIM($G2812))&gt;0,"COUNTED",IF(COUNTIF(LISTS!$J$2:$J$16,TRIM($G2812))&gt;0,"LEFT OUT","NEW")))</f>
        <v/>
      </c>
    </row>
    <row r="2813" spans="47:47" x14ac:dyDescent="0.25">
      <c r="AU2813" s="8" t="str">
        <f>IF(TRIM($G2813)="","",IF(COUNTIF(LISTS!$I$2:$I$16,TRIM($G2813))&gt;0,"COUNTED",IF(COUNTIF(LISTS!$J$2:$J$16,TRIM($G2813))&gt;0,"LEFT OUT","NEW")))</f>
        <v/>
      </c>
    </row>
    <row r="2814" spans="47:47" x14ac:dyDescent="0.25">
      <c r="AU2814" s="8" t="str">
        <f>IF(TRIM($G2814)="","",IF(COUNTIF(LISTS!$I$2:$I$16,TRIM($G2814))&gt;0,"COUNTED",IF(COUNTIF(LISTS!$J$2:$J$16,TRIM($G2814))&gt;0,"LEFT OUT","NEW")))</f>
        <v/>
      </c>
    </row>
    <row r="2815" spans="47:47" x14ac:dyDescent="0.25">
      <c r="AU2815" s="8" t="str">
        <f>IF(TRIM($G2815)="","",IF(COUNTIF(LISTS!$I$2:$I$16,TRIM($G2815))&gt;0,"COUNTED",IF(COUNTIF(LISTS!$J$2:$J$16,TRIM($G2815))&gt;0,"LEFT OUT","NEW")))</f>
        <v/>
      </c>
    </row>
    <row r="2816" spans="47:47" x14ac:dyDescent="0.25">
      <c r="AU2816" s="8" t="str">
        <f>IF(TRIM($G2816)="","",IF(COUNTIF(LISTS!$I$2:$I$16,TRIM($G2816))&gt;0,"COUNTED",IF(COUNTIF(LISTS!$J$2:$J$16,TRIM($G2816))&gt;0,"LEFT OUT","NEW")))</f>
        <v/>
      </c>
    </row>
    <row r="2817" spans="47:47" x14ac:dyDescent="0.25">
      <c r="AU2817" s="8" t="str">
        <f>IF(TRIM($G2817)="","",IF(COUNTIF(LISTS!$I$2:$I$16,TRIM($G2817))&gt;0,"COUNTED",IF(COUNTIF(LISTS!$J$2:$J$16,TRIM($G2817))&gt;0,"LEFT OUT","NEW")))</f>
        <v/>
      </c>
    </row>
    <row r="2818" spans="47:47" x14ac:dyDescent="0.25">
      <c r="AU2818" s="8" t="str">
        <f>IF(TRIM($G2818)="","",IF(COUNTIF(LISTS!$I$2:$I$16,TRIM($G2818))&gt;0,"COUNTED",IF(COUNTIF(LISTS!$J$2:$J$16,TRIM($G2818))&gt;0,"LEFT OUT","NEW")))</f>
        <v/>
      </c>
    </row>
    <row r="2819" spans="47:47" x14ac:dyDescent="0.25">
      <c r="AU2819" s="8" t="str">
        <f>IF(TRIM($G2819)="","",IF(COUNTIF(LISTS!$I$2:$I$16,TRIM($G2819))&gt;0,"COUNTED",IF(COUNTIF(LISTS!$J$2:$J$16,TRIM($G2819))&gt;0,"LEFT OUT","NEW")))</f>
        <v/>
      </c>
    </row>
    <row r="2820" spans="47:47" x14ac:dyDescent="0.25">
      <c r="AU2820" s="8" t="str">
        <f>IF(TRIM($G2820)="","",IF(COUNTIF(LISTS!$I$2:$I$16,TRIM($G2820))&gt;0,"COUNTED",IF(COUNTIF(LISTS!$J$2:$J$16,TRIM($G2820))&gt;0,"LEFT OUT","NEW")))</f>
        <v/>
      </c>
    </row>
    <row r="2821" spans="47:47" x14ac:dyDescent="0.25">
      <c r="AU2821" s="8" t="str">
        <f>IF(TRIM($G2821)="","",IF(COUNTIF(LISTS!$I$2:$I$16,TRIM($G2821))&gt;0,"COUNTED",IF(COUNTIF(LISTS!$J$2:$J$16,TRIM($G2821))&gt;0,"LEFT OUT","NEW")))</f>
        <v/>
      </c>
    </row>
    <row r="2822" spans="47:47" x14ac:dyDescent="0.25">
      <c r="AU2822" s="8" t="str">
        <f>IF(TRIM($G2822)="","",IF(COUNTIF(LISTS!$I$2:$I$16,TRIM($G2822))&gt;0,"COUNTED",IF(COUNTIF(LISTS!$J$2:$J$16,TRIM($G2822))&gt;0,"LEFT OUT","NEW")))</f>
        <v/>
      </c>
    </row>
    <row r="2823" spans="47:47" x14ac:dyDescent="0.25">
      <c r="AU2823" s="8" t="str">
        <f>IF(TRIM($G2823)="","",IF(COUNTIF(LISTS!$I$2:$I$16,TRIM($G2823))&gt;0,"COUNTED",IF(COUNTIF(LISTS!$J$2:$J$16,TRIM($G2823))&gt;0,"LEFT OUT","NEW")))</f>
        <v/>
      </c>
    </row>
    <row r="2824" spans="47:47" x14ac:dyDescent="0.25">
      <c r="AU2824" s="8" t="str">
        <f>IF(TRIM($G2824)="","",IF(COUNTIF(LISTS!$I$2:$I$16,TRIM($G2824))&gt;0,"COUNTED",IF(COUNTIF(LISTS!$J$2:$J$16,TRIM($G2824))&gt;0,"LEFT OUT","NEW")))</f>
        <v/>
      </c>
    </row>
    <row r="2825" spans="47:47" x14ac:dyDescent="0.25">
      <c r="AU2825" s="8" t="str">
        <f>IF(TRIM($G2825)="","",IF(COUNTIF(LISTS!$I$2:$I$16,TRIM($G2825))&gt;0,"COUNTED",IF(COUNTIF(LISTS!$J$2:$J$16,TRIM($G2825))&gt;0,"LEFT OUT","NEW")))</f>
        <v/>
      </c>
    </row>
    <row r="2826" spans="47:47" x14ac:dyDescent="0.25">
      <c r="AU2826" s="8" t="str">
        <f>IF(TRIM($G2826)="","",IF(COUNTIF(LISTS!$I$2:$I$16,TRIM($G2826))&gt;0,"COUNTED",IF(COUNTIF(LISTS!$J$2:$J$16,TRIM($G2826))&gt;0,"LEFT OUT","NEW")))</f>
        <v/>
      </c>
    </row>
    <row r="2827" spans="47:47" x14ac:dyDescent="0.25">
      <c r="AU2827" s="8" t="str">
        <f>IF(TRIM($G2827)="","",IF(COUNTIF(LISTS!$I$2:$I$16,TRIM($G2827))&gt;0,"COUNTED",IF(COUNTIF(LISTS!$J$2:$J$16,TRIM($G2827))&gt;0,"LEFT OUT","NEW")))</f>
        <v/>
      </c>
    </row>
    <row r="2828" spans="47:47" x14ac:dyDescent="0.25">
      <c r="AU2828" s="8" t="str">
        <f>IF(TRIM($G2828)="","",IF(COUNTIF(LISTS!$I$2:$I$16,TRIM($G2828))&gt;0,"COUNTED",IF(COUNTIF(LISTS!$J$2:$J$16,TRIM($G2828))&gt;0,"LEFT OUT","NEW")))</f>
        <v/>
      </c>
    </row>
    <row r="2829" spans="47:47" x14ac:dyDescent="0.25">
      <c r="AU2829" s="8" t="str">
        <f>IF(TRIM($G2829)="","",IF(COUNTIF(LISTS!$I$2:$I$16,TRIM($G2829))&gt;0,"COUNTED",IF(COUNTIF(LISTS!$J$2:$J$16,TRIM($G2829))&gt;0,"LEFT OUT","NEW")))</f>
        <v/>
      </c>
    </row>
    <row r="2830" spans="47:47" x14ac:dyDescent="0.25">
      <c r="AU2830" s="8" t="str">
        <f>IF(TRIM($G2830)="","",IF(COUNTIF(LISTS!$I$2:$I$16,TRIM($G2830))&gt;0,"COUNTED",IF(COUNTIF(LISTS!$J$2:$J$16,TRIM($G2830))&gt;0,"LEFT OUT","NEW")))</f>
        <v/>
      </c>
    </row>
    <row r="2831" spans="47:47" x14ac:dyDescent="0.25">
      <c r="AU2831" s="8" t="str">
        <f>IF(TRIM($G2831)="","",IF(COUNTIF(LISTS!$I$2:$I$16,TRIM($G2831))&gt;0,"COUNTED",IF(COUNTIF(LISTS!$J$2:$J$16,TRIM($G2831))&gt;0,"LEFT OUT","NEW")))</f>
        <v/>
      </c>
    </row>
    <row r="2832" spans="47:47" x14ac:dyDescent="0.25">
      <c r="AU2832" s="8" t="str">
        <f>IF(TRIM($G2832)="","",IF(COUNTIF(LISTS!$I$2:$I$16,TRIM($G2832))&gt;0,"COUNTED",IF(COUNTIF(LISTS!$J$2:$J$16,TRIM($G2832))&gt;0,"LEFT OUT","NEW")))</f>
        <v/>
      </c>
    </row>
    <row r="2833" spans="47:47" x14ac:dyDescent="0.25">
      <c r="AU2833" s="8" t="str">
        <f>IF(TRIM($G2833)="","",IF(COUNTIF(LISTS!$I$2:$I$16,TRIM($G2833))&gt;0,"COUNTED",IF(COUNTIF(LISTS!$J$2:$J$16,TRIM($G2833))&gt;0,"LEFT OUT","NEW")))</f>
        <v/>
      </c>
    </row>
    <row r="2834" spans="47:47" x14ac:dyDescent="0.25">
      <c r="AU2834" s="8" t="str">
        <f>IF(TRIM($G2834)="","",IF(COUNTIF(LISTS!$I$2:$I$16,TRIM($G2834))&gt;0,"COUNTED",IF(COUNTIF(LISTS!$J$2:$J$16,TRIM($G2834))&gt;0,"LEFT OUT","NEW")))</f>
        <v/>
      </c>
    </row>
    <row r="2835" spans="47:47" x14ac:dyDescent="0.25">
      <c r="AU2835" s="8" t="str">
        <f>IF(TRIM($G2835)="","",IF(COUNTIF(LISTS!$I$2:$I$16,TRIM($G2835))&gt;0,"COUNTED",IF(COUNTIF(LISTS!$J$2:$J$16,TRIM($G2835))&gt;0,"LEFT OUT","NEW")))</f>
        <v/>
      </c>
    </row>
    <row r="2836" spans="47:47" x14ac:dyDescent="0.25">
      <c r="AU2836" s="8" t="str">
        <f>IF(TRIM($G2836)="","",IF(COUNTIF(LISTS!$I$2:$I$16,TRIM($G2836))&gt;0,"COUNTED",IF(COUNTIF(LISTS!$J$2:$J$16,TRIM($G2836))&gt;0,"LEFT OUT","NEW")))</f>
        <v/>
      </c>
    </row>
    <row r="2837" spans="47:47" x14ac:dyDescent="0.25">
      <c r="AU2837" s="8" t="str">
        <f>IF(TRIM($G2837)="","",IF(COUNTIF(LISTS!$I$2:$I$16,TRIM($G2837))&gt;0,"COUNTED",IF(COUNTIF(LISTS!$J$2:$J$16,TRIM($G2837))&gt;0,"LEFT OUT","NEW")))</f>
        <v/>
      </c>
    </row>
    <row r="2838" spans="47:47" x14ac:dyDescent="0.25">
      <c r="AU2838" s="8" t="str">
        <f>IF(TRIM($G2838)="","",IF(COUNTIF(LISTS!$I$2:$I$16,TRIM($G2838))&gt;0,"COUNTED",IF(COUNTIF(LISTS!$J$2:$J$16,TRIM($G2838))&gt;0,"LEFT OUT","NEW")))</f>
        <v/>
      </c>
    </row>
    <row r="2839" spans="47:47" x14ac:dyDescent="0.25">
      <c r="AU2839" s="8" t="str">
        <f>IF(TRIM($G2839)="","",IF(COUNTIF(LISTS!$I$2:$I$16,TRIM($G2839))&gt;0,"COUNTED",IF(COUNTIF(LISTS!$J$2:$J$16,TRIM($G2839))&gt;0,"LEFT OUT","NEW")))</f>
        <v/>
      </c>
    </row>
    <row r="2840" spans="47:47" x14ac:dyDescent="0.25">
      <c r="AU2840" s="8" t="str">
        <f>IF(TRIM($G2840)="","",IF(COUNTIF(LISTS!$I$2:$I$16,TRIM($G2840))&gt;0,"COUNTED",IF(COUNTIF(LISTS!$J$2:$J$16,TRIM($G2840))&gt;0,"LEFT OUT","NEW")))</f>
        <v/>
      </c>
    </row>
    <row r="2841" spans="47:47" x14ac:dyDescent="0.25">
      <c r="AU2841" s="8" t="str">
        <f>IF(TRIM($G2841)="","",IF(COUNTIF(LISTS!$I$2:$I$16,TRIM($G2841))&gt;0,"COUNTED",IF(COUNTIF(LISTS!$J$2:$J$16,TRIM($G2841))&gt;0,"LEFT OUT","NEW")))</f>
        <v/>
      </c>
    </row>
    <row r="2842" spans="47:47" x14ac:dyDescent="0.25">
      <c r="AU2842" s="8" t="str">
        <f>IF(TRIM($G2842)="","",IF(COUNTIF(LISTS!$I$2:$I$16,TRIM($G2842))&gt;0,"COUNTED",IF(COUNTIF(LISTS!$J$2:$J$16,TRIM($G2842))&gt;0,"LEFT OUT","NEW")))</f>
        <v/>
      </c>
    </row>
    <row r="2843" spans="47:47" x14ac:dyDescent="0.25">
      <c r="AU2843" s="8" t="str">
        <f>IF(TRIM($G2843)="","",IF(COUNTIF(LISTS!$I$2:$I$16,TRIM($G2843))&gt;0,"COUNTED",IF(COUNTIF(LISTS!$J$2:$J$16,TRIM($G2843))&gt;0,"LEFT OUT","NEW")))</f>
        <v/>
      </c>
    </row>
    <row r="2844" spans="47:47" x14ac:dyDescent="0.25">
      <c r="AU2844" s="8" t="str">
        <f>IF(TRIM($G2844)="","",IF(COUNTIF(LISTS!$I$2:$I$16,TRIM($G2844))&gt;0,"COUNTED",IF(COUNTIF(LISTS!$J$2:$J$16,TRIM($G2844))&gt;0,"LEFT OUT","NEW")))</f>
        <v/>
      </c>
    </row>
    <row r="2845" spans="47:47" x14ac:dyDescent="0.25">
      <c r="AU2845" s="8" t="str">
        <f>IF(TRIM($G2845)="","",IF(COUNTIF(LISTS!$I$2:$I$16,TRIM($G2845))&gt;0,"COUNTED",IF(COUNTIF(LISTS!$J$2:$J$16,TRIM($G2845))&gt;0,"LEFT OUT","NEW")))</f>
        <v/>
      </c>
    </row>
    <row r="2846" spans="47:47" x14ac:dyDescent="0.25">
      <c r="AU2846" s="8" t="str">
        <f>IF(TRIM($G2846)="","",IF(COUNTIF(LISTS!$I$2:$I$16,TRIM($G2846))&gt;0,"COUNTED",IF(COUNTIF(LISTS!$J$2:$J$16,TRIM($G2846))&gt;0,"LEFT OUT","NEW")))</f>
        <v/>
      </c>
    </row>
    <row r="2847" spans="47:47" x14ac:dyDescent="0.25">
      <c r="AU2847" s="8" t="str">
        <f>IF(TRIM($G2847)="","",IF(COUNTIF(LISTS!$I$2:$I$16,TRIM($G2847))&gt;0,"COUNTED",IF(COUNTIF(LISTS!$J$2:$J$16,TRIM($G2847))&gt;0,"LEFT OUT","NEW")))</f>
        <v/>
      </c>
    </row>
    <row r="2848" spans="47:47" x14ac:dyDescent="0.25">
      <c r="AU2848" s="8" t="str">
        <f>IF(TRIM($G2848)="","",IF(COUNTIF(LISTS!$I$2:$I$16,TRIM($G2848))&gt;0,"COUNTED",IF(COUNTIF(LISTS!$J$2:$J$16,TRIM($G2848))&gt;0,"LEFT OUT","NEW")))</f>
        <v/>
      </c>
    </row>
    <row r="2849" spans="47:47" x14ac:dyDescent="0.25">
      <c r="AU2849" s="8" t="str">
        <f>IF(TRIM($G2849)="","",IF(COUNTIF(LISTS!$I$2:$I$16,TRIM($G2849))&gt;0,"COUNTED",IF(COUNTIF(LISTS!$J$2:$J$16,TRIM($G2849))&gt;0,"LEFT OUT","NEW")))</f>
        <v/>
      </c>
    </row>
    <row r="2850" spans="47:47" x14ac:dyDescent="0.25">
      <c r="AU2850" s="8" t="str">
        <f>IF(TRIM($G2850)="","",IF(COUNTIF(LISTS!$I$2:$I$16,TRIM($G2850))&gt;0,"COUNTED",IF(COUNTIF(LISTS!$J$2:$J$16,TRIM($G2850))&gt;0,"LEFT OUT","NEW")))</f>
        <v/>
      </c>
    </row>
    <row r="2851" spans="47:47" x14ac:dyDescent="0.25">
      <c r="AU2851" s="8" t="str">
        <f>IF(TRIM($G2851)="","",IF(COUNTIF(LISTS!$I$2:$I$16,TRIM($G2851))&gt;0,"COUNTED",IF(COUNTIF(LISTS!$J$2:$J$16,TRIM($G2851))&gt;0,"LEFT OUT","NEW")))</f>
        <v/>
      </c>
    </row>
    <row r="2852" spans="47:47" x14ac:dyDescent="0.25">
      <c r="AU2852" s="8" t="str">
        <f>IF(TRIM($G2852)="","",IF(COUNTIF(LISTS!$I$2:$I$16,TRIM($G2852))&gt;0,"COUNTED",IF(COUNTIF(LISTS!$J$2:$J$16,TRIM($G2852))&gt;0,"LEFT OUT","NEW")))</f>
        <v/>
      </c>
    </row>
    <row r="2853" spans="47:47" x14ac:dyDescent="0.25">
      <c r="AU2853" s="8" t="str">
        <f>IF(TRIM($G2853)="","",IF(COUNTIF(LISTS!$I$2:$I$16,TRIM($G2853))&gt;0,"COUNTED",IF(COUNTIF(LISTS!$J$2:$J$16,TRIM($G2853))&gt;0,"LEFT OUT","NEW")))</f>
        <v/>
      </c>
    </row>
    <row r="2854" spans="47:47" x14ac:dyDescent="0.25">
      <c r="AU2854" s="8" t="str">
        <f>IF(TRIM($G2854)="","",IF(COUNTIF(LISTS!$I$2:$I$16,TRIM($G2854))&gt;0,"COUNTED",IF(COUNTIF(LISTS!$J$2:$J$16,TRIM($G2854))&gt;0,"LEFT OUT","NEW")))</f>
        <v/>
      </c>
    </row>
    <row r="2855" spans="47:47" x14ac:dyDescent="0.25">
      <c r="AU2855" s="8" t="str">
        <f>IF(TRIM($G2855)="","",IF(COUNTIF(LISTS!$I$2:$I$16,TRIM($G2855))&gt;0,"COUNTED",IF(COUNTIF(LISTS!$J$2:$J$16,TRIM($G2855))&gt;0,"LEFT OUT","NEW")))</f>
        <v/>
      </c>
    </row>
    <row r="2856" spans="47:47" x14ac:dyDescent="0.25">
      <c r="AU2856" s="8" t="str">
        <f>IF(TRIM($G2856)="","",IF(COUNTIF(LISTS!$I$2:$I$16,TRIM($G2856))&gt;0,"COUNTED",IF(COUNTIF(LISTS!$J$2:$J$16,TRIM($G2856))&gt;0,"LEFT OUT","NEW")))</f>
        <v/>
      </c>
    </row>
    <row r="2857" spans="47:47" x14ac:dyDescent="0.25">
      <c r="AU2857" s="8" t="str">
        <f>IF(TRIM($G2857)="","",IF(COUNTIF(LISTS!$I$2:$I$16,TRIM($G2857))&gt;0,"COUNTED",IF(COUNTIF(LISTS!$J$2:$J$16,TRIM($G2857))&gt;0,"LEFT OUT","NEW")))</f>
        <v/>
      </c>
    </row>
    <row r="2858" spans="47:47" x14ac:dyDescent="0.25">
      <c r="AU2858" s="8" t="str">
        <f>IF(TRIM($G2858)="","",IF(COUNTIF(LISTS!$I$2:$I$16,TRIM($G2858))&gt;0,"COUNTED",IF(COUNTIF(LISTS!$J$2:$J$16,TRIM($G2858))&gt;0,"LEFT OUT","NEW")))</f>
        <v/>
      </c>
    </row>
    <row r="2859" spans="47:47" x14ac:dyDescent="0.25">
      <c r="AU2859" s="8" t="str">
        <f>IF(TRIM($G2859)="","",IF(COUNTIF(LISTS!$I$2:$I$16,TRIM($G2859))&gt;0,"COUNTED",IF(COUNTIF(LISTS!$J$2:$J$16,TRIM($G2859))&gt;0,"LEFT OUT","NEW")))</f>
        <v/>
      </c>
    </row>
    <row r="2860" spans="47:47" x14ac:dyDescent="0.25">
      <c r="AU2860" s="8" t="str">
        <f>IF(TRIM($G2860)="","",IF(COUNTIF(LISTS!$I$2:$I$16,TRIM($G2860))&gt;0,"COUNTED",IF(COUNTIF(LISTS!$J$2:$J$16,TRIM($G2860))&gt;0,"LEFT OUT","NEW")))</f>
        <v/>
      </c>
    </row>
    <row r="2861" spans="47:47" x14ac:dyDescent="0.25">
      <c r="AU2861" s="8" t="str">
        <f>IF(TRIM($G2861)="","",IF(COUNTIF(LISTS!$I$2:$I$16,TRIM($G2861))&gt;0,"COUNTED",IF(COUNTIF(LISTS!$J$2:$J$16,TRIM($G2861))&gt;0,"LEFT OUT","NEW")))</f>
        <v/>
      </c>
    </row>
    <row r="2862" spans="47:47" x14ac:dyDescent="0.25">
      <c r="AU2862" s="8" t="str">
        <f>IF(TRIM($G2862)="","",IF(COUNTIF(LISTS!$I$2:$I$16,TRIM($G2862))&gt;0,"COUNTED",IF(COUNTIF(LISTS!$J$2:$J$16,TRIM($G2862))&gt;0,"LEFT OUT","NEW")))</f>
        <v/>
      </c>
    </row>
    <row r="2863" spans="47:47" x14ac:dyDescent="0.25">
      <c r="AU2863" s="8" t="str">
        <f>IF(TRIM($G2863)="","",IF(COUNTIF(LISTS!$I$2:$I$16,TRIM($G2863))&gt;0,"COUNTED",IF(COUNTIF(LISTS!$J$2:$J$16,TRIM($G2863))&gt;0,"LEFT OUT","NEW")))</f>
        <v/>
      </c>
    </row>
    <row r="2864" spans="47:47" x14ac:dyDescent="0.25">
      <c r="AU2864" s="8" t="str">
        <f>IF(TRIM($G2864)="","",IF(COUNTIF(LISTS!$I$2:$I$16,TRIM($G2864))&gt;0,"COUNTED",IF(COUNTIF(LISTS!$J$2:$J$16,TRIM($G2864))&gt;0,"LEFT OUT","NEW")))</f>
        <v/>
      </c>
    </row>
    <row r="2865" spans="47:47" x14ac:dyDescent="0.25">
      <c r="AU2865" s="8" t="str">
        <f>IF(TRIM($G2865)="","",IF(COUNTIF(LISTS!$I$2:$I$16,TRIM($G2865))&gt;0,"COUNTED",IF(COUNTIF(LISTS!$J$2:$J$16,TRIM($G2865))&gt;0,"LEFT OUT","NEW")))</f>
        <v/>
      </c>
    </row>
    <row r="2866" spans="47:47" x14ac:dyDescent="0.25">
      <c r="AU2866" s="8" t="str">
        <f>IF(TRIM($G2866)="","",IF(COUNTIF(LISTS!$I$2:$I$16,TRIM($G2866))&gt;0,"COUNTED",IF(COUNTIF(LISTS!$J$2:$J$16,TRIM($G2866))&gt;0,"LEFT OUT","NEW")))</f>
        <v/>
      </c>
    </row>
    <row r="2867" spans="47:47" x14ac:dyDescent="0.25">
      <c r="AU2867" s="8" t="str">
        <f>IF(TRIM($G2867)="","",IF(COUNTIF(LISTS!$I$2:$I$16,TRIM($G2867))&gt;0,"COUNTED",IF(COUNTIF(LISTS!$J$2:$J$16,TRIM($G2867))&gt;0,"LEFT OUT","NEW")))</f>
        <v/>
      </c>
    </row>
    <row r="2868" spans="47:47" x14ac:dyDescent="0.25">
      <c r="AU2868" s="8" t="str">
        <f>IF(TRIM($G2868)="","",IF(COUNTIF(LISTS!$I$2:$I$16,TRIM($G2868))&gt;0,"COUNTED",IF(COUNTIF(LISTS!$J$2:$J$16,TRIM($G2868))&gt;0,"LEFT OUT","NEW")))</f>
        <v/>
      </c>
    </row>
    <row r="2869" spans="47:47" x14ac:dyDescent="0.25">
      <c r="AU2869" s="8" t="str">
        <f>IF(TRIM($G2869)="","",IF(COUNTIF(LISTS!$I$2:$I$16,TRIM($G2869))&gt;0,"COUNTED",IF(COUNTIF(LISTS!$J$2:$J$16,TRIM($G2869))&gt;0,"LEFT OUT","NEW")))</f>
        <v/>
      </c>
    </row>
    <row r="2870" spans="47:47" x14ac:dyDescent="0.25">
      <c r="AU2870" s="8" t="str">
        <f>IF(TRIM($G2870)="","",IF(COUNTIF(LISTS!$I$2:$I$16,TRIM($G2870))&gt;0,"COUNTED",IF(COUNTIF(LISTS!$J$2:$J$16,TRIM($G2870))&gt;0,"LEFT OUT","NEW")))</f>
        <v/>
      </c>
    </row>
    <row r="2871" spans="47:47" x14ac:dyDescent="0.25">
      <c r="AU2871" s="8" t="str">
        <f>IF(TRIM($G2871)="","",IF(COUNTIF(LISTS!$I$2:$I$16,TRIM($G2871))&gt;0,"COUNTED",IF(COUNTIF(LISTS!$J$2:$J$16,TRIM($G2871))&gt;0,"LEFT OUT","NEW")))</f>
        <v/>
      </c>
    </row>
    <row r="2872" spans="47:47" x14ac:dyDescent="0.25">
      <c r="AU2872" s="8" t="str">
        <f>IF(TRIM($G2872)="","",IF(COUNTIF(LISTS!$I$2:$I$16,TRIM($G2872))&gt;0,"COUNTED",IF(COUNTIF(LISTS!$J$2:$J$16,TRIM($G2872))&gt;0,"LEFT OUT","NEW")))</f>
        <v/>
      </c>
    </row>
    <row r="2873" spans="47:47" x14ac:dyDescent="0.25">
      <c r="AU2873" s="8" t="str">
        <f>IF(TRIM($G2873)="","",IF(COUNTIF(LISTS!$I$2:$I$16,TRIM($G2873))&gt;0,"COUNTED",IF(COUNTIF(LISTS!$J$2:$J$16,TRIM($G2873))&gt;0,"LEFT OUT","NEW")))</f>
        <v/>
      </c>
    </row>
    <row r="2874" spans="47:47" x14ac:dyDescent="0.25">
      <c r="AU2874" s="8" t="str">
        <f>IF(TRIM($G2874)="","",IF(COUNTIF(LISTS!$I$2:$I$16,TRIM($G2874))&gt;0,"COUNTED",IF(COUNTIF(LISTS!$J$2:$J$16,TRIM($G2874))&gt;0,"LEFT OUT","NEW")))</f>
        <v/>
      </c>
    </row>
    <row r="2875" spans="47:47" x14ac:dyDescent="0.25">
      <c r="AU2875" s="8" t="str">
        <f>IF(TRIM($G2875)="","",IF(COUNTIF(LISTS!$I$2:$I$16,TRIM($G2875))&gt;0,"COUNTED",IF(COUNTIF(LISTS!$J$2:$J$16,TRIM($G2875))&gt;0,"LEFT OUT","NEW")))</f>
        <v/>
      </c>
    </row>
    <row r="2876" spans="47:47" x14ac:dyDescent="0.25">
      <c r="AU2876" s="8" t="str">
        <f>IF(TRIM($G2876)="","",IF(COUNTIF(LISTS!$I$2:$I$16,TRIM($G2876))&gt;0,"COUNTED",IF(COUNTIF(LISTS!$J$2:$J$16,TRIM($G2876))&gt;0,"LEFT OUT","NEW")))</f>
        <v/>
      </c>
    </row>
    <row r="2877" spans="47:47" x14ac:dyDescent="0.25">
      <c r="AU2877" s="8" t="str">
        <f>IF(TRIM($G2877)="","",IF(COUNTIF(LISTS!$I$2:$I$16,TRIM($G2877))&gt;0,"COUNTED",IF(COUNTIF(LISTS!$J$2:$J$16,TRIM($G2877))&gt;0,"LEFT OUT","NEW")))</f>
        <v/>
      </c>
    </row>
    <row r="2878" spans="47:47" x14ac:dyDescent="0.25">
      <c r="AU2878" s="8" t="str">
        <f>IF(TRIM($G2878)="","",IF(COUNTIF(LISTS!$I$2:$I$16,TRIM($G2878))&gt;0,"COUNTED",IF(COUNTIF(LISTS!$J$2:$J$16,TRIM($G2878))&gt;0,"LEFT OUT","NEW")))</f>
        <v/>
      </c>
    </row>
    <row r="2879" spans="47:47" x14ac:dyDescent="0.25">
      <c r="AU2879" s="8" t="str">
        <f>IF(TRIM($G2879)="","",IF(COUNTIF(LISTS!$I$2:$I$16,TRIM($G2879))&gt;0,"COUNTED",IF(COUNTIF(LISTS!$J$2:$J$16,TRIM($G2879))&gt;0,"LEFT OUT","NEW")))</f>
        <v/>
      </c>
    </row>
    <row r="2880" spans="47:47" x14ac:dyDescent="0.25">
      <c r="AU2880" s="8" t="str">
        <f>IF(TRIM($G2880)="","",IF(COUNTIF(LISTS!$I$2:$I$16,TRIM($G2880))&gt;0,"COUNTED",IF(COUNTIF(LISTS!$J$2:$J$16,TRIM($G2880))&gt;0,"LEFT OUT","NEW")))</f>
        <v/>
      </c>
    </row>
    <row r="2881" spans="47:47" x14ac:dyDescent="0.25">
      <c r="AU2881" s="8" t="str">
        <f>IF(TRIM($G2881)="","",IF(COUNTIF(LISTS!$I$2:$I$16,TRIM($G2881))&gt;0,"COUNTED",IF(COUNTIF(LISTS!$J$2:$J$16,TRIM($G2881))&gt;0,"LEFT OUT","NEW")))</f>
        <v/>
      </c>
    </row>
    <row r="2882" spans="47:47" x14ac:dyDescent="0.25">
      <c r="AU2882" s="8" t="str">
        <f>IF(TRIM($G2882)="","",IF(COUNTIF(LISTS!$I$2:$I$16,TRIM($G2882))&gt;0,"COUNTED",IF(COUNTIF(LISTS!$J$2:$J$16,TRIM($G2882))&gt;0,"LEFT OUT","NEW")))</f>
        <v/>
      </c>
    </row>
    <row r="2883" spans="47:47" x14ac:dyDescent="0.25">
      <c r="AU2883" s="8" t="str">
        <f>IF(TRIM($G2883)="","",IF(COUNTIF(LISTS!$I$2:$I$16,TRIM($G2883))&gt;0,"COUNTED",IF(COUNTIF(LISTS!$J$2:$J$16,TRIM($G2883))&gt;0,"LEFT OUT","NEW")))</f>
        <v/>
      </c>
    </row>
    <row r="2884" spans="47:47" x14ac:dyDescent="0.25">
      <c r="AU2884" s="8" t="str">
        <f>IF(TRIM($G2884)="","",IF(COUNTIF(LISTS!$I$2:$I$16,TRIM($G2884))&gt;0,"COUNTED",IF(COUNTIF(LISTS!$J$2:$J$16,TRIM($G2884))&gt;0,"LEFT OUT","NEW")))</f>
        <v/>
      </c>
    </row>
    <row r="2885" spans="47:47" x14ac:dyDescent="0.25">
      <c r="AU2885" s="8" t="str">
        <f>IF(TRIM($G2885)="","",IF(COUNTIF(LISTS!$I$2:$I$16,TRIM($G2885))&gt;0,"COUNTED",IF(COUNTIF(LISTS!$J$2:$J$16,TRIM($G2885))&gt;0,"LEFT OUT","NEW")))</f>
        <v/>
      </c>
    </row>
    <row r="2886" spans="47:47" x14ac:dyDescent="0.25">
      <c r="AU2886" s="8" t="str">
        <f>IF(TRIM($G2886)="","",IF(COUNTIF(LISTS!$I$2:$I$16,TRIM($G2886))&gt;0,"COUNTED",IF(COUNTIF(LISTS!$J$2:$J$16,TRIM($G2886))&gt;0,"LEFT OUT","NEW")))</f>
        <v/>
      </c>
    </row>
    <row r="2887" spans="47:47" x14ac:dyDescent="0.25">
      <c r="AU2887" s="8" t="str">
        <f>IF(TRIM($G2887)="","",IF(COUNTIF(LISTS!$I$2:$I$16,TRIM($G2887))&gt;0,"COUNTED",IF(COUNTIF(LISTS!$J$2:$J$16,TRIM($G2887))&gt;0,"LEFT OUT","NEW")))</f>
        <v/>
      </c>
    </row>
    <row r="2888" spans="47:47" x14ac:dyDescent="0.25">
      <c r="AU2888" s="8" t="str">
        <f>IF(TRIM($G2888)="","",IF(COUNTIF(LISTS!$I$2:$I$16,TRIM($G2888))&gt;0,"COUNTED",IF(COUNTIF(LISTS!$J$2:$J$16,TRIM($G2888))&gt;0,"LEFT OUT","NEW")))</f>
        <v/>
      </c>
    </row>
    <row r="2889" spans="47:47" x14ac:dyDescent="0.25">
      <c r="AU2889" s="8" t="str">
        <f>IF(TRIM($G2889)="","",IF(COUNTIF(LISTS!$I$2:$I$16,TRIM($G2889))&gt;0,"COUNTED",IF(COUNTIF(LISTS!$J$2:$J$16,TRIM($G2889))&gt;0,"LEFT OUT","NEW")))</f>
        <v/>
      </c>
    </row>
    <row r="2890" spans="47:47" x14ac:dyDescent="0.25">
      <c r="AU2890" s="8" t="str">
        <f>IF(TRIM($G2890)="","",IF(COUNTIF(LISTS!$I$2:$I$16,TRIM($G2890))&gt;0,"COUNTED",IF(COUNTIF(LISTS!$J$2:$J$16,TRIM($G2890))&gt;0,"LEFT OUT","NEW")))</f>
        <v/>
      </c>
    </row>
    <row r="2891" spans="47:47" x14ac:dyDescent="0.25">
      <c r="AU2891" s="8" t="str">
        <f>IF(TRIM($G2891)="","",IF(COUNTIF(LISTS!$I$2:$I$16,TRIM($G2891))&gt;0,"COUNTED",IF(COUNTIF(LISTS!$J$2:$J$16,TRIM($G2891))&gt;0,"LEFT OUT","NEW")))</f>
        <v/>
      </c>
    </row>
    <row r="2892" spans="47:47" x14ac:dyDescent="0.25">
      <c r="AU2892" s="8" t="str">
        <f>IF(TRIM($G2892)="","",IF(COUNTIF(LISTS!$I$2:$I$16,TRIM($G2892))&gt;0,"COUNTED",IF(COUNTIF(LISTS!$J$2:$J$16,TRIM($G2892))&gt;0,"LEFT OUT","NEW")))</f>
        <v/>
      </c>
    </row>
    <row r="2893" spans="47:47" x14ac:dyDescent="0.25">
      <c r="AU2893" s="8" t="str">
        <f>IF(TRIM($G2893)="","",IF(COUNTIF(LISTS!$I$2:$I$16,TRIM($G2893))&gt;0,"COUNTED",IF(COUNTIF(LISTS!$J$2:$J$16,TRIM($G2893))&gt;0,"LEFT OUT","NEW")))</f>
        <v/>
      </c>
    </row>
    <row r="2894" spans="47:47" x14ac:dyDescent="0.25">
      <c r="AU2894" s="8" t="str">
        <f>IF(TRIM($G2894)="","",IF(COUNTIF(LISTS!$I$2:$I$16,TRIM($G2894))&gt;0,"COUNTED",IF(COUNTIF(LISTS!$J$2:$J$16,TRIM($G2894))&gt;0,"LEFT OUT","NEW")))</f>
        <v/>
      </c>
    </row>
    <row r="2895" spans="47:47" x14ac:dyDescent="0.25">
      <c r="AU2895" s="8" t="str">
        <f>IF(TRIM($G2895)="","",IF(COUNTIF(LISTS!$I$2:$I$16,TRIM($G2895))&gt;0,"COUNTED",IF(COUNTIF(LISTS!$J$2:$J$16,TRIM($G2895))&gt;0,"LEFT OUT","NEW")))</f>
        <v/>
      </c>
    </row>
    <row r="2896" spans="47:47" x14ac:dyDescent="0.25">
      <c r="AU2896" s="8" t="str">
        <f>IF(TRIM($G2896)="","",IF(COUNTIF(LISTS!$I$2:$I$16,TRIM($G2896))&gt;0,"COUNTED",IF(COUNTIF(LISTS!$J$2:$J$16,TRIM($G2896))&gt;0,"LEFT OUT","NEW")))</f>
        <v/>
      </c>
    </row>
    <row r="2897" spans="47:47" x14ac:dyDescent="0.25">
      <c r="AU2897" s="8" t="str">
        <f>IF(TRIM($G2897)="","",IF(COUNTIF(LISTS!$I$2:$I$16,TRIM($G2897))&gt;0,"COUNTED",IF(COUNTIF(LISTS!$J$2:$J$16,TRIM($G2897))&gt;0,"LEFT OUT","NEW")))</f>
        <v/>
      </c>
    </row>
    <row r="2898" spans="47:47" x14ac:dyDescent="0.25">
      <c r="AU2898" s="8" t="str">
        <f>IF(TRIM($G2898)="","",IF(COUNTIF(LISTS!$I$2:$I$16,TRIM($G2898))&gt;0,"COUNTED",IF(COUNTIF(LISTS!$J$2:$J$16,TRIM($G2898))&gt;0,"LEFT OUT","NEW")))</f>
        <v/>
      </c>
    </row>
    <row r="2899" spans="47:47" x14ac:dyDescent="0.25">
      <c r="AU2899" s="8" t="str">
        <f>IF(TRIM($G2899)="","",IF(COUNTIF(LISTS!$I$2:$I$16,TRIM($G2899))&gt;0,"COUNTED",IF(COUNTIF(LISTS!$J$2:$J$16,TRIM($G2899))&gt;0,"LEFT OUT","NEW")))</f>
        <v/>
      </c>
    </row>
    <row r="2900" spans="47:47" x14ac:dyDescent="0.25">
      <c r="AU2900" s="8" t="str">
        <f>IF(TRIM($G2900)="","",IF(COUNTIF(LISTS!$I$2:$I$16,TRIM($G2900))&gt;0,"COUNTED",IF(COUNTIF(LISTS!$J$2:$J$16,TRIM($G2900))&gt;0,"LEFT OUT","NEW")))</f>
        <v/>
      </c>
    </row>
    <row r="2901" spans="47:47" x14ac:dyDescent="0.25">
      <c r="AU2901" s="8" t="str">
        <f>IF(TRIM($G2901)="","",IF(COUNTIF(LISTS!$I$2:$I$16,TRIM($G2901))&gt;0,"COUNTED",IF(COUNTIF(LISTS!$J$2:$J$16,TRIM($G2901))&gt;0,"LEFT OUT","NEW")))</f>
        <v/>
      </c>
    </row>
    <row r="2902" spans="47:47" x14ac:dyDescent="0.25">
      <c r="AU2902" s="8" t="str">
        <f>IF(TRIM($G2902)="","",IF(COUNTIF(LISTS!$I$2:$I$16,TRIM($G2902))&gt;0,"COUNTED",IF(COUNTIF(LISTS!$J$2:$J$16,TRIM($G2902))&gt;0,"LEFT OUT","NEW")))</f>
        <v/>
      </c>
    </row>
    <row r="2903" spans="47:47" x14ac:dyDescent="0.25">
      <c r="AU2903" s="8" t="str">
        <f>IF(TRIM($G2903)="","",IF(COUNTIF(LISTS!$I$2:$I$16,TRIM($G2903))&gt;0,"COUNTED",IF(COUNTIF(LISTS!$J$2:$J$16,TRIM($G2903))&gt;0,"LEFT OUT","NEW")))</f>
        <v/>
      </c>
    </row>
    <row r="2904" spans="47:47" x14ac:dyDescent="0.25">
      <c r="AU2904" s="8" t="str">
        <f>IF(TRIM($G2904)="","",IF(COUNTIF(LISTS!$I$2:$I$16,TRIM($G2904))&gt;0,"COUNTED",IF(COUNTIF(LISTS!$J$2:$J$16,TRIM($G2904))&gt;0,"LEFT OUT","NEW")))</f>
        <v/>
      </c>
    </row>
    <row r="2905" spans="47:47" x14ac:dyDescent="0.25">
      <c r="AU2905" s="8" t="str">
        <f>IF(TRIM($G2905)="","",IF(COUNTIF(LISTS!$I$2:$I$16,TRIM($G2905))&gt;0,"COUNTED",IF(COUNTIF(LISTS!$J$2:$J$16,TRIM($G2905))&gt;0,"LEFT OUT","NEW")))</f>
        <v/>
      </c>
    </row>
    <row r="2906" spans="47:47" x14ac:dyDescent="0.25">
      <c r="AU2906" s="8" t="str">
        <f>IF(TRIM($G2906)="","",IF(COUNTIF(LISTS!$I$2:$I$16,TRIM($G2906))&gt;0,"COUNTED",IF(COUNTIF(LISTS!$J$2:$J$16,TRIM($G2906))&gt;0,"LEFT OUT","NEW")))</f>
        <v/>
      </c>
    </row>
    <row r="2907" spans="47:47" x14ac:dyDescent="0.25">
      <c r="AU2907" s="8" t="str">
        <f>IF(TRIM($G2907)="","",IF(COUNTIF(LISTS!$I$2:$I$16,TRIM($G2907))&gt;0,"COUNTED",IF(COUNTIF(LISTS!$J$2:$J$16,TRIM($G2907))&gt;0,"LEFT OUT","NEW")))</f>
        <v/>
      </c>
    </row>
    <row r="2908" spans="47:47" x14ac:dyDescent="0.25">
      <c r="AU2908" s="8" t="str">
        <f>IF(TRIM($G2908)="","",IF(COUNTIF(LISTS!$I$2:$I$16,TRIM($G2908))&gt;0,"COUNTED",IF(COUNTIF(LISTS!$J$2:$J$16,TRIM($G2908))&gt;0,"LEFT OUT","NEW")))</f>
        <v/>
      </c>
    </row>
    <row r="2909" spans="47:47" x14ac:dyDescent="0.25">
      <c r="AU2909" s="8" t="str">
        <f>IF(TRIM($G2909)="","",IF(COUNTIF(LISTS!$I$2:$I$16,TRIM($G2909))&gt;0,"COUNTED",IF(COUNTIF(LISTS!$J$2:$J$16,TRIM($G2909))&gt;0,"LEFT OUT","NEW")))</f>
        <v/>
      </c>
    </row>
    <row r="2910" spans="47:47" x14ac:dyDescent="0.25">
      <c r="AU2910" s="8" t="str">
        <f>IF(TRIM($G2910)="","",IF(COUNTIF(LISTS!$I$2:$I$16,TRIM($G2910))&gt;0,"COUNTED",IF(COUNTIF(LISTS!$J$2:$J$16,TRIM($G2910))&gt;0,"LEFT OUT","NEW")))</f>
        <v/>
      </c>
    </row>
    <row r="2911" spans="47:47" x14ac:dyDescent="0.25">
      <c r="AU2911" s="8" t="str">
        <f>IF(TRIM($G2911)="","",IF(COUNTIF(LISTS!$I$2:$I$16,TRIM($G2911))&gt;0,"COUNTED",IF(COUNTIF(LISTS!$J$2:$J$16,TRIM($G2911))&gt;0,"LEFT OUT","NEW")))</f>
        <v/>
      </c>
    </row>
    <row r="2912" spans="47:47" x14ac:dyDescent="0.25">
      <c r="AU2912" s="8" t="str">
        <f>IF(TRIM($G2912)="","",IF(COUNTIF(LISTS!$I$2:$I$16,TRIM($G2912))&gt;0,"COUNTED",IF(COUNTIF(LISTS!$J$2:$J$16,TRIM($G2912))&gt;0,"LEFT OUT","NEW")))</f>
        <v/>
      </c>
    </row>
    <row r="2913" spans="47:47" x14ac:dyDescent="0.25">
      <c r="AU2913" s="8" t="str">
        <f>IF(TRIM($G2913)="","",IF(COUNTIF(LISTS!$I$2:$I$16,TRIM($G2913))&gt;0,"COUNTED",IF(COUNTIF(LISTS!$J$2:$J$16,TRIM($G2913))&gt;0,"LEFT OUT","NEW")))</f>
        <v/>
      </c>
    </row>
    <row r="2914" spans="47:47" x14ac:dyDescent="0.25">
      <c r="AU2914" s="8" t="str">
        <f>IF(TRIM($G2914)="","",IF(COUNTIF(LISTS!$I$2:$I$16,TRIM($G2914))&gt;0,"COUNTED",IF(COUNTIF(LISTS!$J$2:$J$16,TRIM($G2914))&gt;0,"LEFT OUT","NEW")))</f>
        <v/>
      </c>
    </row>
    <row r="2915" spans="47:47" x14ac:dyDescent="0.25">
      <c r="AU2915" s="8" t="str">
        <f>IF(TRIM($G2915)="","",IF(COUNTIF(LISTS!$I$2:$I$16,TRIM($G2915))&gt;0,"COUNTED",IF(COUNTIF(LISTS!$J$2:$J$16,TRIM($G2915))&gt;0,"LEFT OUT","NEW")))</f>
        <v/>
      </c>
    </row>
    <row r="2916" spans="47:47" x14ac:dyDescent="0.25">
      <c r="AU2916" s="8" t="str">
        <f>IF(TRIM($G2916)="","",IF(COUNTIF(LISTS!$I$2:$I$16,TRIM($G2916))&gt;0,"COUNTED",IF(COUNTIF(LISTS!$J$2:$J$16,TRIM($G2916))&gt;0,"LEFT OUT","NEW")))</f>
        <v/>
      </c>
    </row>
    <row r="2917" spans="47:47" x14ac:dyDescent="0.25">
      <c r="AU2917" s="8" t="str">
        <f>IF(TRIM($G2917)="","",IF(COUNTIF(LISTS!$I$2:$I$16,TRIM($G2917))&gt;0,"COUNTED",IF(COUNTIF(LISTS!$J$2:$J$16,TRIM($G2917))&gt;0,"LEFT OUT","NEW")))</f>
        <v/>
      </c>
    </row>
    <row r="2918" spans="47:47" x14ac:dyDescent="0.25">
      <c r="AU2918" s="8" t="str">
        <f>IF(TRIM($G2918)="","",IF(COUNTIF(LISTS!$I$2:$I$16,TRIM($G2918))&gt;0,"COUNTED",IF(COUNTIF(LISTS!$J$2:$J$16,TRIM($G2918))&gt;0,"LEFT OUT","NEW")))</f>
        <v/>
      </c>
    </row>
    <row r="2919" spans="47:47" x14ac:dyDescent="0.25">
      <c r="AU2919" s="8" t="str">
        <f>IF(TRIM($G2919)="","",IF(COUNTIF(LISTS!$I$2:$I$16,TRIM($G2919))&gt;0,"COUNTED",IF(COUNTIF(LISTS!$J$2:$J$16,TRIM($G2919))&gt;0,"LEFT OUT","NEW")))</f>
        <v/>
      </c>
    </row>
    <row r="2920" spans="47:47" x14ac:dyDescent="0.25">
      <c r="AU2920" s="8" t="str">
        <f>IF(TRIM($G2920)="","",IF(COUNTIF(LISTS!$I$2:$I$16,TRIM($G2920))&gt;0,"COUNTED",IF(COUNTIF(LISTS!$J$2:$J$16,TRIM($G2920))&gt;0,"LEFT OUT","NEW")))</f>
        <v/>
      </c>
    </row>
    <row r="2921" spans="47:47" x14ac:dyDescent="0.25">
      <c r="AU2921" s="8" t="str">
        <f>IF(TRIM($G2921)="","",IF(COUNTIF(LISTS!$I$2:$I$16,TRIM($G2921))&gt;0,"COUNTED",IF(COUNTIF(LISTS!$J$2:$J$16,TRIM($G2921))&gt;0,"LEFT OUT","NEW")))</f>
        <v/>
      </c>
    </row>
    <row r="2922" spans="47:47" x14ac:dyDescent="0.25">
      <c r="AU2922" s="8" t="str">
        <f>IF(TRIM($G2922)="","",IF(COUNTIF(LISTS!$I$2:$I$16,TRIM($G2922))&gt;0,"COUNTED",IF(COUNTIF(LISTS!$J$2:$J$16,TRIM($G2922))&gt;0,"LEFT OUT","NEW")))</f>
        <v/>
      </c>
    </row>
    <row r="2923" spans="47:47" x14ac:dyDescent="0.25">
      <c r="AU2923" s="8" t="str">
        <f>IF(TRIM($G2923)="","",IF(COUNTIF(LISTS!$I$2:$I$16,TRIM($G2923))&gt;0,"COUNTED",IF(COUNTIF(LISTS!$J$2:$J$16,TRIM($G2923))&gt;0,"LEFT OUT","NEW")))</f>
        <v/>
      </c>
    </row>
    <row r="2924" spans="47:47" x14ac:dyDescent="0.25">
      <c r="AU2924" s="8" t="str">
        <f>IF(TRIM($G2924)="","",IF(COUNTIF(LISTS!$I$2:$I$16,TRIM($G2924))&gt;0,"COUNTED",IF(COUNTIF(LISTS!$J$2:$J$16,TRIM($G2924))&gt;0,"LEFT OUT","NEW")))</f>
        <v/>
      </c>
    </row>
    <row r="2925" spans="47:47" x14ac:dyDescent="0.25">
      <c r="AU2925" s="8" t="str">
        <f>IF(TRIM($G2925)="","",IF(COUNTIF(LISTS!$I$2:$I$16,TRIM($G2925))&gt;0,"COUNTED",IF(COUNTIF(LISTS!$J$2:$J$16,TRIM($G2925))&gt;0,"LEFT OUT","NEW")))</f>
        <v/>
      </c>
    </row>
    <row r="2926" spans="47:47" x14ac:dyDescent="0.25">
      <c r="AU2926" s="8" t="str">
        <f>IF(TRIM($G2926)="","",IF(COUNTIF(LISTS!$I$2:$I$16,TRIM($G2926))&gt;0,"COUNTED",IF(COUNTIF(LISTS!$J$2:$J$16,TRIM($G2926))&gt;0,"LEFT OUT","NEW")))</f>
        <v/>
      </c>
    </row>
    <row r="2927" spans="47:47" x14ac:dyDescent="0.25">
      <c r="AU2927" s="8" t="str">
        <f>IF(TRIM($G2927)="","",IF(COUNTIF(LISTS!$I$2:$I$16,TRIM($G2927))&gt;0,"COUNTED",IF(COUNTIF(LISTS!$J$2:$J$16,TRIM($G2927))&gt;0,"LEFT OUT","NEW")))</f>
        <v/>
      </c>
    </row>
    <row r="2928" spans="47:47" x14ac:dyDescent="0.25">
      <c r="AU2928" s="8" t="str">
        <f>IF(TRIM($G2928)="","",IF(COUNTIF(LISTS!$I$2:$I$16,TRIM($G2928))&gt;0,"COUNTED",IF(COUNTIF(LISTS!$J$2:$J$16,TRIM($G2928))&gt;0,"LEFT OUT","NEW")))</f>
        <v/>
      </c>
    </row>
    <row r="2929" spans="47:47" x14ac:dyDescent="0.25">
      <c r="AU2929" s="8" t="str">
        <f>IF(TRIM($G2929)="","",IF(COUNTIF(LISTS!$I$2:$I$16,TRIM($G2929))&gt;0,"COUNTED",IF(COUNTIF(LISTS!$J$2:$J$16,TRIM($G2929))&gt;0,"LEFT OUT","NEW")))</f>
        <v/>
      </c>
    </row>
    <row r="2930" spans="47:47" x14ac:dyDescent="0.25">
      <c r="AU2930" s="8" t="str">
        <f>IF(TRIM($G2930)="","",IF(COUNTIF(LISTS!$I$2:$I$16,TRIM($G2930))&gt;0,"COUNTED",IF(COUNTIF(LISTS!$J$2:$J$16,TRIM($G2930))&gt;0,"LEFT OUT","NEW")))</f>
        <v/>
      </c>
    </row>
    <row r="2931" spans="47:47" x14ac:dyDescent="0.25">
      <c r="AU2931" s="8" t="str">
        <f>IF(TRIM($G2931)="","",IF(COUNTIF(LISTS!$I$2:$I$16,TRIM($G2931))&gt;0,"COUNTED",IF(COUNTIF(LISTS!$J$2:$J$16,TRIM($G2931))&gt;0,"LEFT OUT","NEW")))</f>
        <v/>
      </c>
    </row>
    <row r="2932" spans="47:47" x14ac:dyDescent="0.25">
      <c r="AU2932" s="8" t="str">
        <f>IF(TRIM($G2932)="","",IF(COUNTIF(LISTS!$I$2:$I$16,TRIM($G2932))&gt;0,"COUNTED",IF(COUNTIF(LISTS!$J$2:$J$16,TRIM($G2932))&gt;0,"LEFT OUT","NEW")))</f>
        <v/>
      </c>
    </row>
    <row r="2933" spans="47:47" x14ac:dyDescent="0.25">
      <c r="AU2933" s="8" t="str">
        <f>IF(TRIM($G2933)="","",IF(COUNTIF(LISTS!$I$2:$I$16,TRIM($G2933))&gt;0,"COUNTED",IF(COUNTIF(LISTS!$J$2:$J$16,TRIM($G2933))&gt;0,"LEFT OUT","NEW")))</f>
        <v/>
      </c>
    </row>
    <row r="2934" spans="47:47" x14ac:dyDescent="0.25">
      <c r="AU2934" s="8" t="str">
        <f>IF(TRIM($G2934)="","",IF(COUNTIF(LISTS!$I$2:$I$16,TRIM($G2934))&gt;0,"COUNTED",IF(COUNTIF(LISTS!$J$2:$J$16,TRIM($G2934))&gt;0,"LEFT OUT","NEW")))</f>
        <v/>
      </c>
    </row>
    <row r="2935" spans="47:47" x14ac:dyDescent="0.25">
      <c r="AU2935" s="8" t="str">
        <f>IF(TRIM($G2935)="","",IF(COUNTIF(LISTS!$I$2:$I$16,TRIM($G2935))&gt;0,"COUNTED",IF(COUNTIF(LISTS!$J$2:$J$16,TRIM($G2935))&gt;0,"LEFT OUT","NEW")))</f>
        <v/>
      </c>
    </row>
    <row r="2936" spans="47:47" x14ac:dyDescent="0.25">
      <c r="AU2936" s="8" t="str">
        <f>IF(TRIM($G2936)="","",IF(COUNTIF(LISTS!$I$2:$I$16,TRIM($G2936))&gt;0,"COUNTED",IF(COUNTIF(LISTS!$J$2:$J$16,TRIM($G2936))&gt;0,"LEFT OUT","NEW")))</f>
        <v/>
      </c>
    </row>
    <row r="2937" spans="47:47" x14ac:dyDescent="0.25">
      <c r="AU2937" s="8" t="str">
        <f>IF(TRIM($G2937)="","",IF(COUNTIF(LISTS!$I$2:$I$16,TRIM($G2937))&gt;0,"COUNTED",IF(COUNTIF(LISTS!$J$2:$J$16,TRIM($G2937))&gt;0,"LEFT OUT","NEW")))</f>
        <v/>
      </c>
    </row>
    <row r="2938" spans="47:47" x14ac:dyDescent="0.25">
      <c r="AU2938" s="8" t="str">
        <f>IF(TRIM($G2938)="","",IF(COUNTIF(LISTS!$I$2:$I$16,TRIM($G2938))&gt;0,"COUNTED",IF(COUNTIF(LISTS!$J$2:$J$16,TRIM($G2938))&gt;0,"LEFT OUT","NEW")))</f>
        <v/>
      </c>
    </row>
    <row r="2939" spans="47:47" x14ac:dyDescent="0.25">
      <c r="AU2939" s="8" t="str">
        <f>IF(TRIM($G2939)="","",IF(COUNTIF(LISTS!$I$2:$I$16,TRIM($G2939))&gt;0,"COUNTED",IF(COUNTIF(LISTS!$J$2:$J$16,TRIM($G2939))&gt;0,"LEFT OUT","NEW")))</f>
        <v/>
      </c>
    </row>
    <row r="2940" spans="47:47" x14ac:dyDescent="0.25">
      <c r="AU2940" s="8" t="str">
        <f>IF(TRIM($G2940)="","",IF(COUNTIF(LISTS!$I$2:$I$16,TRIM($G2940))&gt;0,"COUNTED",IF(COUNTIF(LISTS!$J$2:$J$16,TRIM($G2940))&gt;0,"LEFT OUT","NEW")))</f>
        <v/>
      </c>
    </row>
    <row r="2941" spans="47:47" x14ac:dyDescent="0.25">
      <c r="AU2941" s="8" t="str">
        <f>IF(TRIM($G2941)="","",IF(COUNTIF(LISTS!$I$2:$I$16,TRIM($G2941))&gt;0,"COUNTED",IF(COUNTIF(LISTS!$J$2:$J$16,TRIM($G2941))&gt;0,"LEFT OUT","NEW")))</f>
        <v/>
      </c>
    </row>
    <row r="2942" spans="47:47" x14ac:dyDescent="0.25">
      <c r="AU2942" s="8" t="str">
        <f>IF(TRIM($G2942)="","",IF(COUNTIF(LISTS!$I$2:$I$16,TRIM($G2942))&gt;0,"COUNTED",IF(COUNTIF(LISTS!$J$2:$J$16,TRIM($G2942))&gt;0,"LEFT OUT","NEW")))</f>
        <v/>
      </c>
    </row>
    <row r="2943" spans="47:47" x14ac:dyDescent="0.25">
      <c r="AU2943" s="8" t="str">
        <f>IF(TRIM($G2943)="","",IF(COUNTIF(LISTS!$I$2:$I$16,TRIM($G2943))&gt;0,"COUNTED",IF(COUNTIF(LISTS!$J$2:$J$16,TRIM($G2943))&gt;0,"LEFT OUT","NEW")))</f>
        <v/>
      </c>
    </row>
    <row r="2944" spans="47:47" x14ac:dyDescent="0.25">
      <c r="AU2944" s="8" t="str">
        <f>IF(TRIM($G2944)="","",IF(COUNTIF(LISTS!$I$2:$I$16,TRIM($G2944))&gt;0,"COUNTED",IF(COUNTIF(LISTS!$J$2:$J$16,TRIM($G2944))&gt;0,"LEFT OUT","NEW")))</f>
        <v/>
      </c>
    </row>
    <row r="2945" spans="47:47" x14ac:dyDescent="0.25">
      <c r="AU2945" s="8" t="str">
        <f>IF(TRIM($G2945)="","",IF(COUNTIF(LISTS!$I$2:$I$16,TRIM($G2945))&gt;0,"COUNTED",IF(COUNTIF(LISTS!$J$2:$J$16,TRIM($G2945))&gt;0,"LEFT OUT","NEW")))</f>
        <v/>
      </c>
    </row>
    <row r="2946" spans="47:47" x14ac:dyDescent="0.25">
      <c r="AU2946" s="8" t="str">
        <f>IF(TRIM($G2946)="","",IF(COUNTIF(LISTS!$I$2:$I$16,TRIM($G2946))&gt;0,"COUNTED",IF(COUNTIF(LISTS!$J$2:$J$16,TRIM($G2946))&gt;0,"LEFT OUT","NEW")))</f>
        <v/>
      </c>
    </row>
    <row r="2947" spans="47:47" x14ac:dyDescent="0.25">
      <c r="AU2947" s="8" t="str">
        <f>IF(TRIM($G2947)="","",IF(COUNTIF(LISTS!$I$2:$I$16,TRIM($G2947))&gt;0,"COUNTED",IF(COUNTIF(LISTS!$J$2:$J$16,TRIM($G2947))&gt;0,"LEFT OUT","NEW")))</f>
        <v/>
      </c>
    </row>
    <row r="2948" spans="47:47" x14ac:dyDescent="0.25">
      <c r="AU2948" s="8" t="str">
        <f>IF(TRIM($G2948)="","",IF(COUNTIF(LISTS!$I$2:$I$16,TRIM($G2948))&gt;0,"COUNTED",IF(COUNTIF(LISTS!$J$2:$J$16,TRIM($G2948))&gt;0,"LEFT OUT","NEW")))</f>
        <v/>
      </c>
    </row>
    <row r="2949" spans="47:47" x14ac:dyDescent="0.25">
      <c r="AU2949" s="8" t="str">
        <f>IF(TRIM($G2949)="","",IF(COUNTIF(LISTS!$I$2:$I$16,TRIM($G2949))&gt;0,"COUNTED",IF(COUNTIF(LISTS!$J$2:$J$16,TRIM($G2949))&gt;0,"LEFT OUT","NEW")))</f>
        <v/>
      </c>
    </row>
    <row r="2950" spans="47:47" x14ac:dyDescent="0.25">
      <c r="AU2950" s="8" t="str">
        <f>IF(TRIM($G2950)="","",IF(COUNTIF(LISTS!$I$2:$I$16,TRIM($G2950))&gt;0,"COUNTED",IF(COUNTIF(LISTS!$J$2:$J$16,TRIM($G2950))&gt;0,"LEFT OUT","NEW")))</f>
        <v/>
      </c>
    </row>
    <row r="2951" spans="47:47" x14ac:dyDescent="0.25">
      <c r="AU2951" s="8" t="str">
        <f>IF(TRIM($G2951)="","",IF(COUNTIF(LISTS!$I$2:$I$16,TRIM($G2951))&gt;0,"COUNTED",IF(COUNTIF(LISTS!$J$2:$J$16,TRIM($G2951))&gt;0,"LEFT OUT","NEW")))</f>
        <v/>
      </c>
    </row>
    <row r="2952" spans="47:47" x14ac:dyDescent="0.25">
      <c r="AU2952" s="8" t="str">
        <f>IF(TRIM($G2952)="","",IF(COUNTIF(LISTS!$I$2:$I$16,TRIM($G2952))&gt;0,"COUNTED",IF(COUNTIF(LISTS!$J$2:$J$16,TRIM($G2952))&gt;0,"LEFT OUT","NEW")))</f>
        <v/>
      </c>
    </row>
    <row r="2953" spans="47:47" x14ac:dyDescent="0.25">
      <c r="AU2953" s="8" t="str">
        <f>IF(TRIM($G2953)="","",IF(COUNTIF(LISTS!$I$2:$I$16,TRIM($G2953))&gt;0,"COUNTED",IF(COUNTIF(LISTS!$J$2:$J$16,TRIM($G2953))&gt;0,"LEFT OUT","NEW")))</f>
        <v/>
      </c>
    </row>
    <row r="2954" spans="47:47" x14ac:dyDescent="0.25">
      <c r="AU2954" s="8" t="str">
        <f>IF(TRIM($G2954)="","",IF(COUNTIF(LISTS!$I$2:$I$16,TRIM($G2954))&gt;0,"COUNTED",IF(COUNTIF(LISTS!$J$2:$J$16,TRIM($G2954))&gt;0,"LEFT OUT","NEW")))</f>
        <v/>
      </c>
    </row>
    <row r="2955" spans="47:47" x14ac:dyDescent="0.25">
      <c r="AU2955" s="8" t="str">
        <f>IF(TRIM($G2955)="","",IF(COUNTIF(LISTS!$I$2:$I$16,TRIM($G2955))&gt;0,"COUNTED",IF(COUNTIF(LISTS!$J$2:$J$16,TRIM($G2955))&gt;0,"LEFT OUT","NEW")))</f>
        <v/>
      </c>
    </row>
    <row r="2956" spans="47:47" x14ac:dyDescent="0.25">
      <c r="AU2956" s="8" t="str">
        <f>IF(TRIM($G2956)="","",IF(COUNTIF(LISTS!$I$2:$I$16,TRIM($G2956))&gt;0,"COUNTED",IF(COUNTIF(LISTS!$J$2:$J$16,TRIM($G2956))&gt;0,"LEFT OUT","NEW")))</f>
        <v/>
      </c>
    </row>
    <row r="2957" spans="47:47" x14ac:dyDescent="0.25">
      <c r="AU2957" s="8" t="str">
        <f>IF(TRIM($G2957)="","",IF(COUNTIF(LISTS!$I$2:$I$16,TRIM($G2957))&gt;0,"COUNTED",IF(COUNTIF(LISTS!$J$2:$J$16,TRIM($G2957))&gt;0,"LEFT OUT","NEW")))</f>
        <v/>
      </c>
    </row>
    <row r="2958" spans="47:47" x14ac:dyDescent="0.25">
      <c r="AU2958" s="8" t="str">
        <f>IF(TRIM($G2958)="","",IF(COUNTIF(LISTS!$I$2:$I$16,TRIM($G2958))&gt;0,"COUNTED",IF(COUNTIF(LISTS!$J$2:$J$16,TRIM($G2958))&gt;0,"LEFT OUT","NEW")))</f>
        <v/>
      </c>
    </row>
    <row r="2959" spans="47:47" x14ac:dyDescent="0.25">
      <c r="AU2959" s="8" t="str">
        <f>IF(TRIM($G2959)="","",IF(COUNTIF(LISTS!$I$2:$I$16,TRIM($G2959))&gt;0,"COUNTED",IF(COUNTIF(LISTS!$J$2:$J$16,TRIM($G2959))&gt;0,"LEFT OUT","NEW")))</f>
        <v/>
      </c>
    </row>
    <row r="2960" spans="47:47" x14ac:dyDescent="0.25">
      <c r="AU2960" s="8" t="str">
        <f>IF(TRIM($G2960)="","",IF(COUNTIF(LISTS!$I$2:$I$16,TRIM($G2960))&gt;0,"COUNTED",IF(COUNTIF(LISTS!$J$2:$J$16,TRIM($G2960))&gt;0,"LEFT OUT","NEW")))</f>
        <v/>
      </c>
    </row>
    <row r="2961" spans="47:47" x14ac:dyDescent="0.25">
      <c r="AU2961" s="8" t="str">
        <f>IF(TRIM($G2961)="","",IF(COUNTIF(LISTS!$I$2:$I$16,TRIM($G2961))&gt;0,"COUNTED",IF(COUNTIF(LISTS!$J$2:$J$16,TRIM($G2961))&gt;0,"LEFT OUT","NEW")))</f>
        <v/>
      </c>
    </row>
    <row r="2962" spans="47:47" x14ac:dyDescent="0.25">
      <c r="AU2962" s="8" t="str">
        <f>IF(TRIM($G2962)="","",IF(COUNTIF(LISTS!$I$2:$I$16,TRIM($G2962))&gt;0,"COUNTED",IF(COUNTIF(LISTS!$J$2:$J$16,TRIM($G2962))&gt;0,"LEFT OUT","NEW")))</f>
        <v/>
      </c>
    </row>
    <row r="2963" spans="47:47" x14ac:dyDescent="0.25">
      <c r="AU2963" s="8" t="str">
        <f>IF(TRIM($G2963)="","",IF(COUNTIF(LISTS!$I$2:$I$16,TRIM($G2963))&gt;0,"COUNTED",IF(COUNTIF(LISTS!$J$2:$J$16,TRIM($G2963))&gt;0,"LEFT OUT","NEW")))</f>
        <v/>
      </c>
    </row>
    <row r="2964" spans="47:47" x14ac:dyDescent="0.25">
      <c r="AU2964" s="8" t="str">
        <f>IF(TRIM($G2964)="","",IF(COUNTIF(LISTS!$I$2:$I$16,TRIM($G2964))&gt;0,"COUNTED",IF(COUNTIF(LISTS!$J$2:$J$16,TRIM($G2964))&gt;0,"LEFT OUT","NEW")))</f>
        <v/>
      </c>
    </row>
    <row r="2965" spans="47:47" x14ac:dyDescent="0.25">
      <c r="AU2965" s="8" t="str">
        <f>IF(TRIM($G2965)="","",IF(COUNTIF(LISTS!$I$2:$I$16,TRIM($G2965))&gt;0,"COUNTED",IF(COUNTIF(LISTS!$J$2:$J$16,TRIM($G2965))&gt;0,"LEFT OUT","NEW")))</f>
        <v/>
      </c>
    </row>
    <row r="2966" spans="47:47" x14ac:dyDescent="0.25">
      <c r="AU2966" s="8" t="str">
        <f>IF(TRIM($G2966)="","",IF(COUNTIF(LISTS!$I$2:$I$16,TRIM($G2966))&gt;0,"COUNTED",IF(COUNTIF(LISTS!$J$2:$J$16,TRIM($G2966))&gt;0,"LEFT OUT","NEW")))</f>
        <v/>
      </c>
    </row>
    <row r="2967" spans="47:47" x14ac:dyDescent="0.25">
      <c r="AU2967" s="8" t="str">
        <f>IF(TRIM($G2967)="","",IF(COUNTIF(LISTS!$I$2:$I$16,TRIM($G2967))&gt;0,"COUNTED",IF(COUNTIF(LISTS!$J$2:$J$16,TRIM($G2967))&gt;0,"LEFT OUT","NEW")))</f>
        <v/>
      </c>
    </row>
    <row r="2968" spans="47:47" x14ac:dyDescent="0.25">
      <c r="AU2968" s="8" t="str">
        <f>IF(TRIM($G2968)="","",IF(COUNTIF(LISTS!$I$2:$I$16,TRIM($G2968))&gt;0,"COUNTED",IF(COUNTIF(LISTS!$J$2:$J$16,TRIM($G2968))&gt;0,"LEFT OUT","NEW")))</f>
        <v/>
      </c>
    </row>
    <row r="2969" spans="47:47" x14ac:dyDescent="0.25">
      <c r="AU2969" s="8" t="str">
        <f>IF(TRIM($G2969)="","",IF(COUNTIF(LISTS!$I$2:$I$16,TRIM($G2969))&gt;0,"COUNTED",IF(COUNTIF(LISTS!$J$2:$J$16,TRIM($G2969))&gt;0,"LEFT OUT","NEW")))</f>
        <v/>
      </c>
    </row>
    <row r="2970" spans="47:47" x14ac:dyDescent="0.25">
      <c r="AU2970" s="8" t="str">
        <f>IF(TRIM($G2970)="","",IF(COUNTIF(LISTS!$I$2:$I$16,TRIM($G2970))&gt;0,"COUNTED",IF(COUNTIF(LISTS!$J$2:$J$16,TRIM($G2970))&gt;0,"LEFT OUT","NEW")))</f>
        <v/>
      </c>
    </row>
    <row r="2971" spans="47:47" x14ac:dyDescent="0.25">
      <c r="AU2971" s="8" t="str">
        <f>IF(TRIM($G2971)="","",IF(COUNTIF(LISTS!$I$2:$I$16,TRIM($G2971))&gt;0,"COUNTED",IF(COUNTIF(LISTS!$J$2:$J$16,TRIM($G2971))&gt;0,"LEFT OUT","NEW")))</f>
        <v/>
      </c>
    </row>
    <row r="2972" spans="47:47" x14ac:dyDescent="0.25">
      <c r="AU2972" s="8" t="str">
        <f>IF(TRIM($G2972)="","",IF(COUNTIF(LISTS!$I$2:$I$16,TRIM($G2972))&gt;0,"COUNTED",IF(COUNTIF(LISTS!$J$2:$J$16,TRIM($G2972))&gt;0,"LEFT OUT","NEW")))</f>
        <v/>
      </c>
    </row>
    <row r="2973" spans="47:47" x14ac:dyDescent="0.25">
      <c r="AU2973" s="8" t="str">
        <f>IF(TRIM($G2973)="","",IF(COUNTIF(LISTS!$I$2:$I$16,TRIM($G2973))&gt;0,"COUNTED",IF(COUNTIF(LISTS!$J$2:$J$16,TRIM($G2973))&gt;0,"LEFT OUT","NEW")))</f>
        <v/>
      </c>
    </row>
    <row r="2974" spans="47:47" x14ac:dyDescent="0.25">
      <c r="AU2974" s="8" t="str">
        <f>IF(TRIM($G2974)="","",IF(COUNTIF(LISTS!$I$2:$I$16,TRIM($G2974))&gt;0,"COUNTED",IF(COUNTIF(LISTS!$J$2:$J$16,TRIM($G2974))&gt;0,"LEFT OUT","NEW")))</f>
        <v/>
      </c>
    </row>
    <row r="2975" spans="47:47" x14ac:dyDescent="0.25">
      <c r="AU2975" s="8" t="str">
        <f>IF(TRIM($G2975)="","",IF(COUNTIF(LISTS!$I$2:$I$16,TRIM($G2975))&gt;0,"COUNTED",IF(COUNTIF(LISTS!$J$2:$J$16,TRIM($G2975))&gt;0,"LEFT OUT","NEW")))</f>
        <v/>
      </c>
    </row>
    <row r="2976" spans="47:47" x14ac:dyDescent="0.25">
      <c r="AU2976" s="8" t="str">
        <f>IF(TRIM($G2976)="","",IF(COUNTIF(LISTS!$I$2:$I$16,TRIM($G2976))&gt;0,"COUNTED",IF(COUNTIF(LISTS!$J$2:$J$16,TRIM($G2976))&gt;0,"LEFT OUT","NEW")))</f>
        <v/>
      </c>
    </row>
    <row r="2977" spans="47:47" x14ac:dyDescent="0.25">
      <c r="AU2977" s="8" t="str">
        <f>IF(TRIM($G2977)="","",IF(COUNTIF(LISTS!$I$2:$I$16,TRIM($G2977))&gt;0,"COUNTED",IF(COUNTIF(LISTS!$J$2:$J$16,TRIM($G2977))&gt;0,"LEFT OUT","NEW")))</f>
        <v/>
      </c>
    </row>
    <row r="2978" spans="47:47" x14ac:dyDescent="0.25">
      <c r="AU2978" s="8" t="str">
        <f>IF(TRIM($G2978)="","",IF(COUNTIF(LISTS!$I$2:$I$16,TRIM($G2978))&gt;0,"COUNTED",IF(COUNTIF(LISTS!$J$2:$J$16,TRIM($G2978))&gt;0,"LEFT OUT","NEW")))</f>
        <v/>
      </c>
    </row>
    <row r="2979" spans="47:47" x14ac:dyDescent="0.25">
      <c r="AU2979" s="8" t="str">
        <f>IF(TRIM($G2979)="","",IF(COUNTIF(LISTS!$I$2:$I$16,TRIM($G2979))&gt;0,"COUNTED",IF(COUNTIF(LISTS!$J$2:$J$16,TRIM($G2979))&gt;0,"LEFT OUT","NEW")))</f>
        <v/>
      </c>
    </row>
    <row r="2980" spans="47:47" x14ac:dyDescent="0.25">
      <c r="AU2980" s="8" t="str">
        <f>IF(TRIM($G2980)="","",IF(COUNTIF(LISTS!$I$2:$I$16,TRIM($G2980))&gt;0,"COUNTED",IF(COUNTIF(LISTS!$J$2:$J$16,TRIM($G2980))&gt;0,"LEFT OUT","NEW")))</f>
        <v/>
      </c>
    </row>
    <row r="2981" spans="47:47" x14ac:dyDescent="0.25">
      <c r="AU2981" s="8" t="str">
        <f>IF(TRIM($G2981)="","",IF(COUNTIF(LISTS!$I$2:$I$16,TRIM($G2981))&gt;0,"COUNTED",IF(COUNTIF(LISTS!$J$2:$J$16,TRIM($G2981))&gt;0,"LEFT OUT","NEW")))</f>
        <v/>
      </c>
    </row>
    <row r="2982" spans="47:47" x14ac:dyDescent="0.25">
      <c r="AU2982" s="8" t="str">
        <f>IF(TRIM($G2982)="","",IF(COUNTIF(LISTS!$I$2:$I$16,TRIM($G2982))&gt;0,"COUNTED",IF(COUNTIF(LISTS!$J$2:$J$16,TRIM($G2982))&gt;0,"LEFT OUT","NEW")))</f>
        <v/>
      </c>
    </row>
    <row r="2983" spans="47:47" x14ac:dyDescent="0.25">
      <c r="AU2983" s="8" t="str">
        <f>IF(TRIM($G2983)="","",IF(COUNTIF(LISTS!$I$2:$I$16,TRIM($G2983))&gt;0,"COUNTED",IF(COUNTIF(LISTS!$J$2:$J$16,TRIM($G2983))&gt;0,"LEFT OUT","NEW")))</f>
        <v/>
      </c>
    </row>
    <row r="2984" spans="47:47" x14ac:dyDescent="0.25">
      <c r="AU2984" s="8" t="str">
        <f>IF(TRIM($G2984)="","",IF(COUNTIF(LISTS!$I$2:$I$16,TRIM($G2984))&gt;0,"COUNTED",IF(COUNTIF(LISTS!$J$2:$J$16,TRIM($G2984))&gt;0,"LEFT OUT","NEW")))</f>
        <v/>
      </c>
    </row>
    <row r="2985" spans="47:47" x14ac:dyDescent="0.25">
      <c r="AU2985" s="8" t="str">
        <f>IF(TRIM($G2985)="","",IF(COUNTIF(LISTS!$I$2:$I$16,TRIM($G2985))&gt;0,"COUNTED",IF(COUNTIF(LISTS!$J$2:$J$16,TRIM($G2985))&gt;0,"LEFT OUT","NEW")))</f>
        <v/>
      </c>
    </row>
    <row r="2986" spans="47:47" x14ac:dyDescent="0.25">
      <c r="AU2986" s="8" t="str">
        <f>IF(TRIM($G2986)="","",IF(COUNTIF(LISTS!$I$2:$I$16,TRIM($G2986))&gt;0,"COUNTED",IF(COUNTIF(LISTS!$J$2:$J$16,TRIM($G2986))&gt;0,"LEFT OUT","NEW")))</f>
        <v/>
      </c>
    </row>
    <row r="2987" spans="47:47" x14ac:dyDescent="0.25">
      <c r="AU2987" s="8" t="str">
        <f>IF(TRIM($G2987)="","",IF(COUNTIF(LISTS!$I$2:$I$16,TRIM($G2987))&gt;0,"COUNTED",IF(COUNTIF(LISTS!$J$2:$J$16,TRIM($G2987))&gt;0,"LEFT OUT","NEW")))</f>
        <v/>
      </c>
    </row>
    <row r="2988" spans="47:47" x14ac:dyDescent="0.25">
      <c r="AU2988" s="8" t="str">
        <f>IF(TRIM($G2988)="","",IF(COUNTIF(LISTS!$I$2:$I$16,TRIM($G2988))&gt;0,"COUNTED",IF(COUNTIF(LISTS!$J$2:$J$16,TRIM($G2988))&gt;0,"LEFT OUT","NEW")))</f>
        <v/>
      </c>
    </row>
    <row r="2989" spans="47:47" x14ac:dyDescent="0.25">
      <c r="AU2989" s="8" t="str">
        <f>IF(TRIM($G2989)="","",IF(COUNTIF(LISTS!$I$2:$I$16,TRIM($G2989))&gt;0,"COUNTED",IF(COUNTIF(LISTS!$J$2:$J$16,TRIM($G2989))&gt;0,"LEFT OUT","NEW")))</f>
        <v/>
      </c>
    </row>
    <row r="2990" spans="47:47" x14ac:dyDescent="0.25">
      <c r="AU2990" s="8" t="str">
        <f>IF(TRIM($G2990)="","",IF(COUNTIF(LISTS!$I$2:$I$16,TRIM($G2990))&gt;0,"COUNTED",IF(COUNTIF(LISTS!$J$2:$J$16,TRIM($G2990))&gt;0,"LEFT OUT","NEW")))</f>
        <v/>
      </c>
    </row>
    <row r="2991" spans="47:47" x14ac:dyDescent="0.25">
      <c r="AU2991" s="8" t="str">
        <f>IF(TRIM($G2991)="","",IF(COUNTIF(LISTS!$I$2:$I$16,TRIM($G2991))&gt;0,"COUNTED",IF(COUNTIF(LISTS!$J$2:$J$16,TRIM($G2991))&gt;0,"LEFT OUT","NEW")))</f>
        <v/>
      </c>
    </row>
    <row r="2992" spans="47:47" x14ac:dyDescent="0.25">
      <c r="AU2992" s="8" t="str">
        <f>IF(TRIM($G2992)="","",IF(COUNTIF(LISTS!$I$2:$I$16,TRIM($G2992))&gt;0,"COUNTED",IF(COUNTIF(LISTS!$J$2:$J$16,TRIM($G2992))&gt;0,"LEFT OUT","NEW")))</f>
        <v/>
      </c>
    </row>
    <row r="2993" spans="47:47" x14ac:dyDescent="0.25">
      <c r="AU2993" s="8" t="str">
        <f>IF(TRIM($G2993)="","",IF(COUNTIF(LISTS!$I$2:$I$16,TRIM($G2993))&gt;0,"COUNTED",IF(COUNTIF(LISTS!$J$2:$J$16,TRIM($G2993))&gt;0,"LEFT OUT","NEW")))</f>
        <v/>
      </c>
    </row>
    <row r="2994" spans="47:47" x14ac:dyDescent="0.25">
      <c r="AU2994" s="8" t="str">
        <f>IF(TRIM($G2994)="","",IF(COUNTIF(LISTS!$I$2:$I$16,TRIM($G2994))&gt;0,"COUNTED",IF(COUNTIF(LISTS!$J$2:$J$16,TRIM($G2994))&gt;0,"LEFT OUT","NEW")))</f>
        <v/>
      </c>
    </row>
    <row r="2995" spans="47:47" x14ac:dyDescent="0.25">
      <c r="AU2995" s="8" t="str">
        <f>IF(TRIM($G2995)="","",IF(COUNTIF(LISTS!$I$2:$I$16,TRIM($G2995))&gt;0,"COUNTED",IF(COUNTIF(LISTS!$J$2:$J$16,TRIM($G2995))&gt;0,"LEFT OUT","NEW")))</f>
        <v/>
      </c>
    </row>
    <row r="2996" spans="47:47" x14ac:dyDescent="0.25">
      <c r="AU2996" s="8" t="str">
        <f>IF(TRIM($G2996)="","",IF(COUNTIF(LISTS!$I$2:$I$16,TRIM($G2996))&gt;0,"COUNTED",IF(COUNTIF(LISTS!$J$2:$J$16,TRIM($G2996))&gt;0,"LEFT OUT","NEW")))</f>
        <v/>
      </c>
    </row>
    <row r="2997" spans="47:47" x14ac:dyDescent="0.25">
      <c r="AU2997" s="8" t="str">
        <f>IF(TRIM($G2997)="","",IF(COUNTIF(LISTS!$I$2:$I$16,TRIM($G2997))&gt;0,"COUNTED",IF(COUNTIF(LISTS!$J$2:$J$16,TRIM($G2997))&gt;0,"LEFT OUT","NEW")))</f>
        <v/>
      </c>
    </row>
    <row r="2998" spans="47:47" x14ac:dyDescent="0.25">
      <c r="AU2998" s="8" t="str">
        <f>IF(TRIM($G2998)="","",IF(COUNTIF(LISTS!$I$2:$I$16,TRIM($G2998))&gt;0,"COUNTED",IF(COUNTIF(LISTS!$J$2:$J$16,TRIM($G2998))&gt;0,"LEFT OUT","NEW")))</f>
        <v/>
      </c>
    </row>
    <row r="2999" spans="47:47" x14ac:dyDescent="0.25">
      <c r="AU2999" s="8" t="str">
        <f>IF(TRIM($G2999)="","",IF(COUNTIF(LISTS!$I$2:$I$16,TRIM($G2999))&gt;0,"COUNTED",IF(COUNTIF(LISTS!$J$2:$J$16,TRIM($G2999))&gt;0,"LEFT OUT","NEW")))</f>
        <v/>
      </c>
    </row>
    <row r="3000" spans="47:47" x14ac:dyDescent="0.25">
      <c r="AU3000" s="8" t="str">
        <f>IF(TRIM($G3000)="","",IF(COUNTIF(LISTS!$I$2:$I$16,TRIM($G3000))&gt;0,"COUNTED",IF(COUNTIF(LISTS!$J$2:$J$16,TRIM($G3000))&gt;0,"LEFT OUT","NEW")))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H1500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31" max="34" width="18" hidden="1" customWidth="1" outlineLevel="1"/>
  </cols>
  <sheetData>
    <row r="1" spans="1:34" x14ac:dyDescent="0.25">
      <c r="A1" s="7" t="s">
        <v>126</v>
      </c>
      <c r="B1" s="7" t="s">
        <v>127</v>
      </c>
      <c r="C1" s="7" t="s">
        <v>113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95</v>
      </c>
      <c r="L1" s="7" t="s">
        <v>91</v>
      </c>
      <c r="M1" s="7" t="s">
        <v>87</v>
      </c>
      <c r="N1" s="7" t="s">
        <v>111</v>
      </c>
      <c r="O1" s="7" t="s">
        <v>112</v>
      </c>
      <c r="P1" s="7" t="s">
        <v>82</v>
      </c>
      <c r="Q1" s="7" t="s">
        <v>80</v>
      </c>
      <c r="R1" s="7" t="s">
        <v>135</v>
      </c>
      <c r="S1" s="7" t="s">
        <v>70</v>
      </c>
      <c r="T1" s="7" t="s">
        <v>88</v>
      </c>
      <c r="U1" s="7" t="s">
        <v>89</v>
      </c>
      <c r="V1" s="7" t="s">
        <v>90</v>
      </c>
      <c r="W1" s="7" t="s">
        <v>136</v>
      </c>
      <c r="X1" s="7" t="s">
        <v>137</v>
      </c>
      <c r="Y1" s="7" t="s">
        <v>75</v>
      </c>
      <c r="Z1" s="7" t="s">
        <v>138</v>
      </c>
      <c r="AA1" s="7" t="s">
        <v>139</v>
      </c>
      <c r="AB1" s="7" t="s">
        <v>140</v>
      </c>
      <c r="AC1" s="7" t="s">
        <v>141</v>
      </c>
      <c r="AE1" s="7" t="s">
        <v>142</v>
      </c>
      <c r="AF1" s="7" t="s">
        <v>143</v>
      </c>
      <c r="AG1" s="7" t="s">
        <v>144</v>
      </c>
      <c r="AH1" s="7" t="s">
        <v>145</v>
      </c>
    </row>
    <row r="2" spans="1:34" x14ac:dyDescent="0.25">
      <c r="AE2" s="8" t="str">
        <f t="shared" ref="AE2:AE65" si="0">IF(TRIM($E2)="Tax Paid",TRIM($S2),"")</f>
        <v/>
      </c>
      <c r="AF2" s="8" t="str">
        <f t="shared" ref="AF2:AF65" si="1">IF(TRIM($E2)="Tax Paid",ROUND($Z2/100,5),"")</f>
        <v/>
      </c>
      <c r="AG2" s="8" t="str">
        <f>IF(TRIM($E2)&lt;&gt;"Tax Paid","",IF(COUNTIFS(LISTS!$F$2:$F$26,$AE2,LISTS!$G$2:$G$26,$AF2)=0,"NOT ON LIST",""))</f>
        <v/>
      </c>
      <c r="AH2" s="8" t="str">
        <f t="shared" ref="AH2:AH65" si="2">IF($AG2="","",IF($AE2="","(no county)",$AE2)&amp;" ("&amp;SUBSTITUTE(TEXT($AF2,"0.###%"),".%","%")&amp;")")</f>
        <v/>
      </c>
    </row>
    <row r="3" spans="1:34" x14ac:dyDescent="0.25">
      <c r="AE3" s="8" t="str">
        <f t="shared" si="0"/>
        <v/>
      </c>
      <c r="AF3" s="8" t="str">
        <f t="shared" si="1"/>
        <v/>
      </c>
      <c r="AG3" s="8" t="str">
        <f>IF(TRIM($E3)&lt;&gt;"Tax Paid","",IF(COUNTIFS(LISTS!$F$2:$F$26,$AE3,LISTS!$G$2:$G$26,$AF3)=0,"NOT ON LIST",""))</f>
        <v/>
      </c>
      <c r="AH3" s="8" t="str">
        <f t="shared" si="2"/>
        <v/>
      </c>
    </row>
    <row r="4" spans="1:34" x14ac:dyDescent="0.25">
      <c r="AE4" s="8" t="str">
        <f t="shared" si="0"/>
        <v/>
      </c>
      <c r="AF4" s="8" t="str">
        <f t="shared" si="1"/>
        <v/>
      </c>
      <c r="AG4" s="8" t="str">
        <f>IF(TRIM($E4)&lt;&gt;"Tax Paid","",IF(COUNTIFS(LISTS!$F$2:$F$26,$AE4,LISTS!$G$2:$G$26,$AF4)=0,"NOT ON LIST",""))</f>
        <v/>
      </c>
      <c r="AH4" s="8" t="str">
        <f t="shared" si="2"/>
        <v/>
      </c>
    </row>
    <row r="5" spans="1:34" x14ac:dyDescent="0.25">
      <c r="AE5" s="8" t="str">
        <f t="shared" si="0"/>
        <v/>
      </c>
      <c r="AF5" s="8" t="str">
        <f t="shared" si="1"/>
        <v/>
      </c>
      <c r="AG5" s="8" t="str">
        <f>IF(TRIM($E5)&lt;&gt;"Tax Paid","",IF(COUNTIFS(LISTS!$F$2:$F$26,$AE5,LISTS!$G$2:$G$26,$AF5)=0,"NOT ON LIST",""))</f>
        <v/>
      </c>
      <c r="AH5" s="8" t="str">
        <f t="shared" si="2"/>
        <v/>
      </c>
    </row>
    <row r="6" spans="1:34" x14ac:dyDescent="0.25">
      <c r="AE6" s="8" t="str">
        <f t="shared" si="0"/>
        <v/>
      </c>
      <c r="AF6" s="8" t="str">
        <f t="shared" si="1"/>
        <v/>
      </c>
      <c r="AG6" s="8" t="str">
        <f>IF(TRIM($E6)&lt;&gt;"Tax Paid","",IF(COUNTIFS(LISTS!$F$2:$F$26,$AE6,LISTS!$G$2:$G$26,$AF6)=0,"NOT ON LIST",""))</f>
        <v/>
      </c>
      <c r="AH6" s="8" t="str">
        <f t="shared" si="2"/>
        <v/>
      </c>
    </row>
    <row r="7" spans="1:34" x14ac:dyDescent="0.25">
      <c r="AE7" s="8" t="str">
        <f t="shared" si="0"/>
        <v/>
      </c>
      <c r="AF7" s="8" t="str">
        <f t="shared" si="1"/>
        <v/>
      </c>
      <c r="AG7" s="8" t="str">
        <f>IF(TRIM($E7)&lt;&gt;"Tax Paid","",IF(COUNTIFS(LISTS!$F$2:$F$26,$AE7,LISTS!$G$2:$G$26,$AF7)=0,"NOT ON LIST",""))</f>
        <v/>
      </c>
      <c r="AH7" s="8" t="str">
        <f t="shared" si="2"/>
        <v/>
      </c>
    </row>
    <row r="8" spans="1:34" x14ac:dyDescent="0.25">
      <c r="AE8" s="8" t="str">
        <f t="shared" si="0"/>
        <v/>
      </c>
      <c r="AF8" s="8" t="str">
        <f t="shared" si="1"/>
        <v/>
      </c>
      <c r="AG8" s="8" t="str">
        <f>IF(TRIM($E8)&lt;&gt;"Tax Paid","",IF(COUNTIFS(LISTS!$F$2:$F$26,$AE8,LISTS!$G$2:$G$26,$AF8)=0,"NOT ON LIST",""))</f>
        <v/>
      </c>
      <c r="AH8" s="8" t="str">
        <f t="shared" si="2"/>
        <v/>
      </c>
    </row>
    <row r="9" spans="1:34" x14ac:dyDescent="0.25">
      <c r="AE9" s="8" t="str">
        <f t="shared" si="0"/>
        <v/>
      </c>
      <c r="AF9" s="8" t="str">
        <f t="shared" si="1"/>
        <v/>
      </c>
      <c r="AG9" s="8" t="str">
        <f>IF(TRIM($E9)&lt;&gt;"Tax Paid","",IF(COUNTIFS(LISTS!$F$2:$F$26,$AE9,LISTS!$G$2:$G$26,$AF9)=0,"NOT ON LIST",""))</f>
        <v/>
      </c>
      <c r="AH9" s="8" t="str">
        <f t="shared" si="2"/>
        <v/>
      </c>
    </row>
    <row r="10" spans="1:34" x14ac:dyDescent="0.25">
      <c r="AE10" s="8" t="str">
        <f t="shared" si="0"/>
        <v/>
      </c>
      <c r="AF10" s="8" t="str">
        <f t="shared" si="1"/>
        <v/>
      </c>
      <c r="AG10" s="8" t="str">
        <f>IF(TRIM($E10)&lt;&gt;"Tax Paid","",IF(COUNTIFS(LISTS!$F$2:$F$26,$AE10,LISTS!$G$2:$G$26,$AF10)=0,"NOT ON LIST",""))</f>
        <v/>
      </c>
      <c r="AH10" s="8" t="str">
        <f t="shared" si="2"/>
        <v/>
      </c>
    </row>
    <row r="11" spans="1:34" x14ac:dyDescent="0.25">
      <c r="AE11" s="8" t="str">
        <f t="shared" si="0"/>
        <v/>
      </c>
      <c r="AF11" s="8" t="str">
        <f t="shared" si="1"/>
        <v/>
      </c>
      <c r="AG11" s="8" t="str">
        <f>IF(TRIM($E11)&lt;&gt;"Tax Paid","",IF(COUNTIFS(LISTS!$F$2:$F$26,$AE11,LISTS!$G$2:$G$26,$AF11)=0,"NOT ON LIST",""))</f>
        <v/>
      </c>
      <c r="AH11" s="8" t="str">
        <f t="shared" si="2"/>
        <v/>
      </c>
    </row>
    <row r="12" spans="1:34" x14ac:dyDescent="0.25">
      <c r="AE12" s="8" t="str">
        <f t="shared" si="0"/>
        <v/>
      </c>
      <c r="AF12" s="8" t="str">
        <f t="shared" si="1"/>
        <v/>
      </c>
      <c r="AG12" s="8" t="str">
        <f>IF(TRIM($E12)&lt;&gt;"Tax Paid","",IF(COUNTIFS(LISTS!$F$2:$F$26,$AE12,LISTS!$G$2:$G$26,$AF12)=0,"NOT ON LIST",""))</f>
        <v/>
      </c>
      <c r="AH12" s="8" t="str">
        <f t="shared" si="2"/>
        <v/>
      </c>
    </row>
    <row r="13" spans="1:34" x14ac:dyDescent="0.25">
      <c r="AE13" s="8" t="str">
        <f t="shared" si="0"/>
        <v/>
      </c>
      <c r="AF13" s="8" t="str">
        <f t="shared" si="1"/>
        <v/>
      </c>
      <c r="AG13" s="8" t="str">
        <f>IF(TRIM($E13)&lt;&gt;"Tax Paid","",IF(COUNTIFS(LISTS!$F$2:$F$26,$AE13,LISTS!$G$2:$G$26,$AF13)=0,"NOT ON LIST",""))</f>
        <v/>
      </c>
      <c r="AH13" s="8" t="str">
        <f t="shared" si="2"/>
        <v/>
      </c>
    </row>
    <row r="14" spans="1:34" x14ac:dyDescent="0.25">
      <c r="AE14" s="8" t="str">
        <f t="shared" si="0"/>
        <v/>
      </c>
      <c r="AF14" s="8" t="str">
        <f t="shared" si="1"/>
        <v/>
      </c>
      <c r="AG14" s="8" t="str">
        <f>IF(TRIM($E14)&lt;&gt;"Tax Paid","",IF(COUNTIFS(LISTS!$F$2:$F$26,$AE14,LISTS!$G$2:$G$26,$AF14)=0,"NOT ON LIST",""))</f>
        <v/>
      </c>
      <c r="AH14" s="8" t="str">
        <f t="shared" si="2"/>
        <v/>
      </c>
    </row>
    <row r="15" spans="1:34" x14ac:dyDescent="0.25">
      <c r="AE15" s="8" t="str">
        <f t="shared" si="0"/>
        <v/>
      </c>
      <c r="AF15" s="8" t="str">
        <f t="shared" si="1"/>
        <v/>
      </c>
      <c r="AG15" s="8" t="str">
        <f>IF(TRIM($E15)&lt;&gt;"Tax Paid","",IF(COUNTIFS(LISTS!$F$2:$F$26,$AE15,LISTS!$G$2:$G$26,$AF15)=0,"NOT ON LIST",""))</f>
        <v/>
      </c>
      <c r="AH15" s="8" t="str">
        <f t="shared" si="2"/>
        <v/>
      </c>
    </row>
    <row r="16" spans="1:34" x14ac:dyDescent="0.25">
      <c r="AE16" s="8" t="str">
        <f t="shared" si="0"/>
        <v/>
      </c>
      <c r="AF16" s="8" t="str">
        <f t="shared" si="1"/>
        <v/>
      </c>
      <c r="AG16" s="8" t="str">
        <f>IF(TRIM($E16)&lt;&gt;"Tax Paid","",IF(COUNTIFS(LISTS!$F$2:$F$26,$AE16,LISTS!$G$2:$G$26,$AF16)=0,"NOT ON LIST",""))</f>
        <v/>
      </c>
      <c r="AH16" s="8" t="str">
        <f t="shared" si="2"/>
        <v/>
      </c>
    </row>
    <row r="17" spans="31:34" x14ac:dyDescent="0.25">
      <c r="AE17" s="8" t="str">
        <f t="shared" si="0"/>
        <v/>
      </c>
      <c r="AF17" s="8" t="str">
        <f t="shared" si="1"/>
        <v/>
      </c>
      <c r="AG17" s="8" t="str">
        <f>IF(TRIM($E17)&lt;&gt;"Tax Paid","",IF(COUNTIFS(LISTS!$F$2:$F$26,$AE17,LISTS!$G$2:$G$26,$AF17)=0,"NOT ON LIST",""))</f>
        <v/>
      </c>
      <c r="AH17" s="8" t="str">
        <f t="shared" si="2"/>
        <v/>
      </c>
    </row>
    <row r="18" spans="31:34" x14ac:dyDescent="0.25">
      <c r="AE18" s="8" t="str">
        <f t="shared" si="0"/>
        <v/>
      </c>
      <c r="AF18" s="8" t="str">
        <f t="shared" si="1"/>
        <v/>
      </c>
      <c r="AG18" s="8" t="str">
        <f>IF(TRIM($E18)&lt;&gt;"Tax Paid","",IF(COUNTIFS(LISTS!$F$2:$F$26,$AE18,LISTS!$G$2:$G$26,$AF18)=0,"NOT ON LIST",""))</f>
        <v/>
      </c>
      <c r="AH18" s="8" t="str">
        <f t="shared" si="2"/>
        <v/>
      </c>
    </row>
    <row r="19" spans="31:34" x14ac:dyDescent="0.25">
      <c r="AE19" s="8" t="str">
        <f t="shared" si="0"/>
        <v/>
      </c>
      <c r="AF19" s="8" t="str">
        <f t="shared" si="1"/>
        <v/>
      </c>
      <c r="AG19" s="8" t="str">
        <f>IF(TRIM($E19)&lt;&gt;"Tax Paid","",IF(COUNTIFS(LISTS!$F$2:$F$26,$AE19,LISTS!$G$2:$G$26,$AF19)=0,"NOT ON LIST",""))</f>
        <v/>
      </c>
      <c r="AH19" s="8" t="str">
        <f t="shared" si="2"/>
        <v/>
      </c>
    </row>
    <row r="20" spans="31:34" x14ac:dyDescent="0.25">
      <c r="AE20" s="8" t="str">
        <f t="shared" si="0"/>
        <v/>
      </c>
      <c r="AF20" s="8" t="str">
        <f t="shared" si="1"/>
        <v/>
      </c>
      <c r="AG20" s="8" t="str">
        <f>IF(TRIM($E20)&lt;&gt;"Tax Paid","",IF(COUNTIFS(LISTS!$F$2:$F$26,$AE20,LISTS!$G$2:$G$26,$AF20)=0,"NOT ON LIST",""))</f>
        <v/>
      </c>
      <c r="AH20" s="8" t="str">
        <f t="shared" si="2"/>
        <v/>
      </c>
    </row>
    <row r="21" spans="31:34" x14ac:dyDescent="0.25">
      <c r="AE21" s="8" t="str">
        <f t="shared" si="0"/>
        <v/>
      </c>
      <c r="AF21" s="8" t="str">
        <f t="shared" si="1"/>
        <v/>
      </c>
      <c r="AG21" s="8" t="str">
        <f>IF(TRIM($E21)&lt;&gt;"Tax Paid","",IF(COUNTIFS(LISTS!$F$2:$F$26,$AE21,LISTS!$G$2:$G$26,$AF21)=0,"NOT ON LIST",""))</f>
        <v/>
      </c>
      <c r="AH21" s="8" t="str">
        <f t="shared" si="2"/>
        <v/>
      </c>
    </row>
    <row r="22" spans="31:34" x14ac:dyDescent="0.25">
      <c r="AE22" s="8" t="str">
        <f t="shared" si="0"/>
        <v/>
      </c>
      <c r="AF22" s="8" t="str">
        <f t="shared" si="1"/>
        <v/>
      </c>
      <c r="AG22" s="8" t="str">
        <f>IF(TRIM($E22)&lt;&gt;"Tax Paid","",IF(COUNTIFS(LISTS!$F$2:$F$26,$AE22,LISTS!$G$2:$G$26,$AF22)=0,"NOT ON LIST",""))</f>
        <v/>
      </c>
      <c r="AH22" s="8" t="str">
        <f t="shared" si="2"/>
        <v/>
      </c>
    </row>
    <row r="23" spans="31:34" x14ac:dyDescent="0.25">
      <c r="AE23" s="8" t="str">
        <f t="shared" si="0"/>
        <v/>
      </c>
      <c r="AF23" s="8" t="str">
        <f t="shared" si="1"/>
        <v/>
      </c>
      <c r="AG23" s="8" t="str">
        <f>IF(TRIM($E23)&lt;&gt;"Tax Paid","",IF(COUNTIFS(LISTS!$F$2:$F$26,$AE23,LISTS!$G$2:$G$26,$AF23)=0,"NOT ON LIST",""))</f>
        <v/>
      </c>
      <c r="AH23" s="8" t="str">
        <f t="shared" si="2"/>
        <v/>
      </c>
    </row>
    <row r="24" spans="31:34" x14ac:dyDescent="0.25">
      <c r="AE24" s="8" t="str">
        <f t="shared" si="0"/>
        <v/>
      </c>
      <c r="AF24" s="8" t="str">
        <f t="shared" si="1"/>
        <v/>
      </c>
      <c r="AG24" s="8" t="str">
        <f>IF(TRIM($E24)&lt;&gt;"Tax Paid","",IF(COUNTIFS(LISTS!$F$2:$F$26,$AE24,LISTS!$G$2:$G$26,$AF24)=0,"NOT ON LIST",""))</f>
        <v/>
      </c>
      <c r="AH24" s="8" t="str">
        <f t="shared" si="2"/>
        <v/>
      </c>
    </row>
    <row r="25" spans="31:34" x14ac:dyDescent="0.25">
      <c r="AE25" s="8" t="str">
        <f t="shared" si="0"/>
        <v/>
      </c>
      <c r="AF25" s="8" t="str">
        <f t="shared" si="1"/>
        <v/>
      </c>
      <c r="AG25" s="8" t="str">
        <f>IF(TRIM($E25)&lt;&gt;"Tax Paid","",IF(COUNTIFS(LISTS!$F$2:$F$26,$AE25,LISTS!$G$2:$G$26,$AF25)=0,"NOT ON LIST",""))</f>
        <v/>
      </c>
      <c r="AH25" s="8" t="str">
        <f t="shared" si="2"/>
        <v/>
      </c>
    </row>
    <row r="26" spans="31:34" x14ac:dyDescent="0.25">
      <c r="AE26" s="8" t="str">
        <f t="shared" si="0"/>
        <v/>
      </c>
      <c r="AF26" s="8" t="str">
        <f t="shared" si="1"/>
        <v/>
      </c>
      <c r="AG26" s="8" t="str">
        <f>IF(TRIM($E26)&lt;&gt;"Tax Paid","",IF(COUNTIFS(LISTS!$F$2:$F$26,$AE26,LISTS!$G$2:$G$26,$AF26)=0,"NOT ON LIST",""))</f>
        <v/>
      </c>
      <c r="AH26" s="8" t="str">
        <f t="shared" si="2"/>
        <v/>
      </c>
    </row>
    <row r="27" spans="31:34" x14ac:dyDescent="0.25">
      <c r="AE27" s="8" t="str">
        <f t="shared" si="0"/>
        <v/>
      </c>
      <c r="AF27" s="8" t="str">
        <f t="shared" si="1"/>
        <v/>
      </c>
      <c r="AG27" s="8" t="str">
        <f>IF(TRIM($E27)&lt;&gt;"Tax Paid","",IF(COUNTIFS(LISTS!$F$2:$F$26,$AE27,LISTS!$G$2:$G$26,$AF27)=0,"NOT ON LIST",""))</f>
        <v/>
      </c>
      <c r="AH27" s="8" t="str">
        <f t="shared" si="2"/>
        <v/>
      </c>
    </row>
    <row r="28" spans="31:34" x14ac:dyDescent="0.25">
      <c r="AE28" s="8" t="str">
        <f t="shared" si="0"/>
        <v/>
      </c>
      <c r="AF28" s="8" t="str">
        <f t="shared" si="1"/>
        <v/>
      </c>
      <c r="AG28" s="8" t="str">
        <f>IF(TRIM($E28)&lt;&gt;"Tax Paid","",IF(COUNTIFS(LISTS!$F$2:$F$26,$AE28,LISTS!$G$2:$G$26,$AF28)=0,"NOT ON LIST",""))</f>
        <v/>
      </c>
      <c r="AH28" s="8" t="str">
        <f t="shared" si="2"/>
        <v/>
      </c>
    </row>
    <row r="29" spans="31:34" x14ac:dyDescent="0.25">
      <c r="AE29" s="8" t="str">
        <f t="shared" si="0"/>
        <v/>
      </c>
      <c r="AF29" s="8" t="str">
        <f t="shared" si="1"/>
        <v/>
      </c>
      <c r="AG29" s="8" t="str">
        <f>IF(TRIM($E29)&lt;&gt;"Tax Paid","",IF(COUNTIFS(LISTS!$F$2:$F$26,$AE29,LISTS!$G$2:$G$26,$AF29)=0,"NOT ON LIST",""))</f>
        <v/>
      </c>
      <c r="AH29" s="8" t="str">
        <f t="shared" si="2"/>
        <v/>
      </c>
    </row>
    <row r="30" spans="31:34" x14ac:dyDescent="0.25">
      <c r="AE30" s="8" t="str">
        <f t="shared" si="0"/>
        <v/>
      </c>
      <c r="AF30" s="8" t="str">
        <f t="shared" si="1"/>
        <v/>
      </c>
      <c r="AG30" s="8" t="str">
        <f>IF(TRIM($E30)&lt;&gt;"Tax Paid","",IF(COUNTIFS(LISTS!$F$2:$F$26,$AE30,LISTS!$G$2:$G$26,$AF30)=0,"NOT ON LIST",""))</f>
        <v/>
      </c>
      <c r="AH30" s="8" t="str">
        <f t="shared" si="2"/>
        <v/>
      </c>
    </row>
    <row r="31" spans="31:34" x14ac:dyDescent="0.25">
      <c r="AE31" s="8" t="str">
        <f t="shared" si="0"/>
        <v/>
      </c>
      <c r="AF31" s="8" t="str">
        <f t="shared" si="1"/>
        <v/>
      </c>
      <c r="AG31" s="8" t="str">
        <f>IF(TRIM($E31)&lt;&gt;"Tax Paid","",IF(COUNTIFS(LISTS!$F$2:$F$26,$AE31,LISTS!$G$2:$G$26,$AF31)=0,"NOT ON LIST",""))</f>
        <v/>
      </c>
      <c r="AH31" s="8" t="str">
        <f t="shared" si="2"/>
        <v/>
      </c>
    </row>
    <row r="32" spans="31:34" x14ac:dyDescent="0.25">
      <c r="AE32" s="8" t="str">
        <f t="shared" si="0"/>
        <v/>
      </c>
      <c r="AF32" s="8" t="str">
        <f t="shared" si="1"/>
        <v/>
      </c>
      <c r="AG32" s="8" t="str">
        <f>IF(TRIM($E32)&lt;&gt;"Tax Paid","",IF(COUNTIFS(LISTS!$F$2:$F$26,$AE32,LISTS!$G$2:$G$26,$AF32)=0,"NOT ON LIST",""))</f>
        <v/>
      </c>
      <c r="AH32" s="8" t="str">
        <f t="shared" si="2"/>
        <v/>
      </c>
    </row>
    <row r="33" spans="31:34" x14ac:dyDescent="0.25">
      <c r="AE33" s="8" t="str">
        <f t="shared" si="0"/>
        <v/>
      </c>
      <c r="AF33" s="8" t="str">
        <f t="shared" si="1"/>
        <v/>
      </c>
      <c r="AG33" s="8" t="str">
        <f>IF(TRIM($E33)&lt;&gt;"Tax Paid","",IF(COUNTIFS(LISTS!$F$2:$F$26,$AE33,LISTS!$G$2:$G$26,$AF33)=0,"NOT ON LIST",""))</f>
        <v/>
      </c>
      <c r="AH33" s="8" t="str">
        <f t="shared" si="2"/>
        <v/>
      </c>
    </row>
    <row r="34" spans="31:34" x14ac:dyDescent="0.25">
      <c r="AE34" s="8" t="str">
        <f t="shared" si="0"/>
        <v/>
      </c>
      <c r="AF34" s="8" t="str">
        <f t="shared" si="1"/>
        <v/>
      </c>
      <c r="AG34" s="8" t="str">
        <f>IF(TRIM($E34)&lt;&gt;"Tax Paid","",IF(COUNTIFS(LISTS!$F$2:$F$26,$AE34,LISTS!$G$2:$G$26,$AF34)=0,"NOT ON LIST",""))</f>
        <v/>
      </c>
      <c r="AH34" s="8" t="str">
        <f t="shared" si="2"/>
        <v/>
      </c>
    </row>
    <row r="35" spans="31:34" x14ac:dyDescent="0.25">
      <c r="AE35" s="8" t="str">
        <f t="shared" si="0"/>
        <v/>
      </c>
      <c r="AF35" s="8" t="str">
        <f t="shared" si="1"/>
        <v/>
      </c>
      <c r="AG35" s="8" t="str">
        <f>IF(TRIM($E35)&lt;&gt;"Tax Paid","",IF(COUNTIFS(LISTS!$F$2:$F$26,$AE35,LISTS!$G$2:$G$26,$AF35)=0,"NOT ON LIST",""))</f>
        <v/>
      </c>
      <c r="AH35" s="8" t="str">
        <f t="shared" si="2"/>
        <v/>
      </c>
    </row>
    <row r="36" spans="31:34" x14ac:dyDescent="0.25">
      <c r="AE36" s="8" t="str">
        <f t="shared" si="0"/>
        <v/>
      </c>
      <c r="AF36" s="8" t="str">
        <f t="shared" si="1"/>
        <v/>
      </c>
      <c r="AG36" s="8" t="str">
        <f>IF(TRIM($E36)&lt;&gt;"Tax Paid","",IF(COUNTIFS(LISTS!$F$2:$F$26,$AE36,LISTS!$G$2:$G$26,$AF36)=0,"NOT ON LIST",""))</f>
        <v/>
      </c>
      <c r="AH36" s="8" t="str">
        <f t="shared" si="2"/>
        <v/>
      </c>
    </row>
    <row r="37" spans="31:34" x14ac:dyDescent="0.25">
      <c r="AE37" s="8" t="str">
        <f t="shared" si="0"/>
        <v/>
      </c>
      <c r="AF37" s="8" t="str">
        <f t="shared" si="1"/>
        <v/>
      </c>
      <c r="AG37" s="8" t="str">
        <f>IF(TRIM($E37)&lt;&gt;"Tax Paid","",IF(COUNTIFS(LISTS!$F$2:$F$26,$AE37,LISTS!$G$2:$G$26,$AF37)=0,"NOT ON LIST",""))</f>
        <v/>
      </c>
      <c r="AH37" s="8" t="str">
        <f t="shared" si="2"/>
        <v/>
      </c>
    </row>
    <row r="38" spans="31:34" x14ac:dyDescent="0.25">
      <c r="AE38" s="8" t="str">
        <f t="shared" si="0"/>
        <v/>
      </c>
      <c r="AF38" s="8" t="str">
        <f t="shared" si="1"/>
        <v/>
      </c>
      <c r="AG38" s="8" t="str">
        <f>IF(TRIM($E38)&lt;&gt;"Tax Paid","",IF(COUNTIFS(LISTS!$F$2:$F$26,$AE38,LISTS!$G$2:$G$26,$AF38)=0,"NOT ON LIST",""))</f>
        <v/>
      </c>
      <c r="AH38" s="8" t="str">
        <f t="shared" si="2"/>
        <v/>
      </c>
    </row>
    <row r="39" spans="31:34" x14ac:dyDescent="0.25">
      <c r="AE39" s="8" t="str">
        <f t="shared" si="0"/>
        <v/>
      </c>
      <c r="AF39" s="8" t="str">
        <f t="shared" si="1"/>
        <v/>
      </c>
      <c r="AG39" s="8" t="str">
        <f>IF(TRIM($E39)&lt;&gt;"Tax Paid","",IF(COUNTIFS(LISTS!$F$2:$F$26,$AE39,LISTS!$G$2:$G$26,$AF39)=0,"NOT ON LIST",""))</f>
        <v/>
      </c>
      <c r="AH39" s="8" t="str">
        <f t="shared" si="2"/>
        <v/>
      </c>
    </row>
    <row r="40" spans="31:34" x14ac:dyDescent="0.25">
      <c r="AE40" s="8" t="str">
        <f t="shared" si="0"/>
        <v/>
      </c>
      <c r="AF40" s="8" t="str">
        <f t="shared" si="1"/>
        <v/>
      </c>
      <c r="AG40" s="8" t="str">
        <f>IF(TRIM($E40)&lt;&gt;"Tax Paid","",IF(COUNTIFS(LISTS!$F$2:$F$26,$AE40,LISTS!$G$2:$G$26,$AF40)=0,"NOT ON LIST",""))</f>
        <v/>
      </c>
      <c r="AH40" s="8" t="str">
        <f t="shared" si="2"/>
        <v/>
      </c>
    </row>
    <row r="41" spans="31:34" x14ac:dyDescent="0.25">
      <c r="AE41" s="8" t="str">
        <f t="shared" si="0"/>
        <v/>
      </c>
      <c r="AF41" s="8" t="str">
        <f t="shared" si="1"/>
        <v/>
      </c>
      <c r="AG41" s="8" t="str">
        <f>IF(TRIM($E41)&lt;&gt;"Tax Paid","",IF(COUNTIFS(LISTS!$F$2:$F$26,$AE41,LISTS!$G$2:$G$26,$AF41)=0,"NOT ON LIST",""))</f>
        <v/>
      </c>
      <c r="AH41" s="8" t="str">
        <f t="shared" si="2"/>
        <v/>
      </c>
    </row>
    <row r="42" spans="31:34" x14ac:dyDescent="0.25">
      <c r="AE42" s="8" t="str">
        <f t="shared" si="0"/>
        <v/>
      </c>
      <c r="AF42" s="8" t="str">
        <f t="shared" si="1"/>
        <v/>
      </c>
      <c r="AG42" s="8" t="str">
        <f>IF(TRIM($E42)&lt;&gt;"Tax Paid","",IF(COUNTIFS(LISTS!$F$2:$F$26,$AE42,LISTS!$G$2:$G$26,$AF42)=0,"NOT ON LIST",""))</f>
        <v/>
      </c>
      <c r="AH42" s="8" t="str">
        <f t="shared" si="2"/>
        <v/>
      </c>
    </row>
    <row r="43" spans="31:34" x14ac:dyDescent="0.25">
      <c r="AE43" s="8" t="str">
        <f t="shared" si="0"/>
        <v/>
      </c>
      <c r="AF43" s="8" t="str">
        <f t="shared" si="1"/>
        <v/>
      </c>
      <c r="AG43" s="8" t="str">
        <f>IF(TRIM($E43)&lt;&gt;"Tax Paid","",IF(COUNTIFS(LISTS!$F$2:$F$26,$AE43,LISTS!$G$2:$G$26,$AF43)=0,"NOT ON LIST",""))</f>
        <v/>
      </c>
      <c r="AH43" s="8" t="str">
        <f t="shared" si="2"/>
        <v/>
      </c>
    </row>
    <row r="44" spans="31:34" x14ac:dyDescent="0.25">
      <c r="AE44" s="8" t="str">
        <f t="shared" si="0"/>
        <v/>
      </c>
      <c r="AF44" s="8" t="str">
        <f t="shared" si="1"/>
        <v/>
      </c>
      <c r="AG44" s="8" t="str">
        <f>IF(TRIM($E44)&lt;&gt;"Tax Paid","",IF(COUNTIFS(LISTS!$F$2:$F$26,$AE44,LISTS!$G$2:$G$26,$AF44)=0,"NOT ON LIST",""))</f>
        <v/>
      </c>
      <c r="AH44" s="8" t="str">
        <f t="shared" si="2"/>
        <v/>
      </c>
    </row>
    <row r="45" spans="31:34" x14ac:dyDescent="0.25">
      <c r="AE45" s="8" t="str">
        <f t="shared" si="0"/>
        <v/>
      </c>
      <c r="AF45" s="8" t="str">
        <f t="shared" si="1"/>
        <v/>
      </c>
      <c r="AG45" s="8" t="str">
        <f>IF(TRIM($E45)&lt;&gt;"Tax Paid","",IF(COUNTIFS(LISTS!$F$2:$F$26,$AE45,LISTS!$G$2:$G$26,$AF45)=0,"NOT ON LIST",""))</f>
        <v/>
      </c>
      <c r="AH45" s="8" t="str">
        <f t="shared" si="2"/>
        <v/>
      </c>
    </row>
    <row r="46" spans="31:34" x14ac:dyDescent="0.25">
      <c r="AE46" s="8" t="str">
        <f t="shared" si="0"/>
        <v/>
      </c>
      <c r="AF46" s="8" t="str">
        <f t="shared" si="1"/>
        <v/>
      </c>
      <c r="AG46" s="8" t="str">
        <f>IF(TRIM($E46)&lt;&gt;"Tax Paid","",IF(COUNTIFS(LISTS!$F$2:$F$26,$AE46,LISTS!$G$2:$G$26,$AF46)=0,"NOT ON LIST",""))</f>
        <v/>
      </c>
      <c r="AH46" s="8" t="str">
        <f t="shared" si="2"/>
        <v/>
      </c>
    </row>
    <row r="47" spans="31:34" x14ac:dyDescent="0.25">
      <c r="AE47" s="8" t="str">
        <f t="shared" si="0"/>
        <v/>
      </c>
      <c r="AF47" s="8" t="str">
        <f t="shared" si="1"/>
        <v/>
      </c>
      <c r="AG47" s="8" t="str">
        <f>IF(TRIM($E47)&lt;&gt;"Tax Paid","",IF(COUNTIFS(LISTS!$F$2:$F$26,$AE47,LISTS!$G$2:$G$26,$AF47)=0,"NOT ON LIST",""))</f>
        <v/>
      </c>
      <c r="AH47" s="8" t="str">
        <f t="shared" si="2"/>
        <v/>
      </c>
    </row>
    <row r="48" spans="31:34" x14ac:dyDescent="0.25">
      <c r="AE48" s="8" t="str">
        <f t="shared" si="0"/>
        <v/>
      </c>
      <c r="AF48" s="8" t="str">
        <f t="shared" si="1"/>
        <v/>
      </c>
      <c r="AG48" s="8" t="str">
        <f>IF(TRIM($E48)&lt;&gt;"Tax Paid","",IF(COUNTIFS(LISTS!$F$2:$F$26,$AE48,LISTS!$G$2:$G$26,$AF48)=0,"NOT ON LIST",""))</f>
        <v/>
      </c>
      <c r="AH48" s="8" t="str">
        <f t="shared" si="2"/>
        <v/>
      </c>
    </row>
    <row r="49" spans="31:34" x14ac:dyDescent="0.25">
      <c r="AE49" s="8" t="str">
        <f t="shared" si="0"/>
        <v/>
      </c>
      <c r="AF49" s="8" t="str">
        <f t="shared" si="1"/>
        <v/>
      </c>
      <c r="AG49" s="8" t="str">
        <f>IF(TRIM($E49)&lt;&gt;"Tax Paid","",IF(COUNTIFS(LISTS!$F$2:$F$26,$AE49,LISTS!$G$2:$G$26,$AF49)=0,"NOT ON LIST",""))</f>
        <v/>
      </c>
      <c r="AH49" s="8" t="str">
        <f t="shared" si="2"/>
        <v/>
      </c>
    </row>
    <row r="50" spans="31:34" x14ac:dyDescent="0.25">
      <c r="AE50" s="8" t="str">
        <f t="shared" si="0"/>
        <v/>
      </c>
      <c r="AF50" s="8" t="str">
        <f t="shared" si="1"/>
        <v/>
      </c>
      <c r="AG50" s="8" t="str">
        <f>IF(TRIM($E50)&lt;&gt;"Tax Paid","",IF(COUNTIFS(LISTS!$F$2:$F$26,$AE50,LISTS!$G$2:$G$26,$AF50)=0,"NOT ON LIST",""))</f>
        <v/>
      </c>
      <c r="AH50" s="8" t="str">
        <f t="shared" si="2"/>
        <v/>
      </c>
    </row>
    <row r="51" spans="31:34" x14ac:dyDescent="0.25">
      <c r="AE51" s="8" t="str">
        <f t="shared" si="0"/>
        <v/>
      </c>
      <c r="AF51" s="8" t="str">
        <f t="shared" si="1"/>
        <v/>
      </c>
      <c r="AG51" s="8" t="str">
        <f>IF(TRIM($E51)&lt;&gt;"Tax Paid","",IF(COUNTIFS(LISTS!$F$2:$F$26,$AE51,LISTS!$G$2:$G$26,$AF51)=0,"NOT ON LIST",""))</f>
        <v/>
      </c>
      <c r="AH51" s="8" t="str">
        <f t="shared" si="2"/>
        <v/>
      </c>
    </row>
    <row r="52" spans="31:34" x14ac:dyDescent="0.25">
      <c r="AE52" s="8" t="str">
        <f t="shared" si="0"/>
        <v/>
      </c>
      <c r="AF52" s="8" t="str">
        <f t="shared" si="1"/>
        <v/>
      </c>
      <c r="AG52" s="8" t="str">
        <f>IF(TRIM($E52)&lt;&gt;"Tax Paid","",IF(COUNTIFS(LISTS!$F$2:$F$26,$AE52,LISTS!$G$2:$G$26,$AF52)=0,"NOT ON LIST",""))</f>
        <v/>
      </c>
      <c r="AH52" s="8" t="str">
        <f t="shared" si="2"/>
        <v/>
      </c>
    </row>
    <row r="53" spans="31:34" x14ac:dyDescent="0.25">
      <c r="AE53" s="8" t="str">
        <f t="shared" si="0"/>
        <v/>
      </c>
      <c r="AF53" s="8" t="str">
        <f t="shared" si="1"/>
        <v/>
      </c>
      <c r="AG53" s="8" t="str">
        <f>IF(TRIM($E53)&lt;&gt;"Tax Paid","",IF(COUNTIFS(LISTS!$F$2:$F$26,$AE53,LISTS!$G$2:$G$26,$AF53)=0,"NOT ON LIST",""))</f>
        <v/>
      </c>
      <c r="AH53" s="8" t="str">
        <f t="shared" si="2"/>
        <v/>
      </c>
    </row>
    <row r="54" spans="31:34" x14ac:dyDescent="0.25">
      <c r="AE54" s="8" t="str">
        <f t="shared" si="0"/>
        <v/>
      </c>
      <c r="AF54" s="8" t="str">
        <f t="shared" si="1"/>
        <v/>
      </c>
      <c r="AG54" s="8" t="str">
        <f>IF(TRIM($E54)&lt;&gt;"Tax Paid","",IF(COUNTIFS(LISTS!$F$2:$F$26,$AE54,LISTS!$G$2:$G$26,$AF54)=0,"NOT ON LIST",""))</f>
        <v/>
      </c>
      <c r="AH54" s="8" t="str">
        <f t="shared" si="2"/>
        <v/>
      </c>
    </row>
    <row r="55" spans="31:34" x14ac:dyDescent="0.25">
      <c r="AE55" s="8" t="str">
        <f t="shared" si="0"/>
        <v/>
      </c>
      <c r="AF55" s="8" t="str">
        <f t="shared" si="1"/>
        <v/>
      </c>
      <c r="AG55" s="8" t="str">
        <f>IF(TRIM($E55)&lt;&gt;"Tax Paid","",IF(COUNTIFS(LISTS!$F$2:$F$26,$AE55,LISTS!$G$2:$G$26,$AF55)=0,"NOT ON LIST",""))</f>
        <v/>
      </c>
      <c r="AH55" s="8" t="str">
        <f t="shared" si="2"/>
        <v/>
      </c>
    </row>
    <row r="56" spans="31:34" x14ac:dyDescent="0.25">
      <c r="AE56" s="8" t="str">
        <f t="shared" si="0"/>
        <v/>
      </c>
      <c r="AF56" s="8" t="str">
        <f t="shared" si="1"/>
        <v/>
      </c>
      <c r="AG56" s="8" t="str">
        <f>IF(TRIM($E56)&lt;&gt;"Tax Paid","",IF(COUNTIFS(LISTS!$F$2:$F$26,$AE56,LISTS!$G$2:$G$26,$AF56)=0,"NOT ON LIST",""))</f>
        <v/>
      </c>
      <c r="AH56" s="8" t="str">
        <f t="shared" si="2"/>
        <v/>
      </c>
    </row>
    <row r="57" spans="31:34" x14ac:dyDescent="0.25">
      <c r="AE57" s="8" t="str">
        <f t="shared" si="0"/>
        <v/>
      </c>
      <c r="AF57" s="8" t="str">
        <f t="shared" si="1"/>
        <v/>
      </c>
      <c r="AG57" s="8" t="str">
        <f>IF(TRIM($E57)&lt;&gt;"Tax Paid","",IF(COUNTIFS(LISTS!$F$2:$F$26,$AE57,LISTS!$G$2:$G$26,$AF57)=0,"NOT ON LIST",""))</f>
        <v/>
      </c>
      <c r="AH57" s="8" t="str">
        <f t="shared" si="2"/>
        <v/>
      </c>
    </row>
    <row r="58" spans="31:34" x14ac:dyDescent="0.25">
      <c r="AE58" s="8" t="str">
        <f t="shared" si="0"/>
        <v/>
      </c>
      <c r="AF58" s="8" t="str">
        <f t="shared" si="1"/>
        <v/>
      </c>
      <c r="AG58" s="8" t="str">
        <f>IF(TRIM($E58)&lt;&gt;"Tax Paid","",IF(COUNTIFS(LISTS!$F$2:$F$26,$AE58,LISTS!$G$2:$G$26,$AF58)=0,"NOT ON LIST",""))</f>
        <v/>
      </c>
      <c r="AH58" s="8" t="str">
        <f t="shared" si="2"/>
        <v/>
      </c>
    </row>
    <row r="59" spans="31:34" x14ac:dyDescent="0.25">
      <c r="AE59" s="8" t="str">
        <f t="shared" si="0"/>
        <v/>
      </c>
      <c r="AF59" s="8" t="str">
        <f t="shared" si="1"/>
        <v/>
      </c>
      <c r="AG59" s="8" t="str">
        <f>IF(TRIM($E59)&lt;&gt;"Tax Paid","",IF(COUNTIFS(LISTS!$F$2:$F$26,$AE59,LISTS!$G$2:$G$26,$AF59)=0,"NOT ON LIST",""))</f>
        <v/>
      </c>
      <c r="AH59" s="8" t="str">
        <f t="shared" si="2"/>
        <v/>
      </c>
    </row>
    <row r="60" spans="31:34" x14ac:dyDescent="0.25">
      <c r="AE60" s="8" t="str">
        <f t="shared" si="0"/>
        <v/>
      </c>
      <c r="AF60" s="8" t="str">
        <f t="shared" si="1"/>
        <v/>
      </c>
      <c r="AG60" s="8" t="str">
        <f>IF(TRIM($E60)&lt;&gt;"Tax Paid","",IF(COUNTIFS(LISTS!$F$2:$F$26,$AE60,LISTS!$G$2:$G$26,$AF60)=0,"NOT ON LIST",""))</f>
        <v/>
      </c>
      <c r="AH60" s="8" t="str">
        <f t="shared" si="2"/>
        <v/>
      </c>
    </row>
    <row r="61" spans="31:34" x14ac:dyDescent="0.25">
      <c r="AE61" s="8" t="str">
        <f t="shared" si="0"/>
        <v/>
      </c>
      <c r="AF61" s="8" t="str">
        <f t="shared" si="1"/>
        <v/>
      </c>
      <c r="AG61" s="8" t="str">
        <f>IF(TRIM($E61)&lt;&gt;"Tax Paid","",IF(COUNTIFS(LISTS!$F$2:$F$26,$AE61,LISTS!$G$2:$G$26,$AF61)=0,"NOT ON LIST",""))</f>
        <v/>
      </c>
      <c r="AH61" s="8" t="str">
        <f t="shared" si="2"/>
        <v/>
      </c>
    </row>
    <row r="62" spans="31:34" x14ac:dyDescent="0.25">
      <c r="AE62" s="8" t="str">
        <f t="shared" si="0"/>
        <v/>
      </c>
      <c r="AF62" s="8" t="str">
        <f t="shared" si="1"/>
        <v/>
      </c>
      <c r="AG62" s="8" t="str">
        <f>IF(TRIM($E62)&lt;&gt;"Tax Paid","",IF(COUNTIFS(LISTS!$F$2:$F$26,$AE62,LISTS!$G$2:$G$26,$AF62)=0,"NOT ON LIST",""))</f>
        <v/>
      </c>
      <c r="AH62" s="8" t="str">
        <f t="shared" si="2"/>
        <v/>
      </c>
    </row>
    <row r="63" spans="31:34" x14ac:dyDescent="0.25">
      <c r="AE63" s="8" t="str">
        <f t="shared" si="0"/>
        <v/>
      </c>
      <c r="AF63" s="8" t="str">
        <f t="shared" si="1"/>
        <v/>
      </c>
      <c r="AG63" s="8" t="str">
        <f>IF(TRIM($E63)&lt;&gt;"Tax Paid","",IF(COUNTIFS(LISTS!$F$2:$F$26,$AE63,LISTS!$G$2:$G$26,$AF63)=0,"NOT ON LIST",""))</f>
        <v/>
      </c>
      <c r="AH63" s="8" t="str">
        <f t="shared" si="2"/>
        <v/>
      </c>
    </row>
    <row r="64" spans="31:34" x14ac:dyDescent="0.25">
      <c r="AE64" s="8" t="str">
        <f t="shared" si="0"/>
        <v/>
      </c>
      <c r="AF64" s="8" t="str">
        <f t="shared" si="1"/>
        <v/>
      </c>
      <c r="AG64" s="8" t="str">
        <f>IF(TRIM($E64)&lt;&gt;"Tax Paid","",IF(COUNTIFS(LISTS!$F$2:$F$26,$AE64,LISTS!$G$2:$G$26,$AF64)=0,"NOT ON LIST",""))</f>
        <v/>
      </c>
      <c r="AH64" s="8" t="str">
        <f t="shared" si="2"/>
        <v/>
      </c>
    </row>
    <row r="65" spans="31:34" x14ac:dyDescent="0.25">
      <c r="AE65" s="8" t="str">
        <f t="shared" si="0"/>
        <v/>
      </c>
      <c r="AF65" s="8" t="str">
        <f t="shared" si="1"/>
        <v/>
      </c>
      <c r="AG65" s="8" t="str">
        <f>IF(TRIM($E65)&lt;&gt;"Tax Paid","",IF(COUNTIFS(LISTS!$F$2:$F$26,$AE65,LISTS!$G$2:$G$26,$AF65)=0,"NOT ON LIST",""))</f>
        <v/>
      </c>
      <c r="AH65" s="8" t="str">
        <f t="shared" si="2"/>
        <v/>
      </c>
    </row>
    <row r="66" spans="31:34" x14ac:dyDescent="0.25">
      <c r="AE66" s="8" t="str">
        <f t="shared" ref="AE66:AE129" si="3">IF(TRIM($E66)="Tax Paid",TRIM($S66),"")</f>
        <v/>
      </c>
      <c r="AF66" s="8" t="str">
        <f t="shared" ref="AF66:AF129" si="4">IF(TRIM($E66)="Tax Paid",ROUND($Z66/100,5),"")</f>
        <v/>
      </c>
      <c r="AG66" s="8" t="str">
        <f>IF(TRIM($E66)&lt;&gt;"Tax Paid","",IF(COUNTIFS(LISTS!$F$2:$F$26,$AE66,LISTS!$G$2:$G$26,$AF66)=0,"NOT ON LIST",""))</f>
        <v/>
      </c>
      <c r="AH66" s="8" t="str">
        <f t="shared" ref="AH66:AH129" si="5">IF($AG66="","",IF($AE66="","(no county)",$AE66)&amp;" ("&amp;SUBSTITUTE(TEXT($AF66,"0.###%"),".%","%")&amp;")")</f>
        <v/>
      </c>
    </row>
    <row r="67" spans="31:34" x14ac:dyDescent="0.25">
      <c r="AE67" s="8" t="str">
        <f t="shared" si="3"/>
        <v/>
      </c>
      <c r="AF67" s="8" t="str">
        <f t="shared" si="4"/>
        <v/>
      </c>
      <c r="AG67" s="8" t="str">
        <f>IF(TRIM($E67)&lt;&gt;"Tax Paid","",IF(COUNTIFS(LISTS!$F$2:$F$26,$AE67,LISTS!$G$2:$G$26,$AF67)=0,"NOT ON LIST",""))</f>
        <v/>
      </c>
      <c r="AH67" s="8" t="str">
        <f t="shared" si="5"/>
        <v/>
      </c>
    </row>
    <row r="68" spans="31:34" x14ac:dyDescent="0.25">
      <c r="AE68" s="8" t="str">
        <f t="shared" si="3"/>
        <v/>
      </c>
      <c r="AF68" s="8" t="str">
        <f t="shared" si="4"/>
        <v/>
      </c>
      <c r="AG68" s="8" t="str">
        <f>IF(TRIM($E68)&lt;&gt;"Tax Paid","",IF(COUNTIFS(LISTS!$F$2:$F$26,$AE68,LISTS!$G$2:$G$26,$AF68)=0,"NOT ON LIST",""))</f>
        <v/>
      </c>
      <c r="AH68" s="8" t="str">
        <f t="shared" si="5"/>
        <v/>
      </c>
    </row>
    <row r="69" spans="31:34" x14ac:dyDescent="0.25">
      <c r="AE69" s="8" t="str">
        <f t="shared" si="3"/>
        <v/>
      </c>
      <c r="AF69" s="8" t="str">
        <f t="shared" si="4"/>
        <v/>
      </c>
      <c r="AG69" s="8" t="str">
        <f>IF(TRIM($E69)&lt;&gt;"Tax Paid","",IF(COUNTIFS(LISTS!$F$2:$F$26,$AE69,LISTS!$G$2:$G$26,$AF69)=0,"NOT ON LIST",""))</f>
        <v/>
      </c>
      <c r="AH69" s="8" t="str">
        <f t="shared" si="5"/>
        <v/>
      </c>
    </row>
    <row r="70" spans="31:34" x14ac:dyDescent="0.25">
      <c r="AE70" s="8" t="str">
        <f t="shared" si="3"/>
        <v/>
      </c>
      <c r="AF70" s="8" t="str">
        <f t="shared" si="4"/>
        <v/>
      </c>
      <c r="AG70" s="8" t="str">
        <f>IF(TRIM($E70)&lt;&gt;"Tax Paid","",IF(COUNTIFS(LISTS!$F$2:$F$26,$AE70,LISTS!$G$2:$G$26,$AF70)=0,"NOT ON LIST",""))</f>
        <v/>
      </c>
      <c r="AH70" s="8" t="str">
        <f t="shared" si="5"/>
        <v/>
      </c>
    </row>
    <row r="71" spans="31:34" x14ac:dyDescent="0.25">
      <c r="AE71" s="8" t="str">
        <f t="shared" si="3"/>
        <v/>
      </c>
      <c r="AF71" s="8" t="str">
        <f t="shared" si="4"/>
        <v/>
      </c>
      <c r="AG71" s="8" t="str">
        <f>IF(TRIM($E71)&lt;&gt;"Tax Paid","",IF(COUNTIFS(LISTS!$F$2:$F$26,$AE71,LISTS!$G$2:$G$26,$AF71)=0,"NOT ON LIST",""))</f>
        <v/>
      </c>
      <c r="AH71" s="8" t="str">
        <f t="shared" si="5"/>
        <v/>
      </c>
    </row>
    <row r="72" spans="31:34" x14ac:dyDescent="0.25">
      <c r="AE72" s="8" t="str">
        <f t="shared" si="3"/>
        <v/>
      </c>
      <c r="AF72" s="8" t="str">
        <f t="shared" si="4"/>
        <v/>
      </c>
      <c r="AG72" s="8" t="str">
        <f>IF(TRIM($E72)&lt;&gt;"Tax Paid","",IF(COUNTIFS(LISTS!$F$2:$F$26,$AE72,LISTS!$G$2:$G$26,$AF72)=0,"NOT ON LIST",""))</f>
        <v/>
      </c>
      <c r="AH72" s="8" t="str">
        <f t="shared" si="5"/>
        <v/>
      </c>
    </row>
    <row r="73" spans="31:34" x14ac:dyDescent="0.25">
      <c r="AE73" s="8" t="str">
        <f t="shared" si="3"/>
        <v/>
      </c>
      <c r="AF73" s="8" t="str">
        <f t="shared" si="4"/>
        <v/>
      </c>
      <c r="AG73" s="8" t="str">
        <f>IF(TRIM($E73)&lt;&gt;"Tax Paid","",IF(COUNTIFS(LISTS!$F$2:$F$26,$AE73,LISTS!$G$2:$G$26,$AF73)=0,"NOT ON LIST",""))</f>
        <v/>
      </c>
      <c r="AH73" s="8" t="str">
        <f t="shared" si="5"/>
        <v/>
      </c>
    </row>
    <row r="74" spans="31:34" x14ac:dyDescent="0.25">
      <c r="AE74" s="8" t="str">
        <f t="shared" si="3"/>
        <v/>
      </c>
      <c r="AF74" s="8" t="str">
        <f t="shared" si="4"/>
        <v/>
      </c>
      <c r="AG74" s="8" t="str">
        <f>IF(TRIM($E74)&lt;&gt;"Tax Paid","",IF(COUNTIFS(LISTS!$F$2:$F$26,$AE74,LISTS!$G$2:$G$26,$AF74)=0,"NOT ON LIST",""))</f>
        <v/>
      </c>
      <c r="AH74" s="8" t="str">
        <f t="shared" si="5"/>
        <v/>
      </c>
    </row>
    <row r="75" spans="31:34" x14ac:dyDescent="0.25">
      <c r="AE75" s="8" t="str">
        <f t="shared" si="3"/>
        <v/>
      </c>
      <c r="AF75" s="8" t="str">
        <f t="shared" si="4"/>
        <v/>
      </c>
      <c r="AG75" s="8" t="str">
        <f>IF(TRIM($E75)&lt;&gt;"Tax Paid","",IF(COUNTIFS(LISTS!$F$2:$F$26,$AE75,LISTS!$G$2:$G$26,$AF75)=0,"NOT ON LIST",""))</f>
        <v/>
      </c>
      <c r="AH75" s="8" t="str">
        <f t="shared" si="5"/>
        <v/>
      </c>
    </row>
    <row r="76" spans="31:34" x14ac:dyDescent="0.25">
      <c r="AE76" s="8" t="str">
        <f t="shared" si="3"/>
        <v/>
      </c>
      <c r="AF76" s="8" t="str">
        <f t="shared" si="4"/>
        <v/>
      </c>
      <c r="AG76" s="8" t="str">
        <f>IF(TRIM($E76)&lt;&gt;"Tax Paid","",IF(COUNTIFS(LISTS!$F$2:$F$26,$AE76,LISTS!$G$2:$G$26,$AF76)=0,"NOT ON LIST",""))</f>
        <v/>
      </c>
      <c r="AH76" s="8" t="str">
        <f t="shared" si="5"/>
        <v/>
      </c>
    </row>
    <row r="77" spans="31:34" x14ac:dyDescent="0.25">
      <c r="AE77" s="8" t="str">
        <f t="shared" si="3"/>
        <v/>
      </c>
      <c r="AF77" s="8" t="str">
        <f t="shared" si="4"/>
        <v/>
      </c>
      <c r="AG77" s="8" t="str">
        <f>IF(TRIM($E77)&lt;&gt;"Tax Paid","",IF(COUNTIFS(LISTS!$F$2:$F$26,$AE77,LISTS!$G$2:$G$26,$AF77)=0,"NOT ON LIST",""))</f>
        <v/>
      </c>
      <c r="AH77" s="8" t="str">
        <f t="shared" si="5"/>
        <v/>
      </c>
    </row>
    <row r="78" spans="31:34" x14ac:dyDescent="0.25">
      <c r="AE78" s="8" t="str">
        <f t="shared" si="3"/>
        <v/>
      </c>
      <c r="AF78" s="8" t="str">
        <f t="shared" si="4"/>
        <v/>
      </c>
      <c r="AG78" s="8" t="str">
        <f>IF(TRIM($E78)&lt;&gt;"Tax Paid","",IF(COUNTIFS(LISTS!$F$2:$F$26,$AE78,LISTS!$G$2:$G$26,$AF78)=0,"NOT ON LIST",""))</f>
        <v/>
      </c>
      <c r="AH78" s="8" t="str">
        <f t="shared" si="5"/>
        <v/>
      </c>
    </row>
    <row r="79" spans="31:34" x14ac:dyDescent="0.25">
      <c r="AE79" s="8" t="str">
        <f t="shared" si="3"/>
        <v/>
      </c>
      <c r="AF79" s="8" t="str">
        <f t="shared" si="4"/>
        <v/>
      </c>
      <c r="AG79" s="8" t="str">
        <f>IF(TRIM($E79)&lt;&gt;"Tax Paid","",IF(COUNTIFS(LISTS!$F$2:$F$26,$AE79,LISTS!$G$2:$G$26,$AF79)=0,"NOT ON LIST",""))</f>
        <v/>
      </c>
      <c r="AH79" s="8" t="str">
        <f t="shared" si="5"/>
        <v/>
      </c>
    </row>
    <row r="80" spans="31:34" x14ac:dyDescent="0.25">
      <c r="AE80" s="8" t="str">
        <f t="shared" si="3"/>
        <v/>
      </c>
      <c r="AF80" s="8" t="str">
        <f t="shared" si="4"/>
        <v/>
      </c>
      <c r="AG80" s="8" t="str">
        <f>IF(TRIM($E80)&lt;&gt;"Tax Paid","",IF(COUNTIFS(LISTS!$F$2:$F$26,$AE80,LISTS!$G$2:$G$26,$AF80)=0,"NOT ON LIST",""))</f>
        <v/>
      </c>
      <c r="AH80" s="8" t="str">
        <f t="shared" si="5"/>
        <v/>
      </c>
    </row>
    <row r="81" spans="31:34" x14ac:dyDescent="0.25">
      <c r="AE81" s="8" t="str">
        <f t="shared" si="3"/>
        <v/>
      </c>
      <c r="AF81" s="8" t="str">
        <f t="shared" si="4"/>
        <v/>
      </c>
      <c r="AG81" s="8" t="str">
        <f>IF(TRIM($E81)&lt;&gt;"Tax Paid","",IF(COUNTIFS(LISTS!$F$2:$F$26,$AE81,LISTS!$G$2:$G$26,$AF81)=0,"NOT ON LIST",""))</f>
        <v/>
      </c>
      <c r="AH81" s="8" t="str">
        <f t="shared" si="5"/>
        <v/>
      </c>
    </row>
    <row r="82" spans="31:34" x14ac:dyDescent="0.25">
      <c r="AE82" s="8" t="str">
        <f t="shared" si="3"/>
        <v/>
      </c>
      <c r="AF82" s="8" t="str">
        <f t="shared" si="4"/>
        <v/>
      </c>
      <c r="AG82" s="8" t="str">
        <f>IF(TRIM($E82)&lt;&gt;"Tax Paid","",IF(COUNTIFS(LISTS!$F$2:$F$26,$AE82,LISTS!$G$2:$G$26,$AF82)=0,"NOT ON LIST",""))</f>
        <v/>
      </c>
      <c r="AH82" s="8" t="str">
        <f t="shared" si="5"/>
        <v/>
      </c>
    </row>
    <row r="83" spans="31:34" x14ac:dyDescent="0.25">
      <c r="AE83" s="8" t="str">
        <f t="shared" si="3"/>
        <v/>
      </c>
      <c r="AF83" s="8" t="str">
        <f t="shared" si="4"/>
        <v/>
      </c>
      <c r="AG83" s="8" t="str">
        <f>IF(TRIM($E83)&lt;&gt;"Tax Paid","",IF(COUNTIFS(LISTS!$F$2:$F$26,$AE83,LISTS!$G$2:$G$26,$AF83)=0,"NOT ON LIST",""))</f>
        <v/>
      </c>
      <c r="AH83" s="8" t="str">
        <f t="shared" si="5"/>
        <v/>
      </c>
    </row>
    <row r="84" spans="31:34" x14ac:dyDescent="0.25">
      <c r="AE84" s="8" t="str">
        <f t="shared" si="3"/>
        <v/>
      </c>
      <c r="AF84" s="8" t="str">
        <f t="shared" si="4"/>
        <v/>
      </c>
      <c r="AG84" s="8" t="str">
        <f>IF(TRIM($E84)&lt;&gt;"Tax Paid","",IF(COUNTIFS(LISTS!$F$2:$F$26,$AE84,LISTS!$G$2:$G$26,$AF84)=0,"NOT ON LIST",""))</f>
        <v/>
      </c>
      <c r="AH84" s="8" t="str">
        <f t="shared" si="5"/>
        <v/>
      </c>
    </row>
    <row r="85" spans="31:34" x14ac:dyDescent="0.25">
      <c r="AE85" s="8" t="str">
        <f t="shared" si="3"/>
        <v/>
      </c>
      <c r="AF85" s="8" t="str">
        <f t="shared" si="4"/>
        <v/>
      </c>
      <c r="AG85" s="8" t="str">
        <f>IF(TRIM($E85)&lt;&gt;"Tax Paid","",IF(COUNTIFS(LISTS!$F$2:$F$26,$AE85,LISTS!$G$2:$G$26,$AF85)=0,"NOT ON LIST",""))</f>
        <v/>
      </c>
      <c r="AH85" s="8" t="str">
        <f t="shared" si="5"/>
        <v/>
      </c>
    </row>
    <row r="86" spans="31:34" x14ac:dyDescent="0.25">
      <c r="AE86" s="8" t="str">
        <f t="shared" si="3"/>
        <v/>
      </c>
      <c r="AF86" s="8" t="str">
        <f t="shared" si="4"/>
        <v/>
      </c>
      <c r="AG86" s="8" t="str">
        <f>IF(TRIM($E86)&lt;&gt;"Tax Paid","",IF(COUNTIFS(LISTS!$F$2:$F$26,$AE86,LISTS!$G$2:$G$26,$AF86)=0,"NOT ON LIST",""))</f>
        <v/>
      </c>
      <c r="AH86" s="8" t="str">
        <f t="shared" si="5"/>
        <v/>
      </c>
    </row>
    <row r="87" spans="31:34" x14ac:dyDescent="0.25">
      <c r="AE87" s="8" t="str">
        <f t="shared" si="3"/>
        <v/>
      </c>
      <c r="AF87" s="8" t="str">
        <f t="shared" si="4"/>
        <v/>
      </c>
      <c r="AG87" s="8" t="str">
        <f>IF(TRIM($E87)&lt;&gt;"Tax Paid","",IF(COUNTIFS(LISTS!$F$2:$F$26,$AE87,LISTS!$G$2:$G$26,$AF87)=0,"NOT ON LIST",""))</f>
        <v/>
      </c>
      <c r="AH87" s="8" t="str">
        <f t="shared" si="5"/>
        <v/>
      </c>
    </row>
    <row r="88" spans="31:34" x14ac:dyDescent="0.25">
      <c r="AE88" s="8" t="str">
        <f t="shared" si="3"/>
        <v/>
      </c>
      <c r="AF88" s="8" t="str">
        <f t="shared" si="4"/>
        <v/>
      </c>
      <c r="AG88" s="8" t="str">
        <f>IF(TRIM($E88)&lt;&gt;"Tax Paid","",IF(COUNTIFS(LISTS!$F$2:$F$26,$AE88,LISTS!$G$2:$G$26,$AF88)=0,"NOT ON LIST",""))</f>
        <v/>
      </c>
      <c r="AH88" s="8" t="str">
        <f t="shared" si="5"/>
        <v/>
      </c>
    </row>
    <row r="89" spans="31:34" x14ac:dyDescent="0.25">
      <c r="AE89" s="8" t="str">
        <f t="shared" si="3"/>
        <v/>
      </c>
      <c r="AF89" s="8" t="str">
        <f t="shared" si="4"/>
        <v/>
      </c>
      <c r="AG89" s="8" t="str">
        <f>IF(TRIM($E89)&lt;&gt;"Tax Paid","",IF(COUNTIFS(LISTS!$F$2:$F$26,$AE89,LISTS!$G$2:$G$26,$AF89)=0,"NOT ON LIST",""))</f>
        <v/>
      </c>
      <c r="AH89" s="8" t="str">
        <f t="shared" si="5"/>
        <v/>
      </c>
    </row>
    <row r="90" spans="31:34" x14ac:dyDescent="0.25">
      <c r="AE90" s="8" t="str">
        <f t="shared" si="3"/>
        <v/>
      </c>
      <c r="AF90" s="8" t="str">
        <f t="shared" si="4"/>
        <v/>
      </c>
      <c r="AG90" s="8" t="str">
        <f>IF(TRIM($E90)&lt;&gt;"Tax Paid","",IF(COUNTIFS(LISTS!$F$2:$F$26,$AE90,LISTS!$G$2:$G$26,$AF90)=0,"NOT ON LIST",""))</f>
        <v/>
      </c>
      <c r="AH90" s="8" t="str">
        <f t="shared" si="5"/>
        <v/>
      </c>
    </row>
    <row r="91" spans="31:34" x14ac:dyDescent="0.25">
      <c r="AE91" s="8" t="str">
        <f t="shared" si="3"/>
        <v/>
      </c>
      <c r="AF91" s="8" t="str">
        <f t="shared" si="4"/>
        <v/>
      </c>
      <c r="AG91" s="8" t="str">
        <f>IF(TRIM($E91)&lt;&gt;"Tax Paid","",IF(COUNTIFS(LISTS!$F$2:$F$26,$AE91,LISTS!$G$2:$G$26,$AF91)=0,"NOT ON LIST",""))</f>
        <v/>
      </c>
      <c r="AH91" s="8" t="str">
        <f t="shared" si="5"/>
        <v/>
      </c>
    </row>
    <row r="92" spans="31:34" x14ac:dyDescent="0.25">
      <c r="AE92" s="8" t="str">
        <f t="shared" si="3"/>
        <v/>
      </c>
      <c r="AF92" s="8" t="str">
        <f t="shared" si="4"/>
        <v/>
      </c>
      <c r="AG92" s="8" t="str">
        <f>IF(TRIM($E92)&lt;&gt;"Tax Paid","",IF(COUNTIFS(LISTS!$F$2:$F$26,$AE92,LISTS!$G$2:$G$26,$AF92)=0,"NOT ON LIST",""))</f>
        <v/>
      </c>
      <c r="AH92" s="8" t="str">
        <f t="shared" si="5"/>
        <v/>
      </c>
    </row>
    <row r="93" spans="31:34" x14ac:dyDescent="0.25">
      <c r="AE93" s="8" t="str">
        <f t="shared" si="3"/>
        <v/>
      </c>
      <c r="AF93" s="8" t="str">
        <f t="shared" si="4"/>
        <v/>
      </c>
      <c r="AG93" s="8" t="str">
        <f>IF(TRIM($E93)&lt;&gt;"Tax Paid","",IF(COUNTIFS(LISTS!$F$2:$F$26,$AE93,LISTS!$G$2:$G$26,$AF93)=0,"NOT ON LIST",""))</f>
        <v/>
      </c>
      <c r="AH93" s="8" t="str">
        <f t="shared" si="5"/>
        <v/>
      </c>
    </row>
    <row r="94" spans="31:34" x14ac:dyDescent="0.25">
      <c r="AE94" s="8" t="str">
        <f t="shared" si="3"/>
        <v/>
      </c>
      <c r="AF94" s="8" t="str">
        <f t="shared" si="4"/>
        <v/>
      </c>
      <c r="AG94" s="8" t="str">
        <f>IF(TRIM($E94)&lt;&gt;"Tax Paid","",IF(COUNTIFS(LISTS!$F$2:$F$26,$AE94,LISTS!$G$2:$G$26,$AF94)=0,"NOT ON LIST",""))</f>
        <v/>
      </c>
      <c r="AH94" s="8" t="str">
        <f t="shared" si="5"/>
        <v/>
      </c>
    </row>
    <row r="95" spans="31:34" x14ac:dyDescent="0.25">
      <c r="AE95" s="8" t="str">
        <f t="shared" si="3"/>
        <v/>
      </c>
      <c r="AF95" s="8" t="str">
        <f t="shared" si="4"/>
        <v/>
      </c>
      <c r="AG95" s="8" t="str">
        <f>IF(TRIM($E95)&lt;&gt;"Tax Paid","",IF(COUNTIFS(LISTS!$F$2:$F$26,$AE95,LISTS!$G$2:$G$26,$AF95)=0,"NOT ON LIST",""))</f>
        <v/>
      </c>
      <c r="AH95" s="8" t="str">
        <f t="shared" si="5"/>
        <v/>
      </c>
    </row>
    <row r="96" spans="31:34" x14ac:dyDescent="0.25">
      <c r="AE96" s="8" t="str">
        <f t="shared" si="3"/>
        <v/>
      </c>
      <c r="AF96" s="8" t="str">
        <f t="shared" si="4"/>
        <v/>
      </c>
      <c r="AG96" s="8" t="str">
        <f>IF(TRIM($E96)&lt;&gt;"Tax Paid","",IF(COUNTIFS(LISTS!$F$2:$F$26,$AE96,LISTS!$G$2:$G$26,$AF96)=0,"NOT ON LIST",""))</f>
        <v/>
      </c>
      <c r="AH96" s="8" t="str">
        <f t="shared" si="5"/>
        <v/>
      </c>
    </row>
    <row r="97" spans="31:34" x14ac:dyDescent="0.25">
      <c r="AE97" s="8" t="str">
        <f t="shared" si="3"/>
        <v/>
      </c>
      <c r="AF97" s="8" t="str">
        <f t="shared" si="4"/>
        <v/>
      </c>
      <c r="AG97" s="8" t="str">
        <f>IF(TRIM($E97)&lt;&gt;"Tax Paid","",IF(COUNTIFS(LISTS!$F$2:$F$26,$AE97,LISTS!$G$2:$G$26,$AF97)=0,"NOT ON LIST",""))</f>
        <v/>
      </c>
      <c r="AH97" s="8" t="str">
        <f t="shared" si="5"/>
        <v/>
      </c>
    </row>
    <row r="98" spans="31:34" x14ac:dyDescent="0.25">
      <c r="AE98" s="8" t="str">
        <f t="shared" si="3"/>
        <v/>
      </c>
      <c r="AF98" s="8" t="str">
        <f t="shared" si="4"/>
        <v/>
      </c>
      <c r="AG98" s="8" t="str">
        <f>IF(TRIM($E98)&lt;&gt;"Tax Paid","",IF(COUNTIFS(LISTS!$F$2:$F$26,$AE98,LISTS!$G$2:$G$26,$AF98)=0,"NOT ON LIST",""))</f>
        <v/>
      </c>
      <c r="AH98" s="8" t="str">
        <f t="shared" si="5"/>
        <v/>
      </c>
    </row>
    <row r="99" spans="31:34" x14ac:dyDescent="0.25">
      <c r="AE99" s="8" t="str">
        <f t="shared" si="3"/>
        <v/>
      </c>
      <c r="AF99" s="8" t="str">
        <f t="shared" si="4"/>
        <v/>
      </c>
      <c r="AG99" s="8" t="str">
        <f>IF(TRIM($E99)&lt;&gt;"Tax Paid","",IF(COUNTIFS(LISTS!$F$2:$F$26,$AE99,LISTS!$G$2:$G$26,$AF99)=0,"NOT ON LIST",""))</f>
        <v/>
      </c>
      <c r="AH99" s="8" t="str">
        <f t="shared" si="5"/>
        <v/>
      </c>
    </row>
    <row r="100" spans="31:34" x14ac:dyDescent="0.25">
      <c r="AE100" s="8" t="str">
        <f t="shared" si="3"/>
        <v/>
      </c>
      <c r="AF100" s="8" t="str">
        <f t="shared" si="4"/>
        <v/>
      </c>
      <c r="AG100" s="8" t="str">
        <f>IF(TRIM($E100)&lt;&gt;"Tax Paid","",IF(COUNTIFS(LISTS!$F$2:$F$26,$AE100,LISTS!$G$2:$G$26,$AF100)=0,"NOT ON LIST",""))</f>
        <v/>
      </c>
      <c r="AH100" s="8" t="str">
        <f t="shared" si="5"/>
        <v/>
      </c>
    </row>
    <row r="101" spans="31:34" x14ac:dyDescent="0.25">
      <c r="AE101" s="8" t="str">
        <f t="shared" si="3"/>
        <v/>
      </c>
      <c r="AF101" s="8" t="str">
        <f t="shared" si="4"/>
        <v/>
      </c>
      <c r="AG101" s="8" t="str">
        <f>IF(TRIM($E101)&lt;&gt;"Tax Paid","",IF(COUNTIFS(LISTS!$F$2:$F$26,$AE101,LISTS!$G$2:$G$26,$AF101)=0,"NOT ON LIST",""))</f>
        <v/>
      </c>
      <c r="AH101" s="8" t="str">
        <f t="shared" si="5"/>
        <v/>
      </c>
    </row>
    <row r="102" spans="31:34" x14ac:dyDescent="0.25">
      <c r="AE102" s="8" t="str">
        <f t="shared" si="3"/>
        <v/>
      </c>
      <c r="AF102" s="8" t="str">
        <f t="shared" si="4"/>
        <v/>
      </c>
      <c r="AG102" s="8" t="str">
        <f>IF(TRIM($E102)&lt;&gt;"Tax Paid","",IF(COUNTIFS(LISTS!$F$2:$F$26,$AE102,LISTS!$G$2:$G$26,$AF102)=0,"NOT ON LIST",""))</f>
        <v/>
      </c>
      <c r="AH102" s="8" t="str">
        <f t="shared" si="5"/>
        <v/>
      </c>
    </row>
    <row r="103" spans="31:34" x14ac:dyDescent="0.25">
      <c r="AE103" s="8" t="str">
        <f t="shared" si="3"/>
        <v/>
      </c>
      <c r="AF103" s="8" t="str">
        <f t="shared" si="4"/>
        <v/>
      </c>
      <c r="AG103" s="8" t="str">
        <f>IF(TRIM($E103)&lt;&gt;"Tax Paid","",IF(COUNTIFS(LISTS!$F$2:$F$26,$AE103,LISTS!$G$2:$G$26,$AF103)=0,"NOT ON LIST",""))</f>
        <v/>
      </c>
      <c r="AH103" s="8" t="str">
        <f t="shared" si="5"/>
        <v/>
      </c>
    </row>
    <row r="104" spans="31:34" x14ac:dyDescent="0.25">
      <c r="AE104" s="8" t="str">
        <f t="shared" si="3"/>
        <v/>
      </c>
      <c r="AF104" s="8" t="str">
        <f t="shared" si="4"/>
        <v/>
      </c>
      <c r="AG104" s="8" t="str">
        <f>IF(TRIM($E104)&lt;&gt;"Tax Paid","",IF(COUNTIFS(LISTS!$F$2:$F$26,$AE104,LISTS!$G$2:$G$26,$AF104)=0,"NOT ON LIST",""))</f>
        <v/>
      </c>
      <c r="AH104" s="8" t="str">
        <f t="shared" si="5"/>
        <v/>
      </c>
    </row>
    <row r="105" spans="31:34" x14ac:dyDescent="0.25">
      <c r="AE105" s="8" t="str">
        <f t="shared" si="3"/>
        <v/>
      </c>
      <c r="AF105" s="8" t="str">
        <f t="shared" si="4"/>
        <v/>
      </c>
      <c r="AG105" s="8" t="str">
        <f>IF(TRIM($E105)&lt;&gt;"Tax Paid","",IF(COUNTIFS(LISTS!$F$2:$F$26,$AE105,LISTS!$G$2:$G$26,$AF105)=0,"NOT ON LIST",""))</f>
        <v/>
      </c>
      <c r="AH105" s="8" t="str">
        <f t="shared" si="5"/>
        <v/>
      </c>
    </row>
    <row r="106" spans="31:34" x14ac:dyDescent="0.25">
      <c r="AE106" s="8" t="str">
        <f t="shared" si="3"/>
        <v/>
      </c>
      <c r="AF106" s="8" t="str">
        <f t="shared" si="4"/>
        <v/>
      </c>
      <c r="AG106" s="8" t="str">
        <f>IF(TRIM($E106)&lt;&gt;"Tax Paid","",IF(COUNTIFS(LISTS!$F$2:$F$26,$AE106,LISTS!$G$2:$G$26,$AF106)=0,"NOT ON LIST",""))</f>
        <v/>
      </c>
      <c r="AH106" s="8" t="str">
        <f t="shared" si="5"/>
        <v/>
      </c>
    </row>
    <row r="107" spans="31:34" x14ac:dyDescent="0.25">
      <c r="AE107" s="8" t="str">
        <f t="shared" si="3"/>
        <v/>
      </c>
      <c r="AF107" s="8" t="str">
        <f t="shared" si="4"/>
        <v/>
      </c>
      <c r="AG107" s="8" t="str">
        <f>IF(TRIM($E107)&lt;&gt;"Tax Paid","",IF(COUNTIFS(LISTS!$F$2:$F$26,$AE107,LISTS!$G$2:$G$26,$AF107)=0,"NOT ON LIST",""))</f>
        <v/>
      </c>
      <c r="AH107" s="8" t="str">
        <f t="shared" si="5"/>
        <v/>
      </c>
    </row>
    <row r="108" spans="31:34" x14ac:dyDescent="0.25">
      <c r="AE108" s="8" t="str">
        <f t="shared" si="3"/>
        <v/>
      </c>
      <c r="AF108" s="8" t="str">
        <f t="shared" si="4"/>
        <v/>
      </c>
      <c r="AG108" s="8" t="str">
        <f>IF(TRIM($E108)&lt;&gt;"Tax Paid","",IF(COUNTIFS(LISTS!$F$2:$F$26,$AE108,LISTS!$G$2:$G$26,$AF108)=0,"NOT ON LIST",""))</f>
        <v/>
      </c>
      <c r="AH108" s="8" t="str">
        <f t="shared" si="5"/>
        <v/>
      </c>
    </row>
    <row r="109" spans="31:34" x14ac:dyDescent="0.25">
      <c r="AE109" s="8" t="str">
        <f t="shared" si="3"/>
        <v/>
      </c>
      <c r="AF109" s="8" t="str">
        <f t="shared" si="4"/>
        <v/>
      </c>
      <c r="AG109" s="8" t="str">
        <f>IF(TRIM($E109)&lt;&gt;"Tax Paid","",IF(COUNTIFS(LISTS!$F$2:$F$26,$AE109,LISTS!$G$2:$G$26,$AF109)=0,"NOT ON LIST",""))</f>
        <v/>
      </c>
      <c r="AH109" s="8" t="str">
        <f t="shared" si="5"/>
        <v/>
      </c>
    </row>
    <row r="110" spans="31:34" x14ac:dyDescent="0.25">
      <c r="AE110" s="8" t="str">
        <f t="shared" si="3"/>
        <v/>
      </c>
      <c r="AF110" s="8" t="str">
        <f t="shared" si="4"/>
        <v/>
      </c>
      <c r="AG110" s="8" t="str">
        <f>IF(TRIM($E110)&lt;&gt;"Tax Paid","",IF(COUNTIFS(LISTS!$F$2:$F$26,$AE110,LISTS!$G$2:$G$26,$AF110)=0,"NOT ON LIST",""))</f>
        <v/>
      </c>
      <c r="AH110" s="8" t="str">
        <f t="shared" si="5"/>
        <v/>
      </c>
    </row>
    <row r="111" spans="31:34" x14ac:dyDescent="0.25">
      <c r="AE111" s="8" t="str">
        <f t="shared" si="3"/>
        <v/>
      </c>
      <c r="AF111" s="8" t="str">
        <f t="shared" si="4"/>
        <v/>
      </c>
      <c r="AG111" s="8" t="str">
        <f>IF(TRIM($E111)&lt;&gt;"Tax Paid","",IF(COUNTIFS(LISTS!$F$2:$F$26,$AE111,LISTS!$G$2:$G$26,$AF111)=0,"NOT ON LIST",""))</f>
        <v/>
      </c>
      <c r="AH111" s="8" t="str">
        <f t="shared" si="5"/>
        <v/>
      </c>
    </row>
    <row r="112" spans="31:34" x14ac:dyDescent="0.25">
      <c r="AE112" s="8" t="str">
        <f t="shared" si="3"/>
        <v/>
      </c>
      <c r="AF112" s="8" t="str">
        <f t="shared" si="4"/>
        <v/>
      </c>
      <c r="AG112" s="8" t="str">
        <f>IF(TRIM($E112)&lt;&gt;"Tax Paid","",IF(COUNTIFS(LISTS!$F$2:$F$26,$AE112,LISTS!$G$2:$G$26,$AF112)=0,"NOT ON LIST",""))</f>
        <v/>
      </c>
      <c r="AH112" s="8" t="str">
        <f t="shared" si="5"/>
        <v/>
      </c>
    </row>
    <row r="113" spans="31:34" x14ac:dyDescent="0.25">
      <c r="AE113" s="8" t="str">
        <f t="shared" si="3"/>
        <v/>
      </c>
      <c r="AF113" s="8" t="str">
        <f t="shared" si="4"/>
        <v/>
      </c>
      <c r="AG113" s="8" t="str">
        <f>IF(TRIM($E113)&lt;&gt;"Tax Paid","",IF(COUNTIFS(LISTS!$F$2:$F$26,$AE113,LISTS!$G$2:$G$26,$AF113)=0,"NOT ON LIST",""))</f>
        <v/>
      </c>
      <c r="AH113" s="8" t="str">
        <f t="shared" si="5"/>
        <v/>
      </c>
    </row>
    <row r="114" spans="31:34" x14ac:dyDescent="0.25">
      <c r="AE114" s="8" t="str">
        <f t="shared" si="3"/>
        <v/>
      </c>
      <c r="AF114" s="8" t="str">
        <f t="shared" si="4"/>
        <v/>
      </c>
      <c r="AG114" s="8" t="str">
        <f>IF(TRIM($E114)&lt;&gt;"Tax Paid","",IF(COUNTIFS(LISTS!$F$2:$F$26,$AE114,LISTS!$G$2:$G$26,$AF114)=0,"NOT ON LIST",""))</f>
        <v/>
      </c>
      <c r="AH114" s="8" t="str">
        <f t="shared" si="5"/>
        <v/>
      </c>
    </row>
    <row r="115" spans="31:34" x14ac:dyDescent="0.25">
      <c r="AE115" s="8" t="str">
        <f t="shared" si="3"/>
        <v/>
      </c>
      <c r="AF115" s="8" t="str">
        <f t="shared" si="4"/>
        <v/>
      </c>
      <c r="AG115" s="8" t="str">
        <f>IF(TRIM($E115)&lt;&gt;"Tax Paid","",IF(COUNTIFS(LISTS!$F$2:$F$26,$AE115,LISTS!$G$2:$G$26,$AF115)=0,"NOT ON LIST",""))</f>
        <v/>
      </c>
      <c r="AH115" s="8" t="str">
        <f t="shared" si="5"/>
        <v/>
      </c>
    </row>
    <row r="116" spans="31:34" x14ac:dyDescent="0.25">
      <c r="AE116" s="8" t="str">
        <f t="shared" si="3"/>
        <v/>
      </c>
      <c r="AF116" s="8" t="str">
        <f t="shared" si="4"/>
        <v/>
      </c>
      <c r="AG116" s="8" t="str">
        <f>IF(TRIM($E116)&lt;&gt;"Tax Paid","",IF(COUNTIFS(LISTS!$F$2:$F$26,$AE116,LISTS!$G$2:$G$26,$AF116)=0,"NOT ON LIST",""))</f>
        <v/>
      </c>
      <c r="AH116" s="8" t="str">
        <f t="shared" si="5"/>
        <v/>
      </c>
    </row>
    <row r="117" spans="31:34" x14ac:dyDescent="0.25">
      <c r="AE117" s="8" t="str">
        <f t="shared" si="3"/>
        <v/>
      </c>
      <c r="AF117" s="8" t="str">
        <f t="shared" si="4"/>
        <v/>
      </c>
      <c r="AG117" s="8" t="str">
        <f>IF(TRIM($E117)&lt;&gt;"Tax Paid","",IF(COUNTIFS(LISTS!$F$2:$F$26,$AE117,LISTS!$G$2:$G$26,$AF117)=0,"NOT ON LIST",""))</f>
        <v/>
      </c>
      <c r="AH117" s="8" t="str">
        <f t="shared" si="5"/>
        <v/>
      </c>
    </row>
    <row r="118" spans="31:34" x14ac:dyDescent="0.25">
      <c r="AE118" s="8" t="str">
        <f t="shared" si="3"/>
        <v/>
      </c>
      <c r="AF118" s="8" t="str">
        <f t="shared" si="4"/>
        <v/>
      </c>
      <c r="AG118" s="8" t="str">
        <f>IF(TRIM($E118)&lt;&gt;"Tax Paid","",IF(COUNTIFS(LISTS!$F$2:$F$26,$AE118,LISTS!$G$2:$G$26,$AF118)=0,"NOT ON LIST",""))</f>
        <v/>
      </c>
      <c r="AH118" s="8" t="str">
        <f t="shared" si="5"/>
        <v/>
      </c>
    </row>
    <row r="119" spans="31:34" x14ac:dyDescent="0.25">
      <c r="AE119" s="8" t="str">
        <f t="shared" si="3"/>
        <v/>
      </c>
      <c r="AF119" s="8" t="str">
        <f t="shared" si="4"/>
        <v/>
      </c>
      <c r="AG119" s="8" t="str">
        <f>IF(TRIM($E119)&lt;&gt;"Tax Paid","",IF(COUNTIFS(LISTS!$F$2:$F$26,$AE119,LISTS!$G$2:$G$26,$AF119)=0,"NOT ON LIST",""))</f>
        <v/>
      </c>
      <c r="AH119" s="8" t="str">
        <f t="shared" si="5"/>
        <v/>
      </c>
    </row>
    <row r="120" spans="31:34" x14ac:dyDescent="0.25">
      <c r="AE120" s="8" t="str">
        <f t="shared" si="3"/>
        <v/>
      </c>
      <c r="AF120" s="8" t="str">
        <f t="shared" si="4"/>
        <v/>
      </c>
      <c r="AG120" s="8" t="str">
        <f>IF(TRIM($E120)&lt;&gt;"Tax Paid","",IF(COUNTIFS(LISTS!$F$2:$F$26,$AE120,LISTS!$G$2:$G$26,$AF120)=0,"NOT ON LIST",""))</f>
        <v/>
      </c>
      <c r="AH120" s="8" t="str">
        <f t="shared" si="5"/>
        <v/>
      </c>
    </row>
    <row r="121" spans="31:34" x14ac:dyDescent="0.25">
      <c r="AE121" s="8" t="str">
        <f t="shared" si="3"/>
        <v/>
      </c>
      <c r="AF121" s="8" t="str">
        <f t="shared" si="4"/>
        <v/>
      </c>
      <c r="AG121" s="8" t="str">
        <f>IF(TRIM($E121)&lt;&gt;"Tax Paid","",IF(COUNTIFS(LISTS!$F$2:$F$26,$AE121,LISTS!$G$2:$G$26,$AF121)=0,"NOT ON LIST",""))</f>
        <v/>
      </c>
      <c r="AH121" s="8" t="str">
        <f t="shared" si="5"/>
        <v/>
      </c>
    </row>
    <row r="122" spans="31:34" x14ac:dyDescent="0.25">
      <c r="AE122" s="8" t="str">
        <f t="shared" si="3"/>
        <v/>
      </c>
      <c r="AF122" s="8" t="str">
        <f t="shared" si="4"/>
        <v/>
      </c>
      <c r="AG122" s="8" t="str">
        <f>IF(TRIM($E122)&lt;&gt;"Tax Paid","",IF(COUNTIFS(LISTS!$F$2:$F$26,$AE122,LISTS!$G$2:$G$26,$AF122)=0,"NOT ON LIST",""))</f>
        <v/>
      </c>
      <c r="AH122" s="8" t="str">
        <f t="shared" si="5"/>
        <v/>
      </c>
    </row>
    <row r="123" spans="31:34" x14ac:dyDescent="0.25">
      <c r="AE123" s="8" t="str">
        <f t="shared" si="3"/>
        <v/>
      </c>
      <c r="AF123" s="8" t="str">
        <f t="shared" si="4"/>
        <v/>
      </c>
      <c r="AG123" s="8" t="str">
        <f>IF(TRIM($E123)&lt;&gt;"Tax Paid","",IF(COUNTIFS(LISTS!$F$2:$F$26,$AE123,LISTS!$G$2:$G$26,$AF123)=0,"NOT ON LIST",""))</f>
        <v/>
      </c>
      <c r="AH123" s="8" t="str">
        <f t="shared" si="5"/>
        <v/>
      </c>
    </row>
    <row r="124" spans="31:34" x14ac:dyDescent="0.25">
      <c r="AE124" s="8" t="str">
        <f t="shared" si="3"/>
        <v/>
      </c>
      <c r="AF124" s="8" t="str">
        <f t="shared" si="4"/>
        <v/>
      </c>
      <c r="AG124" s="8" t="str">
        <f>IF(TRIM($E124)&lt;&gt;"Tax Paid","",IF(COUNTIFS(LISTS!$F$2:$F$26,$AE124,LISTS!$G$2:$G$26,$AF124)=0,"NOT ON LIST",""))</f>
        <v/>
      </c>
      <c r="AH124" s="8" t="str">
        <f t="shared" si="5"/>
        <v/>
      </c>
    </row>
    <row r="125" spans="31:34" x14ac:dyDescent="0.25">
      <c r="AE125" s="8" t="str">
        <f t="shared" si="3"/>
        <v/>
      </c>
      <c r="AF125" s="8" t="str">
        <f t="shared" si="4"/>
        <v/>
      </c>
      <c r="AG125" s="8" t="str">
        <f>IF(TRIM($E125)&lt;&gt;"Tax Paid","",IF(COUNTIFS(LISTS!$F$2:$F$26,$AE125,LISTS!$G$2:$G$26,$AF125)=0,"NOT ON LIST",""))</f>
        <v/>
      </c>
      <c r="AH125" s="8" t="str">
        <f t="shared" si="5"/>
        <v/>
      </c>
    </row>
    <row r="126" spans="31:34" x14ac:dyDescent="0.25">
      <c r="AE126" s="8" t="str">
        <f t="shared" si="3"/>
        <v/>
      </c>
      <c r="AF126" s="8" t="str">
        <f t="shared" si="4"/>
        <v/>
      </c>
      <c r="AG126" s="8" t="str">
        <f>IF(TRIM($E126)&lt;&gt;"Tax Paid","",IF(COUNTIFS(LISTS!$F$2:$F$26,$AE126,LISTS!$G$2:$G$26,$AF126)=0,"NOT ON LIST",""))</f>
        <v/>
      </c>
      <c r="AH126" s="8" t="str">
        <f t="shared" si="5"/>
        <v/>
      </c>
    </row>
    <row r="127" spans="31:34" x14ac:dyDescent="0.25">
      <c r="AE127" s="8" t="str">
        <f t="shared" si="3"/>
        <v/>
      </c>
      <c r="AF127" s="8" t="str">
        <f t="shared" si="4"/>
        <v/>
      </c>
      <c r="AG127" s="8" t="str">
        <f>IF(TRIM($E127)&lt;&gt;"Tax Paid","",IF(COUNTIFS(LISTS!$F$2:$F$26,$AE127,LISTS!$G$2:$G$26,$AF127)=0,"NOT ON LIST",""))</f>
        <v/>
      </c>
      <c r="AH127" s="8" t="str">
        <f t="shared" si="5"/>
        <v/>
      </c>
    </row>
    <row r="128" spans="31:34" x14ac:dyDescent="0.25">
      <c r="AE128" s="8" t="str">
        <f t="shared" si="3"/>
        <v/>
      </c>
      <c r="AF128" s="8" t="str">
        <f t="shared" si="4"/>
        <v/>
      </c>
      <c r="AG128" s="8" t="str">
        <f>IF(TRIM($E128)&lt;&gt;"Tax Paid","",IF(COUNTIFS(LISTS!$F$2:$F$26,$AE128,LISTS!$G$2:$G$26,$AF128)=0,"NOT ON LIST",""))</f>
        <v/>
      </c>
      <c r="AH128" s="8" t="str">
        <f t="shared" si="5"/>
        <v/>
      </c>
    </row>
    <row r="129" spans="31:34" x14ac:dyDescent="0.25">
      <c r="AE129" s="8" t="str">
        <f t="shared" si="3"/>
        <v/>
      </c>
      <c r="AF129" s="8" t="str">
        <f t="shared" si="4"/>
        <v/>
      </c>
      <c r="AG129" s="8" t="str">
        <f>IF(TRIM($E129)&lt;&gt;"Tax Paid","",IF(COUNTIFS(LISTS!$F$2:$F$26,$AE129,LISTS!$G$2:$G$26,$AF129)=0,"NOT ON LIST",""))</f>
        <v/>
      </c>
      <c r="AH129" s="8" t="str">
        <f t="shared" si="5"/>
        <v/>
      </c>
    </row>
    <row r="130" spans="31:34" x14ac:dyDescent="0.25">
      <c r="AE130" s="8" t="str">
        <f t="shared" ref="AE130:AE193" si="6">IF(TRIM($E130)="Tax Paid",TRIM($S130),"")</f>
        <v/>
      </c>
      <c r="AF130" s="8" t="str">
        <f t="shared" ref="AF130:AF193" si="7">IF(TRIM($E130)="Tax Paid",ROUND($Z130/100,5),"")</f>
        <v/>
      </c>
      <c r="AG130" s="8" t="str">
        <f>IF(TRIM($E130)&lt;&gt;"Tax Paid","",IF(COUNTIFS(LISTS!$F$2:$F$26,$AE130,LISTS!$G$2:$G$26,$AF130)=0,"NOT ON LIST",""))</f>
        <v/>
      </c>
      <c r="AH130" s="8" t="str">
        <f t="shared" ref="AH130:AH193" si="8">IF($AG130="","",IF($AE130="","(no county)",$AE130)&amp;" ("&amp;SUBSTITUTE(TEXT($AF130,"0.###%"),".%","%")&amp;")")</f>
        <v/>
      </c>
    </row>
    <row r="131" spans="31:34" x14ac:dyDescent="0.25">
      <c r="AE131" s="8" t="str">
        <f t="shared" si="6"/>
        <v/>
      </c>
      <c r="AF131" s="8" t="str">
        <f t="shared" si="7"/>
        <v/>
      </c>
      <c r="AG131" s="8" t="str">
        <f>IF(TRIM($E131)&lt;&gt;"Tax Paid","",IF(COUNTIFS(LISTS!$F$2:$F$26,$AE131,LISTS!$G$2:$G$26,$AF131)=0,"NOT ON LIST",""))</f>
        <v/>
      </c>
      <c r="AH131" s="8" t="str">
        <f t="shared" si="8"/>
        <v/>
      </c>
    </row>
    <row r="132" spans="31:34" x14ac:dyDescent="0.25">
      <c r="AE132" s="8" t="str">
        <f t="shared" si="6"/>
        <v/>
      </c>
      <c r="AF132" s="8" t="str">
        <f t="shared" si="7"/>
        <v/>
      </c>
      <c r="AG132" s="8" t="str">
        <f>IF(TRIM($E132)&lt;&gt;"Tax Paid","",IF(COUNTIFS(LISTS!$F$2:$F$26,$AE132,LISTS!$G$2:$G$26,$AF132)=0,"NOT ON LIST",""))</f>
        <v/>
      </c>
      <c r="AH132" s="8" t="str">
        <f t="shared" si="8"/>
        <v/>
      </c>
    </row>
    <row r="133" spans="31:34" x14ac:dyDescent="0.25">
      <c r="AE133" s="8" t="str">
        <f t="shared" si="6"/>
        <v/>
      </c>
      <c r="AF133" s="8" t="str">
        <f t="shared" si="7"/>
        <v/>
      </c>
      <c r="AG133" s="8" t="str">
        <f>IF(TRIM($E133)&lt;&gt;"Tax Paid","",IF(COUNTIFS(LISTS!$F$2:$F$26,$AE133,LISTS!$G$2:$G$26,$AF133)=0,"NOT ON LIST",""))</f>
        <v/>
      </c>
      <c r="AH133" s="8" t="str">
        <f t="shared" si="8"/>
        <v/>
      </c>
    </row>
    <row r="134" spans="31:34" x14ac:dyDescent="0.25">
      <c r="AE134" s="8" t="str">
        <f t="shared" si="6"/>
        <v/>
      </c>
      <c r="AF134" s="8" t="str">
        <f t="shared" si="7"/>
        <v/>
      </c>
      <c r="AG134" s="8" t="str">
        <f>IF(TRIM($E134)&lt;&gt;"Tax Paid","",IF(COUNTIFS(LISTS!$F$2:$F$26,$AE134,LISTS!$G$2:$G$26,$AF134)=0,"NOT ON LIST",""))</f>
        <v/>
      </c>
      <c r="AH134" s="8" t="str">
        <f t="shared" si="8"/>
        <v/>
      </c>
    </row>
    <row r="135" spans="31:34" x14ac:dyDescent="0.25">
      <c r="AE135" s="8" t="str">
        <f t="shared" si="6"/>
        <v/>
      </c>
      <c r="AF135" s="8" t="str">
        <f t="shared" si="7"/>
        <v/>
      </c>
      <c r="AG135" s="8" t="str">
        <f>IF(TRIM($E135)&lt;&gt;"Tax Paid","",IF(COUNTIFS(LISTS!$F$2:$F$26,$AE135,LISTS!$G$2:$G$26,$AF135)=0,"NOT ON LIST",""))</f>
        <v/>
      </c>
      <c r="AH135" s="8" t="str">
        <f t="shared" si="8"/>
        <v/>
      </c>
    </row>
    <row r="136" spans="31:34" x14ac:dyDescent="0.25">
      <c r="AE136" s="8" t="str">
        <f t="shared" si="6"/>
        <v/>
      </c>
      <c r="AF136" s="8" t="str">
        <f t="shared" si="7"/>
        <v/>
      </c>
      <c r="AG136" s="8" t="str">
        <f>IF(TRIM($E136)&lt;&gt;"Tax Paid","",IF(COUNTIFS(LISTS!$F$2:$F$26,$AE136,LISTS!$G$2:$G$26,$AF136)=0,"NOT ON LIST",""))</f>
        <v/>
      </c>
      <c r="AH136" s="8" t="str">
        <f t="shared" si="8"/>
        <v/>
      </c>
    </row>
    <row r="137" spans="31:34" x14ac:dyDescent="0.25">
      <c r="AE137" s="8" t="str">
        <f t="shared" si="6"/>
        <v/>
      </c>
      <c r="AF137" s="8" t="str">
        <f t="shared" si="7"/>
        <v/>
      </c>
      <c r="AG137" s="8" t="str">
        <f>IF(TRIM($E137)&lt;&gt;"Tax Paid","",IF(COUNTIFS(LISTS!$F$2:$F$26,$AE137,LISTS!$G$2:$G$26,$AF137)=0,"NOT ON LIST",""))</f>
        <v/>
      </c>
      <c r="AH137" s="8" t="str">
        <f t="shared" si="8"/>
        <v/>
      </c>
    </row>
    <row r="138" spans="31:34" x14ac:dyDescent="0.25">
      <c r="AE138" s="8" t="str">
        <f t="shared" si="6"/>
        <v/>
      </c>
      <c r="AF138" s="8" t="str">
        <f t="shared" si="7"/>
        <v/>
      </c>
      <c r="AG138" s="8" t="str">
        <f>IF(TRIM($E138)&lt;&gt;"Tax Paid","",IF(COUNTIFS(LISTS!$F$2:$F$26,$AE138,LISTS!$G$2:$G$26,$AF138)=0,"NOT ON LIST",""))</f>
        <v/>
      </c>
      <c r="AH138" s="8" t="str">
        <f t="shared" si="8"/>
        <v/>
      </c>
    </row>
    <row r="139" spans="31:34" x14ac:dyDescent="0.25">
      <c r="AE139" s="8" t="str">
        <f t="shared" si="6"/>
        <v/>
      </c>
      <c r="AF139" s="8" t="str">
        <f t="shared" si="7"/>
        <v/>
      </c>
      <c r="AG139" s="8" t="str">
        <f>IF(TRIM($E139)&lt;&gt;"Tax Paid","",IF(COUNTIFS(LISTS!$F$2:$F$26,$AE139,LISTS!$G$2:$G$26,$AF139)=0,"NOT ON LIST",""))</f>
        <v/>
      </c>
      <c r="AH139" s="8" t="str">
        <f t="shared" si="8"/>
        <v/>
      </c>
    </row>
    <row r="140" spans="31:34" x14ac:dyDescent="0.25">
      <c r="AE140" s="8" t="str">
        <f t="shared" si="6"/>
        <v/>
      </c>
      <c r="AF140" s="8" t="str">
        <f t="shared" si="7"/>
        <v/>
      </c>
      <c r="AG140" s="8" t="str">
        <f>IF(TRIM($E140)&lt;&gt;"Tax Paid","",IF(COUNTIFS(LISTS!$F$2:$F$26,$AE140,LISTS!$G$2:$G$26,$AF140)=0,"NOT ON LIST",""))</f>
        <v/>
      </c>
      <c r="AH140" s="8" t="str">
        <f t="shared" si="8"/>
        <v/>
      </c>
    </row>
    <row r="141" spans="31:34" x14ac:dyDescent="0.25">
      <c r="AE141" s="8" t="str">
        <f t="shared" si="6"/>
        <v/>
      </c>
      <c r="AF141" s="8" t="str">
        <f t="shared" si="7"/>
        <v/>
      </c>
      <c r="AG141" s="8" t="str">
        <f>IF(TRIM($E141)&lt;&gt;"Tax Paid","",IF(COUNTIFS(LISTS!$F$2:$F$26,$AE141,LISTS!$G$2:$G$26,$AF141)=0,"NOT ON LIST",""))</f>
        <v/>
      </c>
      <c r="AH141" s="8" t="str">
        <f t="shared" si="8"/>
        <v/>
      </c>
    </row>
    <row r="142" spans="31:34" x14ac:dyDescent="0.25">
      <c r="AE142" s="8" t="str">
        <f t="shared" si="6"/>
        <v/>
      </c>
      <c r="AF142" s="8" t="str">
        <f t="shared" si="7"/>
        <v/>
      </c>
      <c r="AG142" s="8" t="str">
        <f>IF(TRIM($E142)&lt;&gt;"Tax Paid","",IF(COUNTIFS(LISTS!$F$2:$F$26,$AE142,LISTS!$G$2:$G$26,$AF142)=0,"NOT ON LIST",""))</f>
        <v/>
      </c>
      <c r="AH142" s="8" t="str">
        <f t="shared" si="8"/>
        <v/>
      </c>
    </row>
    <row r="143" spans="31:34" x14ac:dyDescent="0.25">
      <c r="AE143" s="8" t="str">
        <f t="shared" si="6"/>
        <v/>
      </c>
      <c r="AF143" s="8" t="str">
        <f t="shared" si="7"/>
        <v/>
      </c>
      <c r="AG143" s="8" t="str">
        <f>IF(TRIM($E143)&lt;&gt;"Tax Paid","",IF(COUNTIFS(LISTS!$F$2:$F$26,$AE143,LISTS!$G$2:$G$26,$AF143)=0,"NOT ON LIST",""))</f>
        <v/>
      </c>
      <c r="AH143" s="8" t="str">
        <f t="shared" si="8"/>
        <v/>
      </c>
    </row>
    <row r="144" spans="31:34" x14ac:dyDescent="0.25">
      <c r="AE144" s="8" t="str">
        <f t="shared" si="6"/>
        <v/>
      </c>
      <c r="AF144" s="8" t="str">
        <f t="shared" si="7"/>
        <v/>
      </c>
      <c r="AG144" s="8" t="str">
        <f>IF(TRIM($E144)&lt;&gt;"Tax Paid","",IF(COUNTIFS(LISTS!$F$2:$F$26,$AE144,LISTS!$G$2:$G$26,$AF144)=0,"NOT ON LIST",""))</f>
        <v/>
      </c>
      <c r="AH144" s="8" t="str">
        <f t="shared" si="8"/>
        <v/>
      </c>
    </row>
    <row r="145" spans="31:34" x14ac:dyDescent="0.25">
      <c r="AE145" s="8" t="str">
        <f t="shared" si="6"/>
        <v/>
      </c>
      <c r="AF145" s="8" t="str">
        <f t="shared" si="7"/>
        <v/>
      </c>
      <c r="AG145" s="8" t="str">
        <f>IF(TRIM($E145)&lt;&gt;"Tax Paid","",IF(COUNTIFS(LISTS!$F$2:$F$26,$AE145,LISTS!$G$2:$G$26,$AF145)=0,"NOT ON LIST",""))</f>
        <v/>
      </c>
      <c r="AH145" s="8" t="str">
        <f t="shared" si="8"/>
        <v/>
      </c>
    </row>
    <row r="146" spans="31:34" x14ac:dyDescent="0.25">
      <c r="AE146" s="8" t="str">
        <f t="shared" si="6"/>
        <v/>
      </c>
      <c r="AF146" s="8" t="str">
        <f t="shared" si="7"/>
        <v/>
      </c>
      <c r="AG146" s="8" t="str">
        <f>IF(TRIM($E146)&lt;&gt;"Tax Paid","",IF(COUNTIFS(LISTS!$F$2:$F$26,$AE146,LISTS!$G$2:$G$26,$AF146)=0,"NOT ON LIST",""))</f>
        <v/>
      </c>
      <c r="AH146" s="8" t="str">
        <f t="shared" si="8"/>
        <v/>
      </c>
    </row>
    <row r="147" spans="31:34" x14ac:dyDescent="0.25">
      <c r="AE147" s="8" t="str">
        <f t="shared" si="6"/>
        <v/>
      </c>
      <c r="AF147" s="8" t="str">
        <f t="shared" si="7"/>
        <v/>
      </c>
      <c r="AG147" s="8" t="str">
        <f>IF(TRIM($E147)&lt;&gt;"Tax Paid","",IF(COUNTIFS(LISTS!$F$2:$F$26,$AE147,LISTS!$G$2:$G$26,$AF147)=0,"NOT ON LIST",""))</f>
        <v/>
      </c>
      <c r="AH147" s="8" t="str">
        <f t="shared" si="8"/>
        <v/>
      </c>
    </row>
    <row r="148" spans="31:34" x14ac:dyDescent="0.25">
      <c r="AE148" s="8" t="str">
        <f t="shared" si="6"/>
        <v/>
      </c>
      <c r="AF148" s="8" t="str">
        <f t="shared" si="7"/>
        <v/>
      </c>
      <c r="AG148" s="8" t="str">
        <f>IF(TRIM($E148)&lt;&gt;"Tax Paid","",IF(COUNTIFS(LISTS!$F$2:$F$26,$AE148,LISTS!$G$2:$G$26,$AF148)=0,"NOT ON LIST",""))</f>
        <v/>
      </c>
      <c r="AH148" s="8" t="str">
        <f t="shared" si="8"/>
        <v/>
      </c>
    </row>
    <row r="149" spans="31:34" x14ac:dyDescent="0.25">
      <c r="AE149" s="8" t="str">
        <f t="shared" si="6"/>
        <v/>
      </c>
      <c r="AF149" s="8" t="str">
        <f t="shared" si="7"/>
        <v/>
      </c>
      <c r="AG149" s="8" t="str">
        <f>IF(TRIM($E149)&lt;&gt;"Tax Paid","",IF(COUNTIFS(LISTS!$F$2:$F$26,$AE149,LISTS!$G$2:$G$26,$AF149)=0,"NOT ON LIST",""))</f>
        <v/>
      </c>
      <c r="AH149" s="8" t="str">
        <f t="shared" si="8"/>
        <v/>
      </c>
    </row>
    <row r="150" spans="31:34" x14ac:dyDescent="0.25">
      <c r="AE150" s="8" t="str">
        <f t="shared" si="6"/>
        <v/>
      </c>
      <c r="AF150" s="8" t="str">
        <f t="shared" si="7"/>
        <v/>
      </c>
      <c r="AG150" s="8" t="str">
        <f>IF(TRIM($E150)&lt;&gt;"Tax Paid","",IF(COUNTIFS(LISTS!$F$2:$F$26,$AE150,LISTS!$G$2:$G$26,$AF150)=0,"NOT ON LIST",""))</f>
        <v/>
      </c>
      <c r="AH150" s="8" t="str">
        <f t="shared" si="8"/>
        <v/>
      </c>
    </row>
    <row r="151" spans="31:34" x14ac:dyDescent="0.25">
      <c r="AE151" s="8" t="str">
        <f t="shared" si="6"/>
        <v/>
      </c>
      <c r="AF151" s="8" t="str">
        <f t="shared" si="7"/>
        <v/>
      </c>
      <c r="AG151" s="8" t="str">
        <f>IF(TRIM($E151)&lt;&gt;"Tax Paid","",IF(COUNTIFS(LISTS!$F$2:$F$26,$AE151,LISTS!$G$2:$G$26,$AF151)=0,"NOT ON LIST",""))</f>
        <v/>
      </c>
      <c r="AH151" s="8" t="str">
        <f t="shared" si="8"/>
        <v/>
      </c>
    </row>
    <row r="152" spans="31:34" x14ac:dyDescent="0.25">
      <c r="AE152" s="8" t="str">
        <f t="shared" si="6"/>
        <v/>
      </c>
      <c r="AF152" s="8" t="str">
        <f t="shared" si="7"/>
        <v/>
      </c>
      <c r="AG152" s="8" t="str">
        <f>IF(TRIM($E152)&lt;&gt;"Tax Paid","",IF(COUNTIFS(LISTS!$F$2:$F$26,$AE152,LISTS!$G$2:$G$26,$AF152)=0,"NOT ON LIST",""))</f>
        <v/>
      </c>
      <c r="AH152" s="8" t="str">
        <f t="shared" si="8"/>
        <v/>
      </c>
    </row>
    <row r="153" spans="31:34" x14ac:dyDescent="0.25">
      <c r="AE153" s="8" t="str">
        <f t="shared" si="6"/>
        <v/>
      </c>
      <c r="AF153" s="8" t="str">
        <f t="shared" si="7"/>
        <v/>
      </c>
      <c r="AG153" s="8" t="str">
        <f>IF(TRIM($E153)&lt;&gt;"Tax Paid","",IF(COUNTIFS(LISTS!$F$2:$F$26,$AE153,LISTS!$G$2:$G$26,$AF153)=0,"NOT ON LIST",""))</f>
        <v/>
      </c>
      <c r="AH153" s="8" t="str">
        <f t="shared" si="8"/>
        <v/>
      </c>
    </row>
    <row r="154" spans="31:34" x14ac:dyDescent="0.25">
      <c r="AE154" s="8" t="str">
        <f t="shared" si="6"/>
        <v/>
      </c>
      <c r="AF154" s="8" t="str">
        <f t="shared" si="7"/>
        <v/>
      </c>
      <c r="AG154" s="8" t="str">
        <f>IF(TRIM($E154)&lt;&gt;"Tax Paid","",IF(COUNTIFS(LISTS!$F$2:$F$26,$AE154,LISTS!$G$2:$G$26,$AF154)=0,"NOT ON LIST",""))</f>
        <v/>
      </c>
      <c r="AH154" s="8" t="str">
        <f t="shared" si="8"/>
        <v/>
      </c>
    </row>
    <row r="155" spans="31:34" x14ac:dyDescent="0.25">
      <c r="AE155" s="8" t="str">
        <f t="shared" si="6"/>
        <v/>
      </c>
      <c r="AF155" s="8" t="str">
        <f t="shared" si="7"/>
        <v/>
      </c>
      <c r="AG155" s="8" t="str">
        <f>IF(TRIM($E155)&lt;&gt;"Tax Paid","",IF(COUNTIFS(LISTS!$F$2:$F$26,$AE155,LISTS!$G$2:$G$26,$AF155)=0,"NOT ON LIST",""))</f>
        <v/>
      </c>
      <c r="AH155" s="8" t="str">
        <f t="shared" si="8"/>
        <v/>
      </c>
    </row>
    <row r="156" spans="31:34" x14ac:dyDescent="0.25">
      <c r="AE156" s="8" t="str">
        <f t="shared" si="6"/>
        <v/>
      </c>
      <c r="AF156" s="8" t="str">
        <f t="shared" si="7"/>
        <v/>
      </c>
      <c r="AG156" s="8" t="str">
        <f>IF(TRIM($E156)&lt;&gt;"Tax Paid","",IF(COUNTIFS(LISTS!$F$2:$F$26,$AE156,LISTS!$G$2:$G$26,$AF156)=0,"NOT ON LIST",""))</f>
        <v/>
      </c>
      <c r="AH156" s="8" t="str">
        <f t="shared" si="8"/>
        <v/>
      </c>
    </row>
    <row r="157" spans="31:34" x14ac:dyDescent="0.25">
      <c r="AE157" s="8" t="str">
        <f t="shared" si="6"/>
        <v/>
      </c>
      <c r="AF157" s="8" t="str">
        <f t="shared" si="7"/>
        <v/>
      </c>
      <c r="AG157" s="8" t="str">
        <f>IF(TRIM($E157)&lt;&gt;"Tax Paid","",IF(COUNTIFS(LISTS!$F$2:$F$26,$AE157,LISTS!$G$2:$G$26,$AF157)=0,"NOT ON LIST",""))</f>
        <v/>
      </c>
      <c r="AH157" s="8" t="str">
        <f t="shared" si="8"/>
        <v/>
      </c>
    </row>
    <row r="158" spans="31:34" x14ac:dyDescent="0.25">
      <c r="AE158" s="8" t="str">
        <f t="shared" si="6"/>
        <v/>
      </c>
      <c r="AF158" s="8" t="str">
        <f t="shared" si="7"/>
        <v/>
      </c>
      <c r="AG158" s="8" t="str">
        <f>IF(TRIM($E158)&lt;&gt;"Tax Paid","",IF(COUNTIFS(LISTS!$F$2:$F$26,$AE158,LISTS!$G$2:$G$26,$AF158)=0,"NOT ON LIST",""))</f>
        <v/>
      </c>
      <c r="AH158" s="8" t="str">
        <f t="shared" si="8"/>
        <v/>
      </c>
    </row>
    <row r="159" spans="31:34" x14ac:dyDescent="0.25">
      <c r="AE159" s="8" t="str">
        <f t="shared" si="6"/>
        <v/>
      </c>
      <c r="AF159" s="8" t="str">
        <f t="shared" si="7"/>
        <v/>
      </c>
      <c r="AG159" s="8" t="str">
        <f>IF(TRIM($E159)&lt;&gt;"Tax Paid","",IF(COUNTIFS(LISTS!$F$2:$F$26,$AE159,LISTS!$G$2:$G$26,$AF159)=0,"NOT ON LIST",""))</f>
        <v/>
      </c>
      <c r="AH159" s="8" t="str">
        <f t="shared" si="8"/>
        <v/>
      </c>
    </row>
    <row r="160" spans="31:34" x14ac:dyDescent="0.25">
      <c r="AE160" s="8" t="str">
        <f t="shared" si="6"/>
        <v/>
      </c>
      <c r="AF160" s="8" t="str">
        <f t="shared" si="7"/>
        <v/>
      </c>
      <c r="AG160" s="8" t="str">
        <f>IF(TRIM($E160)&lt;&gt;"Tax Paid","",IF(COUNTIFS(LISTS!$F$2:$F$26,$AE160,LISTS!$G$2:$G$26,$AF160)=0,"NOT ON LIST",""))</f>
        <v/>
      </c>
      <c r="AH160" s="8" t="str">
        <f t="shared" si="8"/>
        <v/>
      </c>
    </row>
    <row r="161" spans="31:34" x14ac:dyDescent="0.25">
      <c r="AE161" s="8" t="str">
        <f t="shared" si="6"/>
        <v/>
      </c>
      <c r="AF161" s="8" t="str">
        <f t="shared" si="7"/>
        <v/>
      </c>
      <c r="AG161" s="8" t="str">
        <f>IF(TRIM($E161)&lt;&gt;"Tax Paid","",IF(COUNTIFS(LISTS!$F$2:$F$26,$AE161,LISTS!$G$2:$G$26,$AF161)=0,"NOT ON LIST",""))</f>
        <v/>
      </c>
      <c r="AH161" s="8" t="str">
        <f t="shared" si="8"/>
        <v/>
      </c>
    </row>
    <row r="162" spans="31:34" x14ac:dyDescent="0.25">
      <c r="AE162" s="8" t="str">
        <f t="shared" si="6"/>
        <v/>
      </c>
      <c r="AF162" s="8" t="str">
        <f t="shared" si="7"/>
        <v/>
      </c>
      <c r="AG162" s="8" t="str">
        <f>IF(TRIM($E162)&lt;&gt;"Tax Paid","",IF(COUNTIFS(LISTS!$F$2:$F$26,$AE162,LISTS!$G$2:$G$26,$AF162)=0,"NOT ON LIST",""))</f>
        <v/>
      </c>
      <c r="AH162" s="8" t="str">
        <f t="shared" si="8"/>
        <v/>
      </c>
    </row>
    <row r="163" spans="31:34" x14ac:dyDescent="0.25">
      <c r="AE163" s="8" t="str">
        <f t="shared" si="6"/>
        <v/>
      </c>
      <c r="AF163" s="8" t="str">
        <f t="shared" si="7"/>
        <v/>
      </c>
      <c r="AG163" s="8" t="str">
        <f>IF(TRIM($E163)&lt;&gt;"Tax Paid","",IF(COUNTIFS(LISTS!$F$2:$F$26,$AE163,LISTS!$G$2:$G$26,$AF163)=0,"NOT ON LIST",""))</f>
        <v/>
      </c>
      <c r="AH163" s="8" t="str">
        <f t="shared" si="8"/>
        <v/>
      </c>
    </row>
    <row r="164" spans="31:34" x14ac:dyDescent="0.25">
      <c r="AE164" s="8" t="str">
        <f t="shared" si="6"/>
        <v/>
      </c>
      <c r="AF164" s="8" t="str">
        <f t="shared" si="7"/>
        <v/>
      </c>
      <c r="AG164" s="8" t="str">
        <f>IF(TRIM($E164)&lt;&gt;"Tax Paid","",IF(COUNTIFS(LISTS!$F$2:$F$26,$AE164,LISTS!$G$2:$G$26,$AF164)=0,"NOT ON LIST",""))</f>
        <v/>
      </c>
      <c r="AH164" s="8" t="str">
        <f t="shared" si="8"/>
        <v/>
      </c>
    </row>
    <row r="165" spans="31:34" x14ac:dyDescent="0.25">
      <c r="AE165" s="8" t="str">
        <f t="shared" si="6"/>
        <v/>
      </c>
      <c r="AF165" s="8" t="str">
        <f t="shared" si="7"/>
        <v/>
      </c>
      <c r="AG165" s="8" t="str">
        <f>IF(TRIM($E165)&lt;&gt;"Tax Paid","",IF(COUNTIFS(LISTS!$F$2:$F$26,$AE165,LISTS!$G$2:$G$26,$AF165)=0,"NOT ON LIST",""))</f>
        <v/>
      </c>
      <c r="AH165" s="8" t="str">
        <f t="shared" si="8"/>
        <v/>
      </c>
    </row>
    <row r="166" spans="31:34" x14ac:dyDescent="0.25">
      <c r="AE166" s="8" t="str">
        <f t="shared" si="6"/>
        <v/>
      </c>
      <c r="AF166" s="8" t="str">
        <f t="shared" si="7"/>
        <v/>
      </c>
      <c r="AG166" s="8" t="str">
        <f>IF(TRIM($E166)&lt;&gt;"Tax Paid","",IF(COUNTIFS(LISTS!$F$2:$F$26,$AE166,LISTS!$G$2:$G$26,$AF166)=0,"NOT ON LIST",""))</f>
        <v/>
      </c>
      <c r="AH166" s="8" t="str">
        <f t="shared" si="8"/>
        <v/>
      </c>
    </row>
    <row r="167" spans="31:34" x14ac:dyDescent="0.25">
      <c r="AE167" s="8" t="str">
        <f t="shared" si="6"/>
        <v/>
      </c>
      <c r="AF167" s="8" t="str">
        <f t="shared" si="7"/>
        <v/>
      </c>
      <c r="AG167" s="8" t="str">
        <f>IF(TRIM($E167)&lt;&gt;"Tax Paid","",IF(COUNTIFS(LISTS!$F$2:$F$26,$AE167,LISTS!$G$2:$G$26,$AF167)=0,"NOT ON LIST",""))</f>
        <v/>
      </c>
      <c r="AH167" s="8" t="str">
        <f t="shared" si="8"/>
        <v/>
      </c>
    </row>
    <row r="168" spans="31:34" x14ac:dyDescent="0.25">
      <c r="AE168" s="8" t="str">
        <f t="shared" si="6"/>
        <v/>
      </c>
      <c r="AF168" s="8" t="str">
        <f t="shared" si="7"/>
        <v/>
      </c>
      <c r="AG168" s="8" t="str">
        <f>IF(TRIM($E168)&lt;&gt;"Tax Paid","",IF(COUNTIFS(LISTS!$F$2:$F$26,$AE168,LISTS!$G$2:$G$26,$AF168)=0,"NOT ON LIST",""))</f>
        <v/>
      </c>
      <c r="AH168" s="8" t="str">
        <f t="shared" si="8"/>
        <v/>
      </c>
    </row>
    <row r="169" spans="31:34" x14ac:dyDescent="0.25">
      <c r="AE169" s="8" t="str">
        <f t="shared" si="6"/>
        <v/>
      </c>
      <c r="AF169" s="8" t="str">
        <f t="shared" si="7"/>
        <v/>
      </c>
      <c r="AG169" s="8" t="str">
        <f>IF(TRIM($E169)&lt;&gt;"Tax Paid","",IF(COUNTIFS(LISTS!$F$2:$F$26,$AE169,LISTS!$G$2:$G$26,$AF169)=0,"NOT ON LIST",""))</f>
        <v/>
      </c>
      <c r="AH169" s="8" t="str">
        <f t="shared" si="8"/>
        <v/>
      </c>
    </row>
    <row r="170" spans="31:34" x14ac:dyDescent="0.25">
      <c r="AE170" s="8" t="str">
        <f t="shared" si="6"/>
        <v/>
      </c>
      <c r="AF170" s="8" t="str">
        <f t="shared" si="7"/>
        <v/>
      </c>
      <c r="AG170" s="8" t="str">
        <f>IF(TRIM($E170)&lt;&gt;"Tax Paid","",IF(COUNTIFS(LISTS!$F$2:$F$26,$AE170,LISTS!$G$2:$G$26,$AF170)=0,"NOT ON LIST",""))</f>
        <v/>
      </c>
      <c r="AH170" s="8" t="str">
        <f t="shared" si="8"/>
        <v/>
      </c>
    </row>
    <row r="171" spans="31:34" x14ac:dyDescent="0.25">
      <c r="AE171" s="8" t="str">
        <f t="shared" si="6"/>
        <v/>
      </c>
      <c r="AF171" s="8" t="str">
        <f t="shared" si="7"/>
        <v/>
      </c>
      <c r="AG171" s="8" t="str">
        <f>IF(TRIM($E171)&lt;&gt;"Tax Paid","",IF(COUNTIFS(LISTS!$F$2:$F$26,$AE171,LISTS!$G$2:$G$26,$AF171)=0,"NOT ON LIST",""))</f>
        <v/>
      </c>
      <c r="AH171" s="8" t="str">
        <f t="shared" si="8"/>
        <v/>
      </c>
    </row>
    <row r="172" spans="31:34" x14ac:dyDescent="0.25">
      <c r="AE172" s="8" t="str">
        <f t="shared" si="6"/>
        <v/>
      </c>
      <c r="AF172" s="8" t="str">
        <f t="shared" si="7"/>
        <v/>
      </c>
      <c r="AG172" s="8" t="str">
        <f>IF(TRIM($E172)&lt;&gt;"Tax Paid","",IF(COUNTIFS(LISTS!$F$2:$F$26,$AE172,LISTS!$G$2:$G$26,$AF172)=0,"NOT ON LIST",""))</f>
        <v/>
      </c>
      <c r="AH172" s="8" t="str">
        <f t="shared" si="8"/>
        <v/>
      </c>
    </row>
    <row r="173" spans="31:34" x14ac:dyDescent="0.25">
      <c r="AE173" s="8" t="str">
        <f t="shared" si="6"/>
        <v/>
      </c>
      <c r="AF173" s="8" t="str">
        <f t="shared" si="7"/>
        <v/>
      </c>
      <c r="AG173" s="8" t="str">
        <f>IF(TRIM($E173)&lt;&gt;"Tax Paid","",IF(COUNTIFS(LISTS!$F$2:$F$26,$AE173,LISTS!$G$2:$G$26,$AF173)=0,"NOT ON LIST",""))</f>
        <v/>
      </c>
      <c r="AH173" s="8" t="str">
        <f t="shared" si="8"/>
        <v/>
      </c>
    </row>
    <row r="174" spans="31:34" x14ac:dyDescent="0.25">
      <c r="AE174" s="8" t="str">
        <f t="shared" si="6"/>
        <v/>
      </c>
      <c r="AF174" s="8" t="str">
        <f t="shared" si="7"/>
        <v/>
      </c>
      <c r="AG174" s="8" t="str">
        <f>IF(TRIM($E174)&lt;&gt;"Tax Paid","",IF(COUNTIFS(LISTS!$F$2:$F$26,$AE174,LISTS!$G$2:$G$26,$AF174)=0,"NOT ON LIST",""))</f>
        <v/>
      </c>
      <c r="AH174" s="8" t="str">
        <f t="shared" si="8"/>
        <v/>
      </c>
    </row>
    <row r="175" spans="31:34" x14ac:dyDescent="0.25">
      <c r="AE175" s="8" t="str">
        <f t="shared" si="6"/>
        <v/>
      </c>
      <c r="AF175" s="8" t="str">
        <f t="shared" si="7"/>
        <v/>
      </c>
      <c r="AG175" s="8" t="str">
        <f>IF(TRIM($E175)&lt;&gt;"Tax Paid","",IF(COUNTIFS(LISTS!$F$2:$F$26,$AE175,LISTS!$G$2:$G$26,$AF175)=0,"NOT ON LIST",""))</f>
        <v/>
      </c>
      <c r="AH175" s="8" t="str">
        <f t="shared" si="8"/>
        <v/>
      </c>
    </row>
    <row r="176" spans="31:34" x14ac:dyDescent="0.25">
      <c r="AE176" s="8" t="str">
        <f t="shared" si="6"/>
        <v/>
      </c>
      <c r="AF176" s="8" t="str">
        <f t="shared" si="7"/>
        <v/>
      </c>
      <c r="AG176" s="8" t="str">
        <f>IF(TRIM($E176)&lt;&gt;"Tax Paid","",IF(COUNTIFS(LISTS!$F$2:$F$26,$AE176,LISTS!$G$2:$G$26,$AF176)=0,"NOT ON LIST",""))</f>
        <v/>
      </c>
      <c r="AH176" s="8" t="str">
        <f t="shared" si="8"/>
        <v/>
      </c>
    </row>
    <row r="177" spans="31:34" x14ac:dyDescent="0.25">
      <c r="AE177" s="8" t="str">
        <f t="shared" si="6"/>
        <v/>
      </c>
      <c r="AF177" s="8" t="str">
        <f t="shared" si="7"/>
        <v/>
      </c>
      <c r="AG177" s="8" t="str">
        <f>IF(TRIM($E177)&lt;&gt;"Tax Paid","",IF(COUNTIFS(LISTS!$F$2:$F$26,$AE177,LISTS!$G$2:$G$26,$AF177)=0,"NOT ON LIST",""))</f>
        <v/>
      </c>
      <c r="AH177" s="8" t="str">
        <f t="shared" si="8"/>
        <v/>
      </c>
    </row>
    <row r="178" spans="31:34" x14ac:dyDescent="0.25">
      <c r="AE178" s="8" t="str">
        <f t="shared" si="6"/>
        <v/>
      </c>
      <c r="AF178" s="8" t="str">
        <f t="shared" si="7"/>
        <v/>
      </c>
      <c r="AG178" s="8" t="str">
        <f>IF(TRIM($E178)&lt;&gt;"Tax Paid","",IF(COUNTIFS(LISTS!$F$2:$F$26,$AE178,LISTS!$G$2:$G$26,$AF178)=0,"NOT ON LIST",""))</f>
        <v/>
      </c>
      <c r="AH178" s="8" t="str">
        <f t="shared" si="8"/>
        <v/>
      </c>
    </row>
    <row r="179" spans="31:34" x14ac:dyDescent="0.25">
      <c r="AE179" s="8" t="str">
        <f t="shared" si="6"/>
        <v/>
      </c>
      <c r="AF179" s="8" t="str">
        <f t="shared" si="7"/>
        <v/>
      </c>
      <c r="AG179" s="8" t="str">
        <f>IF(TRIM($E179)&lt;&gt;"Tax Paid","",IF(COUNTIFS(LISTS!$F$2:$F$26,$AE179,LISTS!$G$2:$G$26,$AF179)=0,"NOT ON LIST",""))</f>
        <v/>
      </c>
      <c r="AH179" s="8" t="str">
        <f t="shared" si="8"/>
        <v/>
      </c>
    </row>
    <row r="180" spans="31:34" x14ac:dyDescent="0.25">
      <c r="AE180" s="8" t="str">
        <f t="shared" si="6"/>
        <v/>
      </c>
      <c r="AF180" s="8" t="str">
        <f t="shared" si="7"/>
        <v/>
      </c>
      <c r="AG180" s="8" t="str">
        <f>IF(TRIM($E180)&lt;&gt;"Tax Paid","",IF(COUNTIFS(LISTS!$F$2:$F$26,$AE180,LISTS!$G$2:$G$26,$AF180)=0,"NOT ON LIST",""))</f>
        <v/>
      </c>
      <c r="AH180" s="8" t="str">
        <f t="shared" si="8"/>
        <v/>
      </c>
    </row>
    <row r="181" spans="31:34" x14ac:dyDescent="0.25">
      <c r="AE181" s="8" t="str">
        <f t="shared" si="6"/>
        <v/>
      </c>
      <c r="AF181" s="8" t="str">
        <f t="shared" si="7"/>
        <v/>
      </c>
      <c r="AG181" s="8" t="str">
        <f>IF(TRIM($E181)&lt;&gt;"Tax Paid","",IF(COUNTIFS(LISTS!$F$2:$F$26,$AE181,LISTS!$G$2:$G$26,$AF181)=0,"NOT ON LIST",""))</f>
        <v/>
      </c>
      <c r="AH181" s="8" t="str">
        <f t="shared" si="8"/>
        <v/>
      </c>
    </row>
    <row r="182" spans="31:34" x14ac:dyDescent="0.25">
      <c r="AE182" s="8" t="str">
        <f t="shared" si="6"/>
        <v/>
      </c>
      <c r="AF182" s="8" t="str">
        <f t="shared" si="7"/>
        <v/>
      </c>
      <c r="AG182" s="8" t="str">
        <f>IF(TRIM($E182)&lt;&gt;"Tax Paid","",IF(COUNTIFS(LISTS!$F$2:$F$26,$AE182,LISTS!$G$2:$G$26,$AF182)=0,"NOT ON LIST",""))</f>
        <v/>
      </c>
      <c r="AH182" s="8" t="str">
        <f t="shared" si="8"/>
        <v/>
      </c>
    </row>
    <row r="183" spans="31:34" x14ac:dyDescent="0.25">
      <c r="AE183" s="8" t="str">
        <f t="shared" si="6"/>
        <v/>
      </c>
      <c r="AF183" s="8" t="str">
        <f t="shared" si="7"/>
        <v/>
      </c>
      <c r="AG183" s="8" t="str">
        <f>IF(TRIM($E183)&lt;&gt;"Tax Paid","",IF(COUNTIFS(LISTS!$F$2:$F$26,$AE183,LISTS!$G$2:$G$26,$AF183)=0,"NOT ON LIST",""))</f>
        <v/>
      </c>
      <c r="AH183" s="8" t="str">
        <f t="shared" si="8"/>
        <v/>
      </c>
    </row>
    <row r="184" spans="31:34" x14ac:dyDescent="0.25">
      <c r="AE184" s="8" t="str">
        <f t="shared" si="6"/>
        <v/>
      </c>
      <c r="AF184" s="8" t="str">
        <f t="shared" si="7"/>
        <v/>
      </c>
      <c r="AG184" s="8" t="str">
        <f>IF(TRIM($E184)&lt;&gt;"Tax Paid","",IF(COUNTIFS(LISTS!$F$2:$F$26,$AE184,LISTS!$G$2:$G$26,$AF184)=0,"NOT ON LIST",""))</f>
        <v/>
      </c>
      <c r="AH184" s="8" t="str">
        <f t="shared" si="8"/>
        <v/>
      </c>
    </row>
    <row r="185" spans="31:34" x14ac:dyDescent="0.25">
      <c r="AE185" s="8" t="str">
        <f t="shared" si="6"/>
        <v/>
      </c>
      <c r="AF185" s="8" t="str">
        <f t="shared" si="7"/>
        <v/>
      </c>
      <c r="AG185" s="8" t="str">
        <f>IF(TRIM($E185)&lt;&gt;"Tax Paid","",IF(COUNTIFS(LISTS!$F$2:$F$26,$AE185,LISTS!$G$2:$G$26,$AF185)=0,"NOT ON LIST",""))</f>
        <v/>
      </c>
      <c r="AH185" s="8" t="str">
        <f t="shared" si="8"/>
        <v/>
      </c>
    </row>
    <row r="186" spans="31:34" x14ac:dyDescent="0.25">
      <c r="AE186" s="8" t="str">
        <f t="shared" si="6"/>
        <v/>
      </c>
      <c r="AF186" s="8" t="str">
        <f t="shared" si="7"/>
        <v/>
      </c>
      <c r="AG186" s="8" t="str">
        <f>IF(TRIM($E186)&lt;&gt;"Tax Paid","",IF(COUNTIFS(LISTS!$F$2:$F$26,$AE186,LISTS!$G$2:$G$26,$AF186)=0,"NOT ON LIST",""))</f>
        <v/>
      </c>
      <c r="AH186" s="8" t="str">
        <f t="shared" si="8"/>
        <v/>
      </c>
    </row>
    <row r="187" spans="31:34" x14ac:dyDescent="0.25">
      <c r="AE187" s="8" t="str">
        <f t="shared" si="6"/>
        <v/>
      </c>
      <c r="AF187" s="8" t="str">
        <f t="shared" si="7"/>
        <v/>
      </c>
      <c r="AG187" s="8" t="str">
        <f>IF(TRIM($E187)&lt;&gt;"Tax Paid","",IF(COUNTIFS(LISTS!$F$2:$F$26,$AE187,LISTS!$G$2:$G$26,$AF187)=0,"NOT ON LIST",""))</f>
        <v/>
      </c>
      <c r="AH187" s="8" t="str">
        <f t="shared" si="8"/>
        <v/>
      </c>
    </row>
    <row r="188" spans="31:34" x14ac:dyDescent="0.25">
      <c r="AE188" s="8" t="str">
        <f t="shared" si="6"/>
        <v/>
      </c>
      <c r="AF188" s="8" t="str">
        <f t="shared" si="7"/>
        <v/>
      </c>
      <c r="AG188" s="8" t="str">
        <f>IF(TRIM($E188)&lt;&gt;"Tax Paid","",IF(COUNTIFS(LISTS!$F$2:$F$26,$AE188,LISTS!$G$2:$G$26,$AF188)=0,"NOT ON LIST",""))</f>
        <v/>
      </c>
      <c r="AH188" s="8" t="str">
        <f t="shared" si="8"/>
        <v/>
      </c>
    </row>
    <row r="189" spans="31:34" x14ac:dyDescent="0.25">
      <c r="AE189" s="8" t="str">
        <f t="shared" si="6"/>
        <v/>
      </c>
      <c r="AF189" s="8" t="str">
        <f t="shared" si="7"/>
        <v/>
      </c>
      <c r="AG189" s="8" t="str">
        <f>IF(TRIM($E189)&lt;&gt;"Tax Paid","",IF(COUNTIFS(LISTS!$F$2:$F$26,$AE189,LISTS!$G$2:$G$26,$AF189)=0,"NOT ON LIST",""))</f>
        <v/>
      </c>
      <c r="AH189" s="8" t="str">
        <f t="shared" si="8"/>
        <v/>
      </c>
    </row>
    <row r="190" spans="31:34" x14ac:dyDescent="0.25">
      <c r="AE190" s="8" t="str">
        <f t="shared" si="6"/>
        <v/>
      </c>
      <c r="AF190" s="8" t="str">
        <f t="shared" si="7"/>
        <v/>
      </c>
      <c r="AG190" s="8" t="str">
        <f>IF(TRIM($E190)&lt;&gt;"Tax Paid","",IF(COUNTIFS(LISTS!$F$2:$F$26,$AE190,LISTS!$G$2:$G$26,$AF190)=0,"NOT ON LIST",""))</f>
        <v/>
      </c>
      <c r="AH190" s="8" t="str">
        <f t="shared" si="8"/>
        <v/>
      </c>
    </row>
    <row r="191" spans="31:34" x14ac:dyDescent="0.25">
      <c r="AE191" s="8" t="str">
        <f t="shared" si="6"/>
        <v/>
      </c>
      <c r="AF191" s="8" t="str">
        <f t="shared" si="7"/>
        <v/>
      </c>
      <c r="AG191" s="8" t="str">
        <f>IF(TRIM($E191)&lt;&gt;"Tax Paid","",IF(COUNTIFS(LISTS!$F$2:$F$26,$AE191,LISTS!$G$2:$G$26,$AF191)=0,"NOT ON LIST",""))</f>
        <v/>
      </c>
      <c r="AH191" s="8" t="str">
        <f t="shared" si="8"/>
        <v/>
      </c>
    </row>
    <row r="192" spans="31:34" x14ac:dyDescent="0.25">
      <c r="AE192" s="8" t="str">
        <f t="shared" si="6"/>
        <v/>
      </c>
      <c r="AF192" s="8" t="str">
        <f t="shared" si="7"/>
        <v/>
      </c>
      <c r="AG192" s="8" t="str">
        <f>IF(TRIM($E192)&lt;&gt;"Tax Paid","",IF(COUNTIFS(LISTS!$F$2:$F$26,$AE192,LISTS!$G$2:$G$26,$AF192)=0,"NOT ON LIST",""))</f>
        <v/>
      </c>
      <c r="AH192" s="8" t="str">
        <f t="shared" si="8"/>
        <v/>
      </c>
    </row>
    <row r="193" spans="31:34" x14ac:dyDescent="0.25">
      <c r="AE193" s="8" t="str">
        <f t="shared" si="6"/>
        <v/>
      </c>
      <c r="AF193" s="8" t="str">
        <f t="shared" si="7"/>
        <v/>
      </c>
      <c r="AG193" s="8" t="str">
        <f>IF(TRIM($E193)&lt;&gt;"Tax Paid","",IF(COUNTIFS(LISTS!$F$2:$F$26,$AE193,LISTS!$G$2:$G$26,$AF193)=0,"NOT ON LIST",""))</f>
        <v/>
      </c>
      <c r="AH193" s="8" t="str">
        <f t="shared" si="8"/>
        <v/>
      </c>
    </row>
    <row r="194" spans="31:34" x14ac:dyDescent="0.25">
      <c r="AE194" s="8" t="str">
        <f t="shared" ref="AE194:AE257" si="9">IF(TRIM($E194)="Tax Paid",TRIM($S194),"")</f>
        <v/>
      </c>
      <c r="AF194" s="8" t="str">
        <f t="shared" ref="AF194:AF257" si="10">IF(TRIM($E194)="Tax Paid",ROUND($Z194/100,5),"")</f>
        <v/>
      </c>
      <c r="AG194" s="8" t="str">
        <f>IF(TRIM($E194)&lt;&gt;"Tax Paid","",IF(COUNTIFS(LISTS!$F$2:$F$26,$AE194,LISTS!$G$2:$G$26,$AF194)=0,"NOT ON LIST",""))</f>
        <v/>
      </c>
      <c r="AH194" s="8" t="str">
        <f t="shared" ref="AH194:AH257" si="11">IF($AG194="","",IF($AE194="","(no county)",$AE194)&amp;" ("&amp;SUBSTITUTE(TEXT($AF194,"0.###%"),".%","%")&amp;")")</f>
        <v/>
      </c>
    </row>
    <row r="195" spans="31:34" x14ac:dyDescent="0.25">
      <c r="AE195" s="8" t="str">
        <f t="shared" si="9"/>
        <v/>
      </c>
      <c r="AF195" s="8" t="str">
        <f t="shared" si="10"/>
        <v/>
      </c>
      <c r="AG195" s="8" t="str">
        <f>IF(TRIM($E195)&lt;&gt;"Tax Paid","",IF(COUNTIFS(LISTS!$F$2:$F$26,$AE195,LISTS!$G$2:$G$26,$AF195)=0,"NOT ON LIST",""))</f>
        <v/>
      </c>
      <c r="AH195" s="8" t="str">
        <f t="shared" si="11"/>
        <v/>
      </c>
    </row>
    <row r="196" spans="31:34" x14ac:dyDescent="0.25">
      <c r="AE196" s="8" t="str">
        <f t="shared" si="9"/>
        <v/>
      </c>
      <c r="AF196" s="8" t="str">
        <f t="shared" si="10"/>
        <v/>
      </c>
      <c r="AG196" s="8" t="str">
        <f>IF(TRIM($E196)&lt;&gt;"Tax Paid","",IF(COUNTIFS(LISTS!$F$2:$F$26,$AE196,LISTS!$G$2:$G$26,$AF196)=0,"NOT ON LIST",""))</f>
        <v/>
      </c>
      <c r="AH196" s="8" t="str">
        <f t="shared" si="11"/>
        <v/>
      </c>
    </row>
    <row r="197" spans="31:34" x14ac:dyDescent="0.25">
      <c r="AE197" s="8" t="str">
        <f t="shared" si="9"/>
        <v/>
      </c>
      <c r="AF197" s="8" t="str">
        <f t="shared" si="10"/>
        <v/>
      </c>
      <c r="AG197" s="8" t="str">
        <f>IF(TRIM($E197)&lt;&gt;"Tax Paid","",IF(COUNTIFS(LISTS!$F$2:$F$26,$AE197,LISTS!$G$2:$G$26,$AF197)=0,"NOT ON LIST",""))</f>
        <v/>
      </c>
      <c r="AH197" s="8" t="str">
        <f t="shared" si="11"/>
        <v/>
      </c>
    </row>
    <row r="198" spans="31:34" x14ac:dyDescent="0.25">
      <c r="AE198" s="8" t="str">
        <f t="shared" si="9"/>
        <v/>
      </c>
      <c r="AF198" s="8" t="str">
        <f t="shared" si="10"/>
        <v/>
      </c>
      <c r="AG198" s="8" t="str">
        <f>IF(TRIM($E198)&lt;&gt;"Tax Paid","",IF(COUNTIFS(LISTS!$F$2:$F$26,$AE198,LISTS!$G$2:$G$26,$AF198)=0,"NOT ON LIST",""))</f>
        <v/>
      </c>
      <c r="AH198" s="8" t="str">
        <f t="shared" si="11"/>
        <v/>
      </c>
    </row>
    <row r="199" spans="31:34" x14ac:dyDescent="0.25">
      <c r="AE199" s="8" t="str">
        <f t="shared" si="9"/>
        <v/>
      </c>
      <c r="AF199" s="8" t="str">
        <f t="shared" si="10"/>
        <v/>
      </c>
      <c r="AG199" s="8" t="str">
        <f>IF(TRIM($E199)&lt;&gt;"Tax Paid","",IF(COUNTIFS(LISTS!$F$2:$F$26,$AE199,LISTS!$G$2:$G$26,$AF199)=0,"NOT ON LIST",""))</f>
        <v/>
      </c>
      <c r="AH199" s="8" t="str">
        <f t="shared" si="11"/>
        <v/>
      </c>
    </row>
    <row r="200" spans="31:34" x14ac:dyDescent="0.25">
      <c r="AE200" s="8" t="str">
        <f t="shared" si="9"/>
        <v/>
      </c>
      <c r="AF200" s="8" t="str">
        <f t="shared" si="10"/>
        <v/>
      </c>
      <c r="AG200" s="8" t="str">
        <f>IF(TRIM($E200)&lt;&gt;"Tax Paid","",IF(COUNTIFS(LISTS!$F$2:$F$26,$AE200,LISTS!$G$2:$G$26,$AF200)=0,"NOT ON LIST",""))</f>
        <v/>
      </c>
      <c r="AH200" s="8" t="str">
        <f t="shared" si="11"/>
        <v/>
      </c>
    </row>
    <row r="201" spans="31:34" x14ac:dyDescent="0.25">
      <c r="AE201" s="8" t="str">
        <f t="shared" si="9"/>
        <v/>
      </c>
      <c r="AF201" s="8" t="str">
        <f t="shared" si="10"/>
        <v/>
      </c>
      <c r="AG201" s="8" t="str">
        <f>IF(TRIM($E201)&lt;&gt;"Tax Paid","",IF(COUNTIFS(LISTS!$F$2:$F$26,$AE201,LISTS!$G$2:$G$26,$AF201)=0,"NOT ON LIST",""))</f>
        <v/>
      </c>
      <c r="AH201" s="8" t="str">
        <f t="shared" si="11"/>
        <v/>
      </c>
    </row>
    <row r="202" spans="31:34" x14ac:dyDescent="0.25">
      <c r="AE202" s="8" t="str">
        <f t="shared" si="9"/>
        <v/>
      </c>
      <c r="AF202" s="8" t="str">
        <f t="shared" si="10"/>
        <v/>
      </c>
      <c r="AG202" s="8" t="str">
        <f>IF(TRIM($E202)&lt;&gt;"Tax Paid","",IF(COUNTIFS(LISTS!$F$2:$F$26,$AE202,LISTS!$G$2:$G$26,$AF202)=0,"NOT ON LIST",""))</f>
        <v/>
      </c>
      <c r="AH202" s="8" t="str">
        <f t="shared" si="11"/>
        <v/>
      </c>
    </row>
    <row r="203" spans="31:34" x14ac:dyDescent="0.25">
      <c r="AE203" s="8" t="str">
        <f t="shared" si="9"/>
        <v/>
      </c>
      <c r="AF203" s="8" t="str">
        <f t="shared" si="10"/>
        <v/>
      </c>
      <c r="AG203" s="8" t="str">
        <f>IF(TRIM($E203)&lt;&gt;"Tax Paid","",IF(COUNTIFS(LISTS!$F$2:$F$26,$AE203,LISTS!$G$2:$G$26,$AF203)=0,"NOT ON LIST",""))</f>
        <v/>
      </c>
      <c r="AH203" s="8" t="str">
        <f t="shared" si="11"/>
        <v/>
      </c>
    </row>
    <row r="204" spans="31:34" x14ac:dyDescent="0.25">
      <c r="AE204" s="8" t="str">
        <f t="shared" si="9"/>
        <v/>
      </c>
      <c r="AF204" s="8" t="str">
        <f t="shared" si="10"/>
        <v/>
      </c>
      <c r="AG204" s="8" t="str">
        <f>IF(TRIM($E204)&lt;&gt;"Tax Paid","",IF(COUNTIFS(LISTS!$F$2:$F$26,$AE204,LISTS!$G$2:$G$26,$AF204)=0,"NOT ON LIST",""))</f>
        <v/>
      </c>
      <c r="AH204" s="8" t="str">
        <f t="shared" si="11"/>
        <v/>
      </c>
    </row>
    <row r="205" spans="31:34" x14ac:dyDescent="0.25">
      <c r="AE205" s="8" t="str">
        <f t="shared" si="9"/>
        <v/>
      </c>
      <c r="AF205" s="8" t="str">
        <f t="shared" si="10"/>
        <v/>
      </c>
      <c r="AG205" s="8" t="str">
        <f>IF(TRIM($E205)&lt;&gt;"Tax Paid","",IF(COUNTIFS(LISTS!$F$2:$F$26,$AE205,LISTS!$G$2:$G$26,$AF205)=0,"NOT ON LIST",""))</f>
        <v/>
      </c>
      <c r="AH205" s="8" t="str">
        <f t="shared" si="11"/>
        <v/>
      </c>
    </row>
    <row r="206" spans="31:34" x14ac:dyDescent="0.25">
      <c r="AE206" s="8" t="str">
        <f t="shared" si="9"/>
        <v/>
      </c>
      <c r="AF206" s="8" t="str">
        <f t="shared" si="10"/>
        <v/>
      </c>
      <c r="AG206" s="8" t="str">
        <f>IF(TRIM($E206)&lt;&gt;"Tax Paid","",IF(COUNTIFS(LISTS!$F$2:$F$26,$AE206,LISTS!$G$2:$G$26,$AF206)=0,"NOT ON LIST",""))</f>
        <v/>
      </c>
      <c r="AH206" s="8" t="str">
        <f t="shared" si="11"/>
        <v/>
      </c>
    </row>
    <row r="207" spans="31:34" x14ac:dyDescent="0.25">
      <c r="AE207" s="8" t="str">
        <f t="shared" si="9"/>
        <v/>
      </c>
      <c r="AF207" s="8" t="str">
        <f t="shared" si="10"/>
        <v/>
      </c>
      <c r="AG207" s="8" t="str">
        <f>IF(TRIM($E207)&lt;&gt;"Tax Paid","",IF(COUNTIFS(LISTS!$F$2:$F$26,$AE207,LISTS!$G$2:$G$26,$AF207)=0,"NOT ON LIST",""))</f>
        <v/>
      </c>
      <c r="AH207" s="8" t="str">
        <f t="shared" si="11"/>
        <v/>
      </c>
    </row>
    <row r="208" spans="31:34" x14ac:dyDescent="0.25">
      <c r="AE208" s="8" t="str">
        <f t="shared" si="9"/>
        <v/>
      </c>
      <c r="AF208" s="8" t="str">
        <f t="shared" si="10"/>
        <v/>
      </c>
      <c r="AG208" s="8" t="str">
        <f>IF(TRIM($E208)&lt;&gt;"Tax Paid","",IF(COUNTIFS(LISTS!$F$2:$F$26,$AE208,LISTS!$G$2:$G$26,$AF208)=0,"NOT ON LIST",""))</f>
        <v/>
      </c>
      <c r="AH208" s="8" t="str">
        <f t="shared" si="11"/>
        <v/>
      </c>
    </row>
    <row r="209" spans="31:34" x14ac:dyDescent="0.25">
      <c r="AE209" s="8" t="str">
        <f t="shared" si="9"/>
        <v/>
      </c>
      <c r="AF209" s="8" t="str">
        <f t="shared" si="10"/>
        <v/>
      </c>
      <c r="AG209" s="8" t="str">
        <f>IF(TRIM($E209)&lt;&gt;"Tax Paid","",IF(COUNTIFS(LISTS!$F$2:$F$26,$AE209,LISTS!$G$2:$G$26,$AF209)=0,"NOT ON LIST",""))</f>
        <v/>
      </c>
      <c r="AH209" s="8" t="str">
        <f t="shared" si="11"/>
        <v/>
      </c>
    </row>
    <row r="210" spans="31:34" x14ac:dyDescent="0.25">
      <c r="AE210" s="8" t="str">
        <f t="shared" si="9"/>
        <v/>
      </c>
      <c r="AF210" s="8" t="str">
        <f t="shared" si="10"/>
        <v/>
      </c>
      <c r="AG210" s="8" t="str">
        <f>IF(TRIM($E210)&lt;&gt;"Tax Paid","",IF(COUNTIFS(LISTS!$F$2:$F$26,$AE210,LISTS!$G$2:$G$26,$AF210)=0,"NOT ON LIST",""))</f>
        <v/>
      </c>
      <c r="AH210" s="8" t="str">
        <f t="shared" si="11"/>
        <v/>
      </c>
    </row>
    <row r="211" spans="31:34" x14ac:dyDescent="0.25">
      <c r="AE211" s="8" t="str">
        <f t="shared" si="9"/>
        <v/>
      </c>
      <c r="AF211" s="8" t="str">
        <f t="shared" si="10"/>
        <v/>
      </c>
      <c r="AG211" s="8" t="str">
        <f>IF(TRIM($E211)&lt;&gt;"Tax Paid","",IF(COUNTIFS(LISTS!$F$2:$F$26,$AE211,LISTS!$G$2:$G$26,$AF211)=0,"NOT ON LIST",""))</f>
        <v/>
      </c>
      <c r="AH211" s="8" t="str">
        <f t="shared" si="11"/>
        <v/>
      </c>
    </row>
    <row r="212" spans="31:34" x14ac:dyDescent="0.25">
      <c r="AE212" s="8" t="str">
        <f t="shared" si="9"/>
        <v/>
      </c>
      <c r="AF212" s="8" t="str">
        <f t="shared" si="10"/>
        <v/>
      </c>
      <c r="AG212" s="8" t="str">
        <f>IF(TRIM($E212)&lt;&gt;"Tax Paid","",IF(COUNTIFS(LISTS!$F$2:$F$26,$AE212,LISTS!$G$2:$G$26,$AF212)=0,"NOT ON LIST",""))</f>
        <v/>
      </c>
      <c r="AH212" s="8" t="str">
        <f t="shared" si="11"/>
        <v/>
      </c>
    </row>
    <row r="213" spans="31:34" x14ac:dyDescent="0.25">
      <c r="AE213" s="8" t="str">
        <f t="shared" si="9"/>
        <v/>
      </c>
      <c r="AF213" s="8" t="str">
        <f t="shared" si="10"/>
        <v/>
      </c>
      <c r="AG213" s="8" t="str">
        <f>IF(TRIM($E213)&lt;&gt;"Tax Paid","",IF(COUNTIFS(LISTS!$F$2:$F$26,$AE213,LISTS!$G$2:$G$26,$AF213)=0,"NOT ON LIST",""))</f>
        <v/>
      </c>
      <c r="AH213" s="8" t="str">
        <f t="shared" si="11"/>
        <v/>
      </c>
    </row>
    <row r="214" spans="31:34" x14ac:dyDescent="0.25">
      <c r="AE214" s="8" t="str">
        <f t="shared" si="9"/>
        <v/>
      </c>
      <c r="AF214" s="8" t="str">
        <f t="shared" si="10"/>
        <v/>
      </c>
      <c r="AG214" s="8" t="str">
        <f>IF(TRIM($E214)&lt;&gt;"Tax Paid","",IF(COUNTIFS(LISTS!$F$2:$F$26,$AE214,LISTS!$G$2:$G$26,$AF214)=0,"NOT ON LIST",""))</f>
        <v/>
      </c>
      <c r="AH214" s="8" t="str">
        <f t="shared" si="11"/>
        <v/>
      </c>
    </row>
    <row r="215" spans="31:34" x14ac:dyDescent="0.25">
      <c r="AE215" s="8" t="str">
        <f t="shared" si="9"/>
        <v/>
      </c>
      <c r="AF215" s="8" t="str">
        <f t="shared" si="10"/>
        <v/>
      </c>
      <c r="AG215" s="8" t="str">
        <f>IF(TRIM($E215)&lt;&gt;"Tax Paid","",IF(COUNTIFS(LISTS!$F$2:$F$26,$AE215,LISTS!$G$2:$G$26,$AF215)=0,"NOT ON LIST",""))</f>
        <v/>
      </c>
      <c r="AH215" s="8" t="str">
        <f t="shared" si="11"/>
        <v/>
      </c>
    </row>
    <row r="216" spans="31:34" x14ac:dyDescent="0.25">
      <c r="AE216" s="8" t="str">
        <f t="shared" si="9"/>
        <v/>
      </c>
      <c r="AF216" s="8" t="str">
        <f t="shared" si="10"/>
        <v/>
      </c>
      <c r="AG216" s="8" t="str">
        <f>IF(TRIM($E216)&lt;&gt;"Tax Paid","",IF(COUNTIFS(LISTS!$F$2:$F$26,$AE216,LISTS!$G$2:$G$26,$AF216)=0,"NOT ON LIST",""))</f>
        <v/>
      </c>
      <c r="AH216" s="8" t="str">
        <f t="shared" si="11"/>
        <v/>
      </c>
    </row>
    <row r="217" spans="31:34" x14ac:dyDescent="0.25">
      <c r="AE217" s="8" t="str">
        <f t="shared" si="9"/>
        <v/>
      </c>
      <c r="AF217" s="8" t="str">
        <f t="shared" si="10"/>
        <v/>
      </c>
      <c r="AG217" s="8" t="str">
        <f>IF(TRIM($E217)&lt;&gt;"Tax Paid","",IF(COUNTIFS(LISTS!$F$2:$F$26,$AE217,LISTS!$G$2:$G$26,$AF217)=0,"NOT ON LIST",""))</f>
        <v/>
      </c>
      <c r="AH217" s="8" t="str">
        <f t="shared" si="11"/>
        <v/>
      </c>
    </row>
    <row r="218" spans="31:34" x14ac:dyDescent="0.25">
      <c r="AE218" s="8" t="str">
        <f t="shared" si="9"/>
        <v/>
      </c>
      <c r="AF218" s="8" t="str">
        <f t="shared" si="10"/>
        <v/>
      </c>
      <c r="AG218" s="8" t="str">
        <f>IF(TRIM($E218)&lt;&gt;"Tax Paid","",IF(COUNTIFS(LISTS!$F$2:$F$26,$AE218,LISTS!$G$2:$G$26,$AF218)=0,"NOT ON LIST",""))</f>
        <v/>
      </c>
      <c r="AH218" s="8" t="str">
        <f t="shared" si="11"/>
        <v/>
      </c>
    </row>
    <row r="219" spans="31:34" x14ac:dyDescent="0.25">
      <c r="AE219" s="8" t="str">
        <f t="shared" si="9"/>
        <v/>
      </c>
      <c r="AF219" s="8" t="str">
        <f t="shared" si="10"/>
        <v/>
      </c>
      <c r="AG219" s="8" t="str">
        <f>IF(TRIM($E219)&lt;&gt;"Tax Paid","",IF(COUNTIFS(LISTS!$F$2:$F$26,$AE219,LISTS!$G$2:$G$26,$AF219)=0,"NOT ON LIST",""))</f>
        <v/>
      </c>
      <c r="AH219" s="8" t="str">
        <f t="shared" si="11"/>
        <v/>
      </c>
    </row>
    <row r="220" spans="31:34" x14ac:dyDescent="0.25">
      <c r="AE220" s="8" t="str">
        <f t="shared" si="9"/>
        <v/>
      </c>
      <c r="AF220" s="8" t="str">
        <f t="shared" si="10"/>
        <v/>
      </c>
      <c r="AG220" s="8" t="str">
        <f>IF(TRIM($E220)&lt;&gt;"Tax Paid","",IF(COUNTIFS(LISTS!$F$2:$F$26,$AE220,LISTS!$G$2:$G$26,$AF220)=0,"NOT ON LIST",""))</f>
        <v/>
      </c>
      <c r="AH220" s="8" t="str">
        <f t="shared" si="11"/>
        <v/>
      </c>
    </row>
    <row r="221" spans="31:34" x14ac:dyDescent="0.25">
      <c r="AE221" s="8" t="str">
        <f t="shared" si="9"/>
        <v/>
      </c>
      <c r="AF221" s="8" t="str">
        <f t="shared" si="10"/>
        <v/>
      </c>
      <c r="AG221" s="8" t="str">
        <f>IF(TRIM($E221)&lt;&gt;"Tax Paid","",IF(COUNTIFS(LISTS!$F$2:$F$26,$AE221,LISTS!$G$2:$G$26,$AF221)=0,"NOT ON LIST",""))</f>
        <v/>
      </c>
      <c r="AH221" s="8" t="str">
        <f t="shared" si="11"/>
        <v/>
      </c>
    </row>
    <row r="222" spans="31:34" x14ac:dyDescent="0.25">
      <c r="AE222" s="8" t="str">
        <f t="shared" si="9"/>
        <v/>
      </c>
      <c r="AF222" s="8" t="str">
        <f t="shared" si="10"/>
        <v/>
      </c>
      <c r="AG222" s="8" t="str">
        <f>IF(TRIM($E222)&lt;&gt;"Tax Paid","",IF(COUNTIFS(LISTS!$F$2:$F$26,$AE222,LISTS!$G$2:$G$26,$AF222)=0,"NOT ON LIST",""))</f>
        <v/>
      </c>
      <c r="AH222" s="8" t="str">
        <f t="shared" si="11"/>
        <v/>
      </c>
    </row>
    <row r="223" spans="31:34" x14ac:dyDescent="0.25">
      <c r="AE223" s="8" t="str">
        <f t="shared" si="9"/>
        <v/>
      </c>
      <c r="AF223" s="8" t="str">
        <f t="shared" si="10"/>
        <v/>
      </c>
      <c r="AG223" s="8" t="str">
        <f>IF(TRIM($E223)&lt;&gt;"Tax Paid","",IF(COUNTIFS(LISTS!$F$2:$F$26,$AE223,LISTS!$G$2:$G$26,$AF223)=0,"NOT ON LIST",""))</f>
        <v/>
      </c>
      <c r="AH223" s="8" t="str">
        <f t="shared" si="11"/>
        <v/>
      </c>
    </row>
    <row r="224" spans="31:34" x14ac:dyDescent="0.25">
      <c r="AE224" s="8" t="str">
        <f t="shared" si="9"/>
        <v/>
      </c>
      <c r="AF224" s="8" t="str">
        <f t="shared" si="10"/>
        <v/>
      </c>
      <c r="AG224" s="8" t="str">
        <f>IF(TRIM($E224)&lt;&gt;"Tax Paid","",IF(COUNTIFS(LISTS!$F$2:$F$26,$AE224,LISTS!$G$2:$G$26,$AF224)=0,"NOT ON LIST",""))</f>
        <v/>
      </c>
      <c r="AH224" s="8" t="str">
        <f t="shared" si="11"/>
        <v/>
      </c>
    </row>
    <row r="225" spans="31:34" x14ac:dyDescent="0.25">
      <c r="AE225" s="8" t="str">
        <f t="shared" si="9"/>
        <v/>
      </c>
      <c r="AF225" s="8" t="str">
        <f t="shared" si="10"/>
        <v/>
      </c>
      <c r="AG225" s="8" t="str">
        <f>IF(TRIM($E225)&lt;&gt;"Tax Paid","",IF(COUNTIFS(LISTS!$F$2:$F$26,$AE225,LISTS!$G$2:$G$26,$AF225)=0,"NOT ON LIST",""))</f>
        <v/>
      </c>
      <c r="AH225" s="8" t="str">
        <f t="shared" si="11"/>
        <v/>
      </c>
    </row>
    <row r="226" spans="31:34" x14ac:dyDescent="0.25">
      <c r="AE226" s="8" t="str">
        <f t="shared" si="9"/>
        <v/>
      </c>
      <c r="AF226" s="8" t="str">
        <f t="shared" si="10"/>
        <v/>
      </c>
      <c r="AG226" s="8" t="str">
        <f>IF(TRIM($E226)&lt;&gt;"Tax Paid","",IF(COUNTIFS(LISTS!$F$2:$F$26,$AE226,LISTS!$G$2:$G$26,$AF226)=0,"NOT ON LIST",""))</f>
        <v/>
      </c>
      <c r="AH226" s="8" t="str">
        <f t="shared" si="11"/>
        <v/>
      </c>
    </row>
    <row r="227" spans="31:34" x14ac:dyDescent="0.25">
      <c r="AE227" s="8" t="str">
        <f t="shared" si="9"/>
        <v/>
      </c>
      <c r="AF227" s="8" t="str">
        <f t="shared" si="10"/>
        <v/>
      </c>
      <c r="AG227" s="8" t="str">
        <f>IF(TRIM($E227)&lt;&gt;"Tax Paid","",IF(COUNTIFS(LISTS!$F$2:$F$26,$AE227,LISTS!$G$2:$G$26,$AF227)=0,"NOT ON LIST",""))</f>
        <v/>
      </c>
      <c r="AH227" s="8" t="str">
        <f t="shared" si="11"/>
        <v/>
      </c>
    </row>
    <row r="228" spans="31:34" x14ac:dyDescent="0.25">
      <c r="AE228" s="8" t="str">
        <f t="shared" si="9"/>
        <v/>
      </c>
      <c r="AF228" s="8" t="str">
        <f t="shared" si="10"/>
        <v/>
      </c>
      <c r="AG228" s="8" t="str">
        <f>IF(TRIM($E228)&lt;&gt;"Tax Paid","",IF(COUNTIFS(LISTS!$F$2:$F$26,$AE228,LISTS!$G$2:$G$26,$AF228)=0,"NOT ON LIST",""))</f>
        <v/>
      </c>
      <c r="AH228" s="8" t="str">
        <f t="shared" si="11"/>
        <v/>
      </c>
    </row>
    <row r="229" spans="31:34" x14ac:dyDescent="0.25">
      <c r="AE229" s="8" t="str">
        <f t="shared" si="9"/>
        <v/>
      </c>
      <c r="AF229" s="8" t="str">
        <f t="shared" si="10"/>
        <v/>
      </c>
      <c r="AG229" s="8" t="str">
        <f>IF(TRIM($E229)&lt;&gt;"Tax Paid","",IF(COUNTIFS(LISTS!$F$2:$F$26,$AE229,LISTS!$G$2:$G$26,$AF229)=0,"NOT ON LIST",""))</f>
        <v/>
      </c>
      <c r="AH229" s="8" t="str">
        <f t="shared" si="11"/>
        <v/>
      </c>
    </row>
    <row r="230" spans="31:34" x14ac:dyDescent="0.25">
      <c r="AE230" s="8" t="str">
        <f t="shared" si="9"/>
        <v/>
      </c>
      <c r="AF230" s="8" t="str">
        <f t="shared" si="10"/>
        <v/>
      </c>
      <c r="AG230" s="8" t="str">
        <f>IF(TRIM($E230)&lt;&gt;"Tax Paid","",IF(COUNTIFS(LISTS!$F$2:$F$26,$AE230,LISTS!$G$2:$G$26,$AF230)=0,"NOT ON LIST",""))</f>
        <v/>
      </c>
      <c r="AH230" s="8" t="str">
        <f t="shared" si="11"/>
        <v/>
      </c>
    </row>
    <row r="231" spans="31:34" x14ac:dyDescent="0.25">
      <c r="AE231" s="8" t="str">
        <f t="shared" si="9"/>
        <v/>
      </c>
      <c r="AF231" s="8" t="str">
        <f t="shared" si="10"/>
        <v/>
      </c>
      <c r="AG231" s="8" t="str">
        <f>IF(TRIM($E231)&lt;&gt;"Tax Paid","",IF(COUNTIFS(LISTS!$F$2:$F$26,$AE231,LISTS!$G$2:$G$26,$AF231)=0,"NOT ON LIST",""))</f>
        <v/>
      </c>
      <c r="AH231" s="8" t="str">
        <f t="shared" si="11"/>
        <v/>
      </c>
    </row>
    <row r="232" spans="31:34" x14ac:dyDescent="0.25">
      <c r="AE232" s="8" t="str">
        <f t="shared" si="9"/>
        <v/>
      </c>
      <c r="AF232" s="8" t="str">
        <f t="shared" si="10"/>
        <v/>
      </c>
      <c r="AG232" s="8" t="str">
        <f>IF(TRIM($E232)&lt;&gt;"Tax Paid","",IF(COUNTIFS(LISTS!$F$2:$F$26,$AE232,LISTS!$G$2:$G$26,$AF232)=0,"NOT ON LIST",""))</f>
        <v/>
      </c>
      <c r="AH232" s="8" t="str">
        <f t="shared" si="11"/>
        <v/>
      </c>
    </row>
    <row r="233" spans="31:34" x14ac:dyDescent="0.25">
      <c r="AE233" s="8" t="str">
        <f t="shared" si="9"/>
        <v/>
      </c>
      <c r="AF233" s="8" t="str">
        <f t="shared" si="10"/>
        <v/>
      </c>
      <c r="AG233" s="8" t="str">
        <f>IF(TRIM($E233)&lt;&gt;"Tax Paid","",IF(COUNTIFS(LISTS!$F$2:$F$26,$AE233,LISTS!$G$2:$G$26,$AF233)=0,"NOT ON LIST",""))</f>
        <v/>
      </c>
      <c r="AH233" s="8" t="str">
        <f t="shared" si="11"/>
        <v/>
      </c>
    </row>
    <row r="234" spans="31:34" x14ac:dyDescent="0.25">
      <c r="AE234" s="8" t="str">
        <f t="shared" si="9"/>
        <v/>
      </c>
      <c r="AF234" s="8" t="str">
        <f t="shared" si="10"/>
        <v/>
      </c>
      <c r="AG234" s="8" t="str">
        <f>IF(TRIM($E234)&lt;&gt;"Tax Paid","",IF(COUNTIFS(LISTS!$F$2:$F$26,$AE234,LISTS!$G$2:$G$26,$AF234)=0,"NOT ON LIST",""))</f>
        <v/>
      </c>
      <c r="AH234" s="8" t="str">
        <f t="shared" si="11"/>
        <v/>
      </c>
    </row>
    <row r="235" spans="31:34" x14ac:dyDescent="0.25">
      <c r="AE235" s="8" t="str">
        <f t="shared" si="9"/>
        <v/>
      </c>
      <c r="AF235" s="8" t="str">
        <f t="shared" si="10"/>
        <v/>
      </c>
      <c r="AG235" s="8" t="str">
        <f>IF(TRIM($E235)&lt;&gt;"Tax Paid","",IF(COUNTIFS(LISTS!$F$2:$F$26,$AE235,LISTS!$G$2:$G$26,$AF235)=0,"NOT ON LIST",""))</f>
        <v/>
      </c>
      <c r="AH235" s="8" t="str">
        <f t="shared" si="11"/>
        <v/>
      </c>
    </row>
    <row r="236" spans="31:34" x14ac:dyDescent="0.25">
      <c r="AE236" s="8" t="str">
        <f t="shared" si="9"/>
        <v/>
      </c>
      <c r="AF236" s="8" t="str">
        <f t="shared" si="10"/>
        <v/>
      </c>
      <c r="AG236" s="8" t="str">
        <f>IF(TRIM($E236)&lt;&gt;"Tax Paid","",IF(COUNTIFS(LISTS!$F$2:$F$26,$AE236,LISTS!$G$2:$G$26,$AF236)=0,"NOT ON LIST",""))</f>
        <v/>
      </c>
      <c r="AH236" s="8" t="str">
        <f t="shared" si="11"/>
        <v/>
      </c>
    </row>
    <row r="237" spans="31:34" x14ac:dyDescent="0.25">
      <c r="AE237" s="8" t="str">
        <f t="shared" si="9"/>
        <v/>
      </c>
      <c r="AF237" s="8" t="str">
        <f t="shared" si="10"/>
        <v/>
      </c>
      <c r="AG237" s="8" t="str">
        <f>IF(TRIM($E237)&lt;&gt;"Tax Paid","",IF(COUNTIFS(LISTS!$F$2:$F$26,$AE237,LISTS!$G$2:$G$26,$AF237)=0,"NOT ON LIST",""))</f>
        <v/>
      </c>
      <c r="AH237" s="8" t="str">
        <f t="shared" si="11"/>
        <v/>
      </c>
    </row>
    <row r="238" spans="31:34" x14ac:dyDescent="0.25">
      <c r="AE238" s="8" t="str">
        <f t="shared" si="9"/>
        <v/>
      </c>
      <c r="AF238" s="8" t="str">
        <f t="shared" si="10"/>
        <v/>
      </c>
      <c r="AG238" s="8" t="str">
        <f>IF(TRIM($E238)&lt;&gt;"Tax Paid","",IF(COUNTIFS(LISTS!$F$2:$F$26,$AE238,LISTS!$G$2:$G$26,$AF238)=0,"NOT ON LIST",""))</f>
        <v/>
      </c>
      <c r="AH238" s="8" t="str">
        <f t="shared" si="11"/>
        <v/>
      </c>
    </row>
    <row r="239" spans="31:34" x14ac:dyDescent="0.25">
      <c r="AE239" s="8" t="str">
        <f t="shared" si="9"/>
        <v/>
      </c>
      <c r="AF239" s="8" t="str">
        <f t="shared" si="10"/>
        <v/>
      </c>
      <c r="AG239" s="8" t="str">
        <f>IF(TRIM($E239)&lt;&gt;"Tax Paid","",IF(COUNTIFS(LISTS!$F$2:$F$26,$AE239,LISTS!$G$2:$G$26,$AF239)=0,"NOT ON LIST",""))</f>
        <v/>
      </c>
      <c r="AH239" s="8" t="str">
        <f t="shared" si="11"/>
        <v/>
      </c>
    </row>
    <row r="240" spans="31:34" x14ac:dyDescent="0.25">
      <c r="AE240" s="8" t="str">
        <f t="shared" si="9"/>
        <v/>
      </c>
      <c r="AF240" s="8" t="str">
        <f t="shared" si="10"/>
        <v/>
      </c>
      <c r="AG240" s="8" t="str">
        <f>IF(TRIM($E240)&lt;&gt;"Tax Paid","",IF(COUNTIFS(LISTS!$F$2:$F$26,$AE240,LISTS!$G$2:$G$26,$AF240)=0,"NOT ON LIST",""))</f>
        <v/>
      </c>
      <c r="AH240" s="8" t="str">
        <f t="shared" si="11"/>
        <v/>
      </c>
    </row>
    <row r="241" spans="31:34" x14ac:dyDescent="0.25">
      <c r="AE241" s="8" t="str">
        <f t="shared" si="9"/>
        <v/>
      </c>
      <c r="AF241" s="8" t="str">
        <f t="shared" si="10"/>
        <v/>
      </c>
      <c r="AG241" s="8" t="str">
        <f>IF(TRIM($E241)&lt;&gt;"Tax Paid","",IF(COUNTIFS(LISTS!$F$2:$F$26,$AE241,LISTS!$G$2:$G$26,$AF241)=0,"NOT ON LIST",""))</f>
        <v/>
      </c>
      <c r="AH241" s="8" t="str">
        <f t="shared" si="11"/>
        <v/>
      </c>
    </row>
    <row r="242" spans="31:34" x14ac:dyDescent="0.25">
      <c r="AE242" s="8" t="str">
        <f t="shared" si="9"/>
        <v/>
      </c>
      <c r="AF242" s="8" t="str">
        <f t="shared" si="10"/>
        <v/>
      </c>
      <c r="AG242" s="8" t="str">
        <f>IF(TRIM($E242)&lt;&gt;"Tax Paid","",IF(COUNTIFS(LISTS!$F$2:$F$26,$AE242,LISTS!$G$2:$G$26,$AF242)=0,"NOT ON LIST",""))</f>
        <v/>
      </c>
      <c r="AH242" s="8" t="str">
        <f t="shared" si="11"/>
        <v/>
      </c>
    </row>
    <row r="243" spans="31:34" x14ac:dyDescent="0.25">
      <c r="AE243" s="8" t="str">
        <f t="shared" si="9"/>
        <v/>
      </c>
      <c r="AF243" s="8" t="str">
        <f t="shared" si="10"/>
        <v/>
      </c>
      <c r="AG243" s="8" t="str">
        <f>IF(TRIM($E243)&lt;&gt;"Tax Paid","",IF(COUNTIFS(LISTS!$F$2:$F$26,$AE243,LISTS!$G$2:$G$26,$AF243)=0,"NOT ON LIST",""))</f>
        <v/>
      </c>
      <c r="AH243" s="8" t="str">
        <f t="shared" si="11"/>
        <v/>
      </c>
    </row>
    <row r="244" spans="31:34" x14ac:dyDescent="0.25">
      <c r="AE244" s="8" t="str">
        <f t="shared" si="9"/>
        <v/>
      </c>
      <c r="AF244" s="8" t="str">
        <f t="shared" si="10"/>
        <v/>
      </c>
      <c r="AG244" s="8" t="str">
        <f>IF(TRIM($E244)&lt;&gt;"Tax Paid","",IF(COUNTIFS(LISTS!$F$2:$F$26,$AE244,LISTS!$G$2:$G$26,$AF244)=0,"NOT ON LIST",""))</f>
        <v/>
      </c>
      <c r="AH244" s="8" t="str">
        <f t="shared" si="11"/>
        <v/>
      </c>
    </row>
    <row r="245" spans="31:34" x14ac:dyDescent="0.25">
      <c r="AE245" s="8" t="str">
        <f t="shared" si="9"/>
        <v/>
      </c>
      <c r="AF245" s="8" t="str">
        <f t="shared" si="10"/>
        <v/>
      </c>
      <c r="AG245" s="8" t="str">
        <f>IF(TRIM($E245)&lt;&gt;"Tax Paid","",IF(COUNTIFS(LISTS!$F$2:$F$26,$AE245,LISTS!$G$2:$G$26,$AF245)=0,"NOT ON LIST",""))</f>
        <v/>
      </c>
      <c r="AH245" s="8" t="str">
        <f t="shared" si="11"/>
        <v/>
      </c>
    </row>
    <row r="246" spans="31:34" x14ac:dyDescent="0.25">
      <c r="AE246" s="8" t="str">
        <f t="shared" si="9"/>
        <v/>
      </c>
      <c r="AF246" s="8" t="str">
        <f t="shared" si="10"/>
        <v/>
      </c>
      <c r="AG246" s="8" t="str">
        <f>IF(TRIM($E246)&lt;&gt;"Tax Paid","",IF(COUNTIFS(LISTS!$F$2:$F$26,$AE246,LISTS!$G$2:$G$26,$AF246)=0,"NOT ON LIST",""))</f>
        <v/>
      </c>
      <c r="AH246" s="8" t="str">
        <f t="shared" si="11"/>
        <v/>
      </c>
    </row>
    <row r="247" spans="31:34" x14ac:dyDescent="0.25">
      <c r="AE247" s="8" t="str">
        <f t="shared" si="9"/>
        <v/>
      </c>
      <c r="AF247" s="8" t="str">
        <f t="shared" si="10"/>
        <v/>
      </c>
      <c r="AG247" s="8" t="str">
        <f>IF(TRIM($E247)&lt;&gt;"Tax Paid","",IF(COUNTIFS(LISTS!$F$2:$F$26,$AE247,LISTS!$G$2:$G$26,$AF247)=0,"NOT ON LIST",""))</f>
        <v/>
      </c>
      <c r="AH247" s="8" t="str">
        <f t="shared" si="11"/>
        <v/>
      </c>
    </row>
    <row r="248" spans="31:34" x14ac:dyDescent="0.25">
      <c r="AE248" s="8" t="str">
        <f t="shared" si="9"/>
        <v/>
      </c>
      <c r="AF248" s="8" t="str">
        <f t="shared" si="10"/>
        <v/>
      </c>
      <c r="AG248" s="8" t="str">
        <f>IF(TRIM($E248)&lt;&gt;"Tax Paid","",IF(COUNTIFS(LISTS!$F$2:$F$26,$AE248,LISTS!$G$2:$G$26,$AF248)=0,"NOT ON LIST",""))</f>
        <v/>
      </c>
      <c r="AH248" s="8" t="str">
        <f t="shared" si="11"/>
        <v/>
      </c>
    </row>
    <row r="249" spans="31:34" x14ac:dyDescent="0.25">
      <c r="AE249" s="8" t="str">
        <f t="shared" si="9"/>
        <v/>
      </c>
      <c r="AF249" s="8" t="str">
        <f t="shared" si="10"/>
        <v/>
      </c>
      <c r="AG249" s="8" t="str">
        <f>IF(TRIM($E249)&lt;&gt;"Tax Paid","",IF(COUNTIFS(LISTS!$F$2:$F$26,$AE249,LISTS!$G$2:$G$26,$AF249)=0,"NOT ON LIST",""))</f>
        <v/>
      </c>
      <c r="AH249" s="8" t="str">
        <f t="shared" si="11"/>
        <v/>
      </c>
    </row>
    <row r="250" spans="31:34" x14ac:dyDescent="0.25">
      <c r="AE250" s="8" t="str">
        <f t="shared" si="9"/>
        <v/>
      </c>
      <c r="AF250" s="8" t="str">
        <f t="shared" si="10"/>
        <v/>
      </c>
      <c r="AG250" s="8" t="str">
        <f>IF(TRIM($E250)&lt;&gt;"Tax Paid","",IF(COUNTIFS(LISTS!$F$2:$F$26,$AE250,LISTS!$G$2:$G$26,$AF250)=0,"NOT ON LIST",""))</f>
        <v/>
      </c>
      <c r="AH250" s="8" t="str">
        <f t="shared" si="11"/>
        <v/>
      </c>
    </row>
    <row r="251" spans="31:34" x14ac:dyDescent="0.25">
      <c r="AE251" s="8" t="str">
        <f t="shared" si="9"/>
        <v/>
      </c>
      <c r="AF251" s="8" t="str">
        <f t="shared" si="10"/>
        <v/>
      </c>
      <c r="AG251" s="8" t="str">
        <f>IF(TRIM($E251)&lt;&gt;"Tax Paid","",IF(COUNTIFS(LISTS!$F$2:$F$26,$AE251,LISTS!$G$2:$G$26,$AF251)=0,"NOT ON LIST",""))</f>
        <v/>
      </c>
      <c r="AH251" s="8" t="str">
        <f t="shared" si="11"/>
        <v/>
      </c>
    </row>
    <row r="252" spans="31:34" x14ac:dyDescent="0.25">
      <c r="AE252" s="8" t="str">
        <f t="shared" si="9"/>
        <v/>
      </c>
      <c r="AF252" s="8" t="str">
        <f t="shared" si="10"/>
        <v/>
      </c>
      <c r="AG252" s="8" t="str">
        <f>IF(TRIM($E252)&lt;&gt;"Tax Paid","",IF(COUNTIFS(LISTS!$F$2:$F$26,$AE252,LISTS!$G$2:$G$26,$AF252)=0,"NOT ON LIST",""))</f>
        <v/>
      </c>
      <c r="AH252" s="8" t="str">
        <f t="shared" si="11"/>
        <v/>
      </c>
    </row>
    <row r="253" spans="31:34" x14ac:dyDescent="0.25">
      <c r="AE253" s="8" t="str">
        <f t="shared" si="9"/>
        <v/>
      </c>
      <c r="AF253" s="8" t="str">
        <f t="shared" si="10"/>
        <v/>
      </c>
      <c r="AG253" s="8" t="str">
        <f>IF(TRIM($E253)&lt;&gt;"Tax Paid","",IF(COUNTIFS(LISTS!$F$2:$F$26,$AE253,LISTS!$G$2:$G$26,$AF253)=0,"NOT ON LIST",""))</f>
        <v/>
      </c>
      <c r="AH253" s="8" t="str">
        <f t="shared" si="11"/>
        <v/>
      </c>
    </row>
    <row r="254" spans="31:34" x14ac:dyDescent="0.25">
      <c r="AE254" s="8" t="str">
        <f t="shared" si="9"/>
        <v/>
      </c>
      <c r="AF254" s="8" t="str">
        <f t="shared" si="10"/>
        <v/>
      </c>
      <c r="AG254" s="8" t="str">
        <f>IF(TRIM($E254)&lt;&gt;"Tax Paid","",IF(COUNTIFS(LISTS!$F$2:$F$26,$AE254,LISTS!$G$2:$G$26,$AF254)=0,"NOT ON LIST",""))</f>
        <v/>
      </c>
      <c r="AH254" s="8" t="str">
        <f t="shared" si="11"/>
        <v/>
      </c>
    </row>
    <row r="255" spans="31:34" x14ac:dyDescent="0.25">
      <c r="AE255" s="8" t="str">
        <f t="shared" si="9"/>
        <v/>
      </c>
      <c r="AF255" s="8" t="str">
        <f t="shared" si="10"/>
        <v/>
      </c>
      <c r="AG255" s="8" t="str">
        <f>IF(TRIM($E255)&lt;&gt;"Tax Paid","",IF(COUNTIFS(LISTS!$F$2:$F$26,$AE255,LISTS!$G$2:$G$26,$AF255)=0,"NOT ON LIST",""))</f>
        <v/>
      </c>
      <c r="AH255" s="8" t="str">
        <f t="shared" si="11"/>
        <v/>
      </c>
    </row>
    <row r="256" spans="31:34" x14ac:dyDescent="0.25">
      <c r="AE256" s="8" t="str">
        <f t="shared" si="9"/>
        <v/>
      </c>
      <c r="AF256" s="8" t="str">
        <f t="shared" si="10"/>
        <v/>
      </c>
      <c r="AG256" s="8" t="str">
        <f>IF(TRIM($E256)&lt;&gt;"Tax Paid","",IF(COUNTIFS(LISTS!$F$2:$F$26,$AE256,LISTS!$G$2:$G$26,$AF256)=0,"NOT ON LIST",""))</f>
        <v/>
      </c>
      <c r="AH256" s="8" t="str">
        <f t="shared" si="11"/>
        <v/>
      </c>
    </row>
    <row r="257" spans="31:34" x14ac:dyDescent="0.25">
      <c r="AE257" s="8" t="str">
        <f t="shared" si="9"/>
        <v/>
      </c>
      <c r="AF257" s="8" t="str">
        <f t="shared" si="10"/>
        <v/>
      </c>
      <c r="AG257" s="8" t="str">
        <f>IF(TRIM($E257)&lt;&gt;"Tax Paid","",IF(COUNTIFS(LISTS!$F$2:$F$26,$AE257,LISTS!$G$2:$G$26,$AF257)=0,"NOT ON LIST",""))</f>
        <v/>
      </c>
      <c r="AH257" s="8" t="str">
        <f t="shared" si="11"/>
        <v/>
      </c>
    </row>
    <row r="258" spans="31:34" x14ac:dyDescent="0.25">
      <c r="AE258" s="8" t="str">
        <f t="shared" ref="AE258:AE321" si="12">IF(TRIM($E258)="Tax Paid",TRIM($S258),"")</f>
        <v/>
      </c>
      <c r="AF258" s="8" t="str">
        <f t="shared" ref="AF258:AF321" si="13">IF(TRIM($E258)="Tax Paid",ROUND($Z258/100,5),"")</f>
        <v/>
      </c>
      <c r="AG258" s="8" t="str">
        <f>IF(TRIM($E258)&lt;&gt;"Tax Paid","",IF(COUNTIFS(LISTS!$F$2:$F$26,$AE258,LISTS!$G$2:$G$26,$AF258)=0,"NOT ON LIST",""))</f>
        <v/>
      </c>
      <c r="AH258" s="8" t="str">
        <f t="shared" ref="AH258:AH321" si="14">IF($AG258="","",IF($AE258="","(no county)",$AE258)&amp;" ("&amp;SUBSTITUTE(TEXT($AF258,"0.###%"),".%","%")&amp;")")</f>
        <v/>
      </c>
    </row>
    <row r="259" spans="31:34" x14ac:dyDescent="0.25">
      <c r="AE259" s="8" t="str">
        <f t="shared" si="12"/>
        <v/>
      </c>
      <c r="AF259" s="8" t="str">
        <f t="shared" si="13"/>
        <v/>
      </c>
      <c r="AG259" s="8" t="str">
        <f>IF(TRIM($E259)&lt;&gt;"Tax Paid","",IF(COUNTIFS(LISTS!$F$2:$F$26,$AE259,LISTS!$G$2:$G$26,$AF259)=0,"NOT ON LIST",""))</f>
        <v/>
      </c>
      <c r="AH259" s="8" t="str">
        <f t="shared" si="14"/>
        <v/>
      </c>
    </row>
    <row r="260" spans="31:34" x14ac:dyDescent="0.25">
      <c r="AE260" s="8" t="str">
        <f t="shared" si="12"/>
        <v/>
      </c>
      <c r="AF260" s="8" t="str">
        <f t="shared" si="13"/>
        <v/>
      </c>
      <c r="AG260" s="8" t="str">
        <f>IF(TRIM($E260)&lt;&gt;"Tax Paid","",IF(COUNTIFS(LISTS!$F$2:$F$26,$AE260,LISTS!$G$2:$G$26,$AF260)=0,"NOT ON LIST",""))</f>
        <v/>
      </c>
      <c r="AH260" s="8" t="str">
        <f t="shared" si="14"/>
        <v/>
      </c>
    </row>
    <row r="261" spans="31:34" x14ac:dyDescent="0.25">
      <c r="AE261" s="8" t="str">
        <f t="shared" si="12"/>
        <v/>
      </c>
      <c r="AF261" s="8" t="str">
        <f t="shared" si="13"/>
        <v/>
      </c>
      <c r="AG261" s="8" t="str">
        <f>IF(TRIM($E261)&lt;&gt;"Tax Paid","",IF(COUNTIFS(LISTS!$F$2:$F$26,$AE261,LISTS!$G$2:$G$26,$AF261)=0,"NOT ON LIST",""))</f>
        <v/>
      </c>
      <c r="AH261" s="8" t="str">
        <f t="shared" si="14"/>
        <v/>
      </c>
    </row>
    <row r="262" spans="31:34" x14ac:dyDescent="0.25">
      <c r="AE262" s="8" t="str">
        <f t="shared" si="12"/>
        <v/>
      </c>
      <c r="AF262" s="8" t="str">
        <f t="shared" si="13"/>
        <v/>
      </c>
      <c r="AG262" s="8" t="str">
        <f>IF(TRIM($E262)&lt;&gt;"Tax Paid","",IF(COUNTIFS(LISTS!$F$2:$F$26,$AE262,LISTS!$G$2:$G$26,$AF262)=0,"NOT ON LIST",""))</f>
        <v/>
      </c>
      <c r="AH262" s="8" t="str">
        <f t="shared" si="14"/>
        <v/>
      </c>
    </row>
    <row r="263" spans="31:34" x14ac:dyDescent="0.25">
      <c r="AE263" s="8" t="str">
        <f t="shared" si="12"/>
        <v/>
      </c>
      <c r="AF263" s="8" t="str">
        <f t="shared" si="13"/>
        <v/>
      </c>
      <c r="AG263" s="8" t="str">
        <f>IF(TRIM($E263)&lt;&gt;"Tax Paid","",IF(COUNTIFS(LISTS!$F$2:$F$26,$AE263,LISTS!$G$2:$G$26,$AF263)=0,"NOT ON LIST",""))</f>
        <v/>
      </c>
      <c r="AH263" s="8" t="str">
        <f t="shared" si="14"/>
        <v/>
      </c>
    </row>
    <row r="264" spans="31:34" x14ac:dyDescent="0.25">
      <c r="AE264" s="8" t="str">
        <f t="shared" si="12"/>
        <v/>
      </c>
      <c r="AF264" s="8" t="str">
        <f t="shared" si="13"/>
        <v/>
      </c>
      <c r="AG264" s="8" t="str">
        <f>IF(TRIM($E264)&lt;&gt;"Tax Paid","",IF(COUNTIFS(LISTS!$F$2:$F$26,$AE264,LISTS!$G$2:$G$26,$AF264)=0,"NOT ON LIST",""))</f>
        <v/>
      </c>
      <c r="AH264" s="8" t="str">
        <f t="shared" si="14"/>
        <v/>
      </c>
    </row>
    <row r="265" spans="31:34" x14ac:dyDescent="0.25">
      <c r="AE265" s="8" t="str">
        <f t="shared" si="12"/>
        <v/>
      </c>
      <c r="AF265" s="8" t="str">
        <f t="shared" si="13"/>
        <v/>
      </c>
      <c r="AG265" s="8" t="str">
        <f>IF(TRIM($E265)&lt;&gt;"Tax Paid","",IF(COUNTIFS(LISTS!$F$2:$F$26,$AE265,LISTS!$G$2:$G$26,$AF265)=0,"NOT ON LIST",""))</f>
        <v/>
      </c>
      <c r="AH265" s="8" t="str">
        <f t="shared" si="14"/>
        <v/>
      </c>
    </row>
    <row r="266" spans="31:34" x14ac:dyDescent="0.25">
      <c r="AE266" s="8" t="str">
        <f t="shared" si="12"/>
        <v/>
      </c>
      <c r="AF266" s="8" t="str">
        <f t="shared" si="13"/>
        <v/>
      </c>
      <c r="AG266" s="8" t="str">
        <f>IF(TRIM($E266)&lt;&gt;"Tax Paid","",IF(COUNTIFS(LISTS!$F$2:$F$26,$AE266,LISTS!$G$2:$G$26,$AF266)=0,"NOT ON LIST",""))</f>
        <v/>
      </c>
      <c r="AH266" s="8" t="str">
        <f t="shared" si="14"/>
        <v/>
      </c>
    </row>
    <row r="267" spans="31:34" x14ac:dyDescent="0.25">
      <c r="AE267" s="8" t="str">
        <f t="shared" si="12"/>
        <v/>
      </c>
      <c r="AF267" s="8" t="str">
        <f t="shared" si="13"/>
        <v/>
      </c>
      <c r="AG267" s="8" t="str">
        <f>IF(TRIM($E267)&lt;&gt;"Tax Paid","",IF(COUNTIFS(LISTS!$F$2:$F$26,$AE267,LISTS!$G$2:$G$26,$AF267)=0,"NOT ON LIST",""))</f>
        <v/>
      </c>
      <c r="AH267" s="8" t="str">
        <f t="shared" si="14"/>
        <v/>
      </c>
    </row>
    <row r="268" spans="31:34" x14ac:dyDescent="0.25">
      <c r="AE268" s="8" t="str">
        <f t="shared" si="12"/>
        <v/>
      </c>
      <c r="AF268" s="8" t="str">
        <f t="shared" si="13"/>
        <v/>
      </c>
      <c r="AG268" s="8" t="str">
        <f>IF(TRIM($E268)&lt;&gt;"Tax Paid","",IF(COUNTIFS(LISTS!$F$2:$F$26,$AE268,LISTS!$G$2:$G$26,$AF268)=0,"NOT ON LIST",""))</f>
        <v/>
      </c>
      <c r="AH268" s="8" t="str">
        <f t="shared" si="14"/>
        <v/>
      </c>
    </row>
    <row r="269" spans="31:34" x14ac:dyDescent="0.25">
      <c r="AE269" s="8" t="str">
        <f t="shared" si="12"/>
        <v/>
      </c>
      <c r="AF269" s="8" t="str">
        <f t="shared" si="13"/>
        <v/>
      </c>
      <c r="AG269" s="8" t="str">
        <f>IF(TRIM($E269)&lt;&gt;"Tax Paid","",IF(COUNTIFS(LISTS!$F$2:$F$26,$AE269,LISTS!$G$2:$G$26,$AF269)=0,"NOT ON LIST",""))</f>
        <v/>
      </c>
      <c r="AH269" s="8" t="str">
        <f t="shared" si="14"/>
        <v/>
      </c>
    </row>
    <row r="270" spans="31:34" x14ac:dyDescent="0.25">
      <c r="AE270" s="8" t="str">
        <f t="shared" si="12"/>
        <v/>
      </c>
      <c r="AF270" s="8" t="str">
        <f t="shared" si="13"/>
        <v/>
      </c>
      <c r="AG270" s="8" t="str">
        <f>IF(TRIM($E270)&lt;&gt;"Tax Paid","",IF(COUNTIFS(LISTS!$F$2:$F$26,$AE270,LISTS!$G$2:$G$26,$AF270)=0,"NOT ON LIST",""))</f>
        <v/>
      </c>
      <c r="AH270" s="8" t="str">
        <f t="shared" si="14"/>
        <v/>
      </c>
    </row>
    <row r="271" spans="31:34" x14ac:dyDescent="0.25">
      <c r="AE271" s="8" t="str">
        <f t="shared" si="12"/>
        <v/>
      </c>
      <c r="AF271" s="8" t="str">
        <f t="shared" si="13"/>
        <v/>
      </c>
      <c r="AG271" s="8" t="str">
        <f>IF(TRIM($E271)&lt;&gt;"Tax Paid","",IF(COUNTIFS(LISTS!$F$2:$F$26,$AE271,LISTS!$G$2:$G$26,$AF271)=0,"NOT ON LIST",""))</f>
        <v/>
      </c>
      <c r="AH271" s="8" t="str">
        <f t="shared" si="14"/>
        <v/>
      </c>
    </row>
    <row r="272" spans="31:34" x14ac:dyDescent="0.25">
      <c r="AE272" s="8" t="str">
        <f t="shared" si="12"/>
        <v/>
      </c>
      <c r="AF272" s="8" t="str">
        <f t="shared" si="13"/>
        <v/>
      </c>
      <c r="AG272" s="8" t="str">
        <f>IF(TRIM($E272)&lt;&gt;"Tax Paid","",IF(COUNTIFS(LISTS!$F$2:$F$26,$AE272,LISTS!$G$2:$G$26,$AF272)=0,"NOT ON LIST",""))</f>
        <v/>
      </c>
      <c r="AH272" s="8" t="str">
        <f t="shared" si="14"/>
        <v/>
      </c>
    </row>
    <row r="273" spans="31:34" x14ac:dyDescent="0.25">
      <c r="AE273" s="8" t="str">
        <f t="shared" si="12"/>
        <v/>
      </c>
      <c r="AF273" s="8" t="str">
        <f t="shared" si="13"/>
        <v/>
      </c>
      <c r="AG273" s="8" t="str">
        <f>IF(TRIM($E273)&lt;&gt;"Tax Paid","",IF(COUNTIFS(LISTS!$F$2:$F$26,$AE273,LISTS!$G$2:$G$26,$AF273)=0,"NOT ON LIST",""))</f>
        <v/>
      </c>
      <c r="AH273" s="8" t="str">
        <f t="shared" si="14"/>
        <v/>
      </c>
    </row>
    <row r="274" spans="31:34" x14ac:dyDescent="0.25">
      <c r="AE274" s="8" t="str">
        <f t="shared" si="12"/>
        <v/>
      </c>
      <c r="AF274" s="8" t="str">
        <f t="shared" si="13"/>
        <v/>
      </c>
      <c r="AG274" s="8" t="str">
        <f>IF(TRIM($E274)&lt;&gt;"Tax Paid","",IF(COUNTIFS(LISTS!$F$2:$F$26,$AE274,LISTS!$G$2:$G$26,$AF274)=0,"NOT ON LIST",""))</f>
        <v/>
      </c>
      <c r="AH274" s="8" t="str">
        <f t="shared" si="14"/>
        <v/>
      </c>
    </row>
    <row r="275" spans="31:34" x14ac:dyDescent="0.25">
      <c r="AE275" s="8" t="str">
        <f t="shared" si="12"/>
        <v/>
      </c>
      <c r="AF275" s="8" t="str">
        <f t="shared" si="13"/>
        <v/>
      </c>
      <c r="AG275" s="8" t="str">
        <f>IF(TRIM($E275)&lt;&gt;"Tax Paid","",IF(COUNTIFS(LISTS!$F$2:$F$26,$AE275,LISTS!$G$2:$G$26,$AF275)=0,"NOT ON LIST",""))</f>
        <v/>
      </c>
      <c r="AH275" s="8" t="str">
        <f t="shared" si="14"/>
        <v/>
      </c>
    </row>
    <row r="276" spans="31:34" x14ac:dyDescent="0.25">
      <c r="AE276" s="8" t="str">
        <f t="shared" si="12"/>
        <v/>
      </c>
      <c r="AF276" s="8" t="str">
        <f t="shared" si="13"/>
        <v/>
      </c>
      <c r="AG276" s="8" t="str">
        <f>IF(TRIM($E276)&lt;&gt;"Tax Paid","",IF(COUNTIFS(LISTS!$F$2:$F$26,$AE276,LISTS!$G$2:$G$26,$AF276)=0,"NOT ON LIST",""))</f>
        <v/>
      </c>
      <c r="AH276" s="8" t="str">
        <f t="shared" si="14"/>
        <v/>
      </c>
    </row>
    <row r="277" spans="31:34" x14ac:dyDescent="0.25">
      <c r="AE277" s="8" t="str">
        <f t="shared" si="12"/>
        <v/>
      </c>
      <c r="AF277" s="8" t="str">
        <f t="shared" si="13"/>
        <v/>
      </c>
      <c r="AG277" s="8" t="str">
        <f>IF(TRIM($E277)&lt;&gt;"Tax Paid","",IF(COUNTIFS(LISTS!$F$2:$F$26,$AE277,LISTS!$G$2:$G$26,$AF277)=0,"NOT ON LIST",""))</f>
        <v/>
      </c>
      <c r="AH277" s="8" t="str">
        <f t="shared" si="14"/>
        <v/>
      </c>
    </row>
    <row r="278" spans="31:34" x14ac:dyDescent="0.25">
      <c r="AE278" s="8" t="str">
        <f t="shared" si="12"/>
        <v/>
      </c>
      <c r="AF278" s="8" t="str">
        <f t="shared" si="13"/>
        <v/>
      </c>
      <c r="AG278" s="8" t="str">
        <f>IF(TRIM($E278)&lt;&gt;"Tax Paid","",IF(COUNTIFS(LISTS!$F$2:$F$26,$AE278,LISTS!$G$2:$G$26,$AF278)=0,"NOT ON LIST",""))</f>
        <v/>
      </c>
      <c r="AH278" s="8" t="str">
        <f t="shared" si="14"/>
        <v/>
      </c>
    </row>
    <row r="279" spans="31:34" x14ac:dyDescent="0.25">
      <c r="AE279" s="8" t="str">
        <f t="shared" si="12"/>
        <v/>
      </c>
      <c r="AF279" s="8" t="str">
        <f t="shared" si="13"/>
        <v/>
      </c>
      <c r="AG279" s="8" t="str">
        <f>IF(TRIM($E279)&lt;&gt;"Tax Paid","",IF(COUNTIFS(LISTS!$F$2:$F$26,$AE279,LISTS!$G$2:$G$26,$AF279)=0,"NOT ON LIST",""))</f>
        <v/>
      </c>
      <c r="AH279" s="8" t="str">
        <f t="shared" si="14"/>
        <v/>
      </c>
    </row>
    <row r="280" spans="31:34" x14ac:dyDescent="0.25">
      <c r="AE280" s="8" t="str">
        <f t="shared" si="12"/>
        <v/>
      </c>
      <c r="AF280" s="8" t="str">
        <f t="shared" si="13"/>
        <v/>
      </c>
      <c r="AG280" s="8" t="str">
        <f>IF(TRIM($E280)&lt;&gt;"Tax Paid","",IF(COUNTIFS(LISTS!$F$2:$F$26,$AE280,LISTS!$G$2:$G$26,$AF280)=0,"NOT ON LIST",""))</f>
        <v/>
      </c>
      <c r="AH280" s="8" t="str">
        <f t="shared" si="14"/>
        <v/>
      </c>
    </row>
    <row r="281" spans="31:34" x14ac:dyDescent="0.25">
      <c r="AE281" s="8" t="str">
        <f t="shared" si="12"/>
        <v/>
      </c>
      <c r="AF281" s="8" t="str">
        <f t="shared" si="13"/>
        <v/>
      </c>
      <c r="AG281" s="8" t="str">
        <f>IF(TRIM($E281)&lt;&gt;"Tax Paid","",IF(COUNTIFS(LISTS!$F$2:$F$26,$AE281,LISTS!$G$2:$G$26,$AF281)=0,"NOT ON LIST",""))</f>
        <v/>
      </c>
      <c r="AH281" s="8" t="str">
        <f t="shared" si="14"/>
        <v/>
      </c>
    </row>
    <row r="282" spans="31:34" x14ac:dyDescent="0.25">
      <c r="AE282" s="8" t="str">
        <f t="shared" si="12"/>
        <v/>
      </c>
      <c r="AF282" s="8" t="str">
        <f t="shared" si="13"/>
        <v/>
      </c>
      <c r="AG282" s="8" t="str">
        <f>IF(TRIM($E282)&lt;&gt;"Tax Paid","",IF(COUNTIFS(LISTS!$F$2:$F$26,$AE282,LISTS!$G$2:$G$26,$AF282)=0,"NOT ON LIST",""))</f>
        <v/>
      </c>
      <c r="AH282" s="8" t="str">
        <f t="shared" si="14"/>
        <v/>
      </c>
    </row>
    <row r="283" spans="31:34" x14ac:dyDescent="0.25">
      <c r="AE283" s="8" t="str">
        <f t="shared" si="12"/>
        <v/>
      </c>
      <c r="AF283" s="8" t="str">
        <f t="shared" si="13"/>
        <v/>
      </c>
      <c r="AG283" s="8" t="str">
        <f>IF(TRIM($E283)&lt;&gt;"Tax Paid","",IF(COUNTIFS(LISTS!$F$2:$F$26,$AE283,LISTS!$G$2:$G$26,$AF283)=0,"NOT ON LIST",""))</f>
        <v/>
      </c>
      <c r="AH283" s="8" t="str">
        <f t="shared" si="14"/>
        <v/>
      </c>
    </row>
    <row r="284" spans="31:34" x14ac:dyDescent="0.25">
      <c r="AE284" s="8" t="str">
        <f t="shared" si="12"/>
        <v/>
      </c>
      <c r="AF284" s="8" t="str">
        <f t="shared" si="13"/>
        <v/>
      </c>
      <c r="AG284" s="8" t="str">
        <f>IF(TRIM($E284)&lt;&gt;"Tax Paid","",IF(COUNTIFS(LISTS!$F$2:$F$26,$AE284,LISTS!$G$2:$G$26,$AF284)=0,"NOT ON LIST",""))</f>
        <v/>
      </c>
      <c r="AH284" s="8" t="str">
        <f t="shared" si="14"/>
        <v/>
      </c>
    </row>
    <row r="285" spans="31:34" x14ac:dyDescent="0.25">
      <c r="AE285" s="8" t="str">
        <f t="shared" si="12"/>
        <v/>
      </c>
      <c r="AF285" s="8" t="str">
        <f t="shared" si="13"/>
        <v/>
      </c>
      <c r="AG285" s="8" t="str">
        <f>IF(TRIM($E285)&lt;&gt;"Tax Paid","",IF(COUNTIFS(LISTS!$F$2:$F$26,$AE285,LISTS!$G$2:$G$26,$AF285)=0,"NOT ON LIST",""))</f>
        <v/>
      </c>
      <c r="AH285" s="8" t="str">
        <f t="shared" si="14"/>
        <v/>
      </c>
    </row>
    <row r="286" spans="31:34" x14ac:dyDescent="0.25">
      <c r="AE286" s="8" t="str">
        <f t="shared" si="12"/>
        <v/>
      </c>
      <c r="AF286" s="8" t="str">
        <f t="shared" si="13"/>
        <v/>
      </c>
      <c r="AG286" s="8" t="str">
        <f>IF(TRIM($E286)&lt;&gt;"Tax Paid","",IF(COUNTIFS(LISTS!$F$2:$F$26,$AE286,LISTS!$G$2:$G$26,$AF286)=0,"NOT ON LIST",""))</f>
        <v/>
      </c>
      <c r="AH286" s="8" t="str">
        <f t="shared" si="14"/>
        <v/>
      </c>
    </row>
    <row r="287" spans="31:34" x14ac:dyDescent="0.25">
      <c r="AE287" s="8" t="str">
        <f t="shared" si="12"/>
        <v/>
      </c>
      <c r="AF287" s="8" t="str">
        <f t="shared" si="13"/>
        <v/>
      </c>
      <c r="AG287" s="8" t="str">
        <f>IF(TRIM($E287)&lt;&gt;"Tax Paid","",IF(COUNTIFS(LISTS!$F$2:$F$26,$AE287,LISTS!$G$2:$G$26,$AF287)=0,"NOT ON LIST",""))</f>
        <v/>
      </c>
      <c r="AH287" s="8" t="str">
        <f t="shared" si="14"/>
        <v/>
      </c>
    </row>
    <row r="288" spans="31:34" x14ac:dyDescent="0.25">
      <c r="AE288" s="8" t="str">
        <f t="shared" si="12"/>
        <v/>
      </c>
      <c r="AF288" s="8" t="str">
        <f t="shared" si="13"/>
        <v/>
      </c>
      <c r="AG288" s="8" t="str">
        <f>IF(TRIM($E288)&lt;&gt;"Tax Paid","",IF(COUNTIFS(LISTS!$F$2:$F$26,$AE288,LISTS!$G$2:$G$26,$AF288)=0,"NOT ON LIST",""))</f>
        <v/>
      </c>
      <c r="AH288" s="8" t="str">
        <f t="shared" si="14"/>
        <v/>
      </c>
    </row>
    <row r="289" spans="31:34" x14ac:dyDescent="0.25">
      <c r="AE289" s="8" t="str">
        <f t="shared" si="12"/>
        <v/>
      </c>
      <c r="AF289" s="8" t="str">
        <f t="shared" si="13"/>
        <v/>
      </c>
      <c r="AG289" s="8" t="str">
        <f>IF(TRIM($E289)&lt;&gt;"Tax Paid","",IF(COUNTIFS(LISTS!$F$2:$F$26,$AE289,LISTS!$G$2:$G$26,$AF289)=0,"NOT ON LIST",""))</f>
        <v/>
      </c>
      <c r="AH289" s="8" t="str">
        <f t="shared" si="14"/>
        <v/>
      </c>
    </row>
    <row r="290" spans="31:34" x14ac:dyDescent="0.25">
      <c r="AE290" s="8" t="str">
        <f t="shared" si="12"/>
        <v/>
      </c>
      <c r="AF290" s="8" t="str">
        <f t="shared" si="13"/>
        <v/>
      </c>
      <c r="AG290" s="8" t="str">
        <f>IF(TRIM($E290)&lt;&gt;"Tax Paid","",IF(COUNTIFS(LISTS!$F$2:$F$26,$AE290,LISTS!$G$2:$G$26,$AF290)=0,"NOT ON LIST",""))</f>
        <v/>
      </c>
      <c r="AH290" s="8" t="str">
        <f t="shared" si="14"/>
        <v/>
      </c>
    </row>
    <row r="291" spans="31:34" x14ac:dyDescent="0.25">
      <c r="AE291" s="8" t="str">
        <f t="shared" si="12"/>
        <v/>
      </c>
      <c r="AF291" s="8" t="str">
        <f t="shared" si="13"/>
        <v/>
      </c>
      <c r="AG291" s="8" t="str">
        <f>IF(TRIM($E291)&lt;&gt;"Tax Paid","",IF(COUNTIFS(LISTS!$F$2:$F$26,$AE291,LISTS!$G$2:$G$26,$AF291)=0,"NOT ON LIST",""))</f>
        <v/>
      </c>
      <c r="AH291" s="8" t="str">
        <f t="shared" si="14"/>
        <v/>
      </c>
    </row>
    <row r="292" spans="31:34" x14ac:dyDescent="0.25">
      <c r="AE292" s="8" t="str">
        <f t="shared" si="12"/>
        <v/>
      </c>
      <c r="AF292" s="8" t="str">
        <f t="shared" si="13"/>
        <v/>
      </c>
      <c r="AG292" s="8" t="str">
        <f>IF(TRIM($E292)&lt;&gt;"Tax Paid","",IF(COUNTIFS(LISTS!$F$2:$F$26,$AE292,LISTS!$G$2:$G$26,$AF292)=0,"NOT ON LIST",""))</f>
        <v/>
      </c>
      <c r="AH292" s="8" t="str">
        <f t="shared" si="14"/>
        <v/>
      </c>
    </row>
    <row r="293" spans="31:34" x14ac:dyDescent="0.25">
      <c r="AE293" s="8" t="str">
        <f t="shared" si="12"/>
        <v/>
      </c>
      <c r="AF293" s="8" t="str">
        <f t="shared" si="13"/>
        <v/>
      </c>
      <c r="AG293" s="8" t="str">
        <f>IF(TRIM($E293)&lt;&gt;"Tax Paid","",IF(COUNTIFS(LISTS!$F$2:$F$26,$AE293,LISTS!$G$2:$G$26,$AF293)=0,"NOT ON LIST",""))</f>
        <v/>
      </c>
      <c r="AH293" s="8" t="str">
        <f t="shared" si="14"/>
        <v/>
      </c>
    </row>
    <row r="294" spans="31:34" x14ac:dyDescent="0.25">
      <c r="AE294" s="8" t="str">
        <f t="shared" si="12"/>
        <v/>
      </c>
      <c r="AF294" s="8" t="str">
        <f t="shared" si="13"/>
        <v/>
      </c>
      <c r="AG294" s="8" t="str">
        <f>IF(TRIM($E294)&lt;&gt;"Tax Paid","",IF(COUNTIFS(LISTS!$F$2:$F$26,$AE294,LISTS!$G$2:$G$26,$AF294)=0,"NOT ON LIST",""))</f>
        <v/>
      </c>
      <c r="AH294" s="8" t="str">
        <f t="shared" si="14"/>
        <v/>
      </c>
    </row>
    <row r="295" spans="31:34" x14ac:dyDescent="0.25">
      <c r="AE295" s="8" t="str">
        <f t="shared" si="12"/>
        <v/>
      </c>
      <c r="AF295" s="8" t="str">
        <f t="shared" si="13"/>
        <v/>
      </c>
      <c r="AG295" s="8" t="str">
        <f>IF(TRIM($E295)&lt;&gt;"Tax Paid","",IF(COUNTIFS(LISTS!$F$2:$F$26,$AE295,LISTS!$G$2:$G$26,$AF295)=0,"NOT ON LIST",""))</f>
        <v/>
      </c>
      <c r="AH295" s="8" t="str">
        <f t="shared" si="14"/>
        <v/>
      </c>
    </row>
    <row r="296" spans="31:34" x14ac:dyDescent="0.25">
      <c r="AE296" s="8" t="str">
        <f t="shared" si="12"/>
        <v/>
      </c>
      <c r="AF296" s="8" t="str">
        <f t="shared" si="13"/>
        <v/>
      </c>
      <c r="AG296" s="8" t="str">
        <f>IF(TRIM($E296)&lt;&gt;"Tax Paid","",IF(COUNTIFS(LISTS!$F$2:$F$26,$AE296,LISTS!$G$2:$G$26,$AF296)=0,"NOT ON LIST",""))</f>
        <v/>
      </c>
      <c r="AH296" s="8" t="str">
        <f t="shared" si="14"/>
        <v/>
      </c>
    </row>
    <row r="297" spans="31:34" x14ac:dyDescent="0.25">
      <c r="AE297" s="8" t="str">
        <f t="shared" si="12"/>
        <v/>
      </c>
      <c r="AF297" s="8" t="str">
        <f t="shared" si="13"/>
        <v/>
      </c>
      <c r="AG297" s="8" t="str">
        <f>IF(TRIM($E297)&lt;&gt;"Tax Paid","",IF(COUNTIFS(LISTS!$F$2:$F$26,$AE297,LISTS!$G$2:$G$26,$AF297)=0,"NOT ON LIST",""))</f>
        <v/>
      </c>
      <c r="AH297" s="8" t="str">
        <f t="shared" si="14"/>
        <v/>
      </c>
    </row>
    <row r="298" spans="31:34" x14ac:dyDescent="0.25">
      <c r="AE298" s="8" t="str">
        <f t="shared" si="12"/>
        <v/>
      </c>
      <c r="AF298" s="8" t="str">
        <f t="shared" si="13"/>
        <v/>
      </c>
      <c r="AG298" s="8" t="str">
        <f>IF(TRIM($E298)&lt;&gt;"Tax Paid","",IF(COUNTIFS(LISTS!$F$2:$F$26,$AE298,LISTS!$G$2:$G$26,$AF298)=0,"NOT ON LIST",""))</f>
        <v/>
      </c>
      <c r="AH298" s="8" t="str">
        <f t="shared" si="14"/>
        <v/>
      </c>
    </row>
    <row r="299" spans="31:34" x14ac:dyDescent="0.25">
      <c r="AE299" s="8" t="str">
        <f t="shared" si="12"/>
        <v/>
      </c>
      <c r="AF299" s="8" t="str">
        <f t="shared" si="13"/>
        <v/>
      </c>
      <c r="AG299" s="8" t="str">
        <f>IF(TRIM($E299)&lt;&gt;"Tax Paid","",IF(COUNTIFS(LISTS!$F$2:$F$26,$AE299,LISTS!$G$2:$G$26,$AF299)=0,"NOT ON LIST",""))</f>
        <v/>
      </c>
      <c r="AH299" s="8" t="str">
        <f t="shared" si="14"/>
        <v/>
      </c>
    </row>
    <row r="300" spans="31:34" x14ac:dyDescent="0.25">
      <c r="AE300" s="8" t="str">
        <f t="shared" si="12"/>
        <v/>
      </c>
      <c r="AF300" s="8" t="str">
        <f t="shared" si="13"/>
        <v/>
      </c>
      <c r="AG300" s="8" t="str">
        <f>IF(TRIM($E300)&lt;&gt;"Tax Paid","",IF(COUNTIFS(LISTS!$F$2:$F$26,$AE300,LISTS!$G$2:$G$26,$AF300)=0,"NOT ON LIST",""))</f>
        <v/>
      </c>
      <c r="AH300" s="8" t="str">
        <f t="shared" si="14"/>
        <v/>
      </c>
    </row>
    <row r="301" spans="31:34" x14ac:dyDescent="0.25">
      <c r="AE301" s="8" t="str">
        <f t="shared" si="12"/>
        <v/>
      </c>
      <c r="AF301" s="8" t="str">
        <f t="shared" si="13"/>
        <v/>
      </c>
      <c r="AG301" s="8" t="str">
        <f>IF(TRIM($E301)&lt;&gt;"Tax Paid","",IF(COUNTIFS(LISTS!$F$2:$F$26,$AE301,LISTS!$G$2:$G$26,$AF301)=0,"NOT ON LIST",""))</f>
        <v/>
      </c>
      <c r="AH301" s="8" t="str">
        <f t="shared" si="14"/>
        <v/>
      </c>
    </row>
    <row r="302" spans="31:34" x14ac:dyDescent="0.25">
      <c r="AE302" s="8" t="str">
        <f t="shared" si="12"/>
        <v/>
      </c>
      <c r="AF302" s="8" t="str">
        <f t="shared" si="13"/>
        <v/>
      </c>
      <c r="AG302" s="8" t="str">
        <f>IF(TRIM($E302)&lt;&gt;"Tax Paid","",IF(COUNTIFS(LISTS!$F$2:$F$26,$AE302,LISTS!$G$2:$G$26,$AF302)=0,"NOT ON LIST",""))</f>
        <v/>
      </c>
      <c r="AH302" s="8" t="str">
        <f t="shared" si="14"/>
        <v/>
      </c>
    </row>
    <row r="303" spans="31:34" x14ac:dyDescent="0.25">
      <c r="AE303" s="8" t="str">
        <f t="shared" si="12"/>
        <v/>
      </c>
      <c r="AF303" s="8" t="str">
        <f t="shared" si="13"/>
        <v/>
      </c>
      <c r="AG303" s="8" t="str">
        <f>IF(TRIM($E303)&lt;&gt;"Tax Paid","",IF(COUNTIFS(LISTS!$F$2:$F$26,$AE303,LISTS!$G$2:$G$26,$AF303)=0,"NOT ON LIST",""))</f>
        <v/>
      </c>
      <c r="AH303" s="8" t="str">
        <f t="shared" si="14"/>
        <v/>
      </c>
    </row>
    <row r="304" spans="31:34" x14ac:dyDescent="0.25">
      <c r="AE304" s="8" t="str">
        <f t="shared" si="12"/>
        <v/>
      </c>
      <c r="AF304" s="8" t="str">
        <f t="shared" si="13"/>
        <v/>
      </c>
      <c r="AG304" s="8" t="str">
        <f>IF(TRIM($E304)&lt;&gt;"Tax Paid","",IF(COUNTIFS(LISTS!$F$2:$F$26,$AE304,LISTS!$G$2:$G$26,$AF304)=0,"NOT ON LIST",""))</f>
        <v/>
      </c>
      <c r="AH304" s="8" t="str">
        <f t="shared" si="14"/>
        <v/>
      </c>
    </row>
    <row r="305" spans="31:34" x14ac:dyDescent="0.25">
      <c r="AE305" s="8" t="str">
        <f t="shared" si="12"/>
        <v/>
      </c>
      <c r="AF305" s="8" t="str">
        <f t="shared" si="13"/>
        <v/>
      </c>
      <c r="AG305" s="8" t="str">
        <f>IF(TRIM($E305)&lt;&gt;"Tax Paid","",IF(COUNTIFS(LISTS!$F$2:$F$26,$AE305,LISTS!$G$2:$G$26,$AF305)=0,"NOT ON LIST",""))</f>
        <v/>
      </c>
      <c r="AH305" s="8" t="str">
        <f t="shared" si="14"/>
        <v/>
      </c>
    </row>
    <row r="306" spans="31:34" x14ac:dyDescent="0.25">
      <c r="AE306" s="8" t="str">
        <f t="shared" si="12"/>
        <v/>
      </c>
      <c r="AF306" s="8" t="str">
        <f t="shared" si="13"/>
        <v/>
      </c>
      <c r="AG306" s="8" t="str">
        <f>IF(TRIM($E306)&lt;&gt;"Tax Paid","",IF(COUNTIFS(LISTS!$F$2:$F$26,$AE306,LISTS!$G$2:$G$26,$AF306)=0,"NOT ON LIST",""))</f>
        <v/>
      </c>
      <c r="AH306" s="8" t="str">
        <f t="shared" si="14"/>
        <v/>
      </c>
    </row>
    <row r="307" spans="31:34" x14ac:dyDescent="0.25">
      <c r="AE307" s="8" t="str">
        <f t="shared" si="12"/>
        <v/>
      </c>
      <c r="AF307" s="8" t="str">
        <f t="shared" si="13"/>
        <v/>
      </c>
      <c r="AG307" s="8" t="str">
        <f>IF(TRIM($E307)&lt;&gt;"Tax Paid","",IF(COUNTIFS(LISTS!$F$2:$F$26,$AE307,LISTS!$G$2:$G$26,$AF307)=0,"NOT ON LIST",""))</f>
        <v/>
      </c>
      <c r="AH307" s="8" t="str">
        <f t="shared" si="14"/>
        <v/>
      </c>
    </row>
    <row r="308" spans="31:34" x14ac:dyDescent="0.25">
      <c r="AE308" s="8" t="str">
        <f t="shared" si="12"/>
        <v/>
      </c>
      <c r="AF308" s="8" t="str">
        <f t="shared" si="13"/>
        <v/>
      </c>
      <c r="AG308" s="8" t="str">
        <f>IF(TRIM($E308)&lt;&gt;"Tax Paid","",IF(COUNTIFS(LISTS!$F$2:$F$26,$AE308,LISTS!$G$2:$G$26,$AF308)=0,"NOT ON LIST",""))</f>
        <v/>
      </c>
      <c r="AH308" s="8" t="str">
        <f t="shared" si="14"/>
        <v/>
      </c>
    </row>
    <row r="309" spans="31:34" x14ac:dyDescent="0.25">
      <c r="AE309" s="8" t="str">
        <f t="shared" si="12"/>
        <v/>
      </c>
      <c r="AF309" s="8" t="str">
        <f t="shared" si="13"/>
        <v/>
      </c>
      <c r="AG309" s="8" t="str">
        <f>IF(TRIM($E309)&lt;&gt;"Tax Paid","",IF(COUNTIFS(LISTS!$F$2:$F$26,$AE309,LISTS!$G$2:$G$26,$AF309)=0,"NOT ON LIST",""))</f>
        <v/>
      </c>
      <c r="AH309" s="8" t="str">
        <f t="shared" si="14"/>
        <v/>
      </c>
    </row>
    <row r="310" spans="31:34" x14ac:dyDescent="0.25">
      <c r="AE310" s="8" t="str">
        <f t="shared" si="12"/>
        <v/>
      </c>
      <c r="AF310" s="8" t="str">
        <f t="shared" si="13"/>
        <v/>
      </c>
      <c r="AG310" s="8" t="str">
        <f>IF(TRIM($E310)&lt;&gt;"Tax Paid","",IF(COUNTIFS(LISTS!$F$2:$F$26,$AE310,LISTS!$G$2:$G$26,$AF310)=0,"NOT ON LIST",""))</f>
        <v/>
      </c>
      <c r="AH310" s="8" t="str">
        <f t="shared" si="14"/>
        <v/>
      </c>
    </row>
    <row r="311" spans="31:34" x14ac:dyDescent="0.25">
      <c r="AE311" s="8" t="str">
        <f t="shared" si="12"/>
        <v/>
      </c>
      <c r="AF311" s="8" t="str">
        <f t="shared" si="13"/>
        <v/>
      </c>
      <c r="AG311" s="8" t="str">
        <f>IF(TRIM($E311)&lt;&gt;"Tax Paid","",IF(COUNTIFS(LISTS!$F$2:$F$26,$AE311,LISTS!$G$2:$G$26,$AF311)=0,"NOT ON LIST",""))</f>
        <v/>
      </c>
      <c r="AH311" s="8" t="str">
        <f t="shared" si="14"/>
        <v/>
      </c>
    </row>
    <row r="312" spans="31:34" x14ac:dyDescent="0.25">
      <c r="AE312" s="8" t="str">
        <f t="shared" si="12"/>
        <v/>
      </c>
      <c r="AF312" s="8" t="str">
        <f t="shared" si="13"/>
        <v/>
      </c>
      <c r="AG312" s="8" t="str">
        <f>IF(TRIM($E312)&lt;&gt;"Tax Paid","",IF(COUNTIFS(LISTS!$F$2:$F$26,$AE312,LISTS!$G$2:$G$26,$AF312)=0,"NOT ON LIST",""))</f>
        <v/>
      </c>
      <c r="AH312" s="8" t="str">
        <f t="shared" si="14"/>
        <v/>
      </c>
    </row>
    <row r="313" spans="31:34" x14ac:dyDescent="0.25">
      <c r="AE313" s="8" t="str">
        <f t="shared" si="12"/>
        <v/>
      </c>
      <c r="AF313" s="8" t="str">
        <f t="shared" si="13"/>
        <v/>
      </c>
      <c r="AG313" s="8" t="str">
        <f>IF(TRIM($E313)&lt;&gt;"Tax Paid","",IF(COUNTIFS(LISTS!$F$2:$F$26,$AE313,LISTS!$G$2:$G$26,$AF313)=0,"NOT ON LIST",""))</f>
        <v/>
      </c>
      <c r="AH313" s="8" t="str">
        <f t="shared" si="14"/>
        <v/>
      </c>
    </row>
    <row r="314" spans="31:34" x14ac:dyDescent="0.25">
      <c r="AE314" s="8" t="str">
        <f t="shared" si="12"/>
        <v/>
      </c>
      <c r="AF314" s="8" t="str">
        <f t="shared" si="13"/>
        <v/>
      </c>
      <c r="AG314" s="8" t="str">
        <f>IF(TRIM($E314)&lt;&gt;"Tax Paid","",IF(COUNTIFS(LISTS!$F$2:$F$26,$AE314,LISTS!$G$2:$G$26,$AF314)=0,"NOT ON LIST",""))</f>
        <v/>
      </c>
      <c r="AH314" s="8" t="str">
        <f t="shared" si="14"/>
        <v/>
      </c>
    </row>
    <row r="315" spans="31:34" x14ac:dyDescent="0.25">
      <c r="AE315" s="8" t="str">
        <f t="shared" si="12"/>
        <v/>
      </c>
      <c r="AF315" s="8" t="str">
        <f t="shared" si="13"/>
        <v/>
      </c>
      <c r="AG315" s="8" t="str">
        <f>IF(TRIM($E315)&lt;&gt;"Tax Paid","",IF(COUNTIFS(LISTS!$F$2:$F$26,$AE315,LISTS!$G$2:$G$26,$AF315)=0,"NOT ON LIST",""))</f>
        <v/>
      </c>
      <c r="AH315" s="8" t="str">
        <f t="shared" si="14"/>
        <v/>
      </c>
    </row>
    <row r="316" spans="31:34" x14ac:dyDescent="0.25">
      <c r="AE316" s="8" t="str">
        <f t="shared" si="12"/>
        <v/>
      </c>
      <c r="AF316" s="8" t="str">
        <f t="shared" si="13"/>
        <v/>
      </c>
      <c r="AG316" s="8" t="str">
        <f>IF(TRIM($E316)&lt;&gt;"Tax Paid","",IF(COUNTIFS(LISTS!$F$2:$F$26,$AE316,LISTS!$G$2:$G$26,$AF316)=0,"NOT ON LIST",""))</f>
        <v/>
      </c>
      <c r="AH316" s="8" t="str">
        <f t="shared" si="14"/>
        <v/>
      </c>
    </row>
    <row r="317" spans="31:34" x14ac:dyDescent="0.25">
      <c r="AE317" s="8" t="str">
        <f t="shared" si="12"/>
        <v/>
      </c>
      <c r="AF317" s="8" t="str">
        <f t="shared" si="13"/>
        <v/>
      </c>
      <c r="AG317" s="8" t="str">
        <f>IF(TRIM($E317)&lt;&gt;"Tax Paid","",IF(COUNTIFS(LISTS!$F$2:$F$26,$AE317,LISTS!$G$2:$G$26,$AF317)=0,"NOT ON LIST",""))</f>
        <v/>
      </c>
      <c r="AH317" s="8" t="str">
        <f t="shared" si="14"/>
        <v/>
      </c>
    </row>
    <row r="318" spans="31:34" x14ac:dyDescent="0.25">
      <c r="AE318" s="8" t="str">
        <f t="shared" si="12"/>
        <v/>
      </c>
      <c r="AF318" s="8" t="str">
        <f t="shared" si="13"/>
        <v/>
      </c>
      <c r="AG318" s="8" t="str">
        <f>IF(TRIM($E318)&lt;&gt;"Tax Paid","",IF(COUNTIFS(LISTS!$F$2:$F$26,$AE318,LISTS!$G$2:$G$26,$AF318)=0,"NOT ON LIST",""))</f>
        <v/>
      </c>
      <c r="AH318" s="8" t="str">
        <f t="shared" si="14"/>
        <v/>
      </c>
    </row>
    <row r="319" spans="31:34" x14ac:dyDescent="0.25">
      <c r="AE319" s="8" t="str">
        <f t="shared" si="12"/>
        <v/>
      </c>
      <c r="AF319" s="8" t="str">
        <f t="shared" si="13"/>
        <v/>
      </c>
      <c r="AG319" s="8" t="str">
        <f>IF(TRIM($E319)&lt;&gt;"Tax Paid","",IF(COUNTIFS(LISTS!$F$2:$F$26,$AE319,LISTS!$G$2:$G$26,$AF319)=0,"NOT ON LIST",""))</f>
        <v/>
      </c>
      <c r="AH319" s="8" t="str">
        <f t="shared" si="14"/>
        <v/>
      </c>
    </row>
    <row r="320" spans="31:34" x14ac:dyDescent="0.25">
      <c r="AE320" s="8" t="str">
        <f t="shared" si="12"/>
        <v/>
      </c>
      <c r="AF320" s="8" t="str">
        <f t="shared" si="13"/>
        <v/>
      </c>
      <c r="AG320" s="8" t="str">
        <f>IF(TRIM($E320)&lt;&gt;"Tax Paid","",IF(COUNTIFS(LISTS!$F$2:$F$26,$AE320,LISTS!$G$2:$G$26,$AF320)=0,"NOT ON LIST",""))</f>
        <v/>
      </c>
      <c r="AH320" s="8" t="str">
        <f t="shared" si="14"/>
        <v/>
      </c>
    </row>
    <row r="321" spans="31:34" x14ac:dyDescent="0.25">
      <c r="AE321" s="8" t="str">
        <f t="shared" si="12"/>
        <v/>
      </c>
      <c r="AF321" s="8" t="str">
        <f t="shared" si="13"/>
        <v/>
      </c>
      <c r="AG321" s="8" t="str">
        <f>IF(TRIM($E321)&lt;&gt;"Tax Paid","",IF(COUNTIFS(LISTS!$F$2:$F$26,$AE321,LISTS!$G$2:$G$26,$AF321)=0,"NOT ON LIST",""))</f>
        <v/>
      </c>
      <c r="AH321" s="8" t="str">
        <f t="shared" si="14"/>
        <v/>
      </c>
    </row>
    <row r="322" spans="31:34" x14ac:dyDescent="0.25">
      <c r="AE322" s="8" t="str">
        <f t="shared" ref="AE322:AE385" si="15">IF(TRIM($E322)="Tax Paid",TRIM($S322),"")</f>
        <v/>
      </c>
      <c r="AF322" s="8" t="str">
        <f t="shared" ref="AF322:AF385" si="16">IF(TRIM($E322)="Tax Paid",ROUND($Z322/100,5),"")</f>
        <v/>
      </c>
      <c r="AG322" s="8" t="str">
        <f>IF(TRIM($E322)&lt;&gt;"Tax Paid","",IF(COUNTIFS(LISTS!$F$2:$F$26,$AE322,LISTS!$G$2:$G$26,$AF322)=0,"NOT ON LIST",""))</f>
        <v/>
      </c>
      <c r="AH322" s="8" t="str">
        <f t="shared" ref="AH322:AH385" si="17">IF($AG322="","",IF($AE322="","(no county)",$AE322)&amp;" ("&amp;SUBSTITUTE(TEXT($AF322,"0.###%"),".%","%")&amp;")")</f>
        <v/>
      </c>
    </row>
    <row r="323" spans="31:34" x14ac:dyDescent="0.25">
      <c r="AE323" s="8" t="str">
        <f t="shared" si="15"/>
        <v/>
      </c>
      <c r="AF323" s="8" t="str">
        <f t="shared" si="16"/>
        <v/>
      </c>
      <c r="AG323" s="8" t="str">
        <f>IF(TRIM($E323)&lt;&gt;"Tax Paid","",IF(COUNTIFS(LISTS!$F$2:$F$26,$AE323,LISTS!$G$2:$G$26,$AF323)=0,"NOT ON LIST",""))</f>
        <v/>
      </c>
      <c r="AH323" s="8" t="str">
        <f t="shared" si="17"/>
        <v/>
      </c>
    </row>
    <row r="324" spans="31:34" x14ac:dyDescent="0.25">
      <c r="AE324" s="8" t="str">
        <f t="shared" si="15"/>
        <v/>
      </c>
      <c r="AF324" s="8" t="str">
        <f t="shared" si="16"/>
        <v/>
      </c>
      <c r="AG324" s="8" t="str">
        <f>IF(TRIM($E324)&lt;&gt;"Tax Paid","",IF(COUNTIFS(LISTS!$F$2:$F$26,$AE324,LISTS!$G$2:$G$26,$AF324)=0,"NOT ON LIST",""))</f>
        <v/>
      </c>
      <c r="AH324" s="8" t="str">
        <f t="shared" si="17"/>
        <v/>
      </c>
    </row>
    <row r="325" spans="31:34" x14ac:dyDescent="0.25">
      <c r="AE325" s="8" t="str">
        <f t="shared" si="15"/>
        <v/>
      </c>
      <c r="AF325" s="8" t="str">
        <f t="shared" si="16"/>
        <v/>
      </c>
      <c r="AG325" s="8" t="str">
        <f>IF(TRIM($E325)&lt;&gt;"Tax Paid","",IF(COUNTIFS(LISTS!$F$2:$F$26,$AE325,LISTS!$G$2:$G$26,$AF325)=0,"NOT ON LIST",""))</f>
        <v/>
      </c>
      <c r="AH325" s="8" t="str">
        <f t="shared" si="17"/>
        <v/>
      </c>
    </row>
    <row r="326" spans="31:34" x14ac:dyDescent="0.25">
      <c r="AE326" s="8" t="str">
        <f t="shared" si="15"/>
        <v/>
      </c>
      <c r="AF326" s="8" t="str">
        <f t="shared" si="16"/>
        <v/>
      </c>
      <c r="AG326" s="8" t="str">
        <f>IF(TRIM($E326)&lt;&gt;"Tax Paid","",IF(COUNTIFS(LISTS!$F$2:$F$26,$AE326,LISTS!$G$2:$G$26,$AF326)=0,"NOT ON LIST",""))</f>
        <v/>
      </c>
      <c r="AH326" s="8" t="str">
        <f t="shared" si="17"/>
        <v/>
      </c>
    </row>
    <row r="327" spans="31:34" x14ac:dyDescent="0.25">
      <c r="AE327" s="8" t="str">
        <f t="shared" si="15"/>
        <v/>
      </c>
      <c r="AF327" s="8" t="str">
        <f t="shared" si="16"/>
        <v/>
      </c>
      <c r="AG327" s="8" t="str">
        <f>IF(TRIM($E327)&lt;&gt;"Tax Paid","",IF(COUNTIFS(LISTS!$F$2:$F$26,$AE327,LISTS!$G$2:$G$26,$AF327)=0,"NOT ON LIST",""))</f>
        <v/>
      </c>
      <c r="AH327" s="8" t="str">
        <f t="shared" si="17"/>
        <v/>
      </c>
    </row>
    <row r="328" spans="31:34" x14ac:dyDescent="0.25">
      <c r="AE328" s="8" t="str">
        <f t="shared" si="15"/>
        <v/>
      </c>
      <c r="AF328" s="8" t="str">
        <f t="shared" si="16"/>
        <v/>
      </c>
      <c r="AG328" s="8" t="str">
        <f>IF(TRIM($E328)&lt;&gt;"Tax Paid","",IF(COUNTIFS(LISTS!$F$2:$F$26,$AE328,LISTS!$G$2:$G$26,$AF328)=0,"NOT ON LIST",""))</f>
        <v/>
      </c>
      <c r="AH328" s="8" t="str">
        <f t="shared" si="17"/>
        <v/>
      </c>
    </row>
    <row r="329" spans="31:34" x14ac:dyDescent="0.25">
      <c r="AE329" s="8" t="str">
        <f t="shared" si="15"/>
        <v/>
      </c>
      <c r="AF329" s="8" t="str">
        <f t="shared" si="16"/>
        <v/>
      </c>
      <c r="AG329" s="8" t="str">
        <f>IF(TRIM($E329)&lt;&gt;"Tax Paid","",IF(COUNTIFS(LISTS!$F$2:$F$26,$AE329,LISTS!$G$2:$G$26,$AF329)=0,"NOT ON LIST",""))</f>
        <v/>
      </c>
      <c r="AH329" s="8" t="str">
        <f t="shared" si="17"/>
        <v/>
      </c>
    </row>
    <row r="330" spans="31:34" x14ac:dyDescent="0.25">
      <c r="AE330" s="8" t="str">
        <f t="shared" si="15"/>
        <v/>
      </c>
      <c r="AF330" s="8" t="str">
        <f t="shared" si="16"/>
        <v/>
      </c>
      <c r="AG330" s="8" t="str">
        <f>IF(TRIM($E330)&lt;&gt;"Tax Paid","",IF(COUNTIFS(LISTS!$F$2:$F$26,$AE330,LISTS!$G$2:$G$26,$AF330)=0,"NOT ON LIST",""))</f>
        <v/>
      </c>
      <c r="AH330" s="8" t="str">
        <f t="shared" si="17"/>
        <v/>
      </c>
    </row>
    <row r="331" spans="31:34" x14ac:dyDescent="0.25">
      <c r="AE331" s="8" t="str">
        <f t="shared" si="15"/>
        <v/>
      </c>
      <c r="AF331" s="8" t="str">
        <f t="shared" si="16"/>
        <v/>
      </c>
      <c r="AG331" s="8" t="str">
        <f>IF(TRIM($E331)&lt;&gt;"Tax Paid","",IF(COUNTIFS(LISTS!$F$2:$F$26,$AE331,LISTS!$G$2:$G$26,$AF331)=0,"NOT ON LIST",""))</f>
        <v/>
      </c>
      <c r="AH331" s="8" t="str">
        <f t="shared" si="17"/>
        <v/>
      </c>
    </row>
    <row r="332" spans="31:34" x14ac:dyDescent="0.25">
      <c r="AE332" s="8" t="str">
        <f t="shared" si="15"/>
        <v/>
      </c>
      <c r="AF332" s="8" t="str">
        <f t="shared" si="16"/>
        <v/>
      </c>
      <c r="AG332" s="8" t="str">
        <f>IF(TRIM($E332)&lt;&gt;"Tax Paid","",IF(COUNTIFS(LISTS!$F$2:$F$26,$AE332,LISTS!$G$2:$G$26,$AF332)=0,"NOT ON LIST",""))</f>
        <v/>
      </c>
      <c r="AH332" s="8" t="str">
        <f t="shared" si="17"/>
        <v/>
      </c>
    </row>
    <row r="333" spans="31:34" x14ac:dyDescent="0.25">
      <c r="AE333" s="8" t="str">
        <f t="shared" si="15"/>
        <v/>
      </c>
      <c r="AF333" s="8" t="str">
        <f t="shared" si="16"/>
        <v/>
      </c>
      <c r="AG333" s="8" t="str">
        <f>IF(TRIM($E333)&lt;&gt;"Tax Paid","",IF(COUNTIFS(LISTS!$F$2:$F$26,$AE333,LISTS!$G$2:$G$26,$AF333)=0,"NOT ON LIST",""))</f>
        <v/>
      </c>
      <c r="AH333" s="8" t="str">
        <f t="shared" si="17"/>
        <v/>
      </c>
    </row>
    <row r="334" spans="31:34" x14ac:dyDescent="0.25">
      <c r="AE334" s="8" t="str">
        <f t="shared" si="15"/>
        <v/>
      </c>
      <c r="AF334" s="8" t="str">
        <f t="shared" si="16"/>
        <v/>
      </c>
      <c r="AG334" s="8" t="str">
        <f>IF(TRIM($E334)&lt;&gt;"Tax Paid","",IF(COUNTIFS(LISTS!$F$2:$F$26,$AE334,LISTS!$G$2:$G$26,$AF334)=0,"NOT ON LIST",""))</f>
        <v/>
      </c>
      <c r="AH334" s="8" t="str">
        <f t="shared" si="17"/>
        <v/>
      </c>
    </row>
    <row r="335" spans="31:34" x14ac:dyDescent="0.25">
      <c r="AE335" s="8" t="str">
        <f t="shared" si="15"/>
        <v/>
      </c>
      <c r="AF335" s="8" t="str">
        <f t="shared" si="16"/>
        <v/>
      </c>
      <c r="AG335" s="8" t="str">
        <f>IF(TRIM($E335)&lt;&gt;"Tax Paid","",IF(COUNTIFS(LISTS!$F$2:$F$26,$AE335,LISTS!$G$2:$G$26,$AF335)=0,"NOT ON LIST",""))</f>
        <v/>
      </c>
      <c r="AH335" s="8" t="str">
        <f t="shared" si="17"/>
        <v/>
      </c>
    </row>
    <row r="336" spans="31:34" x14ac:dyDescent="0.25">
      <c r="AE336" s="8" t="str">
        <f t="shared" si="15"/>
        <v/>
      </c>
      <c r="AF336" s="8" t="str">
        <f t="shared" si="16"/>
        <v/>
      </c>
      <c r="AG336" s="8" t="str">
        <f>IF(TRIM($E336)&lt;&gt;"Tax Paid","",IF(COUNTIFS(LISTS!$F$2:$F$26,$AE336,LISTS!$G$2:$G$26,$AF336)=0,"NOT ON LIST",""))</f>
        <v/>
      </c>
      <c r="AH336" s="8" t="str">
        <f t="shared" si="17"/>
        <v/>
      </c>
    </row>
    <row r="337" spans="31:34" x14ac:dyDescent="0.25">
      <c r="AE337" s="8" t="str">
        <f t="shared" si="15"/>
        <v/>
      </c>
      <c r="AF337" s="8" t="str">
        <f t="shared" si="16"/>
        <v/>
      </c>
      <c r="AG337" s="8" t="str">
        <f>IF(TRIM($E337)&lt;&gt;"Tax Paid","",IF(COUNTIFS(LISTS!$F$2:$F$26,$AE337,LISTS!$G$2:$G$26,$AF337)=0,"NOT ON LIST",""))</f>
        <v/>
      </c>
      <c r="AH337" s="8" t="str">
        <f t="shared" si="17"/>
        <v/>
      </c>
    </row>
    <row r="338" spans="31:34" x14ac:dyDescent="0.25">
      <c r="AE338" s="8" t="str">
        <f t="shared" si="15"/>
        <v/>
      </c>
      <c r="AF338" s="8" t="str">
        <f t="shared" si="16"/>
        <v/>
      </c>
      <c r="AG338" s="8" t="str">
        <f>IF(TRIM($E338)&lt;&gt;"Tax Paid","",IF(COUNTIFS(LISTS!$F$2:$F$26,$AE338,LISTS!$G$2:$G$26,$AF338)=0,"NOT ON LIST",""))</f>
        <v/>
      </c>
      <c r="AH338" s="8" t="str">
        <f t="shared" si="17"/>
        <v/>
      </c>
    </row>
    <row r="339" spans="31:34" x14ac:dyDescent="0.25">
      <c r="AE339" s="8" t="str">
        <f t="shared" si="15"/>
        <v/>
      </c>
      <c r="AF339" s="8" t="str">
        <f t="shared" si="16"/>
        <v/>
      </c>
      <c r="AG339" s="8" t="str">
        <f>IF(TRIM($E339)&lt;&gt;"Tax Paid","",IF(COUNTIFS(LISTS!$F$2:$F$26,$AE339,LISTS!$G$2:$G$26,$AF339)=0,"NOT ON LIST",""))</f>
        <v/>
      </c>
      <c r="AH339" s="8" t="str">
        <f t="shared" si="17"/>
        <v/>
      </c>
    </row>
    <row r="340" spans="31:34" x14ac:dyDescent="0.25">
      <c r="AE340" s="8" t="str">
        <f t="shared" si="15"/>
        <v/>
      </c>
      <c r="AF340" s="8" t="str">
        <f t="shared" si="16"/>
        <v/>
      </c>
      <c r="AG340" s="8" t="str">
        <f>IF(TRIM($E340)&lt;&gt;"Tax Paid","",IF(COUNTIFS(LISTS!$F$2:$F$26,$AE340,LISTS!$G$2:$G$26,$AF340)=0,"NOT ON LIST",""))</f>
        <v/>
      </c>
      <c r="AH340" s="8" t="str">
        <f t="shared" si="17"/>
        <v/>
      </c>
    </row>
    <row r="341" spans="31:34" x14ac:dyDescent="0.25">
      <c r="AE341" s="8" t="str">
        <f t="shared" si="15"/>
        <v/>
      </c>
      <c r="AF341" s="8" t="str">
        <f t="shared" si="16"/>
        <v/>
      </c>
      <c r="AG341" s="8" t="str">
        <f>IF(TRIM($E341)&lt;&gt;"Tax Paid","",IF(COUNTIFS(LISTS!$F$2:$F$26,$AE341,LISTS!$G$2:$G$26,$AF341)=0,"NOT ON LIST",""))</f>
        <v/>
      </c>
      <c r="AH341" s="8" t="str">
        <f t="shared" si="17"/>
        <v/>
      </c>
    </row>
    <row r="342" spans="31:34" x14ac:dyDescent="0.25">
      <c r="AE342" s="8" t="str">
        <f t="shared" si="15"/>
        <v/>
      </c>
      <c r="AF342" s="8" t="str">
        <f t="shared" si="16"/>
        <v/>
      </c>
      <c r="AG342" s="8" t="str">
        <f>IF(TRIM($E342)&lt;&gt;"Tax Paid","",IF(COUNTIFS(LISTS!$F$2:$F$26,$AE342,LISTS!$G$2:$G$26,$AF342)=0,"NOT ON LIST",""))</f>
        <v/>
      </c>
      <c r="AH342" s="8" t="str">
        <f t="shared" si="17"/>
        <v/>
      </c>
    </row>
    <row r="343" spans="31:34" x14ac:dyDescent="0.25">
      <c r="AE343" s="8" t="str">
        <f t="shared" si="15"/>
        <v/>
      </c>
      <c r="AF343" s="8" t="str">
        <f t="shared" si="16"/>
        <v/>
      </c>
      <c r="AG343" s="8" t="str">
        <f>IF(TRIM($E343)&lt;&gt;"Tax Paid","",IF(COUNTIFS(LISTS!$F$2:$F$26,$AE343,LISTS!$G$2:$G$26,$AF343)=0,"NOT ON LIST",""))</f>
        <v/>
      </c>
      <c r="AH343" s="8" t="str">
        <f t="shared" si="17"/>
        <v/>
      </c>
    </row>
    <row r="344" spans="31:34" x14ac:dyDescent="0.25">
      <c r="AE344" s="8" t="str">
        <f t="shared" si="15"/>
        <v/>
      </c>
      <c r="AF344" s="8" t="str">
        <f t="shared" si="16"/>
        <v/>
      </c>
      <c r="AG344" s="8" t="str">
        <f>IF(TRIM($E344)&lt;&gt;"Tax Paid","",IF(COUNTIFS(LISTS!$F$2:$F$26,$AE344,LISTS!$G$2:$G$26,$AF344)=0,"NOT ON LIST",""))</f>
        <v/>
      </c>
      <c r="AH344" s="8" t="str">
        <f t="shared" si="17"/>
        <v/>
      </c>
    </row>
    <row r="345" spans="31:34" x14ac:dyDescent="0.25">
      <c r="AE345" s="8" t="str">
        <f t="shared" si="15"/>
        <v/>
      </c>
      <c r="AF345" s="8" t="str">
        <f t="shared" si="16"/>
        <v/>
      </c>
      <c r="AG345" s="8" t="str">
        <f>IF(TRIM($E345)&lt;&gt;"Tax Paid","",IF(COUNTIFS(LISTS!$F$2:$F$26,$AE345,LISTS!$G$2:$G$26,$AF345)=0,"NOT ON LIST",""))</f>
        <v/>
      </c>
      <c r="AH345" s="8" t="str">
        <f t="shared" si="17"/>
        <v/>
      </c>
    </row>
    <row r="346" spans="31:34" x14ac:dyDescent="0.25">
      <c r="AE346" s="8" t="str">
        <f t="shared" si="15"/>
        <v/>
      </c>
      <c r="AF346" s="8" t="str">
        <f t="shared" si="16"/>
        <v/>
      </c>
      <c r="AG346" s="8" t="str">
        <f>IF(TRIM($E346)&lt;&gt;"Tax Paid","",IF(COUNTIFS(LISTS!$F$2:$F$26,$AE346,LISTS!$G$2:$G$26,$AF346)=0,"NOT ON LIST",""))</f>
        <v/>
      </c>
      <c r="AH346" s="8" t="str">
        <f t="shared" si="17"/>
        <v/>
      </c>
    </row>
    <row r="347" spans="31:34" x14ac:dyDescent="0.25">
      <c r="AE347" s="8" t="str">
        <f t="shared" si="15"/>
        <v/>
      </c>
      <c r="AF347" s="8" t="str">
        <f t="shared" si="16"/>
        <v/>
      </c>
      <c r="AG347" s="8" t="str">
        <f>IF(TRIM($E347)&lt;&gt;"Tax Paid","",IF(COUNTIFS(LISTS!$F$2:$F$26,$AE347,LISTS!$G$2:$G$26,$AF347)=0,"NOT ON LIST",""))</f>
        <v/>
      </c>
      <c r="AH347" s="8" t="str">
        <f t="shared" si="17"/>
        <v/>
      </c>
    </row>
    <row r="348" spans="31:34" x14ac:dyDescent="0.25">
      <c r="AE348" s="8" t="str">
        <f t="shared" si="15"/>
        <v/>
      </c>
      <c r="AF348" s="8" t="str">
        <f t="shared" si="16"/>
        <v/>
      </c>
      <c r="AG348" s="8" t="str">
        <f>IF(TRIM($E348)&lt;&gt;"Tax Paid","",IF(COUNTIFS(LISTS!$F$2:$F$26,$AE348,LISTS!$G$2:$G$26,$AF348)=0,"NOT ON LIST",""))</f>
        <v/>
      </c>
      <c r="AH348" s="8" t="str">
        <f t="shared" si="17"/>
        <v/>
      </c>
    </row>
    <row r="349" spans="31:34" x14ac:dyDescent="0.25">
      <c r="AE349" s="8" t="str">
        <f t="shared" si="15"/>
        <v/>
      </c>
      <c r="AF349" s="8" t="str">
        <f t="shared" si="16"/>
        <v/>
      </c>
      <c r="AG349" s="8" t="str">
        <f>IF(TRIM($E349)&lt;&gt;"Tax Paid","",IF(COUNTIFS(LISTS!$F$2:$F$26,$AE349,LISTS!$G$2:$G$26,$AF349)=0,"NOT ON LIST",""))</f>
        <v/>
      </c>
      <c r="AH349" s="8" t="str">
        <f t="shared" si="17"/>
        <v/>
      </c>
    </row>
    <row r="350" spans="31:34" x14ac:dyDescent="0.25">
      <c r="AE350" s="8" t="str">
        <f t="shared" si="15"/>
        <v/>
      </c>
      <c r="AF350" s="8" t="str">
        <f t="shared" si="16"/>
        <v/>
      </c>
      <c r="AG350" s="8" t="str">
        <f>IF(TRIM($E350)&lt;&gt;"Tax Paid","",IF(COUNTIFS(LISTS!$F$2:$F$26,$AE350,LISTS!$G$2:$G$26,$AF350)=0,"NOT ON LIST",""))</f>
        <v/>
      </c>
      <c r="AH350" s="8" t="str">
        <f t="shared" si="17"/>
        <v/>
      </c>
    </row>
    <row r="351" spans="31:34" x14ac:dyDescent="0.25">
      <c r="AE351" s="8" t="str">
        <f t="shared" si="15"/>
        <v/>
      </c>
      <c r="AF351" s="8" t="str">
        <f t="shared" si="16"/>
        <v/>
      </c>
      <c r="AG351" s="8" t="str">
        <f>IF(TRIM($E351)&lt;&gt;"Tax Paid","",IF(COUNTIFS(LISTS!$F$2:$F$26,$AE351,LISTS!$G$2:$G$26,$AF351)=0,"NOT ON LIST",""))</f>
        <v/>
      </c>
      <c r="AH351" s="8" t="str">
        <f t="shared" si="17"/>
        <v/>
      </c>
    </row>
    <row r="352" spans="31:34" x14ac:dyDescent="0.25">
      <c r="AE352" s="8" t="str">
        <f t="shared" si="15"/>
        <v/>
      </c>
      <c r="AF352" s="8" t="str">
        <f t="shared" si="16"/>
        <v/>
      </c>
      <c r="AG352" s="8" t="str">
        <f>IF(TRIM($E352)&lt;&gt;"Tax Paid","",IF(COUNTIFS(LISTS!$F$2:$F$26,$AE352,LISTS!$G$2:$G$26,$AF352)=0,"NOT ON LIST",""))</f>
        <v/>
      </c>
      <c r="AH352" s="8" t="str">
        <f t="shared" si="17"/>
        <v/>
      </c>
    </row>
    <row r="353" spans="31:34" x14ac:dyDescent="0.25">
      <c r="AE353" s="8" t="str">
        <f t="shared" si="15"/>
        <v/>
      </c>
      <c r="AF353" s="8" t="str">
        <f t="shared" si="16"/>
        <v/>
      </c>
      <c r="AG353" s="8" t="str">
        <f>IF(TRIM($E353)&lt;&gt;"Tax Paid","",IF(COUNTIFS(LISTS!$F$2:$F$26,$AE353,LISTS!$G$2:$G$26,$AF353)=0,"NOT ON LIST",""))</f>
        <v/>
      </c>
      <c r="AH353" s="8" t="str">
        <f t="shared" si="17"/>
        <v/>
      </c>
    </row>
    <row r="354" spans="31:34" x14ac:dyDescent="0.25">
      <c r="AE354" s="8" t="str">
        <f t="shared" si="15"/>
        <v/>
      </c>
      <c r="AF354" s="8" t="str">
        <f t="shared" si="16"/>
        <v/>
      </c>
      <c r="AG354" s="8" t="str">
        <f>IF(TRIM($E354)&lt;&gt;"Tax Paid","",IF(COUNTIFS(LISTS!$F$2:$F$26,$AE354,LISTS!$G$2:$G$26,$AF354)=0,"NOT ON LIST",""))</f>
        <v/>
      </c>
      <c r="AH354" s="8" t="str">
        <f t="shared" si="17"/>
        <v/>
      </c>
    </row>
    <row r="355" spans="31:34" x14ac:dyDescent="0.25">
      <c r="AE355" s="8" t="str">
        <f t="shared" si="15"/>
        <v/>
      </c>
      <c r="AF355" s="8" t="str">
        <f t="shared" si="16"/>
        <v/>
      </c>
      <c r="AG355" s="8" t="str">
        <f>IF(TRIM($E355)&lt;&gt;"Tax Paid","",IF(COUNTIFS(LISTS!$F$2:$F$26,$AE355,LISTS!$G$2:$G$26,$AF355)=0,"NOT ON LIST",""))</f>
        <v/>
      </c>
      <c r="AH355" s="8" t="str">
        <f t="shared" si="17"/>
        <v/>
      </c>
    </row>
    <row r="356" spans="31:34" x14ac:dyDescent="0.25">
      <c r="AE356" s="8" t="str">
        <f t="shared" si="15"/>
        <v/>
      </c>
      <c r="AF356" s="8" t="str">
        <f t="shared" si="16"/>
        <v/>
      </c>
      <c r="AG356" s="8" t="str">
        <f>IF(TRIM($E356)&lt;&gt;"Tax Paid","",IF(COUNTIFS(LISTS!$F$2:$F$26,$AE356,LISTS!$G$2:$G$26,$AF356)=0,"NOT ON LIST",""))</f>
        <v/>
      </c>
      <c r="AH356" s="8" t="str">
        <f t="shared" si="17"/>
        <v/>
      </c>
    </row>
    <row r="357" spans="31:34" x14ac:dyDescent="0.25">
      <c r="AE357" s="8" t="str">
        <f t="shared" si="15"/>
        <v/>
      </c>
      <c r="AF357" s="8" t="str">
        <f t="shared" si="16"/>
        <v/>
      </c>
      <c r="AG357" s="8" t="str">
        <f>IF(TRIM($E357)&lt;&gt;"Tax Paid","",IF(COUNTIFS(LISTS!$F$2:$F$26,$AE357,LISTS!$G$2:$G$26,$AF357)=0,"NOT ON LIST",""))</f>
        <v/>
      </c>
      <c r="AH357" s="8" t="str">
        <f t="shared" si="17"/>
        <v/>
      </c>
    </row>
    <row r="358" spans="31:34" x14ac:dyDescent="0.25">
      <c r="AE358" s="8" t="str">
        <f t="shared" si="15"/>
        <v/>
      </c>
      <c r="AF358" s="8" t="str">
        <f t="shared" si="16"/>
        <v/>
      </c>
      <c r="AG358" s="8" t="str">
        <f>IF(TRIM($E358)&lt;&gt;"Tax Paid","",IF(COUNTIFS(LISTS!$F$2:$F$26,$AE358,LISTS!$G$2:$G$26,$AF358)=0,"NOT ON LIST",""))</f>
        <v/>
      </c>
      <c r="AH358" s="8" t="str">
        <f t="shared" si="17"/>
        <v/>
      </c>
    </row>
    <row r="359" spans="31:34" x14ac:dyDescent="0.25">
      <c r="AE359" s="8" t="str">
        <f t="shared" si="15"/>
        <v/>
      </c>
      <c r="AF359" s="8" t="str">
        <f t="shared" si="16"/>
        <v/>
      </c>
      <c r="AG359" s="8" t="str">
        <f>IF(TRIM($E359)&lt;&gt;"Tax Paid","",IF(COUNTIFS(LISTS!$F$2:$F$26,$AE359,LISTS!$G$2:$G$26,$AF359)=0,"NOT ON LIST",""))</f>
        <v/>
      </c>
      <c r="AH359" s="8" t="str">
        <f t="shared" si="17"/>
        <v/>
      </c>
    </row>
    <row r="360" spans="31:34" x14ac:dyDescent="0.25">
      <c r="AE360" s="8" t="str">
        <f t="shared" si="15"/>
        <v/>
      </c>
      <c r="AF360" s="8" t="str">
        <f t="shared" si="16"/>
        <v/>
      </c>
      <c r="AG360" s="8" t="str">
        <f>IF(TRIM($E360)&lt;&gt;"Tax Paid","",IF(COUNTIFS(LISTS!$F$2:$F$26,$AE360,LISTS!$G$2:$G$26,$AF360)=0,"NOT ON LIST",""))</f>
        <v/>
      </c>
      <c r="AH360" s="8" t="str">
        <f t="shared" si="17"/>
        <v/>
      </c>
    </row>
    <row r="361" spans="31:34" x14ac:dyDescent="0.25">
      <c r="AE361" s="8" t="str">
        <f t="shared" si="15"/>
        <v/>
      </c>
      <c r="AF361" s="8" t="str">
        <f t="shared" si="16"/>
        <v/>
      </c>
      <c r="AG361" s="8" t="str">
        <f>IF(TRIM($E361)&lt;&gt;"Tax Paid","",IF(COUNTIFS(LISTS!$F$2:$F$26,$AE361,LISTS!$G$2:$G$26,$AF361)=0,"NOT ON LIST",""))</f>
        <v/>
      </c>
      <c r="AH361" s="8" t="str">
        <f t="shared" si="17"/>
        <v/>
      </c>
    </row>
    <row r="362" spans="31:34" x14ac:dyDescent="0.25">
      <c r="AE362" s="8" t="str">
        <f t="shared" si="15"/>
        <v/>
      </c>
      <c r="AF362" s="8" t="str">
        <f t="shared" si="16"/>
        <v/>
      </c>
      <c r="AG362" s="8" t="str">
        <f>IF(TRIM($E362)&lt;&gt;"Tax Paid","",IF(COUNTIFS(LISTS!$F$2:$F$26,$AE362,LISTS!$G$2:$G$26,$AF362)=0,"NOT ON LIST",""))</f>
        <v/>
      </c>
      <c r="AH362" s="8" t="str">
        <f t="shared" si="17"/>
        <v/>
      </c>
    </row>
    <row r="363" spans="31:34" x14ac:dyDescent="0.25">
      <c r="AE363" s="8" t="str">
        <f t="shared" si="15"/>
        <v/>
      </c>
      <c r="AF363" s="8" t="str">
        <f t="shared" si="16"/>
        <v/>
      </c>
      <c r="AG363" s="8" t="str">
        <f>IF(TRIM($E363)&lt;&gt;"Tax Paid","",IF(COUNTIFS(LISTS!$F$2:$F$26,$AE363,LISTS!$G$2:$G$26,$AF363)=0,"NOT ON LIST",""))</f>
        <v/>
      </c>
      <c r="AH363" s="8" t="str">
        <f t="shared" si="17"/>
        <v/>
      </c>
    </row>
    <row r="364" spans="31:34" x14ac:dyDescent="0.25">
      <c r="AE364" s="8" t="str">
        <f t="shared" si="15"/>
        <v/>
      </c>
      <c r="AF364" s="8" t="str">
        <f t="shared" si="16"/>
        <v/>
      </c>
      <c r="AG364" s="8" t="str">
        <f>IF(TRIM($E364)&lt;&gt;"Tax Paid","",IF(COUNTIFS(LISTS!$F$2:$F$26,$AE364,LISTS!$G$2:$G$26,$AF364)=0,"NOT ON LIST",""))</f>
        <v/>
      </c>
      <c r="AH364" s="8" t="str">
        <f t="shared" si="17"/>
        <v/>
      </c>
    </row>
    <row r="365" spans="31:34" x14ac:dyDescent="0.25">
      <c r="AE365" s="8" t="str">
        <f t="shared" si="15"/>
        <v/>
      </c>
      <c r="AF365" s="8" t="str">
        <f t="shared" si="16"/>
        <v/>
      </c>
      <c r="AG365" s="8" t="str">
        <f>IF(TRIM($E365)&lt;&gt;"Tax Paid","",IF(COUNTIFS(LISTS!$F$2:$F$26,$AE365,LISTS!$G$2:$G$26,$AF365)=0,"NOT ON LIST",""))</f>
        <v/>
      </c>
      <c r="AH365" s="8" t="str">
        <f t="shared" si="17"/>
        <v/>
      </c>
    </row>
    <row r="366" spans="31:34" x14ac:dyDescent="0.25">
      <c r="AE366" s="8" t="str">
        <f t="shared" si="15"/>
        <v/>
      </c>
      <c r="AF366" s="8" t="str">
        <f t="shared" si="16"/>
        <v/>
      </c>
      <c r="AG366" s="8" t="str">
        <f>IF(TRIM($E366)&lt;&gt;"Tax Paid","",IF(COUNTIFS(LISTS!$F$2:$F$26,$AE366,LISTS!$G$2:$G$26,$AF366)=0,"NOT ON LIST",""))</f>
        <v/>
      </c>
      <c r="AH366" s="8" t="str">
        <f t="shared" si="17"/>
        <v/>
      </c>
    </row>
    <row r="367" spans="31:34" x14ac:dyDescent="0.25">
      <c r="AE367" s="8" t="str">
        <f t="shared" si="15"/>
        <v/>
      </c>
      <c r="AF367" s="8" t="str">
        <f t="shared" si="16"/>
        <v/>
      </c>
      <c r="AG367" s="8" t="str">
        <f>IF(TRIM($E367)&lt;&gt;"Tax Paid","",IF(COUNTIFS(LISTS!$F$2:$F$26,$AE367,LISTS!$G$2:$G$26,$AF367)=0,"NOT ON LIST",""))</f>
        <v/>
      </c>
      <c r="AH367" s="8" t="str">
        <f t="shared" si="17"/>
        <v/>
      </c>
    </row>
    <row r="368" spans="31:34" x14ac:dyDescent="0.25">
      <c r="AE368" s="8" t="str">
        <f t="shared" si="15"/>
        <v/>
      </c>
      <c r="AF368" s="8" t="str">
        <f t="shared" si="16"/>
        <v/>
      </c>
      <c r="AG368" s="8" t="str">
        <f>IF(TRIM($E368)&lt;&gt;"Tax Paid","",IF(COUNTIFS(LISTS!$F$2:$F$26,$AE368,LISTS!$G$2:$G$26,$AF368)=0,"NOT ON LIST",""))</f>
        <v/>
      </c>
      <c r="AH368" s="8" t="str">
        <f t="shared" si="17"/>
        <v/>
      </c>
    </row>
    <row r="369" spans="31:34" x14ac:dyDescent="0.25">
      <c r="AE369" s="8" t="str">
        <f t="shared" si="15"/>
        <v/>
      </c>
      <c r="AF369" s="8" t="str">
        <f t="shared" si="16"/>
        <v/>
      </c>
      <c r="AG369" s="8" t="str">
        <f>IF(TRIM($E369)&lt;&gt;"Tax Paid","",IF(COUNTIFS(LISTS!$F$2:$F$26,$AE369,LISTS!$G$2:$G$26,$AF369)=0,"NOT ON LIST",""))</f>
        <v/>
      </c>
      <c r="AH369" s="8" t="str">
        <f t="shared" si="17"/>
        <v/>
      </c>
    </row>
    <row r="370" spans="31:34" x14ac:dyDescent="0.25">
      <c r="AE370" s="8" t="str">
        <f t="shared" si="15"/>
        <v/>
      </c>
      <c r="AF370" s="8" t="str">
        <f t="shared" si="16"/>
        <v/>
      </c>
      <c r="AG370" s="8" t="str">
        <f>IF(TRIM($E370)&lt;&gt;"Tax Paid","",IF(COUNTIFS(LISTS!$F$2:$F$26,$AE370,LISTS!$G$2:$G$26,$AF370)=0,"NOT ON LIST",""))</f>
        <v/>
      </c>
      <c r="AH370" s="8" t="str">
        <f t="shared" si="17"/>
        <v/>
      </c>
    </row>
    <row r="371" spans="31:34" x14ac:dyDescent="0.25">
      <c r="AE371" s="8" t="str">
        <f t="shared" si="15"/>
        <v/>
      </c>
      <c r="AF371" s="8" t="str">
        <f t="shared" si="16"/>
        <v/>
      </c>
      <c r="AG371" s="8" t="str">
        <f>IF(TRIM($E371)&lt;&gt;"Tax Paid","",IF(COUNTIFS(LISTS!$F$2:$F$26,$AE371,LISTS!$G$2:$G$26,$AF371)=0,"NOT ON LIST",""))</f>
        <v/>
      </c>
      <c r="AH371" s="8" t="str">
        <f t="shared" si="17"/>
        <v/>
      </c>
    </row>
    <row r="372" spans="31:34" x14ac:dyDescent="0.25">
      <c r="AE372" s="8" t="str">
        <f t="shared" si="15"/>
        <v/>
      </c>
      <c r="AF372" s="8" t="str">
        <f t="shared" si="16"/>
        <v/>
      </c>
      <c r="AG372" s="8" t="str">
        <f>IF(TRIM($E372)&lt;&gt;"Tax Paid","",IF(COUNTIFS(LISTS!$F$2:$F$26,$AE372,LISTS!$G$2:$G$26,$AF372)=0,"NOT ON LIST",""))</f>
        <v/>
      </c>
      <c r="AH372" s="8" t="str">
        <f t="shared" si="17"/>
        <v/>
      </c>
    </row>
    <row r="373" spans="31:34" x14ac:dyDescent="0.25">
      <c r="AE373" s="8" t="str">
        <f t="shared" si="15"/>
        <v/>
      </c>
      <c r="AF373" s="8" t="str">
        <f t="shared" si="16"/>
        <v/>
      </c>
      <c r="AG373" s="8" t="str">
        <f>IF(TRIM($E373)&lt;&gt;"Tax Paid","",IF(COUNTIFS(LISTS!$F$2:$F$26,$AE373,LISTS!$G$2:$G$26,$AF373)=0,"NOT ON LIST",""))</f>
        <v/>
      </c>
      <c r="AH373" s="8" t="str">
        <f t="shared" si="17"/>
        <v/>
      </c>
    </row>
    <row r="374" spans="31:34" x14ac:dyDescent="0.25">
      <c r="AE374" s="8" t="str">
        <f t="shared" si="15"/>
        <v/>
      </c>
      <c r="AF374" s="8" t="str">
        <f t="shared" si="16"/>
        <v/>
      </c>
      <c r="AG374" s="8" t="str">
        <f>IF(TRIM($E374)&lt;&gt;"Tax Paid","",IF(COUNTIFS(LISTS!$F$2:$F$26,$AE374,LISTS!$G$2:$G$26,$AF374)=0,"NOT ON LIST",""))</f>
        <v/>
      </c>
      <c r="AH374" s="8" t="str">
        <f t="shared" si="17"/>
        <v/>
      </c>
    </row>
    <row r="375" spans="31:34" x14ac:dyDescent="0.25">
      <c r="AE375" s="8" t="str">
        <f t="shared" si="15"/>
        <v/>
      </c>
      <c r="AF375" s="8" t="str">
        <f t="shared" si="16"/>
        <v/>
      </c>
      <c r="AG375" s="8" t="str">
        <f>IF(TRIM($E375)&lt;&gt;"Tax Paid","",IF(COUNTIFS(LISTS!$F$2:$F$26,$AE375,LISTS!$G$2:$G$26,$AF375)=0,"NOT ON LIST",""))</f>
        <v/>
      </c>
      <c r="AH375" s="8" t="str">
        <f t="shared" si="17"/>
        <v/>
      </c>
    </row>
    <row r="376" spans="31:34" x14ac:dyDescent="0.25">
      <c r="AE376" s="8" t="str">
        <f t="shared" si="15"/>
        <v/>
      </c>
      <c r="AF376" s="8" t="str">
        <f t="shared" si="16"/>
        <v/>
      </c>
      <c r="AG376" s="8" t="str">
        <f>IF(TRIM($E376)&lt;&gt;"Tax Paid","",IF(COUNTIFS(LISTS!$F$2:$F$26,$AE376,LISTS!$G$2:$G$26,$AF376)=0,"NOT ON LIST",""))</f>
        <v/>
      </c>
      <c r="AH376" s="8" t="str">
        <f t="shared" si="17"/>
        <v/>
      </c>
    </row>
    <row r="377" spans="31:34" x14ac:dyDescent="0.25">
      <c r="AE377" s="8" t="str">
        <f t="shared" si="15"/>
        <v/>
      </c>
      <c r="AF377" s="8" t="str">
        <f t="shared" si="16"/>
        <v/>
      </c>
      <c r="AG377" s="8" t="str">
        <f>IF(TRIM($E377)&lt;&gt;"Tax Paid","",IF(COUNTIFS(LISTS!$F$2:$F$26,$AE377,LISTS!$G$2:$G$26,$AF377)=0,"NOT ON LIST",""))</f>
        <v/>
      </c>
      <c r="AH377" s="8" t="str">
        <f t="shared" si="17"/>
        <v/>
      </c>
    </row>
    <row r="378" spans="31:34" x14ac:dyDescent="0.25">
      <c r="AE378" s="8" t="str">
        <f t="shared" si="15"/>
        <v/>
      </c>
      <c r="AF378" s="8" t="str">
        <f t="shared" si="16"/>
        <v/>
      </c>
      <c r="AG378" s="8" t="str">
        <f>IF(TRIM($E378)&lt;&gt;"Tax Paid","",IF(COUNTIFS(LISTS!$F$2:$F$26,$AE378,LISTS!$G$2:$G$26,$AF378)=0,"NOT ON LIST",""))</f>
        <v/>
      </c>
      <c r="AH378" s="8" t="str">
        <f t="shared" si="17"/>
        <v/>
      </c>
    </row>
    <row r="379" spans="31:34" x14ac:dyDescent="0.25">
      <c r="AE379" s="8" t="str">
        <f t="shared" si="15"/>
        <v/>
      </c>
      <c r="AF379" s="8" t="str">
        <f t="shared" si="16"/>
        <v/>
      </c>
      <c r="AG379" s="8" t="str">
        <f>IF(TRIM($E379)&lt;&gt;"Tax Paid","",IF(COUNTIFS(LISTS!$F$2:$F$26,$AE379,LISTS!$G$2:$G$26,$AF379)=0,"NOT ON LIST",""))</f>
        <v/>
      </c>
      <c r="AH379" s="8" t="str">
        <f t="shared" si="17"/>
        <v/>
      </c>
    </row>
    <row r="380" spans="31:34" x14ac:dyDescent="0.25">
      <c r="AE380" s="8" t="str">
        <f t="shared" si="15"/>
        <v/>
      </c>
      <c r="AF380" s="8" t="str">
        <f t="shared" si="16"/>
        <v/>
      </c>
      <c r="AG380" s="8" t="str">
        <f>IF(TRIM($E380)&lt;&gt;"Tax Paid","",IF(COUNTIFS(LISTS!$F$2:$F$26,$AE380,LISTS!$G$2:$G$26,$AF380)=0,"NOT ON LIST",""))</f>
        <v/>
      </c>
      <c r="AH380" s="8" t="str">
        <f t="shared" si="17"/>
        <v/>
      </c>
    </row>
    <row r="381" spans="31:34" x14ac:dyDescent="0.25">
      <c r="AE381" s="8" t="str">
        <f t="shared" si="15"/>
        <v/>
      </c>
      <c r="AF381" s="8" t="str">
        <f t="shared" si="16"/>
        <v/>
      </c>
      <c r="AG381" s="8" t="str">
        <f>IF(TRIM($E381)&lt;&gt;"Tax Paid","",IF(COUNTIFS(LISTS!$F$2:$F$26,$AE381,LISTS!$G$2:$G$26,$AF381)=0,"NOT ON LIST",""))</f>
        <v/>
      </c>
      <c r="AH381" s="8" t="str">
        <f t="shared" si="17"/>
        <v/>
      </c>
    </row>
    <row r="382" spans="31:34" x14ac:dyDescent="0.25">
      <c r="AE382" s="8" t="str">
        <f t="shared" si="15"/>
        <v/>
      </c>
      <c r="AF382" s="8" t="str">
        <f t="shared" si="16"/>
        <v/>
      </c>
      <c r="AG382" s="8" t="str">
        <f>IF(TRIM($E382)&lt;&gt;"Tax Paid","",IF(COUNTIFS(LISTS!$F$2:$F$26,$AE382,LISTS!$G$2:$G$26,$AF382)=0,"NOT ON LIST",""))</f>
        <v/>
      </c>
      <c r="AH382" s="8" t="str">
        <f t="shared" si="17"/>
        <v/>
      </c>
    </row>
    <row r="383" spans="31:34" x14ac:dyDescent="0.25">
      <c r="AE383" s="8" t="str">
        <f t="shared" si="15"/>
        <v/>
      </c>
      <c r="AF383" s="8" t="str">
        <f t="shared" si="16"/>
        <v/>
      </c>
      <c r="AG383" s="8" t="str">
        <f>IF(TRIM($E383)&lt;&gt;"Tax Paid","",IF(COUNTIFS(LISTS!$F$2:$F$26,$AE383,LISTS!$G$2:$G$26,$AF383)=0,"NOT ON LIST",""))</f>
        <v/>
      </c>
      <c r="AH383" s="8" t="str">
        <f t="shared" si="17"/>
        <v/>
      </c>
    </row>
    <row r="384" spans="31:34" x14ac:dyDescent="0.25">
      <c r="AE384" s="8" t="str">
        <f t="shared" si="15"/>
        <v/>
      </c>
      <c r="AF384" s="8" t="str">
        <f t="shared" si="16"/>
        <v/>
      </c>
      <c r="AG384" s="8" t="str">
        <f>IF(TRIM($E384)&lt;&gt;"Tax Paid","",IF(COUNTIFS(LISTS!$F$2:$F$26,$AE384,LISTS!$G$2:$G$26,$AF384)=0,"NOT ON LIST",""))</f>
        <v/>
      </c>
      <c r="AH384" s="8" t="str">
        <f t="shared" si="17"/>
        <v/>
      </c>
    </row>
    <row r="385" spans="31:34" x14ac:dyDescent="0.25">
      <c r="AE385" s="8" t="str">
        <f t="shared" si="15"/>
        <v/>
      </c>
      <c r="AF385" s="8" t="str">
        <f t="shared" si="16"/>
        <v/>
      </c>
      <c r="AG385" s="8" t="str">
        <f>IF(TRIM($E385)&lt;&gt;"Tax Paid","",IF(COUNTIFS(LISTS!$F$2:$F$26,$AE385,LISTS!$G$2:$G$26,$AF385)=0,"NOT ON LIST",""))</f>
        <v/>
      </c>
      <c r="AH385" s="8" t="str">
        <f t="shared" si="17"/>
        <v/>
      </c>
    </row>
    <row r="386" spans="31:34" x14ac:dyDescent="0.25">
      <c r="AE386" s="8" t="str">
        <f t="shared" ref="AE386:AE449" si="18">IF(TRIM($E386)="Tax Paid",TRIM($S386),"")</f>
        <v/>
      </c>
      <c r="AF386" s="8" t="str">
        <f t="shared" ref="AF386:AF449" si="19">IF(TRIM($E386)="Tax Paid",ROUND($Z386/100,5),"")</f>
        <v/>
      </c>
      <c r="AG386" s="8" t="str">
        <f>IF(TRIM($E386)&lt;&gt;"Tax Paid","",IF(COUNTIFS(LISTS!$F$2:$F$26,$AE386,LISTS!$G$2:$G$26,$AF386)=0,"NOT ON LIST",""))</f>
        <v/>
      </c>
      <c r="AH386" s="8" t="str">
        <f t="shared" ref="AH386:AH449" si="20">IF($AG386="","",IF($AE386="","(no county)",$AE386)&amp;" ("&amp;SUBSTITUTE(TEXT($AF386,"0.###%"),".%","%")&amp;")")</f>
        <v/>
      </c>
    </row>
    <row r="387" spans="31:34" x14ac:dyDescent="0.25">
      <c r="AE387" s="8" t="str">
        <f t="shared" si="18"/>
        <v/>
      </c>
      <c r="AF387" s="8" t="str">
        <f t="shared" si="19"/>
        <v/>
      </c>
      <c r="AG387" s="8" t="str">
        <f>IF(TRIM($E387)&lt;&gt;"Tax Paid","",IF(COUNTIFS(LISTS!$F$2:$F$26,$AE387,LISTS!$G$2:$G$26,$AF387)=0,"NOT ON LIST",""))</f>
        <v/>
      </c>
      <c r="AH387" s="8" t="str">
        <f t="shared" si="20"/>
        <v/>
      </c>
    </row>
    <row r="388" spans="31:34" x14ac:dyDescent="0.25">
      <c r="AE388" s="8" t="str">
        <f t="shared" si="18"/>
        <v/>
      </c>
      <c r="AF388" s="8" t="str">
        <f t="shared" si="19"/>
        <v/>
      </c>
      <c r="AG388" s="8" t="str">
        <f>IF(TRIM($E388)&lt;&gt;"Tax Paid","",IF(COUNTIFS(LISTS!$F$2:$F$26,$AE388,LISTS!$G$2:$G$26,$AF388)=0,"NOT ON LIST",""))</f>
        <v/>
      </c>
      <c r="AH388" s="8" t="str">
        <f t="shared" si="20"/>
        <v/>
      </c>
    </row>
    <row r="389" spans="31:34" x14ac:dyDescent="0.25">
      <c r="AE389" s="8" t="str">
        <f t="shared" si="18"/>
        <v/>
      </c>
      <c r="AF389" s="8" t="str">
        <f t="shared" si="19"/>
        <v/>
      </c>
      <c r="AG389" s="8" t="str">
        <f>IF(TRIM($E389)&lt;&gt;"Tax Paid","",IF(COUNTIFS(LISTS!$F$2:$F$26,$AE389,LISTS!$G$2:$G$26,$AF389)=0,"NOT ON LIST",""))</f>
        <v/>
      </c>
      <c r="AH389" s="8" t="str">
        <f t="shared" si="20"/>
        <v/>
      </c>
    </row>
    <row r="390" spans="31:34" x14ac:dyDescent="0.25">
      <c r="AE390" s="8" t="str">
        <f t="shared" si="18"/>
        <v/>
      </c>
      <c r="AF390" s="8" t="str">
        <f t="shared" si="19"/>
        <v/>
      </c>
      <c r="AG390" s="8" t="str">
        <f>IF(TRIM($E390)&lt;&gt;"Tax Paid","",IF(COUNTIFS(LISTS!$F$2:$F$26,$AE390,LISTS!$G$2:$G$26,$AF390)=0,"NOT ON LIST",""))</f>
        <v/>
      </c>
      <c r="AH390" s="8" t="str">
        <f t="shared" si="20"/>
        <v/>
      </c>
    </row>
    <row r="391" spans="31:34" x14ac:dyDescent="0.25">
      <c r="AE391" s="8" t="str">
        <f t="shared" si="18"/>
        <v/>
      </c>
      <c r="AF391" s="8" t="str">
        <f t="shared" si="19"/>
        <v/>
      </c>
      <c r="AG391" s="8" t="str">
        <f>IF(TRIM($E391)&lt;&gt;"Tax Paid","",IF(COUNTIFS(LISTS!$F$2:$F$26,$AE391,LISTS!$G$2:$G$26,$AF391)=0,"NOT ON LIST",""))</f>
        <v/>
      </c>
      <c r="AH391" s="8" t="str">
        <f t="shared" si="20"/>
        <v/>
      </c>
    </row>
    <row r="392" spans="31:34" x14ac:dyDescent="0.25">
      <c r="AE392" s="8" t="str">
        <f t="shared" si="18"/>
        <v/>
      </c>
      <c r="AF392" s="8" t="str">
        <f t="shared" si="19"/>
        <v/>
      </c>
      <c r="AG392" s="8" t="str">
        <f>IF(TRIM($E392)&lt;&gt;"Tax Paid","",IF(COUNTIFS(LISTS!$F$2:$F$26,$AE392,LISTS!$G$2:$G$26,$AF392)=0,"NOT ON LIST",""))</f>
        <v/>
      </c>
      <c r="AH392" s="8" t="str">
        <f t="shared" si="20"/>
        <v/>
      </c>
    </row>
    <row r="393" spans="31:34" x14ac:dyDescent="0.25">
      <c r="AE393" s="8" t="str">
        <f t="shared" si="18"/>
        <v/>
      </c>
      <c r="AF393" s="8" t="str">
        <f t="shared" si="19"/>
        <v/>
      </c>
      <c r="AG393" s="8" t="str">
        <f>IF(TRIM($E393)&lt;&gt;"Tax Paid","",IF(COUNTIFS(LISTS!$F$2:$F$26,$AE393,LISTS!$G$2:$G$26,$AF393)=0,"NOT ON LIST",""))</f>
        <v/>
      </c>
      <c r="AH393" s="8" t="str">
        <f t="shared" si="20"/>
        <v/>
      </c>
    </row>
    <row r="394" spans="31:34" x14ac:dyDescent="0.25">
      <c r="AE394" s="8" t="str">
        <f t="shared" si="18"/>
        <v/>
      </c>
      <c r="AF394" s="8" t="str">
        <f t="shared" si="19"/>
        <v/>
      </c>
      <c r="AG394" s="8" t="str">
        <f>IF(TRIM($E394)&lt;&gt;"Tax Paid","",IF(COUNTIFS(LISTS!$F$2:$F$26,$AE394,LISTS!$G$2:$G$26,$AF394)=0,"NOT ON LIST",""))</f>
        <v/>
      </c>
      <c r="AH394" s="8" t="str">
        <f t="shared" si="20"/>
        <v/>
      </c>
    </row>
    <row r="395" spans="31:34" x14ac:dyDescent="0.25">
      <c r="AE395" s="8" t="str">
        <f t="shared" si="18"/>
        <v/>
      </c>
      <c r="AF395" s="8" t="str">
        <f t="shared" si="19"/>
        <v/>
      </c>
      <c r="AG395" s="8" t="str">
        <f>IF(TRIM($E395)&lt;&gt;"Tax Paid","",IF(COUNTIFS(LISTS!$F$2:$F$26,$AE395,LISTS!$G$2:$G$26,$AF395)=0,"NOT ON LIST",""))</f>
        <v/>
      </c>
      <c r="AH395" s="8" t="str">
        <f t="shared" si="20"/>
        <v/>
      </c>
    </row>
    <row r="396" spans="31:34" x14ac:dyDescent="0.25">
      <c r="AE396" s="8" t="str">
        <f t="shared" si="18"/>
        <v/>
      </c>
      <c r="AF396" s="8" t="str">
        <f t="shared" si="19"/>
        <v/>
      </c>
      <c r="AG396" s="8" t="str">
        <f>IF(TRIM($E396)&lt;&gt;"Tax Paid","",IF(COUNTIFS(LISTS!$F$2:$F$26,$AE396,LISTS!$G$2:$G$26,$AF396)=0,"NOT ON LIST",""))</f>
        <v/>
      </c>
      <c r="AH396" s="8" t="str">
        <f t="shared" si="20"/>
        <v/>
      </c>
    </row>
    <row r="397" spans="31:34" x14ac:dyDescent="0.25">
      <c r="AE397" s="8" t="str">
        <f t="shared" si="18"/>
        <v/>
      </c>
      <c r="AF397" s="8" t="str">
        <f t="shared" si="19"/>
        <v/>
      </c>
      <c r="AG397" s="8" t="str">
        <f>IF(TRIM($E397)&lt;&gt;"Tax Paid","",IF(COUNTIFS(LISTS!$F$2:$F$26,$AE397,LISTS!$G$2:$G$26,$AF397)=0,"NOT ON LIST",""))</f>
        <v/>
      </c>
      <c r="AH397" s="8" t="str">
        <f t="shared" si="20"/>
        <v/>
      </c>
    </row>
    <row r="398" spans="31:34" x14ac:dyDescent="0.25">
      <c r="AE398" s="8" t="str">
        <f t="shared" si="18"/>
        <v/>
      </c>
      <c r="AF398" s="8" t="str">
        <f t="shared" si="19"/>
        <v/>
      </c>
      <c r="AG398" s="8" t="str">
        <f>IF(TRIM($E398)&lt;&gt;"Tax Paid","",IF(COUNTIFS(LISTS!$F$2:$F$26,$AE398,LISTS!$G$2:$G$26,$AF398)=0,"NOT ON LIST",""))</f>
        <v/>
      </c>
      <c r="AH398" s="8" t="str">
        <f t="shared" si="20"/>
        <v/>
      </c>
    </row>
    <row r="399" spans="31:34" x14ac:dyDescent="0.25">
      <c r="AE399" s="8" t="str">
        <f t="shared" si="18"/>
        <v/>
      </c>
      <c r="AF399" s="8" t="str">
        <f t="shared" si="19"/>
        <v/>
      </c>
      <c r="AG399" s="8" t="str">
        <f>IF(TRIM($E399)&lt;&gt;"Tax Paid","",IF(COUNTIFS(LISTS!$F$2:$F$26,$AE399,LISTS!$G$2:$G$26,$AF399)=0,"NOT ON LIST",""))</f>
        <v/>
      </c>
      <c r="AH399" s="8" t="str">
        <f t="shared" si="20"/>
        <v/>
      </c>
    </row>
    <row r="400" spans="31:34" x14ac:dyDescent="0.25">
      <c r="AE400" s="8" t="str">
        <f t="shared" si="18"/>
        <v/>
      </c>
      <c r="AF400" s="8" t="str">
        <f t="shared" si="19"/>
        <v/>
      </c>
      <c r="AG400" s="8" t="str">
        <f>IF(TRIM($E400)&lt;&gt;"Tax Paid","",IF(COUNTIFS(LISTS!$F$2:$F$26,$AE400,LISTS!$G$2:$G$26,$AF400)=0,"NOT ON LIST",""))</f>
        <v/>
      </c>
      <c r="AH400" s="8" t="str">
        <f t="shared" si="20"/>
        <v/>
      </c>
    </row>
    <row r="401" spans="31:34" x14ac:dyDescent="0.25">
      <c r="AE401" s="8" t="str">
        <f t="shared" si="18"/>
        <v/>
      </c>
      <c r="AF401" s="8" t="str">
        <f t="shared" si="19"/>
        <v/>
      </c>
      <c r="AG401" s="8" t="str">
        <f>IF(TRIM($E401)&lt;&gt;"Tax Paid","",IF(COUNTIFS(LISTS!$F$2:$F$26,$AE401,LISTS!$G$2:$G$26,$AF401)=0,"NOT ON LIST",""))</f>
        <v/>
      </c>
      <c r="AH401" s="8" t="str">
        <f t="shared" si="20"/>
        <v/>
      </c>
    </row>
    <row r="402" spans="31:34" x14ac:dyDescent="0.25">
      <c r="AE402" s="8" t="str">
        <f t="shared" si="18"/>
        <v/>
      </c>
      <c r="AF402" s="8" t="str">
        <f t="shared" si="19"/>
        <v/>
      </c>
      <c r="AG402" s="8" t="str">
        <f>IF(TRIM($E402)&lt;&gt;"Tax Paid","",IF(COUNTIFS(LISTS!$F$2:$F$26,$AE402,LISTS!$G$2:$G$26,$AF402)=0,"NOT ON LIST",""))</f>
        <v/>
      </c>
      <c r="AH402" s="8" t="str">
        <f t="shared" si="20"/>
        <v/>
      </c>
    </row>
    <row r="403" spans="31:34" x14ac:dyDescent="0.25">
      <c r="AE403" s="8" t="str">
        <f t="shared" si="18"/>
        <v/>
      </c>
      <c r="AF403" s="8" t="str">
        <f t="shared" si="19"/>
        <v/>
      </c>
      <c r="AG403" s="8" t="str">
        <f>IF(TRIM($E403)&lt;&gt;"Tax Paid","",IF(COUNTIFS(LISTS!$F$2:$F$26,$AE403,LISTS!$G$2:$G$26,$AF403)=0,"NOT ON LIST",""))</f>
        <v/>
      </c>
      <c r="AH403" s="8" t="str">
        <f t="shared" si="20"/>
        <v/>
      </c>
    </row>
    <row r="404" spans="31:34" x14ac:dyDescent="0.25">
      <c r="AE404" s="8" t="str">
        <f t="shared" si="18"/>
        <v/>
      </c>
      <c r="AF404" s="8" t="str">
        <f t="shared" si="19"/>
        <v/>
      </c>
      <c r="AG404" s="8" t="str">
        <f>IF(TRIM($E404)&lt;&gt;"Tax Paid","",IF(COUNTIFS(LISTS!$F$2:$F$26,$AE404,LISTS!$G$2:$G$26,$AF404)=0,"NOT ON LIST",""))</f>
        <v/>
      </c>
      <c r="AH404" s="8" t="str">
        <f t="shared" si="20"/>
        <v/>
      </c>
    </row>
    <row r="405" spans="31:34" x14ac:dyDescent="0.25">
      <c r="AE405" s="8" t="str">
        <f t="shared" si="18"/>
        <v/>
      </c>
      <c r="AF405" s="8" t="str">
        <f t="shared" si="19"/>
        <v/>
      </c>
      <c r="AG405" s="8" t="str">
        <f>IF(TRIM($E405)&lt;&gt;"Tax Paid","",IF(COUNTIFS(LISTS!$F$2:$F$26,$AE405,LISTS!$G$2:$G$26,$AF405)=0,"NOT ON LIST",""))</f>
        <v/>
      </c>
      <c r="AH405" s="8" t="str">
        <f t="shared" si="20"/>
        <v/>
      </c>
    </row>
    <row r="406" spans="31:34" x14ac:dyDescent="0.25">
      <c r="AE406" s="8" t="str">
        <f t="shared" si="18"/>
        <v/>
      </c>
      <c r="AF406" s="8" t="str">
        <f t="shared" si="19"/>
        <v/>
      </c>
      <c r="AG406" s="8" t="str">
        <f>IF(TRIM($E406)&lt;&gt;"Tax Paid","",IF(COUNTIFS(LISTS!$F$2:$F$26,$AE406,LISTS!$G$2:$G$26,$AF406)=0,"NOT ON LIST",""))</f>
        <v/>
      </c>
      <c r="AH406" s="8" t="str">
        <f t="shared" si="20"/>
        <v/>
      </c>
    </row>
    <row r="407" spans="31:34" x14ac:dyDescent="0.25">
      <c r="AE407" s="8" t="str">
        <f t="shared" si="18"/>
        <v/>
      </c>
      <c r="AF407" s="8" t="str">
        <f t="shared" si="19"/>
        <v/>
      </c>
      <c r="AG407" s="8" t="str">
        <f>IF(TRIM($E407)&lt;&gt;"Tax Paid","",IF(COUNTIFS(LISTS!$F$2:$F$26,$AE407,LISTS!$G$2:$G$26,$AF407)=0,"NOT ON LIST",""))</f>
        <v/>
      </c>
      <c r="AH407" s="8" t="str">
        <f t="shared" si="20"/>
        <v/>
      </c>
    </row>
    <row r="408" spans="31:34" x14ac:dyDescent="0.25">
      <c r="AE408" s="8" t="str">
        <f t="shared" si="18"/>
        <v/>
      </c>
      <c r="AF408" s="8" t="str">
        <f t="shared" si="19"/>
        <v/>
      </c>
      <c r="AG408" s="8" t="str">
        <f>IF(TRIM($E408)&lt;&gt;"Tax Paid","",IF(COUNTIFS(LISTS!$F$2:$F$26,$AE408,LISTS!$G$2:$G$26,$AF408)=0,"NOT ON LIST",""))</f>
        <v/>
      </c>
      <c r="AH408" s="8" t="str">
        <f t="shared" si="20"/>
        <v/>
      </c>
    </row>
    <row r="409" spans="31:34" x14ac:dyDescent="0.25">
      <c r="AE409" s="8" t="str">
        <f t="shared" si="18"/>
        <v/>
      </c>
      <c r="AF409" s="8" t="str">
        <f t="shared" si="19"/>
        <v/>
      </c>
      <c r="AG409" s="8" t="str">
        <f>IF(TRIM($E409)&lt;&gt;"Tax Paid","",IF(COUNTIFS(LISTS!$F$2:$F$26,$AE409,LISTS!$G$2:$G$26,$AF409)=0,"NOT ON LIST",""))</f>
        <v/>
      </c>
      <c r="AH409" s="8" t="str">
        <f t="shared" si="20"/>
        <v/>
      </c>
    </row>
    <row r="410" spans="31:34" x14ac:dyDescent="0.25">
      <c r="AE410" s="8" t="str">
        <f t="shared" si="18"/>
        <v/>
      </c>
      <c r="AF410" s="8" t="str">
        <f t="shared" si="19"/>
        <v/>
      </c>
      <c r="AG410" s="8" t="str">
        <f>IF(TRIM($E410)&lt;&gt;"Tax Paid","",IF(COUNTIFS(LISTS!$F$2:$F$26,$AE410,LISTS!$G$2:$G$26,$AF410)=0,"NOT ON LIST",""))</f>
        <v/>
      </c>
      <c r="AH410" s="8" t="str">
        <f t="shared" si="20"/>
        <v/>
      </c>
    </row>
    <row r="411" spans="31:34" x14ac:dyDescent="0.25">
      <c r="AE411" s="8" t="str">
        <f t="shared" si="18"/>
        <v/>
      </c>
      <c r="AF411" s="8" t="str">
        <f t="shared" si="19"/>
        <v/>
      </c>
      <c r="AG411" s="8" t="str">
        <f>IF(TRIM($E411)&lt;&gt;"Tax Paid","",IF(COUNTIFS(LISTS!$F$2:$F$26,$AE411,LISTS!$G$2:$G$26,$AF411)=0,"NOT ON LIST",""))</f>
        <v/>
      </c>
      <c r="AH411" s="8" t="str">
        <f t="shared" si="20"/>
        <v/>
      </c>
    </row>
    <row r="412" spans="31:34" x14ac:dyDescent="0.25">
      <c r="AE412" s="8" t="str">
        <f t="shared" si="18"/>
        <v/>
      </c>
      <c r="AF412" s="8" t="str">
        <f t="shared" si="19"/>
        <v/>
      </c>
      <c r="AG412" s="8" t="str">
        <f>IF(TRIM($E412)&lt;&gt;"Tax Paid","",IF(COUNTIFS(LISTS!$F$2:$F$26,$AE412,LISTS!$G$2:$G$26,$AF412)=0,"NOT ON LIST",""))</f>
        <v/>
      </c>
      <c r="AH412" s="8" t="str">
        <f t="shared" si="20"/>
        <v/>
      </c>
    </row>
    <row r="413" spans="31:34" x14ac:dyDescent="0.25">
      <c r="AE413" s="8" t="str">
        <f t="shared" si="18"/>
        <v/>
      </c>
      <c r="AF413" s="8" t="str">
        <f t="shared" si="19"/>
        <v/>
      </c>
      <c r="AG413" s="8" t="str">
        <f>IF(TRIM($E413)&lt;&gt;"Tax Paid","",IF(COUNTIFS(LISTS!$F$2:$F$26,$AE413,LISTS!$G$2:$G$26,$AF413)=0,"NOT ON LIST",""))</f>
        <v/>
      </c>
      <c r="AH413" s="8" t="str">
        <f t="shared" si="20"/>
        <v/>
      </c>
    </row>
    <row r="414" spans="31:34" x14ac:dyDescent="0.25">
      <c r="AE414" s="8" t="str">
        <f t="shared" si="18"/>
        <v/>
      </c>
      <c r="AF414" s="8" t="str">
        <f t="shared" si="19"/>
        <v/>
      </c>
      <c r="AG414" s="8" t="str">
        <f>IF(TRIM($E414)&lt;&gt;"Tax Paid","",IF(COUNTIFS(LISTS!$F$2:$F$26,$AE414,LISTS!$G$2:$G$26,$AF414)=0,"NOT ON LIST",""))</f>
        <v/>
      </c>
      <c r="AH414" s="8" t="str">
        <f t="shared" si="20"/>
        <v/>
      </c>
    </row>
    <row r="415" spans="31:34" x14ac:dyDescent="0.25">
      <c r="AE415" s="8" t="str">
        <f t="shared" si="18"/>
        <v/>
      </c>
      <c r="AF415" s="8" t="str">
        <f t="shared" si="19"/>
        <v/>
      </c>
      <c r="AG415" s="8" t="str">
        <f>IF(TRIM($E415)&lt;&gt;"Tax Paid","",IF(COUNTIFS(LISTS!$F$2:$F$26,$AE415,LISTS!$G$2:$G$26,$AF415)=0,"NOT ON LIST",""))</f>
        <v/>
      </c>
      <c r="AH415" s="8" t="str">
        <f t="shared" si="20"/>
        <v/>
      </c>
    </row>
    <row r="416" spans="31:34" x14ac:dyDescent="0.25">
      <c r="AE416" s="8" t="str">
        <f t="shared" si="18"/>
        <v/>
      </c>
      <c r="AF416" s="8" t="str">
        <f t="shared" si="19"/>
        <v/>
      </c>
      <c r="AG416" s="8" t="str">
        <f>IF(TRIM($E416)&lt;&gt;"Tax Paid","",IF(COUNTIFS(LISTS!$F$2:$F$26,$AE416,LISTS!$G$2:$G$26,$AF416)=0,"NOT ON LIST",""))</f>
        <v/>
      </c>
      <c r="AH416" s="8" t="str">
        <f t="shared" si="20"/>
        <v/>
      </c>
    </row>
    <row r="417" spans="31:34" x14ac:dyDescent="0.25">
      <c r="AE417" s="8" t="str">
        <f t="shared" si="18"/>
        <v/>
      </c>
      <c r="AF417" s="8" t="str">
        <f t="shared" si="19"/>
        <v/>
      </c>
      <c r="AG417" s="8" t="str">
        <f>IF(TRIM($E417)&lt;&gt;"Tax Paid","",IF(COUNTIFS(LISTS!$F$2:$F$26,$AE417,LISTS!$G$2:$G$26,$AF417)=0,"NOT ON LIST",""))</f>
        <v/>
      </c>
      <c r="AH417" s="8" t="str">
        <f t="shared" si="20"/>
        <v/>
      </c>
    </row>
    <row r="418" spans="31:34" x14ac:dyDescent="0.25">
      <c r="AE418" s="8" t="str">
        <f t="shared" si="18"/>
        <v/>
      </c>
      <c r="AF418" s="8" t="str">
        <f t="shared" si="19"/>
        <v/>
      </c>
      <c r="AG418" s="8" t="str">
        <f>IF(TRIM($E418)&lt;&gt;"Tax Paid","",IF(COUNTIFS(LISTS!$F$2:$F$26,$AE418,LISTS!$G$2:$G$26,$AF418)=0,"NOT ON LIST",""))</f>
        <v/>
      </c>
      <c r="AH418" s="8" t="str">
        <f t="shared" si="20"/>
        <v/>
      </c>
    </row>
    <row r="419" spans="31:34" x14ac:dyDescent="0.25">
      <c r="AE419" s="8" t="str">
        <f t="shared" si="18"/>
        <v/>
      </c>
      <c r="AF419" s="8" t="str">
        <f t="shared" si="19"/>
        <v/>
      </c>
      <c r="AG419" s="8" t="str">
        <f>IF(TRIM($E419)&lt;&gt;"Tax Paid","",IF(COUNTIFS(LISTS!$F$2:$F$26,$AE419,LISTS!$G$2:$G$26,$AF419)=0,"NOT ON LIST",""))</f>
        <v/>
      </c>
      <c r="AH419" s="8" t="str">
        <f t="shared" si="20"/>
        <v/>
      </c>
    </row>
    <row r="420" spans="31:34" x14ac:dyDescent="0.25">
      <c r="AE420" s="8" t="str">
        <f t="shared" si="18"/>
        <v/>
      </c>
      <c r="AF420" s="8" t="str">
        <f t="shared" si="19"/>
        <v/>
      </c>
      <c r="AG420" s="8" t="str">
        <f>IF(TRIM($E420)&lt;&gt;"Tax Paid","",IF(COUNTIFS(LISTS!$F$2:$F$26,$AE420,LISTS!$G$2:$G$26,$AF420)=0,"NOT ON LIST",""))</f>
        <v/>
      </c>
      <c r="AH420" s="8" t="str">
        <f t="shared" si="20"/>
        <v/>
      </c>
    </row>
    <row r="421" spans="31:34" x14ac:dyDescent="0.25">
      <c r="AE421" s="8" t="str">
        <f t="shared" si="18"/>
        <v/>
      </c>
      <c r="AF421" s="8" t="str">
        <f t="shared" si="19"/>
        <v/>
      </c>
      <c r="AG421" s="8" t="str">
        <f>IF(TRIM($E421)&lt;&gt;"Tax Paid","",IF(COUNTIFS(LISTS!$F$2:$F$26,$AE421,LISTS!$G$2:$G$26,$AF421)=0,"NOT ON LIST",""))</f>
        <v/>
      </c>
      <c r="AH421" s="8" t="str">
        <f t="shared" si="20"/>
        <v/>
      </c>
    </row>
    <row r="422" spans="31:34" x14ac:dyDescent="0.25">
      <c r="AE422" s="8" t="str">
        <f t="shared" si="18"/>
        <v/>
      </c>
      <c r="AF422" s="8" t="str">
        <f t="shared" si="19"/>
        <v/>
      </c>
      <c r="AG422" s="8" t="str">
        <f>IF(TRIM($E422)&lt;&gt;"Tax Paid","",IF(COUNTIFS(LISTS!$F$2:$F$26,$AE422,LISTS!$G$2:$G$26,$AF422)=0,"NOT ON LIST",""))</f>
        <v/>
      </c>
      <c r="AH422" s="8" t="str">
        <f t="shared" si="20"/>
        <v/>
      </c>
    </row>
    <row r="423" spans="31:34" x14ac:dyDescent="0.25">
      <c r="AE423" s="8" t="str">
        <f t="shared" si="18"/>
        <v/>
      </c>
      <c r="AF423" s="8" t="str">
        <f t="shared" si="19"/>
        <v/>
      </c>
      <c r="AG423" s="8" t="str">
        <f>IF(TRIM($E423)&lt;&gt;"Tax Paid","",IF(COUNTIFS(LISTS!$F$2:$F$26,$AE423,LISTS!$G$2:$G$26,$AF423)=0,"NOT ON LIST",""))</f>
        <v/>
      </c>
      <c r="AH423" s="8" t="str">
        <f t="shared" si="20"/>
        <v/>
      </c>
    </row>
    <row r="424" spans="31:34" x14ac:dyDescent="0.25">
      <c r="AE424" s="8" t="str">
        <f t="shared" si="18"/>
        <v/>
      </c>
      <c r="AF424" s="8" t="str">
        <f t="shared" si="19"/>
        <v/>
      </c>
      <c r="AG424" s="8" t="str">
        <f>IF(TRIM($E424)&lt;&gt;"Tax Paid","",IF(COUNTIFS(LISTS!$F$2:$F$26,$AE424,LISTS!$G$2:$G$26,$AF424)=0,"NOT ON LIST",""))</f>
        <v/>
      </c>
      <c r="AH424" s="8" t="str">
        <f t="shared" si="20"/>
        <v/>
      </c>
    </row>
    <row r="425" spans="31:34" x14ac:dyDescent="0.25">
      <c r="AE425" s="8" t="str">
        <f t="shared" si="18"/>
        <v/>
      </c>
      <c r="AF425" s="8" t="str">
        <f t="shared" si="19"/>
        <v/>
      </c>
      <c r="AG425" s="8" t="str">
        <f>IF(TRIM($E425)&lt;&gt;"Tax Paid","",IF(COUNTIFS(LISTS!$F$2:$F$26,$AE425,LISTS!$G$2:$G$26,$AF425)=0,"NOT ON LIST",""))</f>
        <v/>
      </c>
      <c r="AH425" s="8" t="str">
        <f t="shared" si="20"/>
        <v/>
      </c>
    </row>
    <row r="426" spans="31:34" x14ac:dyDescent="0.25">
      <c r="AE426" s="8" t="str">
        <f t="shared" si="18"/>
        <v/>
      </c>
      <c r="AF426" s="8" t="str">
        <f t="shared" si="19"/>
        <v/>
      </c>
      <c r="AG426" s="8" t="str">
        <f>IF(TRIM($E426)&lt;&gt;"Tax Paid","",IF(COUNTIFS(LISTS!$F$2:$F$26,$AE426,LISTS!$G$2:$G$26,$AF426)=0,"NOT ON LIST",""))</f>
        <v/>
      </c>
      <c r="AH426" s="8" t="str">
        <f t="shared" si="20"/>
        <v/>
      </c>
    </row>
    <row r="427" spans="31:34" x14ac:dyDescent="0.25">
      <c r="AE427" s="8" t="str">
        <f t="shared" si="18"/>
        <v/>
      </c>
      <c r="AF427" s="8" t="str">
        <f t="shared" si="19"/>
        <v/>
      </c>
      <c r="AG427" s="8" t="str">
        <f>IF(TRIM($E427)&lt;&gt;"Tax Paid","",IF(COUNTIFS(LISTS!$F$2:$F$26,$AE427,LISTS!$G$2:$G$26,$AF427)=0,"NOT ON LIST",""))</f>
        <v/>
      </c>
      <c r="AH427" s="8" t="str">
        <f t="shared" si="20"/>
        <v/>
      </c>
    </row>
    <row r="428" spans="31:34" x14ac:dyDescent="0.25">
      <c r="AE428" s="8" t="str">
        <f t="shared" si="18"/>
        <v/>
      </c>
      <c r="AF428" s="8" t="str">
        <f t="shared" si="19"/>
        <v/>
      </c>
      <c r="AG428" s="8" t="str">
        <f>IF(TRIM($E428)&lt;&gt;"Tax Paid","",IF(COUNTIFS(LISTS!$F$2:$F$26,$AE428,LISTS!$G$2:$G$26,$AF428)=0,"NOT ON LIST",""))</f>
        <v/>
      </c>
      <c r="AH428" s="8" t="str">
        <f t="shared" si="20"/>
        <v/>
      </c>
    </row>
    <row r="429" spans="31:34" x14ac:dyDescent="0.25">
      <c r="AE429" s="8" t="str">
        <f t="shared" si="18"/>
        <v/>
      </c>
      <c r="AF429" s="8" t="str">
        <f t="shared" si="19"/>
        <v/>
      </c>
      <c r="AG429" s="8" t="str">
        <f>IF(TRIM($E429)&lt;&gt;"Tax Paid","",IF(COUNTIFS(LISTS!$F$2:$F$26,$AE429,LISTS!$G$2:$G$26,$AF429)=0,"NOT ON LIST",""))</f>
        <v/>
      </c>
      <c r="AH429" s="8" t="str">
        <f t="shared" si="20"/>
        <v/>
      </c>
    </row>
    <row r="430" spans="31:34" x14ac:dyDescent="0.25">
      <c r="AE430" s="8" t="str">
        <f t="shared" si="18"/>
        <v/>
      </c>
      <c r="AF430" s="8" t="str">
        <f t="shared" si="19"/>
        <v/>
      </c>
      <c r="AG430" s="8" t="str">
        <f>IF(TRIM($E430)&lt;&gt;"Tax Paid","",IF(COUNTIFS(LISTS!$F$2:$F$26,$AE430,LISTS!$G$2:$G$26,$AF430)=0,"NOT ON LIST",""))</f>
        <v/>
      </c>
      <c r="AH430" s="8" t="str">
        <f t="shared" si="20"/>
        <v/>
      </c>
    </row>
    <row r="431" spans="31:34" x14ac:dyDescent="0.25">
      <c r="AE431" s="8" t="str">
        <f t="shared" si="18"/>
        <v/>
      </c>
      <c r="AF431" s="8" t="str">
        <f t="shared" si="19"/>
        <v/>
      </c>
      <c r="AG431" s="8" t="str">
        <f>IF(TRIM($E431)&lt;&gt;"Tax Paid","",IF(COUNTIFS(LISTS!$F$2:$F$26,$AE431,LISTS!$G$2:$G$26,$AF431)=0,"NOT ON LIST",""))</f>
        <v/>
      </c>
      <c r="AH431" s="8" t="str">
        <f t="shared" si="20"/>
        <v/>
      </c>
    </row>
    <row r="432" spans="31:34" x14ac:dyDescent="0.25">
      <c r="AE432" s="8" t="str">
        <f t="shared" si="18"/>
        <v/>
      </c>
      <c r="AF432" s="8" t="str">
        <f t="shared" si="19"/>
        <v/>
      </c>
      <c r="AG432" s="8" t="str">
        <f>IF(TRIM($E432)&lt;&gt;"Tax Paid","",IF(COUNTIFS(LISTS!$F$2:$F$26,$AE432,LISTS!$G$2:$G$26,$AF432)=0,"NOT ON LIST",""))</f>
        <v/>
      </c>
      <c r="AH432" s="8" t="str">
        <f t="shared" si="20"/>
        <v/>
      </c>
    </row>
    <row r="433" spans="31:34" x14ac:dyDescent="0.25">
      <c r="AE433" s="8" t="str">
        <f t="shared" si="18"/>
        <v/>
      </c>
      <c r="AF433" s="8" t="str">
        <f t="shared" si="19"/>
        <v/>
      </c>
      <c r="AG433" s="8" t="str">
        <f>IF(TRIM($E433)&lt;&gt;"Tax Paid","",IF(COUNTIFS(LISTS!$F$2:$F$26,$AE433,LISTS!$G$2:$G$26,$AF433)=0,"NOT ON LIST",""))</f>
        <v/>
      </c>
      <c r="AH433" s="8" t="str">
        <f t="shared" si="20"/>
        <v/>
      </c>
    </row>
    <row r="434" spans="31:34" x14ac:dyDescent="0.25">
      <c r="AE434" s="8" t="str">
        <f t="shared" si="18"/>
        <v/>
      </c>
      <c r="AF434" s="8" t="str">
        <f t="shared" si="19"/>
        <v/>
      </c>
      <c r="AG434" s="8" t="str">
        <f>IF(TRIM($E434)&lt;&gt;"Tax Paid","",IF(COUNTIFS(LISTS!$F$2:$F$26,$AE434,LISTS!$G$2:$G$26,$AF434)=0,"NOT ON LIST",""))</f>
        <v/>
      </c>
      <c r="AH434" s="8" t="str">
        <f t="shared" si="20"/>
        <v/>
      </c>
    </row>
    <row r="435" spans="31:34" x14ac:dyDescent="0.25">
      <c r="AE435" s="8" t="str">
        <f t="shared" si="18"/>
        <v/>
      </c>
      <c r="AF435" s="8" t="str">
        <f t="shared" si="19"/>
        <v/>
      </c>
      <c r="AG435" s="8" t="str">
        <f>IF(TRIM($E435)&lt;&gt;"Tax Paid","",IF(COUNTIFS(LISTS!$F$2:$F$26,$AE435,LISTS!$G$2:$G$26,$AF435)=0,"NOT ON LIST",""))</f>
        <v/>
      </c>
      <c r="AH435" s="8" t="str">
        <f t="shared" si="20"/>
        <v/>
      </c>
    </row>
    <row r="436" spans="31:34" x14ac:dyDescent="0.25">
      <c r="AE436" s="8" t="str">
        <f t="shared" si="18"/>
        <v/>
      </c>
      <c r="AF436" s="8" t="str">
        <f t="shared" si="19"/>
        <v/>
      </c>
      <c r="AG436" s="8" t="str">
        <f>IF(TRIM($E436)&lt;&gt;"Tax Paid","",IF(COUNTIFS(LISTS!$F$2:$F$26,$AE436,LISTS!$G$2:$G$26,$AF436)=0,"NOT ON LIST",""))</f>
        <v/>
      </c>
      <c r="AH436" s="8" t="str">
        <f t="shared" si="20"/>
        <v/>
      </c>
    </row>
    <row r="437" spans="31:34" x14ac:dyDescent="0.25">
      <c r="AE437" s="8" t="str">
        <f t="shared" si="18"/>
        <v/>
      </c>
      <c r="AF437" s="8" t="str">
        <f t="shared" si="19"/>
        <v/>
      </c>
      <c r="AG437" s="8" t="str">
        <f>IF(TRIM($E437)&lt;&gt;"Tax Paid","",IF(COUNTIFS(LISTS!$F$2:$F$26,$AE437,LISTS!$G$2:$G$26,$AF437)=0,"NOT ON LIST",""))</f>
        <v/>
      </c>
      <c r="AH437" s="8" t="str">
        <f t="shared" si="20"/>
        <v/>
      </c>
    </row>
    <row r="438" spans="31:34" x14ac:dyDescent="0.25">
      <c r="AE438" s="8" t="str">
        <f t="shared" si="18"/>
        <v/>
      </c>
      <c r="AF438" s="8" t="str">
        <f t="shared" si="19"/>
        <v/>
      </c>
      <c r="AG438" s="8" t="str">
        <f>IF(TRIM($E438)&lt;&gt;"Tax Paid","",IF(COUNTIFS(LISTS!$F$2:$F$26,$AE438,LISTS!$G$2:$G$26,$AF438)=0,"NOT ON LIST",""))</f>
        <v/>
      </c>
      <c r="AH438" s="8" t="str">
        <f t="shared" si="20"/>
        <v/>
      </c>
    </row>
    <row r="439" spans="31:34" x14ac:dyDescent="0.25">
      <c r="AE439" s="8" t="str">
        <f t="shared" si="18"/>
        <v/>
      </c>
      <c r="AF439" s="8" t="str">
        <f t="shared" si="19"/>
        <v/>
      </c>
      <c r="AG439" s="8" t="str">
        <f>IF(TRIM($E439)&lt;&gt;"Tax Paid","",IF(COUNTIFS(LISTS!$F$2:$F$26,$AE439,LISTS!$G$2:$G$26,$AF439)=0,"NOT ON LIST",""))</f>
        <v/>
      </c>
      <c r="AH439" s="8" t="str">
        <f t="shared" si="20"/>
        <v/>
      </c>
    </row>
    <row r="440" spans="31:34" x14ac:dyDescent="0.25">
      <c r="AE440" s="8" t="str">
        <f t="shared" si="18"/>
        <v/>
      </c>
      <c r="AF440" s="8" t="str">
        <f t="shared" si="19"/>
        <v/>
      </c>
      <c r="AG440" s="8" t="str">
        <f>IF(TRIM($E440)&lt;&gt;"Tax Paid","",IF(COUNTIFS(LISTS!$F$2:$F$26,$AE440,LISTS!$G$2:$G$26,$AF440)=0,"NOT ON LIST",""))</f>
        <v/>
      </c>
      <c r="AH440" s="8" t="str">
        <f t="shared" si="20"/>
        <v/>
      </c>
    </row>
    <row r="441" spans="31:34" x14ac:dyDescent="0.25">
      <c r="AE441" s="8" t="str">
        <f t="shared" si="18"/>
        <v/>
      </c>
      <c r="AF441" s="8" t="str">
        <f t="shared" si="19"/>
        <v/>
      </c>
      <c r="AG441" s="8" t="str">
        <f>IF(TRIM($E441)&lt;&gt;"Tax Paid","",IF(COUNTIFS(LISTS!$F$2:$F$26,$AE441,LISTS!$G$2:$G$26,$AF441)=0,"NOT ON LIST",""))</f>
        <v/>
      </c>
      <c r="AH441" s="8" t="str">
        <f t="shared" si="20"/>
        <v/>
      </c>
    </row>
    <row r="442" spans="31:34" x14ac:dyDescent="0.25">
      <c r="AE442" s="8" t="str">
        <f t="shared" si="18"/>
        <v/>
      </c>
      <c r="AF442" s="8" t="str">
        <f t="shared" si="19"/>
        <v/>
      </c>
      <c r="AG442" s="8" t="str">
        <f>IF(TRIM($E442)&lt;&gt;"Tax Paid","",IF(COUNTIFS(LISTS!$F$2:$F$26,$AE442,LISTS!$G$2:$G$26,$AF442)=0,"NOT ON LIST",""))</f>
        <v/>
      </c>
      <c r="AH442" s="8" t="str">
        <f t="shared" si="20"/>
        <v/>
      </c>
    </row>
    <row r="443" spans="31:34" x14ac:dyDescent="0.25">
      <c r="AE443" s="8" t="str">
        <f t="shared" si="18"/>
        <v/>
      </c>
      <c r="AF443" s="8" t="str">
        <f t="shared" si="19"/>
        <v/>
      </c>
      <c r="AG443" s="8" t="str">
        <f>IF(TRIM($E443)&lt;&gt;"Tax Paid","",IF(COUNTIFS(LISTS!$F$2:$F$26,$AE443,LISTS!$G$2:$G$26,$AF443)=0,"NOT ON LIST",""))</f>
        <v/>
      </c>
      <c r="AH443" s="8" t="str">
        <f t="shared" si="20"/>
        <v/>
      </c>
    </row>
    <row r="444" spans="31:34" x14ac:dyDescent="0.25">
      <c r="AE444" s="8" t="str">
        <f t="shared" si="18"/>
        <v/>
      </c>
      <c r="AF444" s="8" t="str">
        <f t="shared" si="19"/>
        <v/>
      </c>
      <c r="AG444" s="8" t="str">
        <f>IF(TRIM($E444)&lt;&gt;"Tax Paid","",IF(COUNTIFS(LISTS!$F$2:$F$26,$AE444,LISTS!$G$2:$G$26,$AF444)=0,"NOT ON LIST",""))</f>
        <v/>
      </c>
      <c r="AH444" s="8" t="str">
        <f t="shared" si="20"/>
        <v/>
      </c>
    </row>
    <row r="445" spans="31:34" x14ac:dyDescent="0.25">
      <c r="AE445" s="8" t="str">
        <f t="shared" si="18"/>
        <v/>
      </c>
      <c r="AF445" s="8" t="str">
        <f t="shared" si="19"/>
        <v/>
      </c>
      <c r="AG445" s="8" t="str">
        <f>IF(TRIM($E445)&lt;&gt;"Tax Paid","",IF(COUNTIFS(LISTS!$F$2:$F$26,$AE445,LISTS!$G$2:$G$26,$AF445)=0,"NOT ON LIST",""))</f>
        <v/>
      </c>
      <c r="AH445" s="8" t="str">
        <f t="shared" si="20"/>
        <v/>
      </c>
    </row>
    <row r="446" spans="31:34" x14ac:dyDescent="0.25">
      <c r="AE446" s="8" t="str">
        <f t="shared" si="18"/>
        <v/>
      </c>
      <c r="AF446" s="8" t="str">
        <f t="shared" si="19"/>
        <v/>
      </c>
      <c r="AG446" s="8" t="str">
        <f>IF(TRIM($E446)&lt;&gt;"Tax Paid","",IF(COUNTIFS(LISTS!$F$2:$F$26,$AE446,LISTS!$G$2:$G$26,$AF446)=0,"NOT ON LIST",""))</f>
        <v/>
      </c>
      <c r="AH446" s="8" t="str">
        <f t="shared" si="20"/>
        <v/>
      </c>
    </row>
    <row r="447" spans="31:34" x14ac:dyDescent="0.25">
      <c r="AE447" s="8" t="str">
        <f t="shared" si="18"/>
        <v/>
      </c>
      <c r="AF447" s="8" t="str">
        <f t="shared" si="19"/>
        <v/>
      </c>
      <c r="AG447" s="8" t="str">
        <f>IF(TRIM($E447)&lt;&gt;"Tax Paid","",IF(COUNTIFS(LISTS!$F$2:$F$26,$AE447,LISTS!$G$2:$G$26,$AF447)=0,"NOT ON LIST",""))</f>
        <v/>
      </c>
      <c r="AH447" s="8" t="str">
        <f t="shared" si="20"/>
        <v/>
      </c>
    </row>
    <row r="448" spans="31:34" x14ac:dyDescent="0.25">
      <c r="AE448" s="8" t="str">
        <f t="shared" si="18"/>
        <v/>
      </c>
      <c r="AF448" s="8" t="str">
        <f t="shared" si="19"/>
        <v/>
      </c>
      <c r="AG448" s="8" t="str">
        <f>IF(TRIM($E448)&lt;&gt;"Tax Paid","",IF(COUNTIFS(LISTS!$F$2:$F$26,$AE448,LISTS!$G$2:$G$26,$AF448)=0,"NOT ON LIST",""))</f>
        <v/>
      </c>
      <c r="AH448" s="8" t="str">
        <f t="shared" si="20"/>
        <v/>
      </c>
    </row>
    <row r="449" spans="31:34" x14ac:dyDescent="0.25">
      <c r="AE449" s="8" t="str">
        <f t="shared" si="18"/>
        <v/>
      </c>
      <c r="AF449" s="8" t="str">
        <f t="shared" si="19"/>
        <v/>
      </c>
      <c r="AG449" s="8" t="str">
        <f>IF(TRIM($E449)&lt;&gt;"Tax Paid","",IF(COUNTIFS(LISTS!$F$2:$F$26,$AE449,LISTS!$G$2:$G$26,$AF449)=0,"NOT ON LIST",""))</f>
        <v/>
      </c>
      <c r="AH449" s="8" t="str">
        <f t="shared" si="20"/>
        <v/>
      </c>
    </row>
    <row r="450" spans="31:34" x14ac:dyDescent="0.25">
      <c r="AE450" s="8" t="str">
        <f t="shared" ref="AE450:AE513" si="21">IF(TRIM($E450)="Tax Paid",TRIM($S450),"")</f>
        <v/>
      </c>
      <c r="AF450" s="8" t="str">
        <f t="shared" ref="AF450:AF513" si="22">IF(TRIM($E450)="Tax Paid",ROUND($Z450/100,5),"")</f>
        <v/>
      </c>
      <c r="AG450" s="8" t="str">
        <f>IF(TRIM($E450)&lt;&gt;"Tax Paid","",IF(COUNTIFS(LISTS!$F$2:$F$26,$AE450,LISTS!$G$2:$G$26,$AF450)=0,"NOT ON LIST",""))</f>
        <v/>
      </c>
      <c r="AH450" s="8" t="str">
        <f t="shared" ref="AH450:AH513" si="23">IF($AG450="","",IF($AE450="","(no county)",$AE450)&amp;" ("&amp;SUBSTITUTE(TEXT($AF450,"0.###%"),".%","%")&amp;")")</f>
        <v/>
      </c>
    </row>
    <row r="451" spans="31:34" x14ac:dyDescent="0.25">
      <c r="AE451" s="8" t="str">
        <f t="shared" si="21"/>
        <v/>
      </c>
      <c r="AF451" s="8" t="str">
        <f t="shared" si="22"/>
        <v/>
      </c>
      <c r="AG451" s="8" t="str">
        <f>IF(TRIM($E451)&lt;&gt;"Tax Paid","",IF(COUNTIFS(LISTS!$F$2:$F$26,$AE451,LISTS!$G$2:$G$26,$AF451)=0,"NOT ON LIST",""))</f>
        <v/>
      </c>
      <c r="AH451" s="8" t="str">
        <f t="shared" si="23"/>
        <v/>
      </c>
    </row>
    <row r="452" spans="31:34" x14ac:dyDescent="0.25">
      <c r="AE452" s="8" t="str">
        <f t="shared" si="21"/>
        <v/>
      </c>
      <c r="AF452" s="8" t="str">
        <f t="shared" si="22"/>
        <v/>
      </c>
      <c r="AG452" s="8" t="str">
        <f>IF(TRIM($E452)&lt;&gt;"Tax Paid","",IF(COUNTIFS(LISTS!$F$2:$F$26,$AE452,LISTS!$G$2:$G$26,$AF452)=0,"NOT ON LIST",""))</f>
        <v/>
      </c>
      <c r="AH452" s="8" t="str">
        <f t="shared" si="23"/>
        <v/>
      </c>
    </row>
    <row r="453" spans="31:34" x14ac:dyDescent="0.25">
      <c r="AE453" s="8" t="str">
        <f t="shared" si="21"/>
        <v/>
      </c>
      <c r="AF453" s="8" t="str">
        <f t="shared" si="22"/>
        <v/>
      </c>
      <c r="AG453" s="8" t="str">
        <f>IF(TRIM($E453)&lt;&gt;"Tax Paid","",IF(COUNTIFS(LISTS!$F$2:$F$26,$AE453,LISTS!$G$2:$G$26,$AF453)=0,"NOT ON LIST",""))</f>
        <v/>
      </c>
      <c r="AH453" s="8" t="str">
        <f t="shared" si="23"/>
        <v/>
      </c>
    </row>
    <row r="454" spans="31:34" x14ac:dyDescent="0.25">
      <c r="AE454" s="8" t="str">
        <f t="shared" si="21"/>
        <v/>
      </c>
      <c r="AF454" s="8" t="str">
        <f t="shared" si="22"/>
        <v/>
      </c>
      <c r="AG454" s="8" t="str">
        <f>IF(TRIM($E454)&lt;&gt;"Tax Paid","",IF(COUNTIFS(LISTS!$F$2:$F$26,$AE454,LISTS!$G$2:$G$26,$AF454)=0,"NOT ON LIST",""))</f>
        <v/>
      </c>
      <c r="AH454" s="8" t="str">
        <f t="shared" si="23"/>
        <v/>
      </c>
    </row>
    <row r="455" spans="31:34" x14ac:dyDescent="0.25">
      <c r="AE455" s="8" t="str">
        <f t="shared" si="21"/>
        <v/>
      </c>
      <c r="AF455" s="8" t="str">
        <f t="shared" si="22"/>
        <v/>
      </c>
      <c r="AG455" s="8" t="str">
        <f>IF(TRIM($E455)&lt;&gt;"Tax Paid","",IF(COUNTIFS(LISTS!$F$2:$F$26,$AE455,LISTS!$G$2:$G$26,$AF455)=0,"NOT ON LIST",""))</f>
        <v/>
      </c>
      <c r="AH455" s="8" t="str">
        <f t="shared" si="23"/>
        <v/>
      </c>
    </row>
    <row r="456" spans="31:34" x14ac:dyDescent="0.25">
      <c r="AE456" s="8" t="str">
        <f t="shared" si="21"/>
        <v/>
      </c>
      <c r="AF456" s="8" t="str">
        <f t="shared" si="22"/>
        <v/>
      </c>
      <c r="AG456" s="8" t="str">
        <f>IF(TRIM($E456)&lt;&gt;"Tax Paid","",IF(COUNTIFS(LISTS!$F$2:$F$26,$AE456,LISTS!$G$2:$G$26,$AF456)=0,"NOT ON LIST",""))</f>
        <v/>
      </c>
      <c r="AH456" s="8" t="str">
        <f t="shared" si="23"/>
        <v/>
      </c>
    </row>
    <row r="457" spans="31:34" x14ac:dyDescent="0.25">
      <c r="AE457" s="8" t="str">
        <f t="shared" si="21"/>
        <v/>
      </c>
      <c r="AF457" s="8" t="str">
        <f t="shared" si="22"/>
        <v/>
      </c>
      <c r="AG457" s="8" t="str">
        <f>IF(TRIM($E457)&lt;&gt;"Tax Paid","",IF(COUNTIFS(LISTS!$F$2:$F$26,$AE457,LISTS!$G$2:$G$26,$AF457)=0,"NOT ON LIST",""))</f>
        <v/>
      </c>
      <c r="AH457" s="8" t="str">
        <f t="shared" si="23"/>
        <v/>
      </c>
    </row>
    <row r="458" spans="31:34" x14ac:dyDescent="0.25">
      <c r="AE458" s="8" t="str">
        <f t="shared" si="21"/>
        <v/>
      </c>
      <c r="AF458" s="8" t="str">
        <f t="shared" si="22"/>
        <v/>
      </c>
      <c r="AG458" s="8" t="str">
        <f>IF(TRIM($E458)&lt;&gt;"Tax Paid","",IF(COUNTIFS(LISTS!$F$2:$F$26,$AE458,LISTS!$G$2:$G$26,$AF458)=0,"NOT ON LIST",""))</f>
        <v/>
      </c>
      <c r="AH458" s="8" t="str">
        <f t="shared" si="23"/>
        <v/>
      </c>
    </row>
    <row r="459" spans="31:34" x14ac:dyDescent="0.25">
      <c r="AE459" s="8" t="str">
        <f t="shared" si="21"/>
        <v/>
      </c>
      <c r="AF459" s="8" t="str">
        <f t="shared" si="22"/>
        <v/>
      </c>
      <c r="AG459" s="8" t="str">
        <f>IF(TRIM($E459)&lt;&gt;"Tax Paid","",IF(COUNTIFS(LISTS!$F$2:$F$26,$AE459,LISTS!$G$2:$G$26,$AF459)=0,"NOT ON LIST",""))</f>
        <v/>
      </c>
      <c r="AH459" s="8" t="str">
        <f t="shared" si="23"/>
        <v/>
      </c>
    </row>
    <row r="460" spans="31:34" x14ac:dyDescent="0.25">
      <c r="AE460" s="8" t="str">
        <f t="shared" si="21"/>
        <v/>
      </c>
      <c r="AF460" s="8" t="str">
        <f t="shared" si="22"/>
        <v/>
      </c>
      <c r="AG460" s="8" t="str">
        <f>IF(TRIM($E460)&lt;&gt;"Tax Paid","",IF(COUNTIFS(LISTS!$F$2:$F$26,$AE460,LISTS!$G$2:$G$26,$AF460)=0,"NOT ON LIST",""))</f>
        <v/>
      </c>
      <c r="AH460" s="8" t="str">
        <f t="shared" si="23"/>
        <v/>
      </c>
    </row>
    <row r="461" spans="31:34" x14ac:dyDescent="0.25">
      <c r="AE461" s="8" t="str">
        <f t="shared" si="21"/>
        <v/>
      </c>
      <c r="AF461" s="8" t="str">
        <f t="shared" si="22"/>
        <v/>
      </c>
      <c r="AG461" s="8" t="str">
        <f>IF(TRIM($E461)&lt;&gt;"Tax Paid","",IF(COUNTIFS(LISTS!$F$2:$F$26,$AE461,LISTS!$G$2:$G$26,$AF461)=0,"NOT ON LIST",""))</f>
        <v/>
      </c>
      <c r="AH461" s="8" t="str">
        <f t="shared" si="23"/>
        <v/>
      </c>
    </row>
    <row r="462" spans="31:34" x14ac:dyDescent="0.25">
      <c r="AE462" s="8" t="str">
        <f t="shared" si="21"/>
        <v/>
      </c>
      <c r="AF462" s="8" t="str">
        <f t="shared" si="22"/>
        <v/>
      </c>
      <c r="AG462" s="8" t="str">
        <f>IF(TRIM($E462)&lt;&gt;"Tax Paid","",IF(COUNTIFS(LISTS!$F$2:$F$26,$AE462,LISTS!$G$2:$G$26,$AF462)=0,"NOT ON LIST",""))</f>
        <v/>
      </c>
      <c r="AH462" s="8" t="str">
        <f t="shared" si="23"/>
        <v/>
      </c>
    </row>
    <row r="463" spans="31:34" x14ac:dyDescent="0.25">
      <c r="AE463" s="8" t="str">
        <f t="shared" si="21"/>
        <v/>
      </c>
      <c r="AF463" s="8" t="str">
        <f t="shared" si="22"/>
        <v/>
      </c>
      <c r="AG463" s="8" t="str">
        <f>IF(TRIM($E463)&lt;&gt;"Tax Paid","",IF(COUNTIFS(LISTS!$F$2:$F$26,$AE463,LISTS!$G$2:$G$26,$AF463)=0,"NOT ON LIST",""))</f>
        <v/>
      </c>
      <c r="AH463" s="8" t="str">
        <f t="shared" si="23"/>
        <v/>
      </c>
    </row>
    <row r="464" spans="31:34" x14ac:dyDescent="0.25">
      <c r="AE464" s="8" t="str">
        <f t="shared" si="21"/>
        <v/>
      </c>
      <c r="AF464" s="8" t="str">
        <f t="shared" si="22"/>
        <v/>
      </c>
      <c r="AG464" s="8" t="str">
        <f>IF(TRIM($E464)&lt;&gt;"Tax Paid","",IF(COUNTIFS(LISTS!$F$2:$F$26,$AE464,LISTS!$G$2:$G$26,$AF464)=0,"NOT ON LIST",""))</f>
        <v/>
      </c>
      <c r="AH464" s="8" t="str">
        <f t="shared" si="23"/>
        <v/>
      </c>
    </row>
    <row r="465" spans="31:34" x14ac:dyDescent="0.25">
      <c r="AE465" s="8" t="str">
        <f t="shared" si="21"/>
        <v/>
      </c>
      <c r="AF465" s="8" t="str">
        <f t="shared" si="22"/>
        <v/>
      </c>
      <c r="AG465" s="8" t="str">
        <f>IF(TRIM($E465)&lt;&gt;"Tax Paid","",IF(COUNTIFS(LISTS!$F$2:$F$26,$AE465,LISTS!$G$2:$G$26,$AF465)=0,"NOT ON LIST",""))</f>
        <v/>
      </c>
      <c r="AH465" s="8" t="str">
        <f t="shared" si="23"/>
        <v/>
      </c>
    </row>
    <row r="466" spans="31:34" x14ac:dyDescent="0.25">
      <c r="AE466" s="8" t="str">
        <f t="shared" si="21"/>
        <v/>
      </c>
      <c r="AF466" s="8" t="str">
        <f t="shared" si="22"/>
        <v/>
      </c>
      <c r="AG466" s="8" t="str">
        <f>IF(TRIM($E466)&lt;&gt;"Tax Paid","",IF(COUNTIFS(LISTS!$F$2:$F$26,$AE466,LISTS!$G$2:$G$26,$AF466)=0,"NOT ON LIST",""))</f>
        <v/>
      </c>
      <c r="AH466" s="8" t="str">
        <f t="shared" si="23"/>
        <v/>
      </c>
    </row>
    <row r="467" spans="31:34" x14ac:dyDescent="0.25">
      <c r="AE467" s="8" t="str">
        <f t="shared" si="21"/>
        <v/>
      </c>
      <c r="AF467" s="8" t="str">
        <f t="shared" si="22"/>
        <v/>
      </c>
      <c r="AG467" s="8" t="str">
        <f>IF(TRIM($E467)&lt;&gt;"Tax Paid","",IF(COUNTIFS(LISTS!$F$2:$F$26,$AE467,LISTS!$G$2:$G$26,$AF467)=0,"NOT ON LIST",""))</f>
        <v/>
      </c>
      <c r="AH467" s="8" t="str">
        <f t="shared" si="23"/>
        <v/>
      </c>
    </row>
    <row r="468" spans="31:34" x14ac:dyDescent="0.25">
      <c r="AE468" s="8" t="str">
        <f t="shared" si="21"/>
        <v/>
      </c>
      <c r="AF468" s="8" t="str">
        <f t="shared" si="22"/>
        <v/>
      </c>
      <c r="AG468" s="8" t="str">
        <f>IF(TRIM($E468)&lt;&gt;"Tax Paid","",IF(COUNTIFS(LISTS!$F$2:$F$26,$AE468,LISTS!$G$2:$G$26,$AF468)=0,"NOT ON LIST",""))</f>
        <v/>
      </c>
      <c r="AH468" s="8" t="str">
        <f t="shared" si="23"/>
        <v/>
      </c>
    </row>
    <row r="469" spans="31:34" x14ac:dyDescent="0.25">
      <c r="AE469" s="8" t="str">
        <f t="shared" si="21"/>
        <v/>
      </c>
      <c r="AF469" s="8" t="str">
        <f t="shared" si="22"/>
        <v/>
      </c>
      <c r="AG469" s="8" t="str">
        <f>IF(TRIM($E469)&lt;&gt;"Tax Paid","",IF(COUNTIFS(LISTS!$F$2:$F$26,$AE469,LISTS!$G$2:$G$26,$AF469)=0,"NOT ON LIST",""))</f>
        <v/>
      </c>
      <c r="AH469" s="8" t="str">
        <f t="shared" si="23"/>
        <v/>
      </c>
    </row>
    <row r="470" spans="31:34" x14ac:dyDescent="0.25">
      <c r="AE470" s="8" t="str">
        <f t="shared" si="21"/>
        <v/>
      </c>
      <c r="AF470" s="8" t="str">
        <f t="shared" si="22"/>
        <v/>
      </c>
      <c r="AG470" s="8" t="str">
        <f>IF(TRIM($E470)&lt;&gt;"Tax Paid","",IF(COUNTIFS(LISTS!$F$2:$F$26,$AE470,LISTS!$G$2:$G$26,$AF470)=0,"NOT ON LIST",""))</f>
        <v/>
      </c>
      <c r="AH470" s="8" t="str">
        <f t="shared" si="23"/>
        <v/>
      </c>
    </row>
    <row r="471" spans="31:34" x14ac:dyDescent="0.25">
      <c r="AE471" s="8" t="str">
        <f t="shared" si="21"/>
        <v/>
      </c>
      <c r="AF471" s="8" t="str">
        <f t="shared" si="22"/>
        <v/>
      </c>
      <c r="AG471" s="8" t="str">
        <f>IF(TRIM($E471)&lt;&gt;"Tax Paid","",IF(COUNTIFS(LISTS!$F$2:$F$26,$AE471,LISTS!$G$2:$G$26,$AF471)=0,"NOT ON LIST",""))</f>
        <v/>
      </c>
      <c r="AH471" s="8" t="str">
        <f t="shared" si="23"/>
        <v/>
      </c>
    </row>
    <row r="472" spans="31:34" x14ac:dyDescent="0.25">
      <c r="AE472" s="8" t="str">
        <f t="shared" si="21"/>
        <v/>
      </c>
      <c r="AF472" s="8" t="str">
        <f t="shared" si="22"/>
        <v/>
      </c>
      <c r="AG472" s="8" t="str">
        <f>IF(TRIM($E472)&lt;&gt;"Tax Paid","",IF(COUNTIFS(LISTS!$F$2:$F$26,$AE472,LISTS!$G$2:$G$26,$AF472)=0,"NOT ON LIST",""))</f>
        <v/>
      </c>
      <c r="AH472" s="8" t="str">
        <f t="shared" si="23"/>
        <v/>
      </c>
    </row>
    <row r="473" spans="31:34" x14ac:dyDescent="0.25">
      <c r="AE473" s="8" t="str">
        <f t="shared" si="21"/>
        <v/>
      </c>
      <c r="AF473" s="8" t="str">
        <f t="shared" si="22"/>
        <v/>
      </c>
      <c r="AG473" s="8" t="str">
        <f>IF(TRIM($E473)&lt;&gt;"Tax Paid","",IF(COUNTIFS(LISTS!$F$2:$F$26,$AE473,LISTS!$G$2:$G$26,$AF473)=0,"NOT ON LIST",""))</f>
        <v/>
      </c>
      <c r="AH473" s="8" t="str">
        <f t="shared" si="23"/>
        <v/>
      </c>
    </row>
    <row r="474" spans="31:34" x14ac:dyDescent="0.25">
      <c r="AE474" s="8" t="str">
        <f t="shared" si="21"/>
        <v/>
      </c>
      <c r="AF474" s="8" t="str">
        <f t="shared" si="22"/>
        <v/>
      </c>
      <c r="AG474" s="8" t="str">
        <f>IF(TRIM($E474)&lt;&gt;"Tax Paid","",IF(COUNTIFS(LISTS!$F$2:$F$26,$AE474,LISTS!$G$2:$G$26,$AF474)=0,"NOT ON LIST",""))</f>
        <v/>
      </c>
      <c r="AH474" s="8" t="str">
        <f t="shared" si="23"/>
        <v/>
      </c>
    </row>
    <row r="475" spans="31:34" x14ac:dyDescent="0.25">
      <c r="AE475" s="8" t="str">
        <f t="shared" si="21"/>
        <v/>
      </c>
      <c r="AF475" s="8" t="str">
        <f t="shared" si="22"/>
        <v/>
      </c>
      <c r="AG475" s="8" t="str">
        <f>IF(TRIM($E475)&lt;&gt;"Tax Paid","",IF(COUNTIFS(LISTS!$F$2:$F$26,$AE475,LISTS!$G$2:$G$26,$AF475)=0,"NOT ON LIST",""))</f>
        <v/>
      </c>
      <c r="AH475" s="8" t="str">
        <f t="shared" si="23"/>
        <v/>
      </c>
    </row>
    <row r="476" spans="31:34" x14ac:dyDescent="0.25">
      <c r="AE476" s="8" t="str">
        <f t="shared" si="21"/>
        <v/>
      </c>
      <c r="AF476" s="8" t="str">
        <f t="shared" si="22"/>
        <v/>
      </c>
      <c r="AG476" s="8" t="str">
        <f>IF(TRIM($E476)&lt;&gt;"Tax Paid","",IF(COUNTIFS(LISTS!$F$2:$F$26,$AE476,LISTS!$G$2:$G$26,$AF476)=0,"NOT ON LIST",""))</f>
        <v/>
      </c>
      <c r="AH476" s="8" t="str">
        <f t="shared" si="23"/>
        <v/>
      </c>
    </row>
    <row r="477" spans="31:34" x14ac:dyDescent="0.25">
      <c r="AE477" s="8" t="str">
        <f t="shared" si="21"/>
        <v/>
      </c>
      <c r="AF477" s="8" t="str">
        <f t="shared" si="22"/>
        <v/>
      </c>
      <c r="AG477" s="8" t="str">
        <f>IF(TRIM($E477)&lt;&gt;"Tax Paid","",IF(COUNTIFS(LISTS!$F$2:$F$26,$AE477,LISTS!$G$2:$G$26,$AF477)=0,"NOT ON LIST",""))</f>
        <v/>
      </c>
      <c r="AH477" s="8" t="str">
        <f t="shared" si="23"/>
        <v/>
      </c>
    </row>
    <row r="478" spans="31:34" x14ac:dyDescent="0.25">
      <c r="AE478" s="8" t="str">
        <f t="shared" si="21"/>
        <v/>
      </c>
      <c r="AF478" s="8" t="str">
        <f t="shared" si="22"/>
        <v/>
      </c>
      <c r="AG478" s="8" t="str">
        <f>IF(TRIM($E478)&lt;&gt;"Tax Paid","",IF(COUNTIFS(LISTS!$F$2:$F$26,$AE478,LISTS!$G$2:$G$26,$AF478)=0,"NOT ON LIST",""))</f>
        <v/>
      </c>
      <c r="AH478" s="8" t="str">
        <f t="shared" si="23"/>
        <v/>
      </c>
    </row>
    <row r="479" spans="31:34" x14ac:dyDescent="0.25">
      <c r="AE479" s="8" t="str">
        <f t="shared" si="21"/>
        <v/>
      </c>
      <c r="AF479" s="8" t="str">
        <f t="shared" si="22"/>
        <v/>
      </c>
      <c r="AG479" s="8" t="str">
        <f>IF(TRIM($E479)&lt;&gt;"Tax Paid","",IF(COUNTIFS(LISTS!$F$2:$F$26,$AE479,LISTS!$G$2:$G$26,$AF479)=0,"NOT ON LIST",""))</f>
        <v/>
      </c>
      <c r="AH479" s="8" t="str">
        <f t="shared" si="23"/>
        <v/>
      </c>
    </row>
    <row r="480" spans="31:34" x14ac:dyDescent="0.25">
      <c r="AE480" s="8" t="str">
        <f t="shared" si="21"/>
        <v/>
      </c>
      <c r="AF480" s="8" t="str">
        <f t="shared" si="22"/>
        <v/>
      </c>
      <c r="AG480" s="8" t="str">
        <f>IF(TRIM($E480)&lt;&gt;"Tax Paid","",IF(COUNTIFS(LISTS!$F$2:$F$26,$AE480,LISTS!$G$2:$G$26,$AF480)=0,"NOT ON LIST",""))</f>
        <v/>
      </c>
      <c r="AH480" s="8" t="str">
        <f t="shared" si="23"/>
        <v/>
      </c>
    </row>
    <row r="481" spans="31:34" x14ac:dyDescent="0.25">
      <c r="AE481" s="8" t="str">
        <f t="shared" si="21"/>
        <v/>
      </c>
      <c r="AF481" s="8" t="str">
        <f t="shared" si="22"/>
        <v/>
      </c>
      <c r="AG481" s="8" t="str">
        <f>IF(TRIM($E481)&lt;&gt;"Tax Paid","",IF(COUNTIFS(LISTS!$F$2:$F$26,$AE481,LISTS!$G$2:$G$26,$AF481)=0,"NOT ON LIST",""))</f>
        <v/>
      </c>
      <c r="AH481" s="8" t="str">
        <f t="shared" si="23"/>
        <v/>
      </c>
    </row>
    <row r="482" spans="31:34" x14ac:dyDescent="0.25">
      <c r="AE482" s="8" t="str">
        <f t="shared" si="21"/>
        <v/>
      </c>
      <c r="AF482" s="8" t="str">
        <f t="shared" si="22"/>
        <v/>
      </c>
      <c r="AG482" s="8" t="str">
        <f>IF(TRIM($E482)&lt;&gt;"Tax Paid","",IF(COUNTIFS(LISTS!$F$2:$F$26,$AE482,LISTS!$G$2:$G$26,$AF482)=0,"NOT ON LIST",""))</f>
        <v/>
      </c>
      <c r="AH482" s="8" t="str">
        <f t="shared" si="23"/>
        <v/>
      </c>
    </row>
    <row r="483" spans="31:34" x14ac:dyDescent="0.25">
      <c r="AE483" s="8" t="str">
        <f t="shared" si="21"/>
        <v/>
      </c>
      <c r="AF483" s="8" t="str">
        <f t="shared" si="22"/>
        <v/>
      </c>
      <c r="AG483" s="8" t="str">
        <f>IF(TRIM($E483)&lt;&gt;"Tax Paid","",IF(COUNTIFS(LISTS!$F$2:$F$26,$AE483,LISTS!$G$2:$G$26,$AF483)=0,"NOT ON LIST",""))</f>
        <v/>
      </c>
      <c r="AH483" s="8" t="str">
        <f t="shared" si="23"/>
        <v/>
      </c>
    </row>
    <row r="484" spans="31:34" x14ac:dyDescent="0.25">
      <c r="AE484" s="8" t="str">
        <f t="shared" si="21"/>
        <v/>
      </c>
      <c r="AF484" s="8" t="str">
        <f t="shared" si="22"/>
        <v/>
      </c>
      <c r="AG484" s="8" t="str">
        <f>IF(TRIM($E484)&lt;&gt;"Tax Paid","",IF(COUNTIFS(LISTS!$F$2:$F$26,$AE484,LISTS!$G$2:$G$26,$AF484)=0,"NOT ON LIST",""))</f>
        <v/>
      </c>
      <c r="AH484" s="8" t="str">
        <f t="shared" si="23"/>
        <v/>
      </c>
    </row>
    <row r="485" spans="31:34" x14ac:dyDescent="0.25">
      <c r="AE485" s="8" t="str">
        <f t="shared" si="21"/>
        <v/>
      </c>
      <c r="AF485" s="8" t="str">
        <f t="shared" si="22"/>
        <v/>
      </c>
      <c r="AG485" s="8" t="str">
        <f>IF(TRIM($E485)&lt;&gt;"Tax Paid","",IF(COUNTIFS(LISTS!$F$2:$F$26,$AE485,LISTS!$G$2:$G$26,$AF485)=0,"NOT ON LIST",""))</f>
        <v/>
      </c>
      <c r="AH485" s="8" t="str">
        <f t="shared" si="23"/>
        <v/>
      </c>
    </row>
    <row r="486" spans="31:34" x14ac:dyDescent="0.25">
      <c r="AE486" s="8" t="str">
        <f t="shared" si="21"/>
        <v/>
      </c>
      <c r="AF486" s="8" t="str">
        <f t="shared" si="22"/>
        <v/>
      </c>
      <c r="AG486" s="8" t="str">
        <f>IF(TRIM($E486)&lt;&gt;"Tax Paid","",IF(COUNTIFS(LISTS!$F$2:$F$26,$AE486,LISTS!$G$2:$G$26,$AF486)=0,"NOT ON LIST",""))</f>
        <v/>
      </c>
      <c r="AH486" s="8" t="str">
        <f t="shared" si="23"/>
        <v/>
      </c>
    </row>
    <row r="487" spans="31:34" x14ac:dyDescent="0.25">
      <c r="AE487" s="8" t="str">
        <f t="shared" si="21"/>
        <v/>
      </c>
      <c r="AF487" s="8" t="str">
        <f t="shared" si="22"/>
        <v/>
      </c>
      <c r="AG487" s="8" t="str">
        <f>IF(TRIM($E487)&lt;&gt;"Tax Paid","",IF(COUNTIFS(LISTS!$F$2:$F$26,$AE487,LISTS!$G$2:$G$26,$AF487)=0,"NOT ON LIST",""))</f>
        <v/>
      </c>
      <c r="AH487" s="8" t="str">
        <f t="shared" si="23"/>
        <v/>
      </c>
    </row>
    <row r="488" spans="31:34" x14ac:dyDescent="0.25">
      <c r="AE488" s="8" t="str">
        <f t="shared" si="21"/>
        <v/>
      </c>
      <c r="AF488" s="8" t="str">
        <f t="shared" si="22"/>
        <v/>
      </c>
      <c r="AG488" s="8" t="str">
        <f>IF(TRIM($E488)&lt;&gt;"Tax Paid","",IF(COUNTIFS(LISTS!$F$2:$F$26,$AE488,LISTS!$G$2:$G$26,$AF488)=0,"NOT ON LIST",""))</f>
        <v/>
      </c>
      <c r="AH488" s="8" t="str">
        <f t="shared" si="23"/>
        <v/>
      </c>
    </row>
    <row r="489" spans="31:34" x14ac:dyDescent="0.25">
      <c r="AE489" s="8" t="str">
        <f t="shared" si="21"/>
        <v/>
      </c>
      <c r="AF489" s="8" t="str">
        <f t="shared" si="22"/>
        <v/>
      </c>
      <c r="AG489" s="8" t="str">
        <f>IF(TRIM($E489)&lt;&gt;"Tax Paid","",IF(COUNTIFS(LISTS!$F$2:$F$26,$AE489,LISTS!$G$2:$G$26,$AF489)=0,"NOT ON LIST",""))</f>
        <v/>
      </c>
      <c r="AH489" s="8" t="str">
        <f t="shared" si="23"/>
        <v/>
      </c>
    </row>
    <row r="490" spans="31:34" x14ac:dyDescent="0.25">
      <c r="AE490" s="8" t="str">
        <f t="shared" si="21"/>
        <v/>
      </c>
      <c r="AF490" s="8" t="str">
        <f t="shared" si="22"/>
        <v/>
      </c>
      <c r="AG490" s="8" t="str">
        <f>IF(TRIM($E490)&lt;&gt;"Tax Paid","",IF(COUNTIFS(LISTS!$F$2:$F$26,$AE490,LISTS!$G$2:$G$26,$AF490)=0,"NOT ON LIST",""))</f>
        <v/>
      </c>
      <c r="AH490" s="8" t="str">
        <f t="shared" si="23"/>
        <v/>
      </c>
    </row>
    <row r="491" spans="31:34" x14ac:dyDescent="0.25">
      <c r="AE491" s="8" t="str">
        <f t="shared" si="21"/>
        <v/>
      </c>
      <c r="AF491" s="8" t="str">
        <f t="shared" si="22"/>
        <v/>
      </c>
      <c r="AG491" s="8" t="str">
        <f>IF(TRIM($E491)&lt;&gt;"Tax Paid","",IF(COUNTIFS(LISTS!$F$2:$F$26,$AE491,LISTS!$G$2:$G$26,$AF491)=0,"NOT ON LIST",""))</f>
        <v/>
      </c>
      <c r="AH491" s="8" t="str">
        <f t="shared" si="23"/>
        <v/>
      </c>
    </row>
    <row r="492" spans="31:34" x14ac:dyDescent="0.25">
      <c r="AE492" s="8" t="str">
        <f t="shared" si="21"/>
        <v/>
      </c>
      <c r="AF492" s="8" t="str">
        <f t="shared" si="22"/>
        <v/>
      </c>
      <c r="AG492" s="8" t="str">
        <f>IF(TRIM($E492)&lt;&gt;"Tax Paid","",IF(COUNTIFS(LISTS!$F$2:$F$26,$AE492,LISTS!$G$2:$G$26,$AF492)=0,"NOT ON LIST",""))</f>
        <v/>
      </c>
      <c r="AH492" s="8" t="str">
        <f t="shared" si="23"/>
        <v/>
      </c>
    </row>
    <row r="493" spans="31:34" x14ac:dyDescent="0.25">
      <c r="AE493" s="8" t="str">
        <f t="shared" si="21"/>
        <v/>
      </c>
      <c r="AF493" s="8" t="str">
        <f t="shared" si="22"/>
        <v/>
      </c>
      <c r="AG493" s="8" t="str">
        <f>IF(TRIM($E493)&lt;&gt;"Tax Paid","",IF(COUNTIFS(LISTS!$F$2:$F$26,$AE493,LISTS!$G$2:$G$26,$AF493)=0,"NOT ON LIST",""))</f>
        <v/>
      </c>
      <c r="AH493" s="8" t="str">
        <f t="shared" si="23"/>
        <v/>
      </c>
    </row>
    <row r="494" spans="31:34" x14ac:dyDescent="0.25">
      <c r="AE494" s="8" t="str">
        <f t="shared" si="21"/>
        <v/>
      </c>
      <c r="AF494" s="8" t="str">
        <f t="shared" si="22"/>
        <v/>
      </c>
      <c r="AG494" s="8" t="str">
        <f>IF(TRIM($E494)&lt;&gt;"Tax Paid","",IF(COUNTIFS(LISTS!$F$2:$F$26,$AE494,LISTS!$G$2:$G$26,$AF494)=0,"NOT ON LIST",""))</f>
        <v/>
      </c>
      <c r="AH494" s="8" t="str">
        <f t="shared" si="23"/>
        <v/>
      </c>
    </row>
    <row r="495" spans="31:34" x14ac:dyDescent="0.25">
      <c r="AE495" s="8" t="str">
        <f t="shared" si="21"/>
        <v/>
      </c>
      <c r="AF495" s="8" t="str">
        <f t="shared" si="22"/>
        <v/>
      </c>
      <c r="AG495" s="8" t="str">
        <f>IF(TRIM($E495)&lt;&gt;"Tax Paid","",IF(COUNTIFS(LISTS!$F$2:$F$26,$AE495,LISTS!$G$2:$G$26,$AF495)=0,"NOT ON LIST",""))</f>
        <v/>
      </c>
      <c r="AH495" s="8" t="str">
        <f t="shared" si="23"/>
        <v/>
      </c>
    </row>
    <row r="496" spans="31:34" x14ac:dyDescent="0.25">
      <c r="AE496" s="8" t="str">
        <f t="shared" si="21"/>
        <v/>
      </c>
      <c r="AF496" s="8" t="str">
        <f t="shared" si="22"/>
        <v/>
      </c>
      <c r="AG496" s="8" t="str">
        <f>IF(TRIM($E496)&lt;&gt;"Tax Paid","",IF(COUNTIFS(LISTS!$F$2:$F$26,$AE496,LISTS!$G$2:$G$26,$AF496)=0,"NOT ON LIST",""))</f>
        <v/>
      </c>
      <c r="AH496" s="8" t="str">
        <f t="shared" si="23"/>
        <v/>
      </c>
    </row>
    <row r="497" spans="31:34" x14ac:dyDescent="0.25">
      <c r="AE497" s="8" t="str">
        <f t="shared" si="21"/>
        <v/>
      </c>
      <c r="AF497" s="8" t="str">
        <f t="shared" si="22"/>
        <v/>
      </c>
      <c r="AG497" s="8" t="str">
        <f>IF(TRIM($E497)&lt;&gt;"Tax Paid","",IF(COUNTIFS(LISTS!$F$2:$F$26,$AE497,LISTS!$G$2:$G$26,$AF497)=0,"NOT ON LIST",""))</f>
        <v/>
      </c>
      <c r="AH497" s="8" t="str">
        <f t="shared" si="23"/>
        <v/>
      </c>
    </row>
    <row r="498" spans="31:34" x14ac:dyDescent="0.25">
      <c r="AE498" s="8" t="str">
        <f t="shared" si="21"/>
        <v/>
      </c>
      <c r="AF498" s="8" t="str">
        <f t="shared" si="22"/>
        <v/>
      </c>
      <c r="AG498" s="8" t="str">
        <f>IF(TRIM($E498)&lt;&gt;"Tax Paid","",IF(COUNTIFS(LISTS!$F$2:$F$26,$AE498,LISTS!$G$2:$G$26,$AF498)=0,"NOT ON LIST",""))</f>
        <v/>
      </c>
      <c r="AH498" s="8" t="str">
        <f t="shared" si="23"/>
        <v/>
      </c>
    </row>
    <row r="499" spans="31:34" x14ac:dyDescent="0.25">
      <c r="AE499" s="8" t="str">
        <f t="shared" si="21"/>
        <v/>
      </c>
      <c r="AF499" s="8" t="str">
        <f t="shared" si="22"/>
        <v/>
      </c>
      <c r="AG499" s="8" t="str">
        <f>IF(TRIM($E499)&lt;&gt;"Tax Paid","",IF(COUNTIFS(LISTS!$F$2:$F$26,$AE499,LISTS!$G$2:$G$26,$AF499)=0,"NOT ON LIST",""))</f>
        <v/>
      </c>
      <c r="AH499" s="8" t="str">
        <f t="shared" si="23"/>
        <v/>
      </c>
    </row>
    <row r="500" spans="31:34" x14ac:dyDescent="0.25">
      <c r="AE500" s="8" t="str">
        <f t="shared" si="21"/>
        <v/>
      </c>
      <c r="AF500" s="8" t="str">
        <f t="shared" si="22"/>
        <v/>
      </c>
      <c r="AG500" s="8" t="str">
        <f>IF(TRIM($E500)&lt;&gt;"Tax Paid","",IF(COUNTIFS(LISTS!$F$2:$F$26,$AE500,LISTS!$G$2:$G$26,$AF500)=0,"NOT ON LIST",""))</f>
        <v/>
      </c>
      <c r="AH500" s="8" t="str">
        <f t="shared" si="23"/>
        <v/>
      </c>
    </row>
    <row r="501" spans="31:34" x14ac:dyDescent="0.25">
      <c r="AE501" s="8" t="str">
        <f t="shared" si="21"/>
        <v/>
      </c>
      <c r="AF501" s="8" t="str">
        <f t="shared" si="22"/>
        <v/>
      </c>
      <c r="AG501" s="8" t="str">
        <f>IF(TRIM($E501)&lt;&gt;"Tax Paid","",IF(COUNTIFS(LISTS!$F$2:$F$26,$AE501,LISTS!$G$2:$G$26,$AF501)=0,"NOT ON LIST",""))</f>
        <v/>
      </c>
      <c r="AH501" s="8" t="str">
        <f t="shared" si="23"/>
        <v/>
      </c>
    </row>
    <row r="502" spans="31:34" x14ac:dyDescent="0.25">
      <c r="AE502" s="8" t="str">
        <f t="shared" si="21"/>
        <v/>
      </c>
      <c r="AF502" s="8" t="str">
        <f t="shared" si="22"/>
        <v/>
      </c>
      <c r="AG502" s="8" t="str">
        <f>IF(TRIM($E502)&lt;&gt;"Tax Paid","",IF(COUNTIFS(LISTS!$F$2:$F$26,$AE502,LISTS!$G$2:$G$26,$AF502)=0,"NOT ON LIST",""))</f>
        <v/>
      </c>
      <c r="AH502" s="8" t="str">
        <f t="shared" si="23"/>
        <v/>
      </c>
    </row>
    <row r="503" spans="31:34" x14ac:dyDescent="0.25">
      <c r="AE503" s="8" t="str">
        <f t="shared" si="21"/>
        <v/>
      </c>
      <c r="AF503" s="8" t="str">
        <f t="shared" si="22"/>
        <v/>
      </c>
      <c r="AG503" s="8" t="str">
        <f>IF(TRIM($E503)&lt;&gt;"Tax Paid","",IF(COUNTIFS(LISTS!$F$2:$F$26,$AE503,LISTS!$G$2:$G$26,$AF503)=0,"NOT ON LIST",""))</f>
        <v/>
      </c>
      <c r="AH503" s="8" t="str">
        <f t="shared" si="23"/>
        <v/>
      </c>
    </row>
    <row r="504" spans="31:34" x14ac:dyDescent="0.25">
      <c r="AE504" s="8" t="str">
        <f t="shared" si="21"/>
        <v/>
      </c>
      <c r="AF504" s="8" t="str">
        <f t="shared" si="22"/>
        <v/>
      </c>
      <c r="AG504" s="8" t="str">
        <f>IF(TRIM($E504)&lt;&gt;"Tax Paid","",IF(COUNTIFS(LISTS!$F$2:$F$26,$AE504,LISTS!$G$2:$G$26,$AF504)=0,"NOT ON LIST",""))</f>
        <v/>
      </c>
      <c r="AH504" s="8" t="str">
        <f t="shared" si="23"/>
        <v/>
      </c>
    </row>
    <row r="505" spans="31:34" x14ac:dyDescent="0.25">
      <c r="AE505" s="8" t="str">
        <f t="shared" si="21"/>
        <v/>
      </c>
      <c r="AF505" s="8" t="str">
        <f t="shared" si="22"/>
        <v/>
      </c>
      <c r="AG505" s="8" t="str">
        <f>IF(TRIM($E505)&lt;&gt;"Tax Paid","",IF(COUNTIFS(LISTS!$F$2:$F$26,$AE505,LISTS!$G$2:$G$26,$AF505)=0,"NOT ON LIST",""))</f>
        <v/>
      </c>
      <c r="AH505" s="8" t="str">
        <f t="shared" si="23"/>
        <v/>
      </c>
    </row>
    <row r="506" spans="31:34" x14ac:dyDescent="0.25">
      <c r="AE506" s="8" t="str">
        <f t="shared" si="21"/>
        <v/>
      </c>
      <c r="AF506" s="8" t="str">
        <f t="shared" si="22"/>
        <v/>
      </c>
      <c r="AG506" s="8" t="str">
        <f>IF(TRIM($E506)&lt;&gt;"Tax Paid","",IF(COUNTIFS(LISTS!$F$2:$F$26,$AE506,LISTS!$G$2:$G$26,$AF506)=0,"NOT ON LIST",""))</f>
        <v/>
      </c>
      <c r="AH506" s="8" t="str">
        <f t="shared" si="23"/>
        <v/>
      </c>
    </row>
    <row r="507" spans="31:34" x14ac:dyDescent="0.25">
      <c r="AE507" s="8" t="str">
        <f t="shared" si="21"/>
        <v/>
      </c>
      <c r="AF507" s="8" t="str">
        <f t="shared" si="22"/>
        <v/>
      </c>
      <c r="AG507" s="8" t="str">
        <f>IF(TRIM($E507)&lt;&gt;"Tax Paid","",IF(COUNTIFS(LISTS!$F$2:$F$26,$AE507,LISTS!$G$2:$G$26,$AF507)=0,"NOT ON LIST",""))</f>
        <v/>
      </c>
      <c r="AH507" s="8" t="str">
        <f t="shared" si="23"/>
        <v/>
      </c>
    </row>
    <row r="508" spans="31:34" x14ac:dyDescent="0.25">
      <c r="AE508" s="8" t="str">
        <f t="shared" si="21"/>
        <v/>
      </c>
      <c r="AF508" s="8" t="str">
        <f t="shared" si="22"/>
        <v/>
      </c>
      <c r="AG508" s="8" t="str">
        <f>IF(TRIM($E508)&lt;&gt;"Tax Paid","",IF(COUNTIFS(LISTS!$F$2:$F$26,$AE508,LISTS!$G$2:$G$26,$AF508)=0,"NOT ON LIST",""))</f>
        <v/>
      </c>
      <c r="AH508" s="8" t="str">
        <f t="shared" si="23"/>
        <v/>
      </c>
    </row>
    <row r="509" spans="31:34" x14ac:dyDescent="0.25">
      <c r="AE509" s="8" t="str">
        <f t="shared" si="21"/>
        <v/>
      </c>
      <c r="AF509" s="8" t="str">
        <f t="shared" si="22"/>
        <v/>
      </c>
      <c r="AG509" s="8" t="str">
        <f>IF(TRIM($E509)&lt;&gt;"Tax Paid","",IF(COUNTIFS(LISTS!$F$2:$F$26,$AE509,LISTS!$G$2:$G$26,$AF509)=0,"NOT ON LIST",""))</f>
        <v/>
      </c>
      <c r="AH509" s="8" t="str">
        <f t="shared" si="23"/>
        <v/>
      </c>
    </row>
    <row r="510" spans="31:34" x14ac:dyDescent="0.25">
      <c r="AE510" s="8" t="str">
        <f t="shared" si="21"/>
        <v/>
      </c>
      <c r="AF510" s="8" t="str">
        <f t="shared" si="22"/>
        <v/>
      </c>
      <c r="AG510" s="8" t="str">
        <f>IF(TRIM($E510)&lt;&gt;"Tax Paid","",IF(COUNTIFS(LISTS!$F$2:$F$26,$AE510,LISTS!$G$2:$G$26,$AF510)=0,"NOT ON LIST",""))</f>
        <v/>
      </c>
      <c r="AH510" s="8" t="str">
        <f t="shared" si="23"/>
        <v/>
      </c>
    </row>
    <row r="511" spans="31:34" x14ac:dyDescent="0.25">
      <c r="AE511" s="8" t="str">
        <f t="shared" si="21"/>
        <v/>
      </c>
      <c r="AF511" s="8" t="str">
        <f t="shared" si="22"/>
        <v/>
      </c>
      <c r="AG511" s="8" t="str">
        <f>IF(TRIM($E511)&lt;&gt;"Tax Paid","",IF(COUNTIFS(LISTS!$F$2:$F$26,$AE511,LISTS!$G$2:$G$26,$AF511)=0,"NOT ON LIST",""))</f>
        <v/>
      </c>
      <c r="AH511" s="8" t="str">
        <f t="shared" si="23"/>
        <v/>
      </c>
    </row>
    <row r="512" spans="31:34" x14ac:dyDescent="0.25">
      <c r="AE512" s="8" t="str">
        <f t="shared" si="21"/>
        <v/>
      </c>
      <c r="AF512" s="8" t="str">
        <f t="shared" si="22"/>
        <v/>
      </c>
      <c r="AG512" s="8" t="str">
        <f>IF(TRIM($E512)&lt;&gt;"Tax Paid","",IF(COUNTIFS(LISTS!$F$2:$F$26,$AE512,LISTS!$G$2:$G$26,$AF512)=0,"NOT ON LIST",""))</f>
        <v/>
      </c>
      <c r="AH512" s="8" t="str">
        <f t="shared" si="23"/>
        <v/>
      </c>
    </row>
    <row r="513" spans="31:34" x14ac:dyDescent="0.25">
      <c r="AE513" s="8" t="str">
        <f t="shared" si="21"/>
        <v/>
      </c>
      <c r="AF513" s="8" t="str">
        <f t="shared" si="22"/>
        <v/>
      </c>
      <c r="AG513" s="8" t="str">
        <f>IF(TRIM($E513)&lt;&gt;"Tax Paid","",IF(COUNTIFS(LISTS!$F$2:$F$26,$AE513,LISTS!$G$2:$G$26,$AF513)=0,"NOT ON LIST",""))</f>
        <v/>
      </c>
      <c r="AH513" s="8" t="str">
        <f t="shared" si="23"/>
        <v/>
      </c>
    </row>
    <row r="514" spans="31:34" x14ac:dyDescent="0.25">
      <c r="AE514" s="8" t="str">
        <f t="shared" ref="AE514:AE577" si="24">IF(TRIM($E514)="Tax Paid",TRIM($S514),"")</f>
        <v/>
      </c>
      <c r="AF514" s="8" t="str">
        <f t="shared" ref="AF514:AF577" si="25">IF(TRIM($E514)="Tax Paid",ROUND($Z514/100,5),"")</f>
        <v/>
      </c>
      <c r="AG514" s="8" t="str">
        <f>IF(TRIM($E514)&lt;&gt;"Tax Paid","",IF(COUNTIFS(LISTS!$F$2:$F$26,$AE514,LISTS!$G$2:$G$26,$AF514)=0,"NOT ON LIST",""))</f>
        <v/>
      </c>
      <c r="AH514" s="8" t="str">
        <f t="shared" ref="AH514:AH577" si="26">IF($AG514="","",IF($AE514="","(no county)",$AE514)&amp;" ("&amp;SUBSTITUTE(TEXT($AF514,"0.###%"),".%","%")&amp;")")</f>
        <v/>
      </c>
    </row>
    <row r="515" spans="31:34" x14ac:dyDescent="0.25">
      <c r="AE515" s="8" t="str">
        <f t="shared" si="24"/>
        <v/>
      </c>
      <c r="AF515" s="8" t="str">
        <f t="shared" si="25"/>
        <v/>
      </c>
      <c r="AG515" s="8" t="str">
        <f>IF(TRIM($E515)&lt;&gt;"Tax Paid","",IF(COUNTIFS(LISTS!$F$2:$F$26,$AE515,LISTS!$G$2:$G$26,$AF515)=0,"NOT ON LIST",""))</f>
        <v/>
      </c>
      <c r="AH515" s="8" t="str">
        <f t="shared" si="26"/>
        <v/>
      </c>
    </row>
    <row r="516" spans="31:34" x14ac:dyDescent="0.25">
      <c r="AE516" s="8" t="str">
        <f t="shared" si="24"/>
        <v/>
      </c>
      <c r="AF516" s="8" t="str">
        <f t="shared" si="25"/>
        <v/>
      </c>
      <c r="AG516" s="8" t="str">
        <f>IF(TRIM($E516)&lt;&gt;"Tax Paid","",IF(COUNTIFS(LISTS!$F$2:$F$26,$AE516,LISTS!$G$2:$G$26,$AF516)=0,"NOT ON LIST",""))</f>
        <v/>
      </c>
      <c r="AH516" s="8" t="str">
        <f t="shared" si="26"/>
        <v/>
      </c>
    </row>
    <row r="517" spans="31:34" x14ac:dyDescent="0.25">
      <c r="AE517" s="8" t="str">
        <f t="shared" si="24"/>
        <v/>
      </c>
      <c r="AF517" s="8" t="str">
        <f t="shared" si="25"/>
        <v/>
      </c>
      <c r="AG517" s="8" t="str">
        <f>IF(TRIM($E517)&lt;&gt;"Tax Paid","",IF(COUNTIFS(LISTS!$F$2:$F$26,$AE517,LISTS!$G$2:$G$26,$AF517)=0,"NOT ON LIST",""))</f>
        <v/>
      </c>
      <c r="AH517" s="8" t="str">
        <f t="shared" si="26"/>
        <v/>
      </c>
    </row>
    <row r="518" spans="31:34" x14ac:dyDescent="0.25">
      <c r="AE518" s="8" t="str">
        <f t="shared" si="24"/>
        <v/>
      </c>
      <c r="AF518" s="8" t="str">
        <f t="shared" si="25"/>
        <v/>
      </c>
      <c r="AG518" s="8" t="str">
        <f>IF(TRIM($E518)&lt;&gt;"Tax Paid","",IF(COUNTIFS(LISTS!$F$2:$F$26,$AE518,LISTS!$G$2:$G$26,$AF518)=0,"NOT ON LIST",""))</f>
        <v/>
      </c>
      <c r="AH518" s="8" t="str">
        <f t="shared" si="26"/>
        <v/>
      </c>
    </row>
    <row r="519" spans="31:34" x14ac:dyDescent="0.25">
      <c r="AE519" s="8" t="str">
        <f t="shared" si="24"/>
        <v/>
      </c>
      <c r="AF519" s="8" t="str">
        <f t="shared" si="25"/>
        <v/>
      </c>
      <c r="AG519" s="8" t="str">
        <f>IF(TRIM($E519)&lt;&gt;"Tax Paid","",IF(COUNTIFS(LISTS!$F$2:$F$26,$AE519,LISTS!$G$2:$G$26,$AF519)=0,"NOT ON LIST",""))</f>
        <v/>
      </c>
      <c r="AH519" s="8" t="str">
        <f t="shared" si="26"/>
        <v/>
      </c>
    </row>
    <row r="520" spans="31:34" x14ac:dyDescent="0.25">
      <c r="AE520" s="8" t="str">
        <f t="shared" si="24"/>
        <v/>
      </c>
      <c r="AF520" s="8" t="str">
        <f t="shared" si="25"/>
        <v/>
      </c>
      <c r="AG520" s="8" t="str">
        <f>IF(TRIM($E520)&lt;&gt;"Tax Paid","",IF(COUNTIFS(LISTS!$F$2:$F$26,$AE520,LISTS!$G$2:$G$26,$AF520)=0,"NOT ON LIST",""))</f>
        <v/>
      </c>
      <c r="AH520" s="8" t="str">
        <f t="shared" si="26"/>
        <v/>
      </c>
    </row>
    <row r="521" spans="31:34" x14ac:dyDescent="0.25">
      <c r="AE521" s="8" t="str">
        <f t="shared" si="24"/>
        <v/>
      </c>
      <c r="AF521" s="8" t="str">
        <f t="shared" si="25"/>
        <v/>
      </c>
      <c r="AG521" s="8" t="str">
        <f>IF(TRIM($E521)&lt;&gt;"Tax Paid","",IF(COUNTIFS(LISTS!$F$2:$F$26,$AE521,LISTS!$G$2:$G$26,$AF521)=0,"NOT ON LIST",""))</f>
        <v/>
      </c>
      <c r="AH521" s="8" t="str">
        <f t="shared" si="26"/>
        <v/>
      </c>
    </row>
    <row r="522" spans="31:34" x14ac:dyDescent="0.25">
      <c r="AE522" s="8" t="str">
        <f t="shared" si="24"/>
        <v/>
      </c>
      <c r="AF522" s="8" t="str">
        <f t="shared" si="25"/>
        <v/>
      </c>
      <c r="AG522" s="8" t="str">
        <f>IF(TRIM($E522)&lt;&gt;"Tax Paid","",IF(COUNTIFS(LISTS!$F$2:$F$26,$AE522,LISTS!$G$2:$G$26,$AF522)=0,"NOT ON LIST",""))</f>
        <v/>
      </c>
      <c r="AH522" s="8" t="str">
        <f t="shared" si="26"/>
        <v/>
      </c>
    </row>
    <row r="523" spans="31:34" x14ac:dyDescent="0.25">
      <c r="AE523" s="8" t="str">
        <f t="shared" si="24"/>
        <v/>
      </c>
      <c r="AF523" s="8" t="str">
        <f t="shared" si="25"/>
        <v/>
      </c>
      <c r="AG523" s="8" t="str">
        <f>IF(TRIM($E523)&lt;&gt;"Tax Paid","",IF(COUNTIFS(LISTS!$F$2:$F$26,$AE523,LISTS!$G$2:$G$26,$AF523)=0,"NOT ON LIST",""))</f>
        <v/>
      </c>
      <c r="AH523" s="8" t="str">
        <f t="shared" si="26"/>
        <v/>
      </c>
    </row>
    <row r="524" spans="31:34" x14ac:dyDescent="0.25">
      <c r="AE524" s="8" t="str">
        <f t="shared" si="24"/>
        <v/>
      </c>
      <c r="AF524" s="8" t="str">
        <f t="shared" si="25"/>
        <v/>
      </c>
      <c r="AG524" s="8" t="str">
        <f>IF(TRIM($E524)&lt;&gt;"Tax Paid","",IF(COUNTIFS(LISTS!$F$2:$F$26,$AE524,LISTS!$G$2:$G$26,$AF524)=0,"NOT ON LIST",""))</f>
        <v/>
      </c>
      <c r="AH524" s="8" t="str">
        <f t="shared" si="26"/>
        <v/>
      </c>
    </row>
    <row r="525" spans="31:34" x14ac:dyDescent="0.25">
      <c r="AE525" s="8" t="str">
        <f t="shared" si="24"/>
        <v/>
      </c>
      <c r="AF525" s="8" t="str">
        <f t="shared" si="25"/>
        <v/>
      </c>
      <c r="AG525" s="8" t="str">
        <f>IF(TRIM($E525)&lt;&gt;"Tax Paid","",IF(COUNTIFS(LISTS!$F$2:$F$26,$AE525,LISTS!$G$2:$G$26,$AF525)=0,"NOT ON LIST",""))</f>
        <v/>
      </c>
      <c r="AH525" s="8" t="str">
        <f t="shared" si="26"/>
        <v/>
      </c>
    </row>
    <row r="526" spans="31:34" x14ac:dyDescent="0.25">
      <c r="AE526" s="8" t="str">
        <f t="shared" si="24"/>
        <v/>
      </c>
      <c r="AF526" s="8" t="str">
        <f t="shared" si="25"/>
        <v/>
      </c>
      <c r="AG526" s="8" t="str">
        <f>IF(TRIM($E526)&lt;&gt;"Tax Paid","",IF(COUNTIFS(LISTS!$F$2:$F$26,$AE526,LISTS!$G$2:$G$26,$AF526)=0,"NOT ON LIST",""))</f>
        <v/>
      </c>
      <c r="AH526" s="8" t="str">
        <f t="shared" si="26"/>
        <v/>
      </c>
    </row>
    <row r="527" spans="31:34" x14ac:dyDescent="0.25">
      <c r="AE527" s="8" t="str">
        <f t="shared" si="24"/>
        <v/>
      </c>
      <c r="AF527" s="8" t="str">
        <f t="shared" si="25"/>
        <v/>
      </c>
      <c r="AG527" s="8" t="str">
        <f>IF(TRIM($E527)&lt;&gt;"Tax Paid","",IF(COUNTIFS(LISTS!$F$2:$F$26,$AE527,LISTS!$G$2:$G$26,$AF527)=0,"NOT ON LIST",""))</f>
        <v/>
      </c>
      <c r="AH527" s="8" t="str">
        <f t="shared" si="26"/>
        <v/>
      </c>
    </row>
    <row r="528" spans="31:34" x14ac:dyDescent="0.25">
      <c r="AE528" s="8" t="str">
        <f t="shared" si="24"/>
        <v/>
      </c>
      <c r="AF528" s="8" t="str">
        <f t="shared" si="25"/>
        <v/>
      </c>
      <c r="AG528" s="8" t="str">
        <f>IF(TRIM($E528)&lt;&gt;"Tax Paid","",IF(COUNTIFS(LISTS!$F$2:$F$26,$AE528,LISTS!$G$2:$G$26,$AF528)=0,"NOT ON LIST",""))</f>
        <v/>
      </c>
      <c r="AH528" s="8" t="str">
        <f t="shared" si="26"/>
        <v/>
      </c>
    </row>
    <row r="529" spans="31:34" x14ac:dyDescent="0.25">
      <c r="AE529" s="8" t="str">
        <f t="shared" si="24"/>
        <v/>
      </c>
      <c r="AF529" s="8" t="str">
        <f t="shared" si="25"/>
        <v/>
      </c>
      <c r="AG529" s="8" t="str">
        <f>IF(TRIM($E529)&lt;&gt;"Tax Paid","",IF(COUNTIFS(LISTS!$F$2:$F$26,$AE529,LISTS!$G$2:$G$26,$AF529)=0,"NOT ON LIST",""))</f>
        <v/>
      </c>
      <c r="AH529" s="8" t="str">
        <f t="shared" si="26"/>
        <v/>
      </c>
    </row>
    <row r="530" spans="31:34" x14ac:dyDescent="0.25">
      <c r="AE530" s="8" t="str">
        <f t="shared" si="24"/>
        <v/>
      </c>
      <c r="AF530" s="8" t="str">
        <f t="shared" si="25"/>
        <v/>
      </c>
      <c r="AG530" s="8" t="str">
        <f>IF(TRIM($E530)&lt;&gt;"Tax Paid","",IF(COUNTIFS(LISTS!$F$2:$F$26,$AE530,LISTS!$G$2:$G$26,$AF530)=0,"NOT ON LIST",""))</f>
        <v/>
      </c>
      <c r="AH530" s="8" t="str">
        <f t="shared" si="26"/>
        <v/>
      </c>
    </row>
    <row r="531" spans="31:34" x14ac:dyDescent="0.25">
      <c r="AE531" s="8" t="str">
        <f t="shared" si="24"/>
        <v/>
      </c>
      <c r="AF531" s="8" t="str">
        <f t="shared" si="25"/>
        <v/>
      </c>
      <c r="AG531" s="8" t="str">
        <f>IF(TRIM($E531)&lt;&gt;"Tax Paid","",IF(COUNTIFS(LISTS!$F$2:$F$26,$AE531,LISTS!$G$2:$G$26,$AF531)=0,"NOT ON LIST",""))</f>
        <v/>
      </c>
      <c r="AH531" s="8" t="str">
        <f t="shared" si="26"/>
        <v/>
      </c>
    </row>
    <row r="532" spans="31:34" x14ac:dyDescent="0.25">
      <c r="AE532" s="8" t="str">
        <f t="shared" si="24"/>
        <v/>
      </c>
      <c r="AF532" s="8" t="str">
        <f t="shared" si="25"/>
        <v/>
      </c>
      <c r="AG532" s="8" t="str">
        <f>IF(TRIM($E532)&lt;&gt;"Tax Paid","",IF(COUNTIFS(LISTS!$F$2:$F$26,$AE532,LISTS!$G$2:$G$26,$AF532)=0,"NOT ON LIST",""))</f>
        <v/>
      </c>
      <c r="AH532" s="8" t="str">
        <f t="shared" si="26"/>
        <v/>
      </c>
    </row>
    <row r="533" spans="31:34" x14ac:dyDescent="0.25">
      <c r="AE533" s="8" t="str">
        <f t="shared" si="24"/>
        <v/>
      </c>
      <c r="AF533" s="8" t="str">
        <f t="shared" si="25"/>
        <v/>
      </c>
      <c r="AG533" s="8" t="str">
        <f>IF(TRIM($E533)&lt;&gt;"Tax Paid","",IF(COUNTIFS(LISTS!$F$2:$F$26,$AE533,LISTS!$G$2:$G$26,$AF533)=0,"NOT ON LIST",""))</f>
        <v/>
      </c>
      <c r="AH533" s="8" t="str">
        <f t="shared" si="26"/>
        <v/>
      </c>
    </row>
    <row r="534" spans="31:34" x14ac:dyDescent="0.25">
      <c r="AE534" s="8" t="str">
        <f t="shared" si="24"/>
        <v/>
      </c>
      <c r="AF534" s="8" t="str">
        <f t="shared" si="25"/>
        <v/>
      </c>
      <c r="AG534" s="8" t="str">
        <f>IF(TRIM($E534)&lt;&gt;"Tax Paid","",IF(COUNTIFS(LISTS!$F$2:$F$26,$AE534,LISTS!$G$2:$G$26,$AF534)=0,"NOT ON LIST",""))</f>
        <v/>
      </c>
      <c r="AH534" s="8" t="str">
        <f t="shared" si="26"/>
        <v/>
      </c>
    </row>
    <row r="535" spans="31:34" x14ac:dyDescent="0.25">
      <c r="AE535" s="8" t="str">
        <f t="shared" si="24"/>
        <v/>
      </c>
      <c r="AF535" s="8" t="str">
        <f t="shared" si="25"/>
        <v/>
      </c>
      <c r="AG535" s="8" t="str">
        <f>IF(TRIM($E535)&lt;&gt;"Tax Paid","",IF(COUNTIFS(LISTS!$F$2:$F$26,$AE535,LISTS!$G$2:$G$26,$AF535)=0,"NOT ON LIST",""))</f>
        <v/>
      </c>
      <c r="AH535" s="8" t="str">
        <f t="shared" si="26"/>
        <v/>
      </c>
    </row>
    <row r="536" spans="31:34" x14ac:dyDescent="0.25">
      <c r="AE536" s="8" t="str">
        <f t="shared" si="24"/>
        <v/>
      </c>
      <c r="AF536" s="8" t="str">
        <f t="shared" si="25"/>
        <v/>
      </c>
      <c r="AG536" s="8" t="str">
        <f>IF(TRIM($E536)&lt;&gt;"Tax Paid","",IF(COUNTIFS(LISTS!$F$2:$F$26,$AE536,LISTS!$G$2:$G$26,$AF536)=0,"NOT ON LIST",""))</f>
        <v/>
      </c>
      <c r="AH536" s="8" t="str">
        <f t="shared" si="26"/>
        <v/>
      </c>
    </row>
    <row r="537" spans="31:34" x14ac:dyDescent="0.25">
      <c r="AE537" s="8" t="str">
        <f t="shared" si="24"/>
        <v/>
      </c>
      <c r="AF537" s="8" t="str">
        <f t="shared" si="25"/>
        <v/>
      </c>
      <c r="AG537" s="8" t="str">
        <f>IF(TRIM($E537)&lt;&gt;"Tax Paid","",IF(COUNTIFS(LISTS!$F$2:$F$26,$AE537,LISTS!$G$2:$G$26,$AF537)=0,"NOT ON LIST",""))</f>
        <v/>
      </c>
      <c r="AH537" s="8" t="str">
        <f t="shared" si="26"/>
        <v/>
      </c>
    </row>
    <row r="538" spans="31:34" x14ac:dyDescent="0.25">
      <c r="AE538" s="8" t="str">
        <f t="shared" si="24"/>
        <v/>
      </c>
      <c r="AF538" s="8" t="str">
        <f t="shared" si="25"/>
        <v/>
      </c>
      <c r="AG538" s="8" t="str">
        <f>IF(TRIM($E538)&lt;&gt;"Tax Paid","",IF(COUNTIFS(LISTS!$F$2:$F$26,$AE538,LISTS!$G$2:$G$26,$AF538)=0,"NOT ON LIST",""))</f>
        <v/>
      </c>
      <c r="AH538" s="8" t="str">
        <f t="shared" si="26"/>
        <v/>
      </c>
    </row>
    <row r="539" spans="31:34" x14ac:dyDescent="0.25">
      <c r="AE539" s="8" t="str">
        <f t="shared" si="24"/>
        <v/>
      </c>
      <c r="AF539" s="8" t="str">
        <f t="shared" si="25"/>
        <v/>
      </c>
      <c r="AG539" s="8" t="str">
        <f>IF(TRIM($E539)&lt;&gt;"Tax Paid","",IF(COUNTIFS(LISTS!$F$2:$F$26,$AE539,LISTS!$G$2:$G$26,$AF539)=0,"NOT ON LIST",""))</f>
        <v/>
      </c>
      <c r="AH539" s="8" t="str">
        <f t="shared" si="26"/>
        <v/>
      </c>
    </row>
    <row r="540" spans="31:34" x14ac:dyDescent="0.25">
      <c r="AE540" s="8" t="str">
        <f t="shared" si="24"/>
        <v/>
      </c>
      <c r="AF540" s="8" t="str">
        <f t="shared" si="25"/>
        <v/>
      </c>
      <c r="AG540" s="8" t="str">
        <f>IF(TRIM($E540)&lt;&gt;"Tax Paid","",IF(COUNTIFS(LISTS!$F$2:$F$26,$AE540,LISTS!$G$2:$G$26,$AF540)=0,"NOT ON LIST",""))</f>
        <v/>
      </c>
      <c r="AH540" s="8" t="str">
        <f t="shared" si="26"/>
        <v/>
      </c>
    </row>
    <row r="541" spans="31:34" x14ac:dyDescent="0.25">
      <c r="AE541" s="8" t="str">
        <f t="shared" si="24"/>
        <v/>
      </c>
      <c r="AF541" s="8" t="str">
        <f t="shared" si="25"/>
        <v/>
      </c>
      <c r="AG541" s="8" t="str">
        <f>IF(TRIM($E541)&lt;&gt;"Tax Paid","",IF(COUNTIFS(LISTS!$F$2:$F$26,$AE541,LISTS!$G$2:$G$26,$AF541)=0,"NOT ON LIST",""))</f>
        <v/>
      </c>
      <c r="AH541" s="8" t="str">
        <f t="shared" si="26"/>
        <v/>
      </c>
    </row>
    <row r="542" spans="31:34" x14ac:dyDescent="0.25">
      <c r="AE542" s="8" t="str">
        <f t="shared" si="24"/>
        <v/>
      </c>
      <c r="AF542" s="8" t="str">
        <f t="shared" si="25"/>
        <v/>
      </c>
      <c r="AG542" s="8" t="str">
        <f>IF(TRIM($E542)&lt;&gt;"Tax Paid","",IF(COUNTIFS(LISTS!$F$2:$F$26,$AE542,LISTS!$G$2:$G$26,$AF542)=0,"NOT ON LIST",""))</f>
        <v/>
      </c>
      <c r="AH542" s="8" t="str">
        <f t="shared" si="26"/>
        <v/>
      </c>
    </row>
    <row r="543" spans="31:34" x14ac:dyDescent="0.25">
      <c r="AE543" s="8" t="str">
        <f t="shared" si="24"/>
        <v/>
      </c>
      <c r="AF543" s="8" t="str">
        <f t="shared" si="25"/>
        <v/>
      </c>
      <c r="AG543" s="8" t="str">
        <f>IF(TRIM($E543)&lt;&gt;"Tax Paid","",IF(COUNTIFS(LISTS!$F$2:$F$26,$AE543,LISTS!$G$2:$G$26,$AF543)=0,"NOT ON LIST",""))</f>
        <v/>
      </c>
      <c r="AH543" s="8" t="str">
        <f t="shared" si="26"/>
        <v/>
      </c>
    </row>
    <row r="544" spans="31:34" x14ac:dyDescent="0.25">
      <c r="AE544" s="8" t="str">
        <f t="shared" si="24"/>
        <v/>
      </c>
      <c r="AF544" s="8" t="str">
        <f t="shared" si="25"/>
        <v/>
      </c>
      <c r="AG544" s="8" t="str">
        <f>IF(TRIM($E544)&lt;&gt;"Tax Paid","",IF(COUNTIFS(LISTS!$F$2:$F$26,$AE544,LISTS!$G$2:$G$26,$AF544)=0,"NOT ON LIST",""))</f>
        <v/>
      </c>
      <c r="AH544" s="8" t="str">
        <f t="shared" si="26"/>
        <v/>
      </c>
    </row>
    <row r="545" spans="31:34" x14ac:dyDescent="0.25">
      <c r="AE545" s="8" t="str">
        <f t="shared" si="24"/>
        <v/>
      </c>
      <c r="AF545" s="8" t="str">
        <f t="shared" si="25"/>
        <v/>
      </c>
      <c r="AG545" s="8" t="str">
        <f>IF(TRIM($E545)&lt;&gt;"Tax Paid","",IF(COUNTIFS(LISTS!$F$2:$F$26,$AE545,LISTS!$G$2:$G$26,$AF545)=0,"NOT ON LIST",""))</f>
        <v/>
      </c>
      <c r="AH545" s="8" t="str">
        <f t="shared" si="26"/>
        <v/>
      </c>
    </row>
    <row r="546" spans="31:34" x14ac:dyDescent="0.25">
      <c r="AE546" s="8" t="str">
        <f t="shared" si="24"/>
        <v/>
      </c>
      <c r="AF546" s="8" t="str">
        <f t="shared" si="25"/>
        <v/>
      </c>
      <c r="AG546" s="8" t="str">
        <f>IF(TRIM($E546)&lt;&gt;"Tax Paid","",IF(COUNTIFS(LISTS!$F$2:$F$26,$AE546,LISTS!$G$2:$G$26,$AF546)=0,"NOT ON LIST",""))</f>
        <v/>
      </c>
      <c r="AH546" s="8" t="str">
        <f t="shared" si="26"/>
        <v/>
      </c>
    </row>
    <row r="547" spans="31:34" x14ac:dyDescent="0.25">
      <c r="AE547" s="8" t="str">
        <f t="shared" si="24"/>
        <v/>
      </c>
      <c r="AF547" s="8" t="str">
        <f t="shared" si="25"/>
        <v/>
      </c>
      <c r="AG547" s="8" t="str">
        <f>IF(TRIM($E547)&lt;&gt;"Tax Paid","",IF(COUNTIFS(LISTS!$F$2:$F$26,$AE547,LISTS!$G$2:$G$26,$AF547)=0,"NOT ON LIST",""))</f>
        <v/>
      </c>
      <c r="AH547" s="8" t="str">
        <f t="shared" si="26"/>
        <v/>
      </c>
    </row>
    <row r="548" spans="31:34" x14ac:dyDescent="0.25">
      <c r="AE548" s="8" t="str">
        <f t="shared" si="24"/>
        <v/>
      </c>
      <c r="AF548" s="8" t="str">
        <f t="shared" si="25"/>
        <v/>
      </c>
      <c r="AG548" s="8" t="str">
        <f>IF(TRIM($E548)&lt;&gt;"Tax Paid","",IF(COUNTIFS(LISTS!$F$2:$F$26,$AE548,LISTS!$G$2:$G$26,$AF548)=0,"NOT ON LIST",""))</f>
        <v/>
      </c>
      <c r="AH548" s="8" t="str">
        <f t="shared" si="26"/>
        <v/>
      </c>
    </row>
    <row r="549" spans="31:34" x14ac:dyDescent="0.25">
      <c r="AE549" s="8" t="str">
        <f t="shared" si="24"/>
        <v/>
      </c>
      <c r="AF549" s="8" t="str">
        <f t="shared" si="25"/>
        <v/>
      </c>
      <c r="AG549" s="8" t="str">
        <f>IF(TRIM($E549)&lt;&gt;"Tax Paid","",IF(COUNTIFS(LISTS!$F$2:$F$26,$AE549,LISTS!$G$2:$G$26,$AF549)=0,"NOT ON LIST",""))</f>
        <v/>
      </c>
      <c r="AH549" s="8" t="str">
        <f t="shared" si="26"/>
        <v/>
      </c>
    </row>
    <row r="550" spans="31:34" x14ac:dyDescent="0.25">
      <c r="AE550" s="8" t="str">
        <f t="shared" si="24"/>
        <v/>
      </c>
      <c r="AF550" s="8" t="str">
        <f t="shared" si="25"/>
        <v/>
      </c>
      <c r="AG550" s="8" t="str">
        <f>IF(TRIM($E550)&lt;&gt;"Tax Paid","",IF(COUNTIFS(LISTS!$F$2:$F$26,$AE550,LISTS!$G$2:$G$26,$AF550)=0,"NOT ON LIST",""))</f>
        <v/>
      </c>
      <c r="AH550" s="8" t="str">
        <f t="shared" si="26"/>
        <v/>
      </c>
    </row>
    <row r="551" spans="31:34" x14ac:dyDescent="0.25">
      <c r="AE551" s="8" t="str">
        <f t="shared" si="24"/>
        <v/>
      </c>
      <c r="AF551" s="8" t="str">
        <f t="shared" si="25"/>
        <v/>
      </c>
      <c r="AG551" s="8" t="str">
        <f>IF(TRIM($E551)&lt;&gt;"Tax Paid","",IF(COUNTIFS(LISTS!$F$2:$F$26,$AE551,LISTS!$G$2:$G$26,$AF551)=0,"NOT ON LIST",""))</f>
        <v/>
      </c>
      <c r="AH551" s="8" t="str">
        <f t="shared" si="26"/>
        <v/>
      </c>
    </row>
    <row r="552" spans="31:34" x14ac:dyDescent="0.25">
      <c r="AE552" s="8" t="str">
        <f t="shared" si="24"/>
        <v/>
      </c>
      <c r="AF552" s="8" t="str">
        <f t="shared" si="25"/>
        <v/>
      </c>
      <c r="AG552" s="8" t="str">
        <f>IF(TRIM($E552)&lt;&gt;"Tax Paid","",IF(COUNTIFS(LISTS!$F$2:$F$26,$AE552,LISTS!$G$2:$G$26,$AF552)=0,"NOT ON LIST",""))</f>
        <v/>
      </c>
      <c r="AH552" s="8" t="str">
        <f t="shared" si="26"/>
        <v/>
      </c>
    </row>
    <row r="553" spans="31:34" x14ac:dyDescent="0.25">
      <c r="AE553" s="8" t="str">
        <f t="shared" si="24"/>
        <v/>
      </c>
      <c r="AF553" s="8" t="str">
        <f t="shared" si="25"/>
        <v/>
      </c>
      <c r="AG553" s="8" t="str">
        <f>IF(TRIM($E553)&lt;&gt;"Tax Paid","",IF(COUNTIFS(LISTS!$F$2:$F$26,$AE553,LISTS!$G$2:$G$26,$AF553)=0,"NOT ON LIST",""))</f>
        <v/>
      </c>
      <c r="AH553" s="8" t="str">
        <f t="shared" si="26"/>
        <v/>
      </c>
    </row>
    <row r="554" spans="31:34" x14ac:dyDescent="0.25">
      <c r="AE554" s="8" t="str">
        <f t="shared" si="24"/>
        <v/>
      </c>
      <c r="AF554" s="8" t="str">
        <f t="shared" si="25"/>
        <v/>
      </c>
      <c r="AG554" s="8" t="str">
        <f>IF(TRIM($E554)&lt;&gt;"Tax Paid","",IF(COUNTIFS(LISTS!$F$2:$F$26,$AE554,LISTS!$G$2:$G$26,$AF554)=0,"NOT ON LIST",""))</f>
        <v/>
      </c>
      <c r="AH554" s="8" t="str">
        <f t="shared" si="26"/>
        <v/>
      </c>
    </row>
    <row r="555" spans="31:34" x14ac:dyDescent="0.25">
      <c r="AE555" s="8" t="str">
        <f t="shared" si="24"/>
        <v/>
      </c>
      <c r="AF555" s="8" t="str">
        <f t="shared" si="25"/>
        <v/>
      </c>
      <c r="AG555" s="8" t="str">
        <f>IF(TRIM($E555)&lt;&gt;"Tax Paid","",IF(COUNTIFS(LISTS!$F$2:$F$26,$AE555,LISTS!$G$2:$G$26,$AF555)=0,"NOT ON LIST",""))</f>
        <v/>
      </c>
      <c r="AH555" s="8" t="str">
        <f t="shared" si="26"/>
        <v/>
      </c>
    </row>
    <row r="556" spans="31:34" x14ac:dyDescent="0.25">
      <c r="AE556" s="8" t="str">
        <f t="shared" si="24"/>
        <v/>
      </c>
      <c r="AF556" s="8" t="str">
        <f t="shared" si="25"/>
        <v/>
      </c>
      <c r="AG556" s="8" t="str">
        <f>IF(TRIM($E556)&lt;&gt;"Tax Paid","",IF(COUNTIFS(LISTS!$F$2:$F$26,$AE556,LISTS!$G$2:$G$26,$AF556)=0,"NOT ON LIST",""))</f>
        <v/>
      </c>
      <c r="AH556" s="8" t="str">
        <f t="shared" si="26"/>
        <v/>
      </c>
    </row>
    <row r="557" spans="31:34" x14ac:dyDescent="0.25">
      <c r="AE557" s="8" t="str">
        <f t="shared" si="24"/>
        <v/>
      </c>
      <c r="AF557" s="8" t="str">
        <f t="shared" si="25"/>
        <v/>
      </c>
      <c r="AG557" s="8" t="str">
        <f>IF(TRIM($E557)&lt;&gt;"Tax Paid","",IF(COUNTIFS(LISTS!$F$2:$F$26,$AE557,LISTS!$G$2:$G$26,$AF557)=0,"NOT ON LIST",""))</f>
        <v/>
      </c>
      <c r="AH557" s="8" t="str">
        <f t="shared" si="26"/>
        <v/>
      </c>
    </row>
    <row r="558" spans="31:34" x14ac:dyDescent="0.25">
      <c r="AE558" s="8" t="str">
        <f t="shared" si="24"/>
        <v/>
      </c>
      <c r="AF558" s="8" t="str">
        <f t="shared" si="25"/>
        <v/>
      </c>
      <c r="AG558" s="8" t="str">
        <f>IF(TRIM($E558)&lt;&gt;"Tax Paid","",IF(COUNTIFS(LISTS!$F$2:$F$26,$AE558,LISTS!$G$2:$G$26,$AF558)=0,"NOT ON LIST",""))</f>
        <v/>
      </c>
      <c r="AH558" s="8" t="str">
        <f t="shared" si="26"/>
        <v/>
      </c>
    </row>
    <row r="559" spans="31:34" x14ac:dyDescent="0.25">
      <c r="AE559" s="8" t="str">
        <f t="shared" si="24"/>
        <v/>
      </c>
      <c r="AF559" s="8" t="str">
        <f t="shared" si="25"/>
        <v/>
      </c>
      <c r="AG559" s="8" t="str">
        <f>IF(TRIM($E559)&lt;&gt;"Tax Paid","",IF(COUNTIFS(LISTS!$F$2:$F$26,$AE559,LISTS!$G$2:$G$26,$AF559)=0,"NOT ON LIST",""))</f>
        <v/>
      </c>
      <c r="AH559" s="8" t="str">
        <f t="shared" si="26"/>
        <v/>
      </c>
    </row>
    <row r="560" spans="31:34" x14ac:dyDescent="0.25">
      <c r="AE560" s="8" t="str">
        <f t="shared" si="24"/>
        <v/>
      </c>
      <c r="AF560" s="8" t="str">
        <f t="shared" si="25"/>
        <v/>
      </c>
      <c r="AG560" s="8" t="str">
        <f>IF(TRIM($E560)&lt;&gt;"Tax Paid","",IF(COUNTIFS(LISTS!$F$2:$F$26,$AE560,LISTS!$G$2:$G$26,$AF560)=0,"NOT ON LIST",""))</f>
        <v/>
      </c>
      <c r="AH560" s="8" t="str">
        <f t="shared" si="26"/>
        <v/>
      </c>
    </row>
    <row r="561" spans="31:34" x14ac:dyDescent="0.25">
      <c r="AE561" s="8" t="str">
        <f t="shared" si="24"/>
        <v/>
      </c>
      <c r="AF561" s="8" t="str">
        <f t="shared" si="25"/>
        <v/>
      </c>
      <c r="AG561" s="8" t="str">
        <f>IF(TRIM($E561)&lt;&gt;"Tax Paid","",IF(COUNTIFS(LISTS!$F$2:$F$26,$AE561,LISTS!$G$2:$G$26,$AF561)=0,"NOT ON LIST",""))</f>
        <v/>
      </c>
      <c r="AH561" s="8" t="str">
        <f t="shared" si="26"/>
        <v/>
      </c>
    </row>
    <row r="562" spans="31:34" x14ac:dyDescent="0.25">
      <c r="AE562" s="8" t="str">
        <f t="shared" si="24"/>
        <v/>
      </c>
      <c r="AF562" s="8" t="str">
        <f t="shared" si="25"/>
        <v/>
      </c>
      <c r="AG562" s="8" t="str">
        <f>IF(TRIM($E562)&lt;&gt;"Tax Paid","",IF(COUNTIFS(LISTS!$F$2:$F$26,$AE562,LISTS!$G$2:$G$26,$AF562)=0,"NOT ON LIST",""))</f>
        <v/>
      </c>
      <c r="AH562" s="8" t="str">
        <f t="shared" si="26"/>
        <v/>
      </c>
    </row>
    <row r="563" spans="31:34" x14ac:dyDescent="0.25">
      <c r="AE563" s="8" t="str">
        <f t="shared" si="24"/>
        <v/>
      </c>
      <c r="AF563" s="8" t="str">
        <f t="shared" si="25"/>
        <v/>
      </c>
      <c r="AG563" s="8" t="str">
        <f>IF(TRIM($E563)&lt;&gt;"Tax Paid","",IF(COUNTIFS(LISTS!$F$2:$F$26,$AE563,LISTS!$G$2:$G$26,$AF563)=0,"NOT ON LIST",""))</f>
        <v/>
      </c>
      <c r="AH563" s="8" t="str">
        <f t="shared" si="26"/>
        <v/>
      </c>
    </row>
    <row r="564" spans="31:34" x14ac:dyDescent="0.25">
      <c r="AE564" s="8" t="str">
        <f t="shared" si="24"/>
        <v/>
      </c>
      <c r="AF564" s="8" t="str">
        <f t="shared" si="25"/>
        <v/>
      </c>
      <c r="AG564" s="8" t="str">
        <f>IF(TRIM($E564)&lt;&gt;"Tax Paid","",IF(COUNTIFS(LISTS!$F$2:$F$26,$AE564,LISTS!$G$2:$G$26,$AF564)=0,"NOT ON LIST",""))</f>
        <v/>
      </c>
      <c r="AH564" s="8" t="str">
        <f t="shared" si="26"/>
        <v/>
      </c>
    </row>
    <row r="565" spans="31:34" x14ac:dyDescent="0.25">
      <c r="AE565" s="8" t="str">
        <f t="shared" si="24"/>
        <v/>
      </c>
      <c r="AF565" s="8" t="str">
        <f t="shared" si="25"/>
        <v/>
      </c>
      <c r="AG565" s="8" t="str">
        <f>IF(TRIM($E565)&lt;&gt;"Tax Paid","",IF(COUNTIFS(LISTS!$F$2:$F$26,$AE565,LISTS!$G$2:$G$26,$AF565)=0,"NOT ON LIST",""))</f>
        <v/>
      </c>
      <c r="AH565" s="8" t="str">
        <f t="shared" si="26"/>
        <v/>
      </c>
    </row>
    <row r="566" spans="31:34" x14ac:dyDescent="0.25">
      <c r="AE566" s="8" t="str">
        <f t="shared" si="24"/>
        <v/>
      </c>
      <c r="AF566" s="8" t="str">
        <f t="shared" si="25"/>
        <v/>
      </c>
      <c r="AG566" s="8" t="str">
        <f>IF(TRIM($E566)&lt;&gt;"Tax Paid","",IF(COUNTIFS(LISTS!$F$2:$F$26,$AE566,LISTS!$G$2:$G$26,$AF566)=0,"NOT ON LIST",""))</f>
        <v/>
      </c>
      <c r="AH566" s="8" t="str">
        <f t="shared" si="26"/>
        <v/>
      </c>
    </row>
    <row r="567" spans="31:34" x14ac:dyDescent="0.25">
      <c r="AE567" s="8" t="str">
        <f t="shared" si="24"/>
        <v/>
      </c>
      <c r="AF567" s="8" t="str">
        <f t="shared" si="25"/>
        <v/>
      </c>
      <c r="AG567" s="8" t="str">
        <f>IF(TRIM($E567)&lt;&gt;"Tax Paid","",IF(COUNTIFS(LISTS!$F$2:$F$26,$AE567,LISTS!$G$2:$G$26,$AF567)=0,"NOT ON LIST",""))</f>
        <v/>
      </c>
      <c r="AH567" s="8" t="str">
        <f t="shared" si="26"/>
        <v/>
      </c>
    </row>
    <row r="568" spans="31:34" x14ac:dyDescent="0.25">
      <c r="AE568" s="8" t="str">
        <f t="shared" si="24"/>
        <v/>
      </c>
      <c r="AF568" s="8" t="str">
        <f t="shared" si="25"/>
        <v/>
      </c>
      <c r="AG568" s="8" t="str">
        <f>IF(TRIM($E568)&lt;&gt;"Tax Paid","",IF(COUNTIFS(LISTS!$F$2:$F$26,$AE568,LISTS!$G$2:$G$26,$AF568)=0,"NOT ON LIST",""))</f>
        <v/>
      </c>
      <c r="AH568" s="8" t="str">
        <f t="shared" si="26"/>
        <v/>
      </c>
    </row>
    <row r="569" spans="31:34" x14ac:dyDescent="0.25">
      <c r="AE569" s="8" t="str">
        <f t="shared" si="24"/>
        <v/>
      </c>
      <c r="AF569" s="8" t="str">
        <f t="shared" si="25"/>
        <v/>
      </c>
      <c r="AG569" s="8" t="str">
        <f>IF(TRIM($E569)&lt;&gt;"Tax Paid","",IF(COUNTIFS(LISTS!$F$2:$F$26,$AE569,LISTS!$G$2:$G$26,$AF569)=0,"NOT ON LIST",""))</f>
        <v/>
      </c>
      <c r="AH569" s="8" t="str">
        <f t="shared" si="26"/>
        <v/>
      </c>
    </row>
    <row r="570" spans="31:34" x14ac:dyDescent="0.25">
      <c r="AE570" s="8" t="str">
        <f t="shared" si="24"/>
        <v/>
      </c>
      <c r="AF570" s="8" t="str">
        <f t="shared" si="25"/>
        <v/>
      </c>
      <c r="AG570" s="8" t="str">
        <f>IF(TRIM($E570)&lt;&gt;"Tax Paid","",IF(COUNTIFS(LISTS!$F$2:$F$26,$AE570,LISTS!$G$2:$G$26,$AF570)=0,"NOT ON LIST",""))</f>
        <v/>
      </c>
      <c r="AH570" s="8" t="str">
        <f t="shared" si="26"/>
        <v/>
      </c>
    </row>
    <row r="571" spans="31:34" x14ac:dyDescent="0.25">
      <c r="AE571" s="8" t="str">
        <f t="shared" si="24"/>
        <v/>
      </c>
      <c r="AF571" s="8" t="str">
        <f t="shared" si="25"/>
        <v/>
      </c>
      <c r="AG571" s="8" t="str">
        <f>IF(TRIM($E571)&lt;&gt;"Tax Paid","",IF(COUNTIFS(LISTS!$F$2:$F$26,$AE571,LISTS!$G$2:$G$26,$AF571)=0,"NOT ON LIST",""))</f>
        <v/>
      </c>
      <c r="AH571" s="8" t="str">
        <f t="shared" si="26"/>
        <v/>
      </c>
    </row>
    <row r="572" spans="31:34" x14ac:dyDescent="0.25">
      <c r="AE572" s="8" t="str">
        <f t="shared" si="24"/>
        <v/>
      </c>
      <c r="AF572" s="8" t="str">
        <f t="shared" si="25"/>
        <v/>
      </c>
      <c r="AG572" s="8" t="str">
        <f>IF(TRIM($E572)&lt;&gt;"Tax Paid","",IF(COUNTIFS(LISTS!$F$2:$F$26,$AE572,LISTS!$G$2:$G$26,$AF572)=0,"NOT ON LIST",""))</f>
        <v/>
      </c>
      <c r="AH572" s="8" t="str">
        <f t="shared" si="26"/>
        <v/>
      </c>
    </row>
    <row r="573" spans="31:34" x14ac:dyDescent="0.25">
      <c r="AE573" s="8" t="str">
        <f t="shared" si="24"/>
        <v/>
      </c>
      <c r="AF573" s="8" t="str">
        <f t="shared" si="25"/>
        <v/>
      </c>
      <c r="AG573" s="8" t="str">
        <f>IF(TRIM($E573)&lt;&gt;"Tax Paid","",IF(COUNTIFS(LISTS!$F$2:$F$26,$AE573,LISTS!$G$2:$G$26,$AF573)=0,"NOT ON LIST",""))</f>
        <v/>
      </c>
      <c r="AH573" s="8" t="str">
        <f t="shared" si="26"/>
        <v/>
      </c>
    </row>
    <row r="574" spans="31:34" x14ac:dyDescent="0.25">
      <c r="AE574" s="8" t="str">
        <f t="shared" si="24"/>
        <v/>
      </c>
      <c r="AF574" s="8" t="str">
        <f t="shared" si="25"/>
        <v/>
      </c>
      <c r="AG574" s="8" t="str">
        <f>IF(TRIM($E574)&lt;&gt;"Tax Paid","",IF(COUNTIFS(LISTS!$F$2:$F$26,$AE574,LISTS!$G$2:$G$26,$AF574)=0,"NOT ON LIST",""))</f>
        <v/>
      </c>
      <c r="AH574" s="8" t="str">
        <f t="shared" si="26"/>
        <v/>
      </c>
    </row>
    <row r="575" spans="31:34" x14ac:dyDescent="0.25">
      <c r="AE575" s="8" t="str">
        <f t="shared" si="24"/>
        <v/>
      </c>
      <c r="AF575" s="8" t="str">
        <f t="shared" si="25"/>
        <v/>
      </c>
      <c r="AG575" s="8" t="str">
        <f>IF(TRIM($E575)&lt;&gt;"Tax Paid","",IF(COUNTIFS(LISTS!$F$2:$F$26,$AE575,LISTS!$G$2:$G$26,$AF575)=0,"NOT ON LIST",""))</f>
        <v/>
      </c>
      <c r="AH575" s="8" t="str">
        <f t="shared" si="26"/>
        <v/>
      </c>
    </row>
    <row r="576" spans="31:34" x14ac:dyDescent="0.25">
      <c r="AE576" s="8" t="str">
        <f t="shared" si="24"/>
        <v/>
      </c>
      <c r="AF576" s="8" t="str">
        <f t="shared" si="25"/>
        <v/>
      </c>
      <c r="AG576" s="8" t="str">
        <f>IF(TRIM($E576)&lt;&gt;"Tax Paid","",IF(COUNTIFS(LISTS!$F$2:$F$26,$AE576,LISTS!$G$2:$G$26,$AF576)=0,"NOT ON LIST",""))</f>
        <v/>
      </c>
      <c r="AH576" s="8" t="str">
        <f t="shared" si="26"/>
        <v/>
      </c>
    </row>
    <row r="577" spans="31:34" x14ac:dyDescent="0.25">
      <c r="AE577" s="8" t="str">
        <f t="shared" si="24"/>
        <v/>
      </c>
      <c r="AF577" s="8" t="str">
        <f t="shared" si="25"/>
        <v/>
      </c>
      <c r="AG577" s="8" t="str">
        <f>IF(TRIM($E577)&lt;&gt;"Tax Paid","",IF(COUNTIFS(LISTS!$F$2:$F$26,$AE577,LISTS!$G$2:$G$26,$AF577)=0,"NOT ON LIST",""))</f>
        <v/>
      </c>
      <c r="AH577" s="8" t="str">
        <f t="shared" si="26"/>
        <v/>
      </c>
    </row>
    <row r="578" spans="31:34" x14ac:dyDescent="0.25">
      <c r="AE578" s="8" t="str">
        <f t="shared" ref="AE578:AE641" si="27">IF(TRIM($E578)="Tax Paid",TRIM($S578),"")</f>
        <v/>
      </c>
      <c r="AF578" s="8" t="str">
        <f t="shared" ref="AF578:AF641" si="28">IF(TRIM($E578)="Tax Paid",ROUND($Z578/100,5),"")</f>
        <v/>
      </c>
      <c r="AG578" s="8" t="str">
        <f>IF(TRIM($E578)&lt;&gt;"Tax Paid","",IF(COUNTIFS(LISTS!$F$2:$F$26,$AE578,LISTS!$G$2:$G$26,$AF578)=0,"NOT ON LIST",""))</f>
        <v/>
      </c>
      <c r="AH578" s="8" t="str">
        <f t="shared" ref="AH578:AH641" si="29">IF($AG578="","",IF($AE578="","(no county)",$AE578)&amp;" ("&amp;SUBSTITUTE(TEXT($AF578,"0.###%"),".%","%")&amp;")")</f>
        <v/>
      </c>
    </row>
    <row r="579" spans="31:34" x14ac:dyDescent="0.25">
      <c r="AE579" s="8" t="str">
        <f t="shared" si="27"/>
        <v/>
      </c>
      <c r="AF579" s="8" t="str">
        <f t="shared" si="28"/>
        <v/>
      </c>
      <c r="AG579" s="8" t="str">
        <f>IF(TRIM($E579)&lt;&gt;"Tax Paid","",IF(COUNTIFS(LISTS!$F$2:$F$26,$AE579,LISTS!$G$2:$G$26,$AF579)=0,"NOT ON LIST",""))</f>
        <v/>
      </c>
      <c r="AH579" s="8" t="str">
        <f t="shared" si="29"/>
        <v/>
      </c>
    </row>
    <row r="580" spans="31:34" x14ac:dyDescent="0.25">
      <c r="AE580" s="8" t="str">
        <f t="shared" si="27"/>
        <v/>
      </c>
      <c r="AF580" s="8" t="str">
        <f t="shared" si="28"/>
        <v/>
      </c>
      <c r="AG580" s="8" t="str">
        <f>IF(TRIM($E580)&lt;&gt;"Tax Paid","",IF(COUNTIFS(LISTS!$F$2:$F$26,$AE580,LISTS!$G$2:$G$26,$AF580)=0,"NOT ON LIST",""))</f>
        <v/>
      </c>
      <c r="AH580" s="8" t="str">
        <f t="shared" si="29"/>
        <v/>
      </c>
    </row>
    <row r="581" spans="31:34" x14ac:dyDescent="0.25">
      <c r="AE581" s="8" t="str">
        <f t="shared" si="27"/>
        <v/>
      </c>
      <c r="AF581" s="8" t="str">
        <f t="shared" si="28"/>
        <v/>
      </c>
      <c r="AG581" s="8" t="str">
        <f>IF(TRIM($E581)&lt;&gt;"Tax Paid","",IF(COUNTIFS(LISTS!$F$2:$F$26,$AE581,LISTS!$G$2:$G$26,$AF581)=0,"NOT ON LIST",""))</f>
        <v/>
      </c>
      <c r="AH581" s="8" t="str">
        <f t="shared" si="29"/>
        <v/>
      </c>
    </row>
    <row r="582" spans="31:34" x14ac:dyDescent="0.25">
      <c r="AE582" s="8" t="str">
        <f t="shared" si="27"/>
        <v/>
      </c>
      <c r="AF582" s="8" t="str">
        <f t="shared" si="28"/>
        <v/>
      </c>
      <c r="AG582" s="8" t="str">
        <f>IF(TRIM($E582)&lt;&gt;"Tax Paid","",IF(COUNTIFS(LISTS!$F$2:$F$26,$AE582,LISTS!$G$2:$G$26,$AF582)=0,"NOT ON LIST",""))</f>
        <v/>
      </c>
      <c r="AH582" s="8" t="str">
        <f t="shared" si="29"/>
        <v/>
      </c>
    </row>
    <row r="583" spans="31:34" x14ac:dyDescent="0.25">
      <c r="AE583" s="8" t="str">
        <f t="shared" si="27"/>
        <v/>
      </c>
      <c r="AF583" s="8" t="str">
        <f t="shared" si="28"/>
        <v/>
      </c>
      <c r="AG583" s="8" t="str">
        <f>IF(TRIM($E583)&lt;&gt;"Tax Paid","",IF(COUNTIFS(LISTS!$F$2:$F$26,$AE583,LISTS!$G$2:$G$26,$AF583)=0,"NOT ON LIST",""))</f>
        <v/>
      </c>
      <c r="AH583" s="8" t="str">
        <f t="shared" si="29"/>
        <v/>
      </c>
    </row>
    <row r="584" spans="31:34" x14ac:dyDescent="0.25">
      <c r="AE584" s="8" t="str">
        <f t="shared" si="27"/>
        <v/>
      </c>
      <c r="AF584" s="8" t="str">
        <f t="shared" si="28"/>
        <v/>
      </c>
      <c r="AG584" s="8" t="str">
        <f>IF(TRIM($E584)&lt;&gt;"Tax Paid","",IF(COUNTIFS(LISTS!$F$2:$F$26,$AE584,LISTS!$G$2:$G$26,$AF584)=0,"NOT ON LIST",""))</f>
        <v/>
      </c>
      <c r="AH584" s="8" t="str">
        <f t="shared" si="29"/>
        <v/>
      </c>
    </row>
    <row r="585" spans="31:34" x14ac:dyDescent="0.25">
      <c r="AE585" s="8" t="str">
        <f t="shared" si="27"/>
        <v/>
      </c>
      <c r="AF585" s="8" t="str">
        <f t="shared" si="28"/>
        <v/>
      </c>
      <c r="AG585" s="8" t="str">
        <f>IF(TRIM($E585)&lt;&gt;"Tax Paid","",IF(COUNTIFS(LISTS!$F$2:$F$26,$AE585,LISTS!$G$2:$G$26,$AF585)=0,"NOT ON LIST",""))</f>
        <v/>
      </c>
      <c r="AH585" s="8" t="str">
        <f t="shared" si="29"/>
        <v/>
      </c>
    </row>
    <row r="586" spans="31:34" x14ac:dyDescent="0.25">
      <c r="AE586" s="8" t="str">
        <f t="shared" si="27"/>
        <v/>
      </c>
      <c r="AF586" s="8" t="str">
        <f t="shared" si="28"/>
        <v/>
      </c>
      <c r="AG586" s="8" t="str">
        <f>IF(TRIM($E586)&lt;&gt;"Tax Paid","",IF(COUNTIFS(LISTS!$F$2:$F$26,$AE586,LISTS!$G$2:$G$26,$AF586)=0,"NOT ON LIST",""))</f>
        <v/>
      </c>
      <c r="AH586" s="8" t="str">
        <f t="shared" si="29"/>
        <v/>
      </c>
    </row>
    <row r="587" spans="31:34" x14ac:dyDescent="0.25">
      <c r="AE587" s="8" t="str">
        <f t="shared" si="27"/>
        <v/>
      </c>
      <c r="AF587" s="8" t="str">
        <f t="shared" si="28"/>
        <v/>
      </c>
      <c r="AG587" s="8" t="str">
        <f>IF(TRIM($E587)&lt;&gt;"Tax Paid","",IF(COUNTIFS(LISTS!$F$2:$F$26,$AE587,LISTS!$G$2:$G$26,$AF587)=0,"NOT ON LIST",""))</f>
        <v/>
      </c>
      <c r="AH587" s="8" t="str">
        <f t="shared" si="29"/>
        <v/>
      </c>
    </row>
    <row r="588" spans="31:34" x14ac:dyDescent="0.25">
      <c r="AE588" s="8" t="str">
        <f t="shared" si="27"/>
        <v/>
      </c>
      <c r="AF588" s="8" t="str">
        <f t="shared" si="28"/>
        <v/>
      </c>
      <c r="AG588" s="8" t="str">
        <f>IF(TRIM($E588)&lt;&gt;"Tax Paid","",IF(COUNTIFS(LISTS!$F$2:$F$26,$AE588,LISTS!$G$2:$G$26,$AF588)=0,"NOT ON LIST",""))</f>
        <v/>
      </c>
      <c r="AH588" s="8" t="str">
        <f t="shared" si="29"/>
        <v/>
      </c>
    </row>
    <row r="589" spans="31:34" x14ac:dyDescent="0.25">
      <c r="AE589" s="8" t="str">
        <f t="shared" si="27"/>
        <v/>
      </c>
      <c r="AF589" s="8" t="str">
        <f t="shared" si="28"/>
        <v/>
      </c>
      <c r="AG589" s="8" t="str">
        <f>IF(TRIM($E589)&lt;&gt;"Tax Paid","",IF(COUNTIFS(LISTS!$F$2:$F$26,$AE589,LISTS!$G$2:$G$26,$AF589)=0,"NOT ON LIST",""))</f>
        <v/>
      </c>
      <c r="AH589" s="8" t="str">
        <f t="shared" si="29"/>
        <v/>
      </c>
    </row>
    <row r="590" spans="31:34" x14ac:dyDescent="0.25">
      <c r="AE590" s="8" t="str">
        <f t="shared" si="27"/>
        <v/>
      </c>
      <c r="AF590" s="8" t="str">
        <f t="shared" si="28"/>
        <v/>
      </c>
      <c r="AG590" s="8" t="str">
        <f>IF(TRIM($E590)&lt;&gt;"Tax Paid","",IF(COUNTIFS(LISTS!$F$2:$F$26,$AE590,LISTS!$G$2:$G$26,$AF590)=0,"NOT ON LIST",""))</f>
        <v/>
      </c>
      <c r="AH590" s="8" t="str">
        <f t="shared" si="29"/>
        <v/>
      </c>
    </row>
    <row r="591" spans="31:34" x14ac:dyDescent="0.25">
      <c r="AE591" s="8" t="str">
        <f t="shared" si="27"/>
        <v/>
      </c>
      <c r="AF591" s="8" t="str">
        <f t="shared" si="28"/>
        <v/>
      </c>
      <c r="AG591" s="8" t="str">
        <f>IF(TRIM($E591)&lt;&gt;"Tax Paid","",IF(COUNTIFS(LISTS!$F$2:$F$26,$AE591,LISTS!$G$2:$G$26,$AF591)=0,"NOT ON LIST",""))</f>
        <v/>
      </c>
      <c r="AH591" s="8" t="str">
        <f t="shared" si="29"/>
        <v/>
      </c>
    </row>
    <row r="592" spans="31:34" x14ac:dyDescent="0.25">
      <c r="AE592" s="8" t="str">
        <f t="shared" si="27"/>
        <v/>
      </c>
      <c r="AF592" s="8" t="str">
        <f t="shared" si="28"/>
        <v/>
      </c>
      <c r="AG592" s="8" t="str">
        <f>IF(TRIM($E592)&lt;&gt;"Tax Paid","",IF(COUNTIFS(LISTS!$F$2:$F$26,$AE592,LISTS!$G$2:$G$26,$AF592)=0,"NOT ON LIST",""))</f>
        <v/>
      </c>
      <c r="AH592" s="8" t="str">
        <f t="shared" si="29"/>
        <v/>
      </c>
    </row>
    <row r="593" spans="31:34" x14ac:dyDescent="0.25">
      <c r="AE593" s="8" t="str">
        <f t="shared" si="27"/>
        <v/>
      </c>
      <c r="AF593" s="8" t="str">
        <f t="shared" si="28"/>
        <v/>
      </c>
      <c r="AG593" s="8" t="str">
        <f>IF(TRIM($E593)&lt;&gt;"Tax Paid","",IF(COUNTIFS(LISTS!$F$2:$F$26,$AE593,LISTS!$G$2:$G$26,$AF593)=0,"NOT ON LIST",""))</f>
        <v/>
      </c>
      <c r="AH593" s="8" t="str">
        <f t="shared" si="29"/>
        <v/>
      </c>
    </row>
    <row r="594" spans="31:34" x14ac:dyDescent="0.25">
      <c r="AE594" s="8" t="str">
        <f t="shared" si="27"/>
        <v/>
      </c>
      <c r="AF594" s="8" t="str">
        <f t="shared" si="28"/>
        <v/>
      </c>
      <c r="AG594" s="8" t="str">
        <f>IF(TRIM($E594)&lt;&gt;"Tax Paid","",IF(COUNTIFS(LISTS!$F$2:$F$26,$AE594,LISTS!$G$2:$G$26,$AF594)=0,"NOT ON LIST",""))</f>
        <v/>
      </c>
      <c r="AH594" s="8" t="str">
        <f t="shared" si="29"/>
        <v/>
      </c>
    </row>
    <row r="595" spans="31:34" x14ac:dyDescent="0.25">
      <c r="AE595" s="8" t="str">
        <f t="shared" si="27"/>
        <v/>
      </c>
      <c r="AF595" s="8" t="str">
        <f t="shared" si="28"/>
        <v/>
      </c>
      <c r="AG595" s="8" t="str">
        <f>IF(TRIM($E595)&lt;&gt;"Tax Paid","",IF(COUNTIFS(LISTS!$F$2:$F$26,$AE595,LISTS!$G$2:$G$26,$AF595)=0,"NOT ON LIST",""))</f>
        <v/>
      </c>
      <c r="AH595" s="8" t="str">
        <f t="shared" si="29"/>
        <v/>
      </c>
    </row>
    <row r="596" spans="31:34" x14ac:dyDescent="0.25">
      <c r="AE596" s="8" t="str">
        <f t="shared" si="27"/>
        <v/>
      </c>
      <c r="AF596" s="8" t="str">
        <f t="shared" si="28"/>
        <v/>
      </c>
      <c r="AG596" s="8" t="str">
        <f>IF(TRIM($E596)&lt;&gt;"Tax Paid","",IF(COUNTIFS(LISTS!$F$2:$F$26,$AE596,LISTS!$G$2:$G$26,$AF596)=0,"NOT ON LIST",""))</f>
        <v/>
      </c>
      <c r="AH596" s="8" t="str">
        <f t="shared" si="29"/>
        <v/>
      </c>
    </row>
    <row r="597" spans="31:34" x14ac:dyDescent="0.25">
      <c r="AE597" s="8" t="str">
        <f t="shared" si="27"/>
        <v/>
      </c>
      <c r="AF597" s="8" t="str">
        <f t="shared" si="28"/>
        <v/>
      </c>
      <c r="AG597" s="8" t="str">
        <f>IF(TRIM($E597)&lt;&gt;"Tax Paid","",IF(COUNTIFS(LISTS!$F$2:$F$26,$AE597,LISTS!$G$2:$G$26,$AF597)=0,"NOT ON LIST",""))</f>
        <v/>
      </c>
      <c r="AH597" s="8" t="str">
        <f t="shared" si="29"/>
        <v/>
      </c>
    </row>
    <row r="598" spans="31:34" x14ac:dyDescent="0.25">
      <c r="AE598" s="8" t="str">
        <f t="shared" si="27"/>
        <v/>
      </c>
      <c r="AF598" s="8" t="str">
        <f t="shared" si="28"/>
        <v/>
      </c>
      <c r="AG598" s="8" t="str">
        <f>IF(TRIM($E598)&lt;&gt;"Tax Paid","",IF(COUNTIFS(LISTS!$F$2:$F$26,$AE598,LISTS!$G$2:$G$26,$AF598)=0,"NOT ON LIST",""))</f>
        <v/>
      </c>
      <c r="AH598" s="8" t="str">
        <f t="shared" si="29"/>
        <v/>
      </c>
    </row>
    <row r="599" spans="31:34" x14ac:dyDescent="0.25">
      <c r="AE599" s="8" t="str">
        <f t="shared" si="27"/>
        <v/>
      </c>
      <c r="AF599" s="8" t="str">
        <f t="shared" si="28"/>
        <v/>
      </c>
      <c r="AG599" s="8" t="str">
        <f>IF(TRIM($E599)&lt;&gt;"Tax Paid","",IF(COUNTIFS(LISTS!$F$2:$F$26,$AE599,LISTS!$G$2:$G$26,$AF599)=0,"NOT ON LIST",""))</f>
        <v/>
      </c>
      <c r="AH599" s="8" t="str">
        <f t="shared" si="29"/>
        <v/>
      </c>
    </row>
    <row r="600" spans="31:34" x14ac:dyDescent="0.25">
      <c r="AE600" s="8" t="str">
        <f t="shared" si="27"/>
        <v/>
      </c>
      <c r="AF600" s="8" t="str">
        <f t="shared" si="28"/>
        <v/>
      </c>
      <c r="AG600" s="8" t="str">
        <f>IF(TRIM($E600)&lt;&gt;"Tax Paid","",IF(COUNTIFS(LISTS!$F$2:$F$26,$AE600,LISTS!$G$2:$G$26,$AF600)=0,"NOT ON LIST",""))</f>
        <v/>
      </c>
      <c r="AH600" s="8" t="str">
        <f t="shared" si="29"/>
        <v/>
      </c>
    </row>
    <row r="601" spans="31:34" x14ac:dyDescent="0.25">
      <c r="AE601" s="8" t="str">
        <f t="shared" si="27"/>
        <v/>
      </c>
      <c r="AF601" s="8" t="str">
        <f t="shared" si="28"/>
        <v/>
      </c>
      <c r="AG601" s="8" t="str">
        <f>IF(TRIM($E601)&lt;&gt;"Tax Paid","",IF(COUNTIFS(LISTS!$F$2:$F$26,$AE601,LISTS!$G$2:$G$26,$AF601)=0,"NOT ON LIST",""))</f>
        <v/>
      </c>
      <c r="AH601" s="8" t="str">
        <f t="shared" si="29"/>
        <v/>
      </c>
    </row>
    <row r="602" spans="31:34" x14ac:dyDescent="0.25">
      <c r="AE602" s="8" t="str">
        <f t="shared" si="27"/>
        <v/>
      </c>
      <c r="AF602" s="8" t="str">
        <f t="shared" si="28"/>
        <v/>
      </c>
      <c r="AG602" s="8" t="str">
        <f>IF(TRIM($E602)&lt;&gt;"Tax Paid","",IF(COUNTIFS(LISTS!$F$2:$F$26,$AE602,LISTS!$G$2:$G$26,$AF602)=0,"NOT ON LIST",""))</f>
        <v/>
      </c>
      <c r="AH602" s="8" t="str">
        <f t="shared" si="29"/>
        <v/>
      </c>
    </row>
    <row r="603" spans="31:34" x14ac:dyDescent="0.25">
      <c r="AE603" s="8" t="str">
        <f t="shared" si="27"/>
        <v/>
      </c>
      <c r="AF603" s="8" t="str">
        <f t="shared" si="28"/>
        <v/>
      </c>
      <c r="AG603" s="8" t="str">
        <f>IF(TRIM($E603)&lt;&gt;"Tax Paid","",IF(COUNTIFS(LISTS!$F$2:$F$26,$AE603,LISTS!$G$2:$G$26,$AF603)=0,"NOT ON LIST",""))</f>
        <v/>
      </c>
      <c r="AH603" s="8" t="str">
        <f t="shared" si="29"/>
        <v/>
      </c>
    </row>
    <row r="604" spans="31:34" x14ac:dyDescent="0.25">
      <c r="AE604" s="8" t="str">
        <f t="shared" si="27"/>
        <v/>
      </c>
      <c r="AF604" s="8" t="str">
        <f t="shared" si="28"/>
        <v/>
      </c>
      <c r="AG604" s="8" t="str">
        <f>IF(TRIM($E604)&lt;&gt;"Tax Paid","",IF(COUNTIFS(LISTS!$F$2:$F$26,$AE604,LISTS!$G$2:$G$26,$AF604)=0,"NOT ON LIST",""))</f>
        <v/>
      </c>
      <c r="AH604" s="8" t="str">
        <f t="shared" si="29"/>
        <v/>
      </c>
    </row>
    <row r="605" spans="31:34" x14ac:dyDescent="0.25">
      <c r="AE605" s="8" t="str">
        <f t="shared" si="27"/>
        <v/>
      </c>
      <c r="AF605" s="8" t="str">
        <f t="shared" si="28"/>
        <v/>
      </c>
      <c r="AG605" s="8" t="str">
        <f>IF(TRIM($E605)&lt;&gt;"Tax Paid","",IF(COUNTIFS(LISTS!$F$2:$F$26,$AE605,LISTS!$G$2:$G$26,$AF605)=0,"NOT ON LIST",""))</f>
        <v/>
      </c>
      <c r="AH605" s="8" t="str">
        <f t="shared" si="29"/>
        <v/>
      </c>
    </row>
    <row r="606" spans="31:34" x14ac:dyDescent="0.25">
      <c r="AE606" s="8" t="str">
        <f t="shared" si="27"/>
        <v/>
      </c>
      <c r="AF606" s="8" t="str">
        <f t="shared" si="28"/>
        <v/>
      </c>
      <c r="AG606" s="8" t="str">
        <f>IF(TRIM($E606)&lt;&gt;"Tax Paid","",IF(COUNTIFS(LISTS!$F$2:$F$26,$AE606,LISTS!$G$2:$G$26,$AF606)=0,"NOT ON LIST",""))</f>
        <v/>
      </c>
      <c r="AH606" s="8" t="str">
        <f t="shared" si="29"/>
        <v/>
      </c>
    </row>
    <row r="607" spans="31:34" x14ac:dyDescent="0.25">
      <c r="AE607" s="8" t="str">
        <f t="shared" si="27"/>
        <v/>
      </c>
      <c r="AF607" s="8" t="str">
        <f t="shared" si="28"/>
        <v/>
      </c>
      <c r="AG607" s="8" t="str">
        <f>IF(TRIM($E607)&lt;&gt;"Tax Paid","",IF(COUNTIFS(LISTS!$F$2:$F$26,$AE607,LISTS!$G$2:$G$26,$AF607)=0,"NOT ON LIST",""))</f>
        <v/>
      </c>
      <c r="AH607" s="8" t="str">
        <f t="shared" si="29"/>
        <v/>
      </c>
    </row>
    <row r="608" spans="31:34" x14ac:dyDescent="0.25">
      <c r="AE608" s="8" t="str">
        <f t="shared" si="27"/>
        <v/>
      </c>
      <c r="AF608" s="8" t="str">
        <f t="shared" si="28"/>
        <v/>
      </c>
      <c r="AG608" s="8" t="str">
        <f>IF(TRIM($E608)&lt;&gt;"Tax Paid","",IF(COUNTIFS(LISTS!$F$2:$F$26,$AE608,LISTS!$G$2:$G$26,$AF608)=0,"NOT ON LIST",""))</f>
        <v/>
      </c>
      <c r="AH608" s="8" t="str">
        <f t="shared" si="29"/>
        <v/>
      </c>
    </row>
    <row r="609" spans="31:34" x14ac:dyDescent="0.25">
      <c r="AE609" s="8" t="str">
        <f t="shared" si="27"/>
        <v/>
      </c>
      <c r="AF609" s="8" t="str">
        <f t="shared" si="28"/>
        <v/>
      </c>
      <c r="AG609" s="8" t="str">
        <f>IF(TRIM($E609)&lt;&gt;"Tax Paid","",IF(COUNTIFS(LISTS!$F$2:$F$26,$AE609,LISTS!$G$2:$G$26,$AF609)=0,"NOT ON LIST",""))</f>
        <v/>
      </c>
      <c r="AH609" s="8" t="str">
        <f t="shared" si="29"/>
        <v/>
      </c>
    </row>
    <row r="610" spans="31:34" x14ac:dyDescent="0.25">
      <c r="AE610" s="8" t="str">
        <f t="shared" si="27"/>
        <v/>
      </c>
      <c r="AF610" s="8" t="str">
        <f t="shared" si="28"/>
        <v/>
      </c>
      <c r="AG610" s="8" t="str">
        <f>IF(TRIM($E610)&lt;&gt;"Tax Paid","",IF(COUNTIFS(LISTS!$F$2:$F$26,$AE610,LISTS!$G$2:$G$26,$AF610)=0,"NOT ON LIST",""))</f>
        <v/>
      </c>
      <c r="AH610" s="8" t="str">
        <f t="shared" si="29"/>
        <v/>
      </c>
    </row>
    <row r="611" spans="31:34" x14ac:dyDescent="0.25">
      <c r="AE611" s="8" t="str">
        <f t="shared" si="27"/>
        <v/>
      </c>
      <c r="AF611" s="8" t="str">
        <f t="shared" si="28"/>
        <v/>
      </c>
      <c r="AG611" s="8" t="str">
        <f>IF(TRIM($E611)&lt;&gt;"Tax Paid","",IF(COUNTIFS(LISTS!$F$2:$F$26,$AE611,LISTS!$G$2:$G$26,$AF611)=0,"NOT ON LIST",""))</f>
        <v/>
      </c>
      <c r="AH611" s="8" t="str">
        <f t="shared" si="29"/>
        <v/>
      </c>
    </row>
    <row r="612" spans="31:34" x14ac:dyDescent="0.25">
      <c r="AE612" s="8" t="str">
        <f t="shared" si="27"/>
        <v/>
      </c>
      <c r="AF612" s="8" t="str">
        <f t="shared" si="28"/>
        <v/>
      </c>
      <c r="AG612" s="8" t="str">
        <f>IF(TRIM($E612)&lt;&gt;"Tax Paid","",IF(COUNTIFS(LISTS!$F$2:$F$26,$AE612,LISTS!$G$2:$G$26,$AF612)=0,"NOT ON LIST",""))</f>
        <v/>
      </c>
      <c r="AH612" s="8" t="str">
        <f t="shared" si="29"/>
        <v/>
      </c>
    </row>
    <row r="613" spans="31:34" x14ac:dyDescent="0.25">
      <c r="AE613" s="8" t="str">
        <f t="shared" si="27"/>
        <v/>
      </c>
      <c r="AF613" s="8" t="str">
        <f t="shared" si="28"/>
        <v/>
      </c>
      <c r="AG613" s="8" t="str">
        <f>IF(TRIM($E613)&lt;&gt;"Tax Paid","",IF(COUNTIFS(LISTS!$F$2:$F$26,$AE613,LISTS!$G$2:$G$26,$AF613)=0,"NOT ON LIST",""))</f>
        <v/>
      </c>
      <c r="AH613" s="8" t="str">
        <f t="shared" si="29"/>
        <v/>
      </c>
    </row>
    <row r="614" spans="31:34" x14ac:dyDescent="0.25">
      <c r="AE614" s="8" t="str">
        <f t="shared" si="27"/>
        <v/>
      </c>
      <c r="AF614" s="8" t="str">
        <f t="shared" si="28"/>
        <v/>
      </c>
      <c r="AG614" s="8" t="str">
        <f>IF(TRIM($E614)&lt;&gt;"Tax Paid","",IF(COUNTIFS(LISTS!$F$2:$F$26,$AE614,LISTS!$G$2:$G$26,$AF614)=0,"NOT ON LIST",""))</f>
        <v/>
      </c>
      <c r="AH614" s="8" t="str">
        <f t="shared" si="29"/>
        <v/>
      </c>
    </row>
    <row r="615" spans="31:34" x14ac:dyDescent="0.25">
      <c r="AE615" s="8" t="str">
        <f t="shared" si="27"/>
        <v/>
      </c>
      <c r="AF615" s="8" t="str">
        <f t="shared" si="28"/>
        <v/>
      </c>
      <c r="AG615" s="8" t="str">
        <f>IF(TRIM($E615)&lt;&gt;"Tax Paid","",IF(COUNTIFS(LISTS!$F$2:$F$26,$AE615,LISTS!$G$2:$G$26,$AF615)=0,"NOT ON LIST",""))</f>
        <v/>
      </c>
      <c r="AH615" s="8" t="str">
        <f t="shared" si="29"/>
        <v/>
      </c>
    </row>
    <row r="616" spans="31:34" x14ac:dyDescent="0.25">
      <c r="AE616" s="8" t="str">
        <f t="shared" si="27"/>
        <v/>
      </c>
      <c r="AF616" s="8" t="str">
        <f t="shared" si="28"/>
        <v/>
      </c>
      <c r="AG616" s="8" t="str">
        <f>IF(TRIM($E616)&lt;&gt;"Tax Paid","",IF(COUNTIFS(LISTS!$F$2:$F$26,$AE616,LISTS!$G$2:$G$26,$AF616)=0,"NOT ON LIST",""))</f>
        <v/>
      </c>
      <c r="AH616" s="8" t="str">
        <f t="shared" si="29"/>
        <v/>
      </c>
    </row>
    <row r="617" spans="31:34" x14ac:dyDescent="0.25">
      <c r="AE617" s="8" t="str">
        <f t="shared" si="27"/>
        <v/>
      </c>
      <c r="AF617" s="8" t="str">
        <f t="shared" si="28"/>
        <v/>
      </c>
      <c r="AG617" s="8" t="str">
        <f>IF(TRIM($E617)&lt;&gt;"Tax Paid","",IF(COUNTIFS(LISTS!$F$2:$F$26,$AE617,LISTS!$G$2:$G$26,$AF617)=0,"NOT ON LIST",""))</f>
        <v/>
      </c>
      <c r="AH617" s="8" t="str">
        <f t="shared" si="29"/>
        <v/>
      </c>
    </row>
    <row r="618" spans="31:34" x14ac:dyDescent="0.25">
      <c r="AE618" s="8" t="str">
        <f t="shared" si="27"/>
        <v/>
      </c>
      <c r="AF618" s="8" t="str">
        <f t="shared" si="28"/>
        <v/>
      </c>
      <c r="AG618" s="8" t="str">
        <f>IF(TRIM($E618)&lt;&gt;"Tax Paid","",IF(COUNTIFS(LISTS!$F$2:$F$26,$AE618,LISTS!$G$2:$G$26,$AF618)=0,"NOT ON LIST",""))</f>
        <v/>
      </c>
      <c r="AH618" s="8" t="str">
        <f t="shared" si="29"/>
        <v/>
      </c>
    </row>
    <row r="619" spans="31:34" x14ac:dyDescent="0.25">
      <c r="AE619" s="8" t="str">
        <f t="shared" si="27"/>
        <v/>
      </c>
      <c r="AF619" s="8" t="str">
        <f t="shared" si="28"/>
        <v/>
      </c>
      <c r="AG619" s="8" t="str">
        <f>IF(TRIM($E619)&lt;&gt;"Tax Paid","",IF(COUNTIFS(LISTS!$F$2:$F$26,$AE619,LISTS!$G$2:$G$26,$AF619)=0,"NOT ON LIST",""))</f>
        <v/>
      </c>
      <c r="AH619" s="8" t="str">
        <f t="shared" si="29"/>
        <v/>
      </c>
    </row>
    <row r="620" spans="31:34" x14ac:dyDescent="0.25">
      <c r="AE620" s="8" t="str">
        <f t="shared" si="27"/>
        <v/>
      </c>
      <c r="AF620" s="8" t="str">
        <f t="shared" si="28"/>
        <v/>
      </c>
      <c r="AG620" s="8" t="str">
        <f>IF(TRIM($E620)&lt;&gt;"Tax Paid","",IF(COUNTIFS(LISTS!$F$2:$F$26,$AE620,LISTS!$G$2:$G$26,$AF620)=0,"NOT ON LIST",""))</f>
        <v/>
      </c>
      <c r="AH620" s="8" t="str">
        <f t="shared" si="29"/>
        <v/>
      </c>
    </row>
    <row r="621" spans="31:34" x14ac:dyDescent="0.25">
      <c r="AE621" s="8" t="str">
        <f t="shared" si="27"/>
        <v/>
      </c>
      <c r="AF621" s="8" t="str">
        <f t="shared" si="28"/>
        <v/>
      </c>
      <c r="AG621" s="8" t="str">
        <f>IF(TRIM($E621)&lt;&gt;"Tax Paid","",IF(COUNTIFS(LISTS!$F$2:$F$26,$AE621,LISTS!$G$2:$G$26,$AF621)=0,"NOT ON LIST",""))</f>
        <v/>
      </c>
      <c r="AH621" s="8" t="str">
        <f t="shared" si="29"/>
        <v/>
      </c>
    </row>
    <row r="622" spans="31:34" x14ac:dyDescent="0.25">
      <c r="AE622" s="8" t="str">
        <f t="shared" si="27"/>
        <v/>
      </c>
      <c r="AF622" s="8" t="str">
        <f t="shared" si="28"/>
        <v/>
      </c>
      <c r="AG622" s="8" t="str">
        <f>IF(TRIM($E622)&lt;&gt;"Tax Paid","",IF(COUNTIFS(LISTS!$F$2:$F$26,$AE622,LISTS!$G$2:$G$26,$AF622)=0,"NOT ON LIST",""))</f>
        <v/>
      </c>
      <c r="AH622" s="8" t="str">
        <f t="shared" si="29"/>
        <v/>
      </c>
    </row>
    <row r="623" spans="31:34" x14ac:dyDescent="0.25">
      <c r="AE623" s="8" t="str">
        <f t="shared" si="27"/>
        <v/>
      </c>
      <c r="AF623" s="8" t="str">
        <f t="shared" si="28"/>
        <v/>
      </c>
      <c r="AG623" s="8" t="str">
        <f>IF(TRIM($E623)&lt;&gt;"Tax Paid","",IF(COUNTIFS(LISTS!$F$2:$F$26,$AE623,LISTS!$G$2:$G$26,$AF623)=0,"NOT ON LIST",""))</f>
        <v/>
      </c>
      <c r="AH623" s="8" t="str">
        <f t="shared" si="29"/>
        <v/>
      </c>
    </row>
    <row r="624" spans="31:34" x14ac:dyDescent="0.25">
      <c r="AE624" s="8" t="str">
        <f t="shared" si="27"/>
        <v/>
      </c>
      <c r="AF624" s="8" t="str">
        <f t="shared" si="28"/>
        <v/>
      </c>
      <c r="AG624" s="8" t="str">
        <f>IF(TRIM($E624)&lt;&gt;"Tax Paid","",IF(COUNTIFS(LISTS!$F$2:$F$26,$AE624,LISTS!$G$2:$G$26,$AF624)=0,"NOT ON LIST",""))</f>
        <v/>
      </c>
      <c r="AH624" s="8" t="str">
        <f t="shared" si="29"/>
        <v/>
      </c>
    </row>
    <row r="625" spans="31:34" x14ac:dyDescent="0.25">
      <c r="AE625" s="8" t="str">
        <f t="shared" si="27"/>
        <v/>
      </c>
      <c r="AF625" s="8" t="str">
        <f t="shared" si="28"/>
        <v/>
      </c>
      <c r="AG625" s="8" t="str">
        <f>IF(TRIM($E625)&lt;&gt;"Tax Paid","",IF(COUNTIFS(LISTS!$F$2:$F$26,$AE625,LISTS!$G$2:$G$26,$AF625)=0,"NOT ON LIST",""))</f>
        <v/>
      </c>
      <c r="AH625" s="8" t="str">
        <f t="shared" si="29"/>
        <v/>
      </c>
    </row>
    <row r="626" spans="31:34" x14ac:dyDescent="0.25">
      <c r="AE626" s="8" t="str">
        <f t="shared" si="27"/>
        <v/>
      </c>
      <c r="AF626" s="8" t="str">
        <f t="shared" si="28"/>
        <v/>
      </c>
      <c r="AG626" s="8" t="str">
        <f>IF(TRIM($E626)&lt;&gt;"Tax Paid","",IF(COUNTIFS(LISTS!$F$2:$F$26,$AE626,LISTS!$G$2:$G$26,$AF626)=0,"NOT ON LIST",""))</f>
        <v/>
      </c>
      <c r="AH626" s="8" t="str">
        <f t="shared" si="29"/>
        <v/>
      </c>
    </row>
    <row r="627" spans="31:34" x14ac:dyDescent="0.25">
      <c r="AE627" s="8" t="str">
        <f t="shared" si="27"/>
        <v/>
      </c>
      <c r="AF627" s="8" t="str">
        <f t="shared" si="28"/>
        <v/>
      </c>
      <c r="AG627" s="8" t="str">
        <f>IF(TRIM($E627)&lt;&gt;"Tax Paid","",IF(COUNTIFS(LISTS!$F$2:$F$26,$AE627,LISTS!$G$2:$G$26,$AF627)=0,"NOT ON LIST",""))</f>
        <v/>
      </c>
      <c r="AH627" s="8" t="str">
        <f t="shared" si="29"/>
        <v/>
      </c>
    </row>
    <row r="628" spans="31:34" x14ac:dyDescent="0.25">
      <c r="AE628" s="8" t="str">
        <f t="shared" si="27"/>
        <v/>
      </c>
      <c r="AF628" s="8" t="str">
        <f t="shared" si="28"/>
        <v/>
      </c>
      <c r="AG628" s="8" t="str">
        <f>IF(TRIM($E628)&lt;&gt;"Tax Paid","",IF(COUNTIFS(LISTS!$F$2:$F$26,$AE628,LISTS!$G$2:$G$26,$AF628)=0,"NOT ON LIST",""))</f>
        <v/>
      </c>
      <c r="AH628" s="8" t="str">
        <f t="shared" si="29"/>
        <v/>
      </c>
    </row>
    <row r="629" spans="31:34" x14ac:dyDescent="0.25">
      <c r="AE629" s="8" t="str">
        <f t="shared" si="27"/>
        <v/>
      </c>
      <c r="AF629" s="8" t="str">
        <f t="shared" si="28"/>
        <v/>
      </c>
      <c r="AG629" s="8" t="str">
        <f>IF(TRIM($E629)&lt;&gt;"Tax Paid","",IF(COUNTIFS(LISTS!$F$2:$F$26,$AE629,LISTS!$G$2:$G$26,$AF629)=0,"NOT ON LIST",""))</f>
        <v/>
      </c>
      <c r="AH629" s="8" t="str">
        <f t="shared" si="29"/>
        <v/>
      </c>
    </row>
    <row r="630" spans="31:34" x14ac:dyDescent="0.25">
      <c r="AE630" s="8" t="str">
        <f t="shared" si="27"/>
        <v/>
      </c>
      <c r="AF630" s="8" t="str">
        <f t="shared" si="28"/>
        <v/>
      </c>
      <c r="AG630" s="8" t="str">
        <f>IF(TRIM($E630)&lt;&gt;"Tax Paid","",IF(COUNTIFS(LISTS!$F$2:$F$26,$AE630,LISTS!$G$2:$G$26,$AF630)=0,"NOT ON LIST",""))</f>
        <v/>
      </c>
      <c r="AH630" s="8" t="str">
        <f t="shared" si="29"/>
        <v/>
      </c>
    </row>
    <row r="631" spans="31:34" x14ac:dyDescent="0.25">
      <c r="AE631" s="8" t="str">
        <f t="shared" si="27"/>
        <v/>
      </c>
      <c r="AF631" s="8" t="str">
        <f t="shared" si="28"/>
        <v/>
      </c>
      <c r="AG631" s="8" t="str">
        <f>IF(TRIM($E631)&lt;&gt;"Tax Paid","",IF(COUNTIFS(LISTS!$F$2:$F$26,$AE631,LISTS!$G$2:$G$26,$AF631)=0,"NOT ON LIST",""))</f>
        <v/>
      </c>
      <c r="AH631" s="8" t="str">
        <f t="shared" si="29"/>
        <v/>
      </c>
    </row>
    <row r="632" spans="31:34" x14ac:dyDescent="0.25">
      <c r="AE632" s="8" t="str">
        <f t="shared" si="27"/>
        <v/>
      </c>
      <c r="AF632" s="8" t="str">
        <f t="shared" si="28"/>
        <v/>
      </c>
      <c r="AG632" s="8" t="str">
        <f>IF(TRIM($E632)&lt;&gt;"Tax Paid","",IF(COUNTIFS(LISTS!$F$2:$F$26,$AE632,LISTS!$G$2:$G$26,$AF632)=0,"NOT ON LIST",""))</f>
        <v/>
      </c>
      <c r="AH632" s="8" t="str">
        <f t="shared" si="29"/>
        <v/>
      </c>
    </row>
    <row r="633" spans="31:34" x14ac:dyDescent="0.25">
      <c r="AE633" s="8" t="str">
        <f t="shared" si="27"/>
        <v/>
      </c>
      <c r="AF633" s="8" t="str">
        <f t="shared" si="28"/>
        <v/>
      </c>
      <c r="AG633" s="8" t="str">
        <f>IF(TRIM($E633)&lt;&gt;"Tax Paid","",IF(COUNTIFS(LISTS!$F$2:$F$26,$AE633,LISTS!$G$2:$G$26,$AF633)=0,"NOT ON LIST",""))</f>
        <v/>
      </c>
      <c r="AH633" s="8" t="str">
        <f t="shared" si="29"/>
        <v/>
      </c>
    </row>
    <row r="634" spans="31:34" x14ac:dyDescent="0.25">
      <c r="AE634" s="8" t="str">
        <f t="shared" si="27"/>
        <v/>
      </c>
      <c r="AF634" s="8" t="str">
        <f t="shared" si="28"/>
        <v/>
      </c>
      <c r="AG634" s="8" t="str">
        <f>IF(TRIM($E634)&lt;&gt;"Tax Paid","",IF(COUNTIFS(LISTS!$F$2:$F$26,$AE634,LISTS!$G$2:$G$26,$AF634)=0,"NOT ON LIST",""))</f>
        <v/>
      </c>
      <c r="AH634" s="8" t="str">
        <f t="shared" si="29"/>
        <v/>
      </c>
    </row>
    <row r="635" spans="31:34" x14ac:dyDescent="0.25">
      <c r="AE635" s="8" t="str">
        <f t="shared" si="27"/>
        <v/>
      </c>
      <c r="AF635" s="8" t="str">
        <f t="shared" si="28"/>
        <v/>
      </c>
      <c r="AG635" s="8" t="str">
        <f>IF(TRIM($E635)&lt;&gt;"Tax Paid","",IF(COUNTIFS(LISTS!$F$2:$F$26,$AE635,LISTS!$G$2:$G$26,$AF635)=0,"NOT ON LIST",""))</f>
        <v/>
      </c>
      <c r="AH635" s="8" t="str">
        <f t="shared" si="29"/>
        <v/>
      </c>
    </row>
    <row r="636" spans="31:34" x14ac:dyDescent="0.25">
      <c r="AE636" s="8" t="str">
        <f t="shared" si="27"/>
        <v/>
      </c>
      <c r="AF636" s="8" t="str">
        <f t="shared" si="28"/>
        <v/>
      </c>
      <c r="AG636" s="8" t="str">
        <f>IF(TRIM($E636)&lt;&gt;"Tax Paid","",IF(COUNTIFS(LISTS!$F$2:$F$26,$AE636,LISTS!$G$2:$G$26,$AF636)=0,"NOT ON LIST",""))</f>
        <v/>
      </c>
      <c r="AH636" s="8" t="str">
        <f t="shared" si="29"/>
        <v/>
      </c>
    </row>
    <row r="637" spans="31:34" x14ac:dyDescent="0.25">
      <c r="AE637" s="8" t="str">
        <f t="shared" si="27"/>
        <v/>
      </c>
      <c r="AF637" s="8" t="str">
        <f t="shared" si="28"/>
        <v/>
      </c>
      <c r="AG637" s="8" t="str">
        <f>IF(TRIM($E637)&lt;&gt;"Tax Paid","",IF(COUNTIFS(LISTS!$F$2:$F$26,$AE637,LISTS!$G$2:$G$26,$AF637)=0,"NOT ON LIST",""))</f>
        <v/>
      </c>
      <c r="AH637" s="8" t="str">
        <f t="shared" si="29"/>
        <v/>
      </c>
    </row>
    <row r="638" spans="31:34" x14ac:dyDescent="0.25">
      <c r="AE638" s="8" t="str">
        <f t="shared" si="27"/>
        <v/>
      </c>
      <c r="AF638" s="8" t="str">
        <f t="shared" si="28"/>
        <v/>
      </c>
      <c r="AG638" s="8" t="str">
        <f>IF(TRIM($E638)&lt;&gt;"Tax Paid","",IF(COUNTIFS(LISTS!$F$2:$F$26,$AE638,LISTS!$G$2:$G$26,$AF638)=0,"NOT ON LIST",""))</f>
        <v/>
      </c>
      <c r="AH638" s="8" t="str">
        <f t="shared" si="29"/>
        <v/>
      </c>
    </row>
    <row r="639" spans="31:34" x14ac:dyDescent="0.25">
      <c r="AE639" s="8" t="str">
        <f t="shared" si="27"/>
        <v/>
      </c>
      <c r="AF639" s="8" t="str">
        <f t="shared" si="28"/>
        <v/>
      </c>
      <c r="AG639" s="8" t="str">
        <f>IF(TRIM($E639)&lt;&gt;"Tax Paid","",IF(COUNTIFS(LISTS!$F$2:$F$26,$AE639,LISTS!$G$2:$G$26,$AF639)=0,"NOT ON LIST",""))</f>
        <v/>
      </c>
      <c r="AH639" s="8" t="str">
        <f t="shared" si="29"/>
        <v/>
      </c>
    </row>
    <row r="640" spans="31:34" x14ac:dyDescent="0.25">
      <c r="AE640" s="8" t="str">
        <f t="shared" si="27"/>
        <v/>
      </c>
      <c r="AF640" s="8" t="str">
        <f t="shared" si="28"/>
        <v/>
      </c>
      <c r="AG640" s="8" t="str">
        <f>IF(TRIM($E640)&lt;&gt;"Tax Paid","",IF(COUNTIFS(LISTS!$F$2:$F$26,$AE640,LISTS!$G$2:$G$26,$AF640)=0,"NOT ON LIST",""))</f>
        <v/>
      </c>
      <c r="AH640" s="8" t="str">
        <f t="shared" si="29"/>
        <v/>
      </c>
    </row>
    <row r="641" spans="31:34" x14ac:dyDescent="0.25">
      <c r="AE641" s="8" t="str">
        <f t="shared" si="27"/>
        <v/>
      </c>
      <c r="AF641" s="8" t="str">
        <f t="shared" si="28"/>
        <v/>
      </c>
      <c r="AG641" s="8" t="str">
        <f>IF(TRIM($E641)&lt;&gt;"Tax Paid","",IF(COUNTIFS(LISTS!$F$2:$F$26,$AE641,LISTS!$G$2:$G$26,$AF641)=0,"NOT ON LIST",""))</f>
        <v/>
      </c>
      <c r="AH641" s="8" t="str">
        <f t="shared" si="29"/>
        <v/>
      </c>
    </row>
    <row r="642" spans="31:34" x14ac:dyDescent="0.25">
      <c r="AE642" s="8" t="str">
        <f t="shared" ref="AE642:AE705" si="30">IF(TRIM($E642)="Tax Paid",TRIM($S642),"")</f>
        <v/>
      </c>
      <c r="AF642" s="8" t="str">
        <f t="shared" ref="AF642:AF705" si="31">IF(TRIM($E642)="Tax Paid",ROUND($Z642/100,5),"")</f>
        <v/>
      </c>
      <c r="AG642" s="8" t="str">
        <f>IF(TRIM($E642)&lt;&gt;"Tax Paid","",IF(COUNTIFS(LISTS!$F$2:$F$26,$AE642,LISTS!$G$2:$G$26,$AF642)=0,"NOT ON LIST",""))</f>
        <v/>
      </c>
      <c r="AH642" s="8" t="str">
        <f t="shared" ref="AH642:AH705" si="32">IF($AG642="","",IF($AE642="","(no county)",$AE642)&amp;" ("&amp;SUBSTITUTE(TEXT($AF642,"0.###%"),".%","%")&amp;")")</f>
        <v/>
      </c>
    </row>
    <row r="643" spans="31:34" x14ac:dyDescent="0.25">
      <c r="AE643" s="8" t="str">
        <f t="shared" si="30"/>
        <v/>
      </c>
      <c r="AF643" s="8" t="str">
        <f t="shared" si="31"/>
        <v/>
      </c>
      <c r="AG643" s="8" t="str">
        <f>IF(TRIM($E643)&lt;&gt;"Tax Paid","",IF(COUNTIFS(LISTS!$F$2:$F$26,$AE643,LISTS!$G$2:$G$26,$AF643)=0,"NOT ON LIST",""))</f>
        <v/>
      </c>
      <c r="AH643" s="8" t="str">
        <f t="shared" si="32"/>
        <v/>
      </c>
    </row>
    <row r="644" spans="31:34" x14ac:dyDescent="0.25">
      <c r="AE644" s="8" t="str">
        <f t="shared" si="30"/>
        <v/>
      </c>
      <c r="AF644" s="8" t="str">
        <f t="shared" si="31"/>
        <v/>
      </c>
      <c r="AG644" s="8" t="str">
        <f>IF(TRIM($E644)&lt;&gt;"Tax Paid","",IF(COUNTIFS(LISTS!$F$2:$F$26,$AE644,LISTS!$G$2:$G$26,$AF644)=0,"NOT ON LIST",""))</f>
        <v/>
      </c>
      <c r="AH644" s="8" t="str">
        <f t="shared" si="32"/>
        <v/>
      </c>
    </row>
    <row r="645" spans="31:34" x14ac:dyDescent="0.25">
      <c r="AE645" s="8" t="str">
        <f t="shared" si="30"/>
        <v/>
      </c>
      <c r="AF645" s="8" t="str">
        <f t="shared" si="31"/>
        <v/>
      </c>
      <c r="AG645" s="8" t="str">
        <f>IF(TRIM($E645)&lt;&gt;"Tax Paid","",IF(COUNTIFS(LISTS!$F$2:$F$26,$AE645,LISTS!$G$2:$G$26,$AF645)=0,"NOT ON LIST",""))</f>
        <v/>
      </c>
      <c r="AH645" s="8" t="str">
        <f t="shared" si="32"/>
        <v/>
      </c>
    </row>
    <row r="646" spans="31:34" x14ac:dyDescent="0.25">
      <c r="AE646" s="8" t="str">
        <f t="shared" si="30"/>
        <v/>
      </c>
      <c r="AF646" s="8" t="str">
        <f t="shared" si="31"/>
        <v/>
      </c>
      <c r="AG646" s="8" t="str">
        <f>IF(TRIM($E646)&lt;&gt;"Tax Paid","",IF(COUNTIFS(LISTS!$F$2:$F$26,$AE646,LISTS!$G$2:$G$26,$AF646)=0,"NOT ON LIST",""))</f>
        <v/>
      </c>
      <c r="AH646" s="8" t="str">
        <f t="shared" si="32"/>
        <v/>
      </c>
    </row>
    <row r="647" spans="31:34" x14ac:dyDescent="0.25">
      <c r="AE647" s="8" t="str">
        <f t="shared" si="30"/>
        <v/>
      </c>
      <c r="AF647" s="8" t="str">
        <f t="shared" si="31"/>
        <v/>
      </c>
      <c r="AG647" s="8" t="str">
        <f>IF(TRIM($E647)&lt;&gt;"Tax Paid","",IF(COUNTIFS(LISTS!$F$2:$F$26,$AE647,LISTS!$G$2:$G$26,$AF647)=0,"NOT ON LIST",""))</f>
        <v/>
      </c>
      <c r="AH647" s="8" t="str">
        <f t="shared" si="32"/>
        <v/>
      </c>
    </row>
    <row r="648" spans="31:34" x14ac:dyDescent="0.25">
      <c r="AE648" s="8" t="str">
        <f t="shared" si="30"/>
        <v/>
      </c>
      <c r="AF648" s="8" t="str">
        <f t="shared" si="31"/>
        <v/>
      </c>
      <c r="AG648" s="8" t="str">
        <f>IF(TRIM($E648)&lt;&gt;"Tax Paid","",IF(COUNTIFS(LISTS!$F$2:$F$26,$AE648,LISTS!$G$2:$G$26,$AF648)=0,"NOT ON LIST",""))</f>
        <v/>
      </c>
      <c r="AH648" s="8" t="str">
        <f t="shared" si="32"/>
        <v/>
      </c>
    </row>
    <row r="649" spans="31:34" x14ac:dyDescent="0.25">
      <c r="AE649" s="8" t="str">
        <f t="shared" si="30"/>
        <v/>
      </c>
      <c r="AF649" s="8" t="str">
        <f t="shared" si="31"/>
        <v/>
      </c>
      <c r="AG649" s="8" t="str">
        <f>IF(TRIM($E649)&lt;&gt;"Tax Paid","",IF(COUNTIFS(LISTS!$F$2:$F$26,$AE649,LISTS!$G$2:$G$26,$AF649)=0,"NOT ON LIST",""))</f>
        <v/>
      </c>
      <c r="AH649" s="8" t="str">
        <f t="shared" si="32"/>
        <v/>
      </c>
    </row>
    <row r="650" spans="31:34" x14ac:dyDescent="0.25">
      <c r="AE650" s="8" t="str">
        <f t="shared" si="30"/>
        <v/>
      </c>
      <c r="AF650" s="8" t="str">
        <f t="shared" si="31"/>
        <v/>
      </c>
      <c r="AG650" s="8" t="str">
        <f>IF(TRIM($E650)&lt;&gt;"Tax Paid","",IF(COUNTIFS(LISTS!$F$2:$F$26,$AE650,LISTS!$G$2:$G$26,$AF650)=0,"NOT ON LIST",""))</f>
        <v/>
      </c>
      <c r="AH650" s="8" t="str">
        <f t="shared" si="32"/>
        <v/>
      </c>
    </row>
    <row r="651" spans="31:34" x14ac:dyDescent="0.25">
      <c r="AE651" s="8" t="str">
        <f t="shared" si="30"/>
        <v/>
      </c>
      <c r="AF651" s="8" t="str">
        <f t="shared" si="31"/>
        <v/>
      </c>
      <c r="AG651" s="8" t="str">
        <f>IF(TRIM($E651)&lt;&gt;"Tax Paid","",IF(COUNTIFS(LISTS!$F$2:$F$26,$AE651,LISTS!$G$2:$G$26,$AF651)=0,"NOT ON LIST",""))</f>
        <v/>
      </c>
      <c r="AH651" s="8" t="str">
        <f t="shared" si="32"/>
        <v/>
      </c>
    </row>
    <row r="652" spans="31:34" x14ac:dyDescent="0.25">
      <c r="AE652" s="8" t="str">
        <f t="shared" si="30"/>
        <v/>
      </c>
      <c r="AF652" s="8" t="str">
        <f t="shared" si="31"/>
        <v/>
      </c>
      <c r="AG652" s="8" t="str">
        <f>IF(TRIM($E652)&lt;&gt;"Tax Paid","",IF(COUNTIFS(LISTS!$F$2:$F$26,$AE652,LISTS!$G$2:$G$26,$AF652)=0,"NOT ON LIST",""))</f>
        <v/>
      </c>
      <c r="AH652" s="8" t="str">
        <f t="shared" si="32"/>
        <v/>
      </c>
    </row>
    <row r="653" spans="31:34" x14ac:dyDescent="0.25">
      <c r="AE653" s="8" t="str">
        <f t="shared" si="30"/>
        <v/>
      </c>
      <c r="AF653" s="8" t="str">
        <f t="shared" si="31"/>
        <v/>
      </c>
      <c r="AG653" s="8" t="str">
        <f>IF(TRIM($E653)&lt;&gt;"Tax Paid","",IF(COUNTIFS(LISTS!$F$2:$F$26,$AE653,LISTS!$G$2:$G$26,$AF653)=0,"NOT ON LIST",""))</f>
        <v/>
      </c>
      <c r="AH653" s="8" t="str">
        <f t="shared" si="32"/>
        <v/>
      </c>
    </row>
    <row r="654" spans="31:34" x14ac:dyDescent="0.25">
      <c r="AE654" s="8" t="str">
        <f t="shared" si="30"/>
        <v/>
      </c>
      <c r="AF654" s="8" t="str">
        <f t="shared" si="31"/>
        <v/>
      </c>
      <c r="AG654" s="8" t="str">
        <f>IF(TRIM($E654)&lt;&gt;"Tax Paid","",IF(COUNTIFS(LISTS!$F$2:$F$26,$AE654,LISTS!$G$2:$G$26,$AF654)=0,"NOT ON LIST",""))</f>
        <v/>
      </c>
      <c r="AH654" s="8" t="str">
        <f t="shared" si="32"/>
        <v/>
      </c>
    </row>
    <row r="655" spans="31:34" x14ac:dyDescent="0.25">
      <c r="AE655" s="8" t="str">
        <f t="shared" si="30"/>
        <v/>
      </c>
      <c r="AF655" s="8" t="str">
        <f t="shared" si="31"/>
        <v/>
      </c>
      <c r="AG655" s="8" t="str">
        <f>IF(TRIM($E655)&lt;&gt;"Tax Paid","",IF(COUNTIFS(LISTS!$F$2:$F$26,$AE655,LISTS!$G$2:$G$26,$AF655)=0,"NOT ON LIST",""))</f>
        <v/>
      </c>
      <c r="AH655" s="8" t="str">
        <f t="shared" si="32"/>
        <v/>
      </c>
    </row>
    <row r="656" spans="31:34" x14ac:dyDescent="0.25">
      <c r="AE656" s="8" t="str">
        <f t="shared" si="30"/>
        <v/>
      </c>
      <c r="AF656" s="8" t="str">
        <f t="shared" si="31"/>
        <v/>
      </c>
      <c r="AG656" s="8" t="str">
        <f>IF(TRIM($E656)&lt;&gt;"Tax Paid","",IF(COUNTIFS(LISTS!$F$2:$F$26,$AE656,LISTS!$G$2:$G$26,$AF656)=0,"NOT ON LIST",""))</f>
        <v/>
      </c>
      <c r="AH656" s="8" t="str">
        <f t="shared" si="32"/>
        <v/>
      </c>
    </row>
    <row r="657" spans="31:34" x14ac:dyDescent="0.25">
      <c r="AE657" s="8" t="str">
        <f t="shared" si="30"/>
        <v/>
      </c>
      <c r="AF657" s="8" t="str">
        <f t="shared" si="31"/>
        <v/>
      </c>
      <c r="AG657" s="8" t="str">
        <f>IF(TRIM($E657)&lt;&gt;"Tax Paid","",IF(COUNTIFS(LISTS!$F$2:$F$26,$AE657,LISTS!$G$2:$G$26,$AF657)=0,"NOT ON LIST",""))</f>
        <v/>
      </c>
      <c r="AH657" s="8" t="str">
        <f t="shared" si="32"/>
        <v/>
      </c>
    </row>
    <row r="658" spans="31:34" x14ac:dyDescent="0.25">
      <c r="AE658" s="8" t="str">
        <f t="shared" si="30"/>
        <v/>
      </c>
      <c r="AF658" s="8" t="str">
        <f t="shared" si="31"/>
        <v/>
      </c>
      <c r="AG658" s="8" t="str">
        <f>IF(TRIM($E658)&lt;&gt;"Tax Paid","",IF(COUNTIFS(LISTS!$F$2:$F$26,$AE658,LISTS!$G$2:$G$26,$AF658)=0,"NOT ON LIST",""))</f>
        <v/>
      </c>
      <c r="AH658" s="8" t="str">
        <f t="shared" si="32"/>
        <v/>
      </c>
    </row>
    <row r="659" spans="31:34" x14ac:dyDescent="0.25">
      <c r="AE659" s="8" t="str">
        <f t="shared" si="30"/>
        <v/>
      </c>
      <c r="AF659" s="8" t="str">
        <f t="shared" si="31"/>
        <v/>
      </c>
      <c r="AG659" s="8" t="str">
        <f>IF(TRIM($E659)&lt;&gt;"Tax Paid","",IF(COUNTIFS(LISTS!$F$2:$F$26,$AE659,LISTS!$G$2:$G$26,$AF659)=0,"NOT ON LIST",""))</f>
        <v/>
      </c>
      <c r="AH659" s="8" t="str">
        <f t="shared" si="32"/>
        <v/>
      </c>
    </row>
    <row r="660" spans="31:34" x14ac:dyDescent="0.25">
      <c r="AE660" s="8" t="str">
        <f t="shared" si="30"/>
        <v/>
      </c>
      <c r="AF660" s="8" t="str">
        <f t="shared" si="31"/>
        <v/>
      </c>
      <c r="AG660" s="8" t="str">
        <f>IF(TRIM($E660)&lt;&gt;"Tax Paid","",IF(COUNTIFS(LISTS!$F$2:$F$26,$AE660,LISTS!$G$2:$G$26,$AF660)=0,"NOT ON LIST",""))</f>
        <v/>
      </c>
      <c r="AH660" s="8" t="str">
        <f t="shared" si="32"/>
        <v/>
      </c>
    </row>
    <row r="661" spans="31:34" x14ac:dyDescent="0.25">
      <c r="AE661" s="8" t="str">
        <f t="shared" si="30"/>
        <v/>
      </c>
      <c r="AF661" s="8" t="str">
        <f t="shared" si="31"/>
        <v/>
      </c>
      <c r="AG661" s="8" t="str">
        <f>IF(TRIM($E661)&lt;&gt;"Tax Paid","",IF(COUNTIFS(LISTS!$F$2:$F$26,$AE661,LISTS!$G$2:$G$26,$AF661)=0,"NOT ON LIST",""))</f>
        <v/>
      </c>
      <c r="AH661" s="8" t="str">
        <f t="shared" si="32"/>
        <v/>
      </c>
    </row>
    <row r="662" spans="31:34" x14ac:dyDescent="0.25">
      <c r="AE662" s="8" t="str">
        <f t="shared" si="30"/>
        <v/>
      </c>
      <c r="AF662" s="8" t="str">
        <f t="shared" si="31"/>
        <v/>
      </c>
      <c r="AG662" s="8" t="str">
        <f>IF(TRIM($E662)&lt;&gt;"Tax Paid","",IF(COUNTIFS(LISTS!$F$2:$F$26,$AE662,LISTS!$G$2:$G$26,$AF662)=0,"NOT ON LIST",""))</f>
        <v/>
      </c>
      <c r="AH662" s="8" t="str">
        <f t="shared" si="32"/>
        <v/>
      </c>
    </row>
    <row r="663" spans="31:34" x14ac:dyDescent="0.25">
      <c r="AE663" s="8" t="str">
        <f t="shared" si="30"/>
        <v/>
      </c>
      <c r="AF663" s="8" t="str">
        <f t="shared" si="31"/>
        <v/>
      </c>
      <c r="AG663" s="8" t="str">
        <f>IF(TRIM($E663)&lt;&gt;"Tax Paid","",IF(COUNTIFS(LISTS!$F$2:$F$26,$AE663,LISTS!$G$2:$G$26,$AF663)=0,"NOT ON LIST",""))</f>
        <v/>
      </c>
      <c r="AH663" s="8" t="str">
        <f t="shared" si="32"/>
        <v/>
      </c>
    </row>
    <row r="664" spans="31:34" x14ac:dyDescent="0.25">
      <c r="AE664" s="8" t="str">
        <f t="shared" si="30"/>
        <v/>
      </c>
      <c r="AF664" s="8" t="str">
        <f t="shared" si="31"/>
        <v/>
      </c>
      <c r="AG664" s="8" t="str">
        <f>IF(TRIM($E664)&lt;&gt;"Tax Paid","",IF(COUNTIFS(LISTS!$F$2:$F$26,$AE664,LISTS!$G$2:$G$26,$AF664)=0,"NOT ON LIST",""))</f>
        <v/>
      </c>
      <c r="AH664" s="8" t="str">
        <f t="shared" si="32"/>
        <v/>
      </c>
    </row>
    <row r="665" spans="31:34" x14ac:dyDescent="0.25">
      <c r="AE665" s="8" t="str">
        <f t="shared" si="30"/>
        <v/>
      </c>
      <c r="AF665" s="8" t="str">
        <f t="shared" si="31"/>
        <v/>
      </c>
      <c r="AG665" s="8" t="str">
        <f>IF(TRIM($E665)&lt;&gt;"Tax Paid","",IF(COUNTIFS(LISTS!$F$2:$F$26,$AE665,LISTS!$G$2:$G$26,$AF665)=0,"NOT ON LIST",""))</f>
        <v/>
      </c>
      <c r="AH665" s="8" t="str">
        <f t="shared" si="32"/>
        <v/>
      </c>
    </row>
    <row r="666" spans="31:34" x14ac:dyDescent="0.25">
      <c r="AE666" s="8" t="str">
        <f t="shared" si="30"/>
        <v/>
      </c>
      <c r="AF666" s="8" t="str">
        <f t="shared" si="31"/>
        <v/>
      </c>
      <c r="AG666" s="8" t="str">
        <f>IF(TRIM($E666)&lt;&gt;"Tax Paid","",IF(COUNTIFS(LISTS!$F$2:$F$26,$AE666,LISTS!$G$2:$G$26,$AF666)=0,"NOT ON LIST",""))</f>
        <v/>
      </c>
      <c r="AH666" s="8" t="str">
        <f t="shared" si="32"/>
        <v/>
      </c>
    </row>
    <row r="667" spans="31:34" x14ac:dyDescent="0.25">
      <c r="AE667" s="8" t="str">
        <f t="shared" si="30"/>
        <v/>
      </c>
      <c r="AF667" s="8" t="str">
        <f t="shared" si="31"/>
        <v/>
      </c>
      <c r="AG667" s="8" t="str">
        <f>IF(TRIM($E667)&lt;&gt;"Tax Paid","",IF(COUNTIFS(LISTS!$F$2:$F$26,$AE667,LISTS!$G$2:$G$26,$AF667)=0,"NOT ON LIST",""))</f>
        <v/>
      </c>
      <c r="AH667" s="8" t="str">
        <f t="shared" si="32"/>
        <v/>
      </c>
    </row>
    <row r="668" spans="31:34" x14ac:dyDescent="0.25">
      <c r="AE668" s="8" t="str">
        <f t="shared" si="30"/>
        <v/>
      </c>
      <c r="AF668" s="8" t="str">
        <f t="shared" si="31"/>
        <v/>
      </c>
      <c r="AG668" s="8" t="str">
        <f>IF(TRIM($E668)&lt;&gt;"Tax Paid","",IF(COUNTIFS(LISTS!$F$2:$F$26,$AE668,LISTS!$G$2:$G$26,$AF668)=0,"NOT ON LIST",""))</f>
        <v/>
      </c>
      <c r="AH668" s="8" t="str">
        <f t="shared" si="32"/>
        <v/>
      </c>
    </row>
    <row r="669" spans="31:34" x14ac:dyDescent="0.25">
      <c r="AE669" s="8" t="str">
        <f t="shared" si="30"/>
        <v/>
      </c>
      <c r="AF669" s="8" t="str">
        <f t="shared" si="31"/>
        <v/>
      </c>
      <c r="AG669" s="8" t="str">
        <f>IF(TRIM($E669)&lt;&gt;"Tax Paid","",IF(COUNTIFS(LISTS!$F$2:$F$26,$AE669,LISTS!$G$2:$G$26,$AF669)=0,"NOT ON LIST",""))</f>
        <v/>
      </c>
      <c r="AH669" s="8" t="str">
        <f t="shared" si="32"/>
        <v/>
      </c>
    </row>
    <row r="670" spans="31:34" x14ac:dyDescent="0.25">
      <c r="AE670" s="8" t="str">
        <f t="shared" si="30"/>
        <v/>
      </c>
      <c r="AF670" s="8" t="str">
        <f t="shared" si="31"/>
        <v/>
      </c>
      <c r="AG670" s="8" t="str">
        <f>IF(TRIM($E670)&lt;&gt;"Tax Paid","",IF(COUNTIFS(LISTS!$F$2:$F$26,$AE670,LISTS!$G$2:$G$26,$AF670)=0,"NOT ON LIST",""))</f>
        <v/>
      </c>
      <c r="AH670" s="8" t="str">
        <f t="shared" si="32"/>
        <v/>
      </c>
    </row>
    <row r="671" spans="31:34" x14ac:dyDescent="0.25">
      <c r="AE671" s="8" t="str">
        <f t="shared" si="30"/>
        <v/>
      </c>
      <c r="AF671" s="8" t="str">
        <f t="shared" si="31"/>
        <v/>
      </c>
      <c r="AG671" s="8" t="str">
        <f>IF(TRIM($E671)&lt;&gt;"Tax Paid","",IF(COUNTIFS(LISTS!$F$2:$F$26,$AE671,LISTS!$G$2:$G$26,$AF671)=0,"NOT ON LIST",""))</f>
        <v/>
      </c>
      <c r="AH671" s="8" t="str">
        <f t="shared" si="32"/>
        <v/>
      </c>
    </row>
    <row r="672" spans="31:34" x14ac:dyDescent="0.25">
      <c r="AE672" s="8" t="str">
        <f t="shared" si="30"/>
        <v/>
      </c>
      <c r="AF672" s="8" t="str">
        <f t="shared" si="31"/>
        <v/>
      </c>
      <c r="AG672" s="8" t="str">
        <f>IF(TRIM($E672)&lt;&gt;"Tax Paid","",IF(COUNTIFS(LISTS!$F$2:$F$26,$AE672,LISTS!$G$2:$G$26,$AF672)=0,"NOT ON LIST",""))</f>
        <v/>
      </c>
      <c r="AH672" s="8" t="str">
        <f t="shared" si="32"/>
        <v/>
      </c>
    </row>
    <row r="673" spans="31:34" x14ac:dyDescent="0.25">
      <c r="AE673" s="8" t="str">
        <f t="shared" si="30"/>
        <v/>
      </c>
      <c r="AF673" s="8" t="str">
        <f t="shared" si="31"/>
        <v/>
      </c>
      <c r="AG673" s="8" t="str">
        <f>IF(TRIM($E673)&lt;&gt;"Tax Paid","",IF(COUNTIFS(LISTS!$F$2:$F$26,$AE673,LISTS!$G$2:$G$26,$AF673)=0,"NOT ON LIST",""))</f>
        <v/>
      </c>
      <c r="AH673" s="8" t="str">
        <f t="shared" si="32"/>
        <v/>
      </c>
    </row>
    <row r="674" spans="31:34" x14ac:dyDescent="0.25">
      <c r="AE674" s="8" t="str">
        <f t="shared" si="30"/>
        <v/>
      </c>
      <c r="AF674" s="8" t="str">
        <f t="shared" si="31"/>
        <v/>
      </c>
      <c r="AG674" s="8" t="str">
        <f>IF(TRIM($E674)&lt;&gt;"Tax Paid","",IF(COUNTIFS(LISTS!$F$2:$F$26,$AE674,LISTS!$G$2:$G$26,$AF674)=0,"NOT ON LIST",""))</f>
        <v/>
      </c>
      <c r="AH674" s="8" t="str">
        <f t="shared" si="32"/>
        <v/>
      </c>
    </row>
    <row r="675" spans="31:34" x14ac:dyDescent="0.25">
      <c r="AE675" s="8" t="str">
        <f t="shared" si="30"/>
        <v/>
      </c>
      <c r="AF675" s="8" t="str">
        <f t="shared" si="31"/>
        <v/>
      </c>
      <c r="AG675" s="8" t="str">
        <f>IF(TRIM($E675)&lt;&gt;"Tax Paid","",IF(COUNTIFS(LISTS!$F$2:$F$26,$AE675,LISTS!$G$2:$G$26,$AF675)=0,"NOT ON LIST",""))</f>
        <v/>
      </c>
      <c r="AH675" s="8" t="str">
        <f t="shared" si="32"/>
        <v/>
      </c>
    </row>
    <row r="676" spans="31:34" x14ac:dyDescent="0.25">
      <c r="AE676" s="8" t="str">
        <f t="shared" si="30"/>
        <v/>
      </c>
      <c r="AF676" s="8" t="str">
        <f t="shared" si="31"/>
        <v/>
      </c>
      <c r="AG676" s="8" t="str">
        <f>IF(TRIM($E676)&lt;&gt;"Tax Paid","",IF(COUNTIFS(LISTS!$F$2:$F$26,$AE676,LISTS!$G$2:$G$26,$AF676)=0,"NOT ON LIST",""))</f>
        <v/>
      </c>
      <c r="AH676" s="8" t="str">
        <f t="shared" si="32"/>
        <v/>
      </c>
    </row>
    <row r="677" spans="31:34" x14ac:dyDescent="0.25">
      <c r="AE677" s="8" t="str">
        <f t="shared" si="30"/>
        <v/>
      </c>
      <c r="AF677" s="8" t="str">
        <f t="shared" si="31"/>
        <v/>
      </c>
      <c r="AG677" s="8" t="str">
        <f>IF(TRIM($E677)&lt;&gt;"Tax Paid","",IF(COUNTIFS(LISTS!$F$2:$F$26,$AE677,LISTS!$G$2:$G$26,$AF677)=0,"NOT ON LIST",""))</f>
        <v/>
      </c>
      <c r="AH677" s="8" t="str">
        <f t="shared" si="32"/>
        <v/>
      </c>
    </row>
    <row r="678" spans="31:34" x14ac:dyDescent="0.25">
      <c r="AE678" s="8" t="str">
        <f t="shared" si="30"/>
        <v/>
      </c>
      <c r="AF678" s="8" t="str">
        <f t="shared" si="31"/>
        <v/>
      </c>
      <c r="AG678" s="8" t="str">
        <f>IF(TRIM($E678)&lt;&gt;"Tax Paid","",IF(COUNTIFS(LISTS!$F$2:$F$26,$AE678,LISTS!$G$2:$G$26,$AF678)=0,"NOT ON LIST",""))</f>
        <v/>
      </c>
      <c r="AH678" s="8" t="str">
        <f t="shared" si="32"/>
        <v/>
      </c>
    </row>
    <row r="679" spans="31:34" x14ac:dyDescent="0.25">
      <c r="AE679" s="8" t="str">
        <f t="shared" si="30"/>
        <v/>
      </c>
      <c r="AF679" s="8" t="str">
        <f t="shared" si="31"/>
        <v/>
      </c>
      <c r="AG679" s="8" t="str">
        <f>IF(TRIM($E679)&lt;&gt;"Tax Paid","",IF(COUNTIFS(LISTS!$F$2:$F$26,$AE679,LISTS!$G$2:$G$26,$AF679)=0,"NOT ON LIST",""))</f>
        <v/>
      </c>
      <c r="AH679" s="8" t="str">
        <f t="shared" si="32"/>
        <v/>
      </c>
    </row>
    <row r="680" spans="31:34" x14ac:dyDescent="0.25">
      <c r="AE680" s="8" t="str">
        <f t="shared" si="30"/>
        <v/>
      </c>
      <c r="AF680" s="8" t="str">
        <f t="shared" si="31"/>
        <v/>
      </c>
      <c r="AG680" s="8" t="str">
        <f>IF(TRIM($E680)&lt;&gt;"Tax Paid","",IF(COUNTIFS(LISTS!$F$2:$F$26,$AE680,LISTS!$G$2:$G$26,$AF680)=0,"NOT ON LIST",""))</f>
        <v/>
      </c>
      <c r="AH680" s="8" t="str">
        <f t="shared" si="32"/>
        <v/>
      </c>
    </row>
    <row r="681" spans="31:34" x14ac:dyDescent="0.25">
      <c r="AE681" s="8" t="str">
        <f t="shared" si="30"/>
        <v/>
      </c>
      <c r="AF681" s="8" t="str">
        <f t="shared" si="31"/>
        <v/>
      </c>
      <c r="AG681" s="8" t="str">
        <f>IF(TRIM($E681)&lt;&gt;"Tax Paid","",IF(COUNTIFS(LISTS!$F$2:$F$26,$AE681,LISTS!$G$2:$G$26,$AF681)=0,"NOT ON LIST",""))</f>
        <v/>
      </c>
      <c r="AH681" s="8" t="str">
        <f t="shared" si="32"/>
        <v/>
      </c>
    </row>
    <row r="682" spans="31:34" x14ac:dyDescent="0.25">
      <c r="AE682" s="8" t="str">
        <f t="shared" si="30"/>
        <v/>
      </c>
      <c r="AF682" s="8" t="str">
        <f t="shared" si="31"/>
        <v/>
      </c>
      <c r="AG682" s="8" t="str">
        <f>IF(TRIM($E682)&lt;&gt;"Tax Paid","",IF(COUNTIFS(LISTS!$F$2:$F$26,$AE682,LISTS!$G$2:$G$26,$AF682)=0,"NOT ON LIST",""))</f>
        <v/>
      </c>
      <c r="AH682" s="8" t="str">
        <f t="shared" si="32"/>
        <v/>
      </c>
    </row>
    <row r="683" spans="31:34" x14ac:dyDescent="0.25">
      <c r="AE683" s="8" t="str">
        <f t="shared" si="30"/>
        <v/>
      </c>
      <c r="AF683" s="8" t="str">
        <f t="shared" si="31"/>
        <v/>
      </c>
      <c r="AG683" s="8" t="str">
        <f>IF(TRIM($E683)&lt;&gt;"Tax Paid","",IF(COUNTIFS(LISTS!$F$2:$F$26,$AE683,LISTS!$G$2:$G$26,$AF683)=0,"NOT ON LIST",""))</f>
        <v/>
      </c>
      <c r="AH683" s="8" t="str">
        <f t="shared" si="32"/>
        <v/>
      </c>
    </row>
    <row r="684" spans="31:34" x14ac:dyDescent="0.25">
      <c r="AE684" s="8" t="str">
        <f t="shared" si="30"/>
        <v/>
      </c>
      <c r="AF684" s="8" t="str">
        <f t="shared" si="31"/>
        <v/>
      </c>
      <c r="AG684" s="8" t="str">
        <f>IF(TRIM($E684)&lt;&gt;"Tax Paid","",IF(COUNTIFS(LISTS!$F$2:$F$26,$AE684,LISTS!$G$2:$G$26,$AF684)=0,"NOT ON LIST",""))</f>
        <v/>
      </c>
      <c r="AH684" s="8" t="str">
        <f t="shared" si="32"/>
        <v/>
      </c>
    </row>
    <row r="685" spans="31:34" x14ac:dyDescent="0.25">
      <c r="AE685" s="8" t="str">
        <f t="shared" si="30"/>
        <v/>
      </c>
      <c r="AF685" s="8" t="str">
        <f t="shared" si="31"/>
        <v/>
      </c>
      <c r="AG685" s="8" t="str">
        <f>IF(TRIM($E685)&lt;&gt;"Tax Paid","",IF(COUNTIFS(LISTS!$F$2:$F$26,$AE685,LISTS!$G$2:$G$26,$AF685)=0,"NOT ON LIST",""))</f>
        <v/>
      </c>
      <c r="AH685" s="8" t="str">
        <f t="shared" si="32"/>
        <v/>
      </c>
    </row>
    <row r="686" spans="31:34" x14ac:dyDescent="0.25">
      <c r="AE686" s="8" t="str">
        <f t="shared" si="30"/>
        <v/>
      </c>
      <c r="AF686" s="8" t="str">
        <f t="shared" si="31"/>
        <v/>
      </c>
      <c r="AG686" s="8" t="str">
        <f>IF(TRIM($E686)&lt;&gt;"Tax Paid","",IF(COUNTIFS(LISTS!$F$2:$F$26,$AE686,LISTS!$G$2:$G$26,$AF686)=0,"NOT ON LIST",""))</f>
        <v/>
      </c>
      <c r="AH686" s="8" t="str">
        <f t="shared" si="32"/>
        <v/>
      </c>
    </row>
    <row r="687" spans="31:34" x14ac:dyDescent="0.25">
      <c r="AE687" s="8" t="str">
        <f t="shared" si="30"/>
        <v/>
      </c>
      <c r="AF687" s="8" t="str">
        <f t="shared" si="31"/>
        <v/>
      </c>
      <c r="AG687" s="8" t="str">
        <f>IF(TRIM($E687)&lt;&gt;"Tax Paid","",IF(COUNTIFS(LISTS!$F$2:$F$26,$AE687,LISTS!$G$2:$G$26,$AF687)=0,"NOT ON LIST",""))</f>
        <v/>
      </c>
      <c r="AH687" s="8" t="str">
        <f t="shared" si="32"/>
        <v/>
      </c>
    </row>
    <row r="688" spans="31:34" x14ac:dyDescent="0.25">
      <c r="AE688" s="8" t="str">
        <f t="shared" si="30"/>
        <v/>
      </c>
      <c r="AF688" s="8" t="str">
        <f t="shared" si="31"/>
        <v/>
      </c>
      <c r="AG688" s="8" t="str">
        <f>IF(TRIM($E688)&lt;&gt;"Tax Paid","",IF(COUNTIFS(LISTS!$F$2:$F$26,$AE688,LISTS!$G$2:$G$26,$AF688)=0,"NOT ON LIST",""))</f>
        <v/>
      </c>
      <c r="AH688" s="8" t="str">
        <f t="shared" si="32"/>
        <v/>
      </c>
    </row>
    <row r="689" spans="31:34" x14ac:dyDescent="0.25">
      <c r="AE689" s="8" t="str">
        <f t="shared" si="30"/>
        <v/>
      </c>
      <c r="AF689" s="8" t="str">
        <f t="shared" si="31"/>
        <v/>
      </c>
      <c r="AG689" s="8" t="str">
        <f>IF(TRIM($E689)&lt;&gt;"Tax Paid","",IF(COUNTIFS(LISTS!$F$2:$F$26,$AE689,LISTS!$G$2:$G$26,$AF689)=0,"NOT ON LIST",""))</f>
        <v/>
      </c>
      <c r="AH689" s="8" t="str">
        <f t="shared" si="32"/>
        <v/>
      </c>
    </row>
    <row r="690" spans="31:34" x14ac:dyDescent="0.25">
      <c r="AE690" s="8" t="str">
        <f t="shared" si="30"/>
        <v/>
      </c>
      <c r="AF690" s="8" t="str">
        <f t="shared" si="31"/>
        <v/>
      </c>
      <c r="AG690" s="8" t="str">
        <f>IF(TRIM($E690)&lt;&gt;"Tax Paid","",IF(COUNTIFS(LISTS!$F$2:$F$26,$AE690,LISTS!$G$2:$G$26,$AF690)=0,"NOT ON LIST",""))</f>
        <v/>
      </c>
      <c r="AH690" s="8" t="str">
        <f t="shared" si="32"/>
        <v/>
      </c>
    </row>
    <row r="691" spans="31:34" x14ac:dyDescent="0.25">
      <c r="AE691" s="8" t="str">
        <f t="shared" si="30"/>
        <v/>
      </c>
      <c r="AF691" s="8" t="str">
        <f t="shared" si="31"/>
        <v/>
      </c>
      <c r="AG691" s="8" t="str">
        <f>IF(TRIM($E691)&lt;&gt;"Tax Paid","",IF(COUNTIFS(LISTS!$F$2:$F$26,$AE691,LISTS!$G$2:$G$26,$AF691)=0,"NOT ON LIST",""))</f>
        <v/>
      </c>
      <c r="AH691" s="8" t="str">
        <f t="shared" si="32"/>
        <v/>
      </c>
    </row>
    <row r="692" spans="31:34" x14ac:dyDescent="0.25">
      <c r="AE692" s="8" t="str">
        <f t="shared" si="30"/>
        <v/>
      </c>
      <c r="AF692" s="8" t="str">
        <f t="shared" si="31"/>
        <v/>
      </c>
      <c r="AG692" s="8" t="str">
        <f>IF(TRIM($E692)&lt;&gt;"Tax Paid","",IF(COUNTIFS(LISTS!$F$2:$F$26,$AE692,LISTS!$G$2:$G$26,$AF692)=0,"NOT ON LIST",""))</f>
        <v/>
      </c>
      <c r="AH692" s="8" t="str">
        <f t="shared" si="32"/>
        <v/>
      </c>
    </row>
    <row r="693" spans="31:34" x14ac:dyDescent="0.25">
      <c r="AE693" s="8" t="str">
        <f t="shared" si="30"/>
        <v/>
      </c>
      <c r="AF693" s="8" t="str">
        <f t="shared" si="31"/>
        <v/>
      </c>
      <c r="AG693" s="8" t="str">
        <f>IF(TRIM($E693)&lt;&gt;"Tax Paid","",IF(COUNTIFS(LISTS!$F$2:$F$26,$AE693,LISTS!$G$2:$G$26,$AF693)=0,"NOT ON LIST",""))</f>
        <v/>
      </c>
      <c r="AH693" s="8" t="str">
        <f t="shared" si="32"/>
        <v/>
      </c>
    </row>
    <row r="694" spans="31:34" x14ac:dyDescent="0.25">
      <c r="AE694" s="8" t="str">
        <f t="shared" si="30"/>
        <v/>
      </c>
      <c r="AF694" s="8" t="str">
        <f t="shared" si="31"/>
        <v/>
      </c>
      <c r="AG694" s="8" t="str">
        <f>IF(TRIM($E694)&lt;&gt;"Tax Paid","",IF(COUNTIFS(LISTS!$F$2:$F$26,$AE694,LISTS!$G$2:$G$26,$AF694)=0,"NOT ON LIST",""))</f>
        <v/>
      </c>
      <c r="AH694" s="8" t="str">
        <f t="shared" si="32"/>
        <v/>
      </c>
    </row>
    <row r="695" spans="31:34" x14ac:dyDescent="0.25">
      <c r="AE695" s="8" t="str">
        <f t="shared" si="30"/>
        <v/>
      </c>
      <c r="AF695" s="8" t="str">
        <f t="shared" si="31"/>
        <v/>
      </c>
      <c r="AG695" s="8" t="str">
        <f>IF(TRIM($E695)&lt;&gt;"Tax Paid","",IF(COUNTIFS(LISTS!$F$2:$F$26,$AE695,LISTS!$G$2:$G$26,$AF695)=0,"NOT ON LIST",""))</f>
        <v/>
      </c>
      <c r="AH695" s="8" t="str">
        <f t="shared" si="32"/>
        <v/>
      </c>
    </row>
    <row r="696" spans="31:34" x14ac:dyDescent="0.25">
      <c r="AE696" s="8" t="str">
        <f t="shared" si="30"/>
        <v/>
      </c>
      <c r="AF696" s="8" t="str">
        <f t="shared" si="31"/>
        <v/>
      </c>
      <c r="AG696" s="8" t="str">
        <f>IF(TRIM($E696)&lt;&gt;"Tax Paid","",IF(COUNTIFS(LISTS!$F$2:$F$26,$AE696,LISTS!$G$2:$G$26,$AF696)=0,"NOT ON LIST",""))</f>
        <v/>
      </c>
      <c r="AH696" s="8" t="str">
        <f t="shared" si="32"/>
        <v/>
      </c>
    </row>
    <row r="697" spans="31:34" x14ac:dyDescent="0.25">
      <c r="AE697" s="8" t="str">
        <f t="shared" si="30"/>
        <v/>
      </c>
      <c r="AF697" s="8" t="str">
        <f t="shared" si="31"/>
        <v/>
      </c>
      <c r="AG697" s="8" t="str">
        <f>IF(TRIM($E697)&lt;&gt;"Tax Paid","",IF(COUNTIFS(LISTS!$F$2:$F$26,$AE697,LISTS!$G$2:$G$26,$AF697)=0,"NOT ON LIST",""))</f>
        <v/>
      </c>
      <c r="AH697" s="8" t="str">
        <f t="shared" si="32"/>
        <v/>
      </c>
    </row>
    <row r="698" spans="31:34" x14ac:dyDescent="0.25">
      <c r="AE698" s="8" t="str">
        <f t="shared" si="30"/>
        <v/>
      </c>
      <c r="AF698" s="8" t="str">
        <f t="shared" si="31"/>
        <v/>
      </c>
      <c r="AG698" s="8" t="str">
        <f>IF(TRIM($E698)&lt;&gt;"Tax Paid","",IF(COUNTIFS(LISTS!$F$2:$F$26,$AE698,LISTS!$G$2:$G$26,$AF698)=0,"NOT ON LIST",""))</f>
        <v/>
      </c>
      <c r="AH698" s="8" t="str">
        <f t="shared" si="32"/>
        <v/>
      </c>
    </row>
    <row r="699" spans="31:34" x14ac:dyDescent="0.25">
      <c r="AE699" s="8" t="str">
        <f t="shared" si="30"/>
        <v/>
      </c>
      <c r="AF699" s="8" t="str">
        <f t="shared" si="31"/>
        <v/>
      </c>
      <c r="AG699" s="8" t="str">
        <f>IF(TRIM($E699)&lt;&gt;"Tax Paid","",IF(COUNTIFS(LISTS!$F$2:$F$26,$AE699,LISTS!$G$2:$G$26,$AF699)=0,"NOT ON LIST",""))</f>
        <v/>
      </c>
      <c r="AH699" s="8" t="str">
        <f t="shared" si="32"/>
        <v/>
      </c>
    </row>
    <row r="700" spans="31:34" x14ac:dyDescent="0.25">
      <c r="AE700" s="8" t="str">
        <f t="shared" si="30"/>
        <v/>
      </c>
      <c r="AF700" s="8" t="str">
        <f t="shared" si="31"/>
        <v/>
      </c>
      <c r="AG700" s="8" t="str">
        <f>IF(TRIM($E700)&lt;&gt;"Tax Paid","",IF(COUNTIFS(LISTS!$F$2:$F$26,$AE700,LISTS!$G$2:$G$26,$AF700)=0,"NOT ON LIST",""))</f>
        <v/>
      </c>
      <c r="AH700" s="8" t="str">
        <f t="shared" si="32"/>
        <v/>
      </c>
    </row>
    <row r="701" spans="31:34" x14ac:dyDescent="0.25">
      <c r="AE701" s="8" t="str">
        <f t="shared" si="30"/>
        <v/>
      </c>
      <c r="AF701" s="8" t="str">
        <f t="shared" si="31"/>
        <v/>
      </c>
      <c r="AG701" s="8" t="str">
        <f>IF(TRIM($E701)&lt;&gt;"Tax Paid","",IF(COUNTIFS(LISTS!$F$2:$F$26,$AE701,LISTS!$G$2:$G$26,$AF701)=0,"NOT ON LIST",""))</f>
        <v/>
      </c>
      <c r="AH701" s="8" t="str">
        <f t="shared" si="32"/>
        <v/>
      </c>
    </row>
    <row r="702" spans="31:34" x14ac:dyDescent="0.25">
      <c r="AE702" s="8" t="str">
        <f t="shared" si="30"/>
        <v/>
      </c>
      <c r="AF702" s="8" t="str">
        <f t="shared" si="31"/>
        <v/>
      </c>
      <c r="AG702" s="8" t="str">
        <f>IF(TRIM($E702)&lt;&gt;"Tax Paid","",IF(COUNTIFS(LISTS!$F$2:$F$26,$AE702,LISTS!$G$2:$G$26,$AF702)=0,"NOT ON LIST",""))</f>
        <v/>
      </c>
      <c r="AH702" s="8" t="str">
        <f t="shared" si="32"/>
        <v/>
      </c>
    </row>
    <row r="703" spans="31:34" x14ac:dyDescent="0.25">
      <c r="AE703" s="8" t="str">
        <f t="shared" si="30"/>
        <v/>
      </c>
      <c r="AF703" s="8" t="str">
        <f t="shared" si="31"/>
        <v/>
      </c>
      <c r="AG703" s="8" t="str">
        <f>IF(TRIM($E703)&lt;&gt;"Tax Paid","",IF(COUNTIFS(LISTS!$F$2:$F$26,$AE703,LISTS!$G$2:$G$26,$AF703)=0,"NOT ON LIST",""))</f>
        <v/>
      </c>
      <c r="AH703" s="8" t="str">
        <f t="shared" si="32"/>
        <v/>
      </c>
    </row>
    <row r="704" spans="31:34" x14ac:dyDescent="0.25">
      <c r="AE704" s="8" t="str">
        <f t="shared" si="30"/>
        <v/>
      </c>
      <c r="AF704" s="8" t="str">
        <f t="shared" si="31"/>
        <v/>
      </c>
      <c r="AG704" s="8" t="str">
        <f>IF(TRIM($E704)&lt;&gt;"Tax Paid","",IF(COUNTIFS(LISTS!$F$2:$F$26,$AE704,LISTS!$G$2:$G$26,$AF704)=0,"NOT ON LIST",""))</f>
        <v/>
      </c>
      <c r="AH704" s="8" t="str">
        <f t="shared" si="32"/>
        <v/>
      </c>
    </row>
    <row r="705" spans="31:34" x14ac:dyDescent="0.25">
      <c r="AE705" s="8" t="str">
        <f t="shared" si="30"/>
        <v/>
      </c>
      <c r="AF705" s="8" t="str">
        <f t="shared" si="31"/>
        <v/>
      </c>
      <c r="AG705" s="8" t="str">
        <f>IF(TRIM($E705)&lt;&gt;"Tax Paid","",IF(COUNTIFS(LISTS!$F$2:$F$26,$AE705,LISTS!$G$2:$G$26,$AF705)=0,"NOT ON LIST",""))</f>
        <v/>
      </c>
      <c r="AH705" s="8" t="str">
        <f t="shared" si="32"/>
        <v/>
      </c>
    </row>
    <row r="706" spans="31:34" x14ac:dyDescent="0.25">
      <c r="AE706" s="8" t="str">
        <f t="shared" ref="AE706:AE769" si="33">IF(TRIM($E706)="Tax Paid",TRIM($S706),"")</f>
        <v/>
      </c>
      <c r="AF706" s="8" t="str">
        <f t="shared" ref="AF706:AF769" si="34">IF(TRIM($E706)="Tax Paid",ROUND($Z706/100,5),"")</f>
        <v/>
      </c>
      <c r="AG706" s="8" t="str">
        <f>IF(TRIM($E706)&lt;&gt;"Tax Paid","",IF(COUNTIFS(LISTS!$F$2:$F$26,$AE706,LISTS!$G$2:$G$26,$AF706)=0,"NOT ON LIST",""))</f>
        <v/>
      </c>
      <c r="AH706" s="8" t="str">
        <f t="shared" ref="AH706:AH769" si="35">IF($AG706="","",IF($AE706="","(no county)",$AE706)&amp;" ("&amp;SUBSTITUTE(TEXT($AF706,"0.###%"),".%","%")&amp;")")</f>
        <v/>
      </c>
    </row>
    <row r="707" spans="31:34" x14ac:dyDescent="0.25">
      <c r="AE707" s="8" t="str">
        <f t="shared" si="33"/>
        <v/>
      </c>
      <c r="AF707" s="8" t="str">
        <f t="shared" si="34"/>
        <v/>
      </c>
      <c r="AG707" s="8" t="str">
        <f>IF(TRIM($E707)&lt;&gt;"Tax Paid","",IF(COUNTIFS(LISTS!$F$2:$F$26,$AE707,LISTS!$G$2:$G$26,$AF707)=0,"NOT ON LIST",""))</f>
        <v/>
      </c>
      <c r="AH707" s="8" t="str">
        <f t="shared" si="35"/>
        <v/>
      </c>
    </row>
    <row r="708" spans="31:34" x14ac:dyDescent="0.25">
      <c r="AE708" s="8" t="str">
        <f t="shared" si="33"/>
        <v/>
      </c>
      <c r="AF708" s="8" t="str">
        <f t="shared" si="34"/>
        <v/>
      </c>
      <c r="AG708" s="8" t="str">
        <f>IF(TRIM($E708)&lt;&gt;"Tax Paid","",IF(COUNTIFS(LISTS!$F$2:$F$26,$AE708,LISTS!$G$2:$G$26,$AF708)=0,"NOT ON LIST",""))</f>
        <v/>
      </c>
      <c r="AH708" s="8" t="str">
        <f t="shared" si="35"/>
        <v/>
      </c>
    </row>
    <row r="709" spans="31:34" x14ac:dyDescent="0.25">
      <c r="AE709" s="8" t="str">
        <f t="shared" si="33"/>
        <v/>
      </c>
      <c r="AF709" s="8" t="str">
        <f t="shared" si="34"/>
        <v/>
      </c>
      <c r="AG709" s="8" t="str">
        <f>IF(TRIM($E709)&lt;&gt;"Tax Paid","",IF(COUNTIFS(LISTS!$F$2:$F$26,$AE709,LISTS!$G$2:$G$26,$AF709)=0,"NOT ON LIST",""))</f>
        <v/>
      </c>
      <c r="AH709" s="8" t="str">
        <f t="shared" si="35"/>
        <v/>
      </c>
    </row>
    <row r="710" spans="31:34" x14ac:dyDescent="0.25">
      <c r="AE710" s="8" t="str">
        <f t="shared" si="33"/>
        <v/>
      </c>
      <c r="AF710" s="8" t="str">
        <f t="shared" si="34"/>
        <v/>
      </c>
      <c r="AG710" s="8" t="str">
        <f>IF(TRIM($E710)&lt;&gt;"Tax Paid","",IF(COUNTIFS(LISTS!$F$2:$F$26,$AE710,LISTS!$G$2:$G$26,$AF710)=0,"NOT ON LIST",""))</f>
        <v/>
      </c>
      <c r="AH710" s="8" t="str">
        <f t="shared" si="35"/>
        <v/>
      </c>
    </row>
    <row r="711" spans="31:34" x14ac:dyDescent="0.25">
      <c r="AE711" s="8" t="str">
        <f t="shared" si="33"/>
        <v/>
      </c>
      <c r="AF711" s="8" t="str">
        <f t="shared" si="34"/>
        <v/>
      </c>
      <c r="AG711" s="8" t="str">
        <f>IF(TRIM($E711)&lt;&gt;"Tax Paid","",IF(COUNTIFS(LISTS!$F$2:$F$26,$AE711,LISTS!$G$2:$G$26,$AF711)=0,"NOT ON LIST",""))</f>
        <v/>
      </c>
      <c r="AH711" s="8" t="str">
        <f t="shared" si="35"/>
        <v/>
      </c>
    </row>
    <row r="712" spans="31:34" x14ac:dyDescent="0.25">
      <c r="AE712" s="8" t="str">
        <f t="shared" si="33"/>
        <v/>
      </c>
      <c r="AF712" s="8" t="str">
        <f t="shared" si="34"/>
        <v/>
      </c>
      <c r="AG712" s="8" t="str">
        <f>IF(TRIM($E712)&lt;&gt;"Tax Paid","",IF(COUNTIFS(LISTS!$F$2:$F$26,$AE712,LISTS!$G$2:$G$26,$AF712)=0,"NOT ON LIST",""))</f>
        <v/>
      </c>
      <c r="AH712" s="8" t="str">
        <f t="shared" si="35"/>
        <v/>
      </c>
    </row>
    <row r="713" spans="31:34" x14ac:dyDescent="0.25">
      <c r="AE713" s="8" t="str">
        <f t="shared" si="33"/>
        <v/>
      </c>
      <c r="AF713" s="8" t="str">
        <f t="shared" si="34"/>
        <v/>
      </c>
      <c r="AG713" s="8" t="str">
        <f>IF(TRIM($E713)&lt;&gt;"Tax Paid","",IF(COUNTIFS(LISTS!$F$2:$F$26,$AE713,LISTS!$G$2:$G$26,$AF713)=0,"NOT ON LIST",""))</f>
        <v/>
      </c>
      <c r="AH713" s="8" t="str">
        <f t="shared" si="35"/>
        <v/>
      </c>
    </row>
    <row r="714" spans="31:34" x14ac:dyDescent="0.25">
      <c r="AE714" s="8" t="str">
        <f t="shared" si="33"/>
        <v/>
      </c>
      <c r="AF714" s="8" t="str">
        <f t="shared" si="34"/>
        <v/>
      </c>
      <c r="AG714" s="8" t="str">
        <f>IF(TRIM($E714)&lt;&gt;"Tax Paid","",IF(COUNTIFS(LISTS!$F$2:$F$26,$AE714,LISTS!$G$2:$G$26,$AF714)=0,"NOT ON LIST",""))</f>
        <v/>
      </c>
      <c r="AH714" s="8" t="str">
        <f t="shared" si="35"/>
        <v/>
      </c>
    </row>
    <row r="715" spans="31:34" x14ac:dyDescent="0.25">
      <c r="AE715" s="8" t="str">
        <f t="shared" si="33"/>
        <v/>
      </c>
      <c r="AF715" s="8" t="str">
        <f t="shared" si="34"/>
        <v/>
      </c>
      <c r="AG715" s="8" t="str">
        <f>IF(TRIM($E715)&lt;&gt;"Tax Paid","",IF(COUNTIFS(LISTS!$F$2:$F$26,$AE715,LISTS!$G$2:$G$26,$AF715)=0,"NOT ON LIST",""))</f>
        <v/>
      </c>
      <c r="AH715" s="8" t="str">
        <f t="shared" si="35"/>
        <v/>
      </c>
    </row>
    <row r="716" spans="31:34" x14ac:dyDescent="0.25">
      <c r="AE716" s="8" t="str">
        <f t="shared" si="33"/>
        <v/>
      </c>
      <c r="AF716" s="8" t="str">
        <f t="shared" si="34"/>
        <v/>
      </c>
      <c r="AG716" s="8" t="str">
        <f>IF(TRIM($E716)&lt;&gt;"Tax Paid","",IF(COUNTIFS(LISTS!$F$2:$F$26,$AE716,LISTS!$G$2:$G$26,$AF716)=0,"NOT ON LIST",""))</f>
        <v/>
      </c>
      <c r="AH716" s="8" t="str">
        <f t="shared" si="35"/>
        <v/>
      </c>
    </row>
    <row r="717" spans="31:34" x14ac:dyDescent="0.25">
      <c r="AE717" s="8" t="str">
        <f t="shared" si="33"/>
        <v/>
      </c>
      <c r="AF717" s="8" t="str">
        <f t="shared" si="34"/>
        <v/>
      </c>
      <c r="AG717" s="8" t="str">
        <f>IF(TRIM($E717)&lt;&gt;"Tax Paid","",IF(COUNTIFS(LISTS!$F$2:$F$26,$AE717,LISTS!$G$2:$G$26,$AF717)=0,"NOT ON LIST",""))</f>
        <v/>
      </c>
      <c r="AH717" s="8" t="str">
        <f t="shared" si="35"/>
        <v/>
      </c>
    </row>
    <row r="718" spans="31:34" x14ac:dyDescent="0.25">
      <c r="AE718" s="8" t="str">
        <f t="shared" si="33"/>
        <v/>
      </c>
      <c r="AF718" s="8" t="str">
        <f t="shared" si="34"/>
        <v/>
      </c>
      <c r="AG718" s="8" t="str">
        <f>IF(TRIM($E718)&lt;&gt;"Tax Paid","",IF(COUNTIFS(LISTS!$F$2:$F$26,$AE718,LISTS!$G$2:$G$26,$AF718)=0,"NOT ON LIST",""))</f>
        <v/>
      </c>
      <c r="AH718" s="8" t="str">
        <f t="shared" si="35"/>
        <v/>
      </c>
    </row>
    <row r="719" spans="31:34" x14ac:dyDescent="0.25">
      <c r="AE719" s="8" t="str">
        <f t="shared" si="33"/>
        <v/>
      </c>
      <c r="AF719" s="8" t="str">
        <f t="shared" si="34"/>
        <v/>
      </c>
      <c r="AG719" s="8" t="str">
        <f>IF(TRIM($E719)&lt;&gt;"Tax Paid","",IF(COUNTIFS(LISTS!$F$2:$F$26,$AE719,LISTS!$G$2:$G$26,$AF719)=0,"NOT ON LIST",""))</f>
        <v/>
      </c>
      <c r="AH719" s="8" t="str">
        <f t="shared" si="35"/>
        <v/>
      </c>
    </row>
    <row r="720" spans="31:34" x14ac:dyDescent="0.25">
      <c r="AE720" s="8" t="str">
        <f t="shared" si="33"/>
        <v/>
      </c>
      <c r="AF720" s="8" t="str">
        <f t="shared" si="34"/>
        <v/>
      </c>
      <c r="AG720" s="8" t="str">
        <f>IF(TRIM($E720)&lt;&gt;"Tax Paid","",IF(COUNTIFS(LISTS!$F$2:$F$26,$AE720,LISTS!$G$2:$G$26,$AF720)=0,"NOT ON LIST",""))</f>
        <v/>
      </c>
      <c r="AH720" s="8" t="str">
        <f t="shared" si="35"/>
        <v/>
      </c>
    </row>
    <row r="721" spans="31:34" x14ac:dyDescent="0.25">
      <c r="AE721" s="8" t="str">
        <f t="shared" si="33"/>
        <v/>
      </c>
      <c r="AF721" s="8" t="str">
        <f t="shared" si="34"/>
        <v/>
      </c>
      <c r="AG721" s="8" t="str">
        <f>IF(TRIM($E721)&lt;&gt;"Tax Paid","",IF(COUNTIFS(LISTS!$F$2:$F$26,$AE721,LISTS!$G$2:$G$26,$AF721)=0,"NOT ON LIST",""))</f>
        <v/>
      </c>
      <c r="AH721" s="8" t="str">
        <f t="shared" si="35"/>
        <v/>
      </c>
    </row>
    <row r="722" spans="31:34" x14ac:dyDescent="0.25">
      <c r="AE722" s="8" t="str">
        <f t="shared" si="33"/>
        <v/>
      </c>
      <c r="AF722" s="8" t="str">
        <f t="shared" si="34"/>
        <v/>
      </c>
      <c r="AG722" s="8" t="str">
        <f>IF(TRIM($E722)&lt;&gt;"Tax Paid","",IF(COUNTIFS(LISTS!$F$2:$F$26,$AE722,LISTS!$G$2:$G$26,$AF722)=0,"NOT ON LIST",""))</f>
        <v/>
      </c>
      <c r="AH722" s="8" t="str">
        <f t="shared" si="35"/>
        <v/>
      </c>
    </row>
    <row r="723" spans="31:34" x14ac:dyDescent="0.25">
      <c r="AE723" s="8" t="str">
        <f t="shared" si="33"/>
        <v/>
      </c>
      <c r="AF723" s="8" t="str">
        <f t="shared" si="34"/>
        <v/>
      </c>
      <c r="AG723" s="8" t="str">
        <f>IF(TRIM($E723)&lt;&gt;"Tax Paid","",IF(COUNTIFS(LISTS!$F$2:$F$26,$AE723,LISTS!$G$2:$G$26,$AF723)=0,"NOT ON LIST",""))</f>
        <v/>
      </c>
      <c r="AH723" s="8" t="str">
        <f t="shared" si="35"/>
        <v/>
      </c>
    </row>
    <row r="724" spans="31:34" x14ac:dyDescent="0.25">
      <c r="AE724" s="8" t="str">
        <f t="shared" si="33"/>
        <v/>
      </c>
      <c r="AF724" s="8" t="str">
        <f t="shared" si="34"/>
        <v/>
      </c>
      <c r="AG724" s="8" t="str">
        <f>IF(TRIM($E724)&lt;&gt;"Tax Paid","",IF(COUNTIFS(LISTS!$F$2:$F$26,$AE724,LISTS!$G$2:$G$26,$AF724)=0,"NOT ON LIST",""))</f>
        <v/>
      </c>
      <c r="AH724" s="8" t="str">
        <f t="shared" si="35"/>
        <v/>
      </c>
    </row>
    <row r="725" spans="31:34" x14ac:dyDescent="0.25">
      <c r="AE725" s="8" t="str">
        <f t="shared" si="33"/>
        <v/>
      </c>
      <c r="AF725" s="8" t="str">
        <f t="shared" si="34"/>
        <v/>
      </c>
      <c r="AG725" s="8" t="str">
        <f>IF(TRIM($E725)&lt;&gt;"Tax Paid","",IF(COUNTIFS(LISTS!$F$2:$F$26,$AE725,LISTS!$G$2:$G$26,$AF725)=0,"NOT ON LIST",""))</f>
        <v/>
      </c>
      <c r="AH725" s="8" t="str">
        <f t="shared" si="35"/>
        <v/>
      </c>
    </row>
    <row r="726" spans="31:34" x14ac:dyDescent="0.25">
      <c r="AE726" s="8" t="str">
        <f t="shared" si="33"/>
        <v/>
      </c>
      <c r="AF726" s="8" t="str">
        <f t="shared" si="34"/>
        <v/>
      </c>
      <c r="AG726" s="8" t="str">
        <f>IF(TRIM($E726)&lt;&gt;"Tax Paid","",IF(COUNTIFS(LISTS!$F$2:$F$26,$AE726,LISTS!$G$2:$G$26,$AF726)=0,"NOT ON LIST",""))</f>
        <v/>
      </c>
      <c r="AH726" s="8" t="str">
        <f t="shared" si="35"/>
        <v/>
      </c>
    </row>
    <row r="727" spans="31:34" x14ac:dyDescent="0.25">
      <c r="AE727" s="8" t="str">
        <f t="shared" si="33"/>
        <v/>
      </c>
      <c r="AF727" s="8" t="str">
        <f t="shared" si="34"/>
        <v/>
      </c>
      <c r="AG727" s="8" t="str">
        <f>IF(TRIM($E727)&lt;&gt;"Tax Paid","",IF(COUNTIFS(LISTS!$F$2:$F$26,$AE727,LISTS!$G$2:$G$26,$AF727)=0,"NOT ON LIST",""))</f>
        <v/>
      </c>
      <c r="AH727" s="8" t="str">
        <f t="shared" si="35"/>
        <v/>
      </c>
    </row>
    <row r="728" spans="31:34" x14ac:dyDescent="0.25">
      <c r="AE728" s="8" t="str">
        <f t="shared" si="33"/>
        <v/>
      </c>
      <c r="AF728" s="8" t="str">
        <f t="shared" si="34"/>
        <v/>
      </c>
      <c r="AG728" s="8" t="str">
        <f>IF(TRIM($E728)&lt;&gt;"Tax Paid","",IF(COUNTIFS(LISTS!$F$2:$F$26,$AE728,LISTS!$G$2:$G$26,$AF728)=0,"NOT ON LIST",""))</f>
        <v/>
      </c>
      <c r="AH728" s="8" t="str">
        <f t="shared" si="35"/>
        <v/>
      </c>
    </row>
    <row r="729" spans="31:34" x14ac:dyDescent="0.25">
      <c r="AE729" s="8" t="str">
        <f t="shared" si="33"/>
        <v/>
      </c>
      <c r="AF729" s="8" t="str">
        <f t="shared" si="34"/>
        <v/>
      </c>
      <c r="AG729" s="8" t="str">
        <f>IF(TRIM($E729)&lt;&gt;"Tax Paid","",IF(COUNTIFS(LISTS!$F$2:$F$26,$AE729,LISTS!$G$2:$G$26,$AF729)=0,"NOT ON LIST",""))</f>
        <v/>
      </c>
      <c r="AH729" s="8" t="str">
        <f t="shared" si="35"/>
        <v/>
      </c>
    </row>
    <row r="730" spans="31:34" x14ac:dyDescent="0.25">
      <c r="AE730" s="8" t="str">
        <f t="shared" si="33"/>
        <v/>
      </c>
      <c r="AF730" s="8" t="str">
        <f t="shared" si="34"/>
        <v/>
      </c>
      <c r="AG730" s="8" t="str">
        <f>IF(TRIM($E730)&lt;&gt;"Tax Paid","",IF(COUNTIFS(LISTS!$F$2:$F$26,$AE730,LISTS!$G$2:$G$26,$AF730)=0,"NOT ON LIST",""))</f>
        <v/>
      </c>
      <c r="AH730" s="8" t="str">
        <f t="shared" si="35"/>
        <v/>
      </c>
    </row>
    <row r="731" spans="31:34" x14ac:dyDescent="0.25">
      <c r="AE731" s="8" t="str">
        <f t="shared" si="33"/>
        <v/>
      </c>
      <c r="AF731" s="8" t="str">
        <f t="shared" si="34"/>
        <v/>
      </c>
      <c r="AG731" s="8" t="str">
        <f>IF(TRIM($E731)&lt;&gt;"Tax Paid","",IF(COUNTIFS(LISTS!$F$2:$F$26,$AE731,LISTS!$G$2:$G$26,$AF731)=0,"NOT ON LIST",""))</f>
        <v/>
      </c>
      <c r="AH731" s="8" t="str">
        <f t="shared" si="35"/>
        <v/>
      </c>
    </row>
    <row r="732" spans="31:34" x14ac:dyDescent="0.25">
      <c r="AE732" s="8" t="str">
        <f t="shared" si="33"/>
        <v/>
      </c>
      <c r="AF732" s="8" t="str">
        <f t="shared" si="34"/>
        <v/>
      </c>
      <c r="AG732" s="8" t="str">
        <f>IF(TRIM($E732)&lt;&gt;"Tax Paid","",IF(COUNTIFS(LISTS!$F$2:$F$26,$AE732,LISTS!$G$2:$G$26,$AF732)=0,"NOT ON LIST",""))</f>
        <v/>
      </c>
      <c r="AH732" s="8" t="str">
        <f t="shared" si="35"/>
        <v/>
      </c>
    </row>
    <row r="733" spans="31:34" x14ac:dyDescent="0.25">
      <c r="AE733" s="8" t="str">
        <f t="shared" si="33"/>
        <v/>
      </c>
      <c r="AF733" s="8" t="str">
        <f t="shared" si="34"/>
        <v/>
      </c>
      <c r="AG733" s="8" t="str">
        <f>IF(TRIM($E733)&lt;&gt;"Tax Paid","",IF(COUNTIFS(LISTS!$F$2:$F$26,$AE733,LISTS!$G$2:$G$26,$AF733)=0,"NOT ON LIST",""))</f>
        <v/>
      </c>
      <c r="AH733" s="8" t="str">
        <f t="shared" si="35"/>
        <v/>
      </c>
    </row>
    <row r="734" spans="31:34" x14ac:dyDescent="0.25">
      <c r="AE734" s="8" t="str">
        <f t="shared" si="33"/>
        <v/>
      </c>
      <c r="AF734" s="8" t="str">
        <f t="shared" si="34"/>
        <v/>
      </c>
      <c r="AG734" s="8" t="str">
        <f>IF(TRIM($E734)&lt;&gt;"Tax Paid","",IF(COUNTIFS(LISTS!$F$2:$F$26,$AE734,LISTS!$G$2:$G$26,$AF734)=0,"NOT ON LIST",""))</f>
        <v/>
      </c>
      <c r="AH734" s="8" t="str">
        <f t="shared" si="35"/>
        <v/>
      </c>
    </row>
    <row r="735" spans="31:34" x14ac:dyDescent="0.25">
      <c r="AE735" s="8" t="str">
        <f t="shared" si="33"/>
        <v/>
      </c>
      <c r="AF735" s="8" t="str">
        <f t="shared" si="34"/>
        <v/>
      </c>
      <c r="AG735" s="8" t="str">
        <f>IF(TRIM($E735)&lt;&gt;"Tax Paid","",IF(COUNTIFS(LISTS!$F$2:$F$26,$AE735,LISTS!$G$2:$G$26,$AF735)=0,"NOT ON LIST",""))</f>
        <v/>
      </c>
      <c r="AH735" s="8" t="str">
        <f t="shared" si="35"/>
        <v/>
      </c>
    </row>
    <row r="736" spans="31:34" x14ac:dyDescent="0.25">
      <c r="AE736" s="8" t="str">
        <f t="shared" si="33"/>
        <v/>
      </c>
      <c r="AF736" s="8" t="str">
        <f t="shared" si="34"/>
        <v/>
      </c>
      <c r="AG736" s="8" t="str">
        <f>IF(TRIM($E736)&lt;&gt;"Tax Paid","",IF(COUNTIFS(LISTS!$F$2:$F$26,$AE736,LISTS!$G$2:$G$26,$AF736)=0,"NOT ON LIST",""))</f>
        <v/>
      </c>
      <c r="AH736" s="8" t="str">
        <f t="shared" si="35"/>
        <v/>
      </c>
    </row>
    <row r="737" spans="31:34" x14ac:dyDescent="0.25">
      <c r="AE737" s="8" t="str">
        <f t="shared" si="33"/>
        <v/>
      </c>
      <c r="AF737" s="8" t="str">
        <f t="shared" si="34"/>
        <v/>
      </c>
      <c r="AG737" s="8" t="str">
        <f>IF(TRIM($E737)&lt;&gt;"Tax Paid","",IF(COUNTIFS(LISTS!$F$2:$F$26,$AE737,LISTS!$G$2:$G$26,$AF737)=0,"NOT ON LIST",""))</f>
        <v/>
      </c>
      <c r="AH737" s="8" t="str">
        <f t="shared" si="35"/>
        <v/>
      </c>
    </row>
    <row r="738" spans="31:34" x14ac:dyDescent="0.25">
      <c r="AE738" s="8" t="str">
        <f t="shared" si="33"/>
        <v/>
      </c>
      <c r="AF738" s="8" t="str">
        <f t="shared" si="34"/>
        <v/>
      </c>
      <c r="AG738" s="8" t="str">
        <f>IF(TRIM($E738)&lt;&gt;"Tax Paid","",IF(COUNTIFS(LISTS!$F$2:$F$26,$AE738,LISTS!$G$2:$G$26,$AF738)=0,"NOT ON LIST",""))</f>
        <v/>
      </c>
      <c r="AH738" s="8" t="str">
        <f t="shared" si="35"/>
        <v/>
      </c>
    </row>
    <row r="739" spans="31:34" x14ac:dyDescent="0.25">
      <c r="AE739" s="8" t="str">
        <f t="shared" si="33"/>
        <v/>
      </c>
      <c r="AF739" s="8" t="str">
        <f t="shared" si="34"/>
        <v/>
      </c>
      <c r="AG739" s="8" t="str">
        <f>IF(TRIM($E739)&lt;&gt;"Tax Paid","",IF(COUNTIFS(LISTS!$F$2:$F$26,$AE739,LISTS!$G$2:$G$26,$AF739)=0,"NOT ON LIST",""))</f>
        <v/>
      </c>
      <c r="AH739" s="8" t="str">
        <f t="shared" si="35"/>
        <v/>
      </c>
    </row>
    <row r="740" spans="31:34" x14ac:dyDescent="0.25">
      <c r="AE740" s="8" t="str">
        <f t="shared" si="33"/>
        <v/>
      </c>
      <c r="AF740" s="8" t="str">
        <f t="shared" si="34"/>
        <v/>
      </c>
      <c r="AG740" s="8" t="str">
        <f>IF(TRIM($E740)&lt;&gt;"Tax Paid","",IF(COUNTIFS(LISTS!$F$2:$F$26,$AE740,LISTS!$G$2:$G$26,$AF740)=0,"NOT ON LIST",""))</f>
        <v/>
      </c>
      <c r="AH740" s="8" t="str">
        <f t="shared" si="35"/>
        <v/>
      </c>
    </row>
    <row r="741" spans="31:34" x14ac:dyDescent="0.25">
      <c r="AE741" s="8" t="str">
        <f t="shared" si="33"/>
        <v/>
      </c>
      <c r="AF741" s="8" t="str">
        <f t="shared" si="34"/>
        <v/>
      </c>
      <c r="AG741" s="8" t="str">
        <f>IF(TRIM($E741)&lt;&gt;"Tax Paid","",IF(COUNTIFS(LISTS!$F$2:$F$26,$AE741,LISTS!$G$2:$G$26,$AF741)=0,"NOT ON LIST",""))</f>
        <v/>
      </c>
      <c r="AH741" s="8" t="str">
        <f t="shared" si="35"/>
        <v/>
      </c>
    </row>
    <row r="742" spans="31:34" x14ac:dyDescent="0.25">
      <c r="AE742" s="8" t="str">
        <f t="shared" si="33"/>
        <v/>
      </c>
      <c r="AF742" s="8" t="str">
        <f t="shared" si="34"/>
        <v/>
      </c>
      <c r="AG742" s="8" t="str">
        <f>IF(TRIM($E742)&lt;&gt;"Tax Paid","",IF(COUNTIFS(LISTS!$F$2:$F$26,$AE742,LISTS!$G$2:$G$26,$AF742)=0,"NOT ON LIST",""))</f>
        <v/>
      </c>
      <c r="AH742" s="8" t="str">
        <f t="shared" si="35"/>
        <v/>
      </c>
    </row>
    <row r="743" spans="31:34" x14ac:dyDescent="0.25">
      <c r="AE743" s="8" t="str">
        <f t="shared" si="33"/>
        <v/>
      </c>
      <c r="AF743" s="8" t="str">
        <f t="shared" si="34"/>
        <v/>
      </c>
      <c r="AG743" s="8" t="str">
        <f>IF(TRIM($E743)&lt;&gt;"Tax Paid","",IF(COUNTIFS(LISTS!$F$2:$F$26,$AE743,LISTS!$G$2:$G$26,$AF743)=0,"NOT ON LIST",""))</f>
        <v/>
      </c>
      <c r="AH743" s="8" t="str">
        <f t="shared" si="35"/>
        <v/>
      </c>
    </row>
    <row r="744" spans="31:34" x14ac:dyDescent="0.25">
      <c r="AE744" s="8" t="str">
        <f t="shared" si="33"/>
        <v/>
      </c>
      <c r="AF744" s="8" t="str">
        <f t="shared" si="34"/>
        <v/>
      </c>
      <c r="AG744" s="8" t="str">
        <f>IF(TRIM($E744)&lt;&gt;"Tax Paid","",IF(COUNTIFS(LISTS!$F$2:$F$26,$AE744,LISTS!$G$2:$G$26,$AF744)=0,"NOT ON LIST",""))</f>
        <v/>
      </c>
      <c r="AH744" s="8" t="str">
        <f t="shared" si="35"/>
        <v/>
      </c>
    </row>
    <row r="745" spans="31:34" x14ac:dyDescent="0.25">
      <c r="AE745" s="8" t="str">
        <f t="shared" si="33"/>
        <v/>
      </c>
      <c r="AF745" s="8" t="str">
        <f t="shared" si="34"/>
        <v/>
      </c>
      <c r="AG745" s="8" t="str">
        <f>IF(TRIM($E745)&lt;&gt;"Tax Paid","",IF(COUNTIFS(LISTS!$F$2:$F$26,$AE745,LISTS!$G$2:$G$26,$AF745)=0,"NOT ON LIST",""))</f>
        <v/>
      </c>
      <c r="AH745" s="8" t="str">
        <f t="shared" si="35"/>
        <v/>
      </c>
    </row>
    <row r="746" spans="31:34" x14ac:dyDescent="0.25">
      <c r="AE746" s="8" t="str">
        <f t="shared" si="33"/>
        <v/>
      </c>
      <c r="AF746" s="8" t="str">
        <f t="shared" si="34"/>
        <v/>
      </c>
      <c r="AG746" s="8" t="str">
        <f>IF(TRIM($E746)&lt;&gt;"Tax Paid","",IF(COUNTIFS(LISTS!$F$2:$F$26,$AE746,LISTS!$G$2:$G$26,$AF746)=0,"NOT ON LIST",""))</f>
        <v/>
      </c>
      <c r="AH746" s="8" t="str">
        <f t="shared" si="35"/>
        <v/>
      </c>
    </row>
    <row r="747" spans="31:34" x14ac:dyDescent="0.25">
      <c r="AE747" s="8" t="str">
        <f t="shared" si="33"/>
        <v/>
      </c>
      <c r="AF747" s="8" t="str">
        <f t="shared" si="34"/>
        <v/>
      </c>
      <c r="AG747" s="8" t="str">
        <f>IF(TRIM($E747)&lt;&gt;"Tax Paid","",IF(COUNTIFS(LISTS!$F$2:$F$26,$AE747,LISTS!$G$2:$G$26,$AF747)=0,"NOT ON LIST",""))</f>
        <v/>
      </c>
      <c r="AH747" s="8" t="str">
        <f t="shared" si="35"/>
        <v/>
      </c>
    </row>
    <row r="748" spans="31:34" x14ac:dyDescent="0.25">
      <c r="AE748" s="8" t="str">
        <f t="shared" si="33"/>
        <v/>
      </c>
      <c r="AF748" s="8" t="str">
        <f t="shared" si="34"/>
        <v/>
      </c>
      <c r="AG748" s="8" t="str">
        <f>IF(TRIM($E748)&lt;&gt;"Tax Paid","",IF(COUNTIFS(LISTS!$F$2:$F$26,$AE748,LISTS!$G$2:$G$26,$AF748)=0,"NOT ON LIST",""))</f>
        <v/>
      </c>
      <c r="AH748" s="8" t="str">
        <f t="shared" si="35"/>
        <v/>
      </c>
    </row>
    <row r="749" spans="31:34" x14ac:dyDescent="0.25">
      <c r="AE749" s="8" t="str">
        <f t="shared" si="33"/>
        <v/>
      </c>
      <c r="AF749" s="8" t="str">
        <f t="shared" si="34"/>
        <v/>
      </c>
      <c r="AG749" s="8" t="str">
        <f>IF(TRIM($E749)&lt;&gt;"Tax Paid","",IF(COUNTIFS(LISTS!$F$2:$F$26,$AE749,LISTS!$G$2:$G$26,$AF749)=0,"NOT ON LIST",""))</f>
        <v/>
      </c>
      <c r="AH749" s="8" t="str">
        <f t="shared" si="35"/>
        <v/>
      </c>
    </row>
    <row r="750" spans="31:34" x14ac:dyDescent="0.25">
      <c r="AE750" s="8" t="str">
        <f t="shared" si="33"/>
        <v/>
      </c>
      <c r="AF750" s="8" t="str">
        <f t="shared" si="34"/>
        <v/>
      </c>
      <c r="AG750" s="8" t="str">
        <f>IF(TRIM($E750)&lt;&gt;"Tax Paid","",IF(COUNTIFS(LISTS!$F$2:$F$26,$AE750,LISTS!$G$2:$G$26,$AF750)=0,"NOT ON LIST",""))</f>
        <v/>
      </c>
      <c r="AH750" s="8" t="str">
        <f t="shared" si="35"/>
        <v/>
      </c>
    </row>
    <row r="751" spans="31:34" x14ac:dyDescent="0.25">
      <c r="AE751" s="8" t="str">
        <f t="shared" si="33"/>
        <v/>
      </c>
      <c r="AF751" s="8" t="str">
        <f t="shared" si="34"/>
        <v/>
      </c>
      <c r="AG751" s="8" t="str">
        <f>IF(TRIM($E751)&lt;&gt;"Tax Paid","",IF(COUNTIFS(LISTS!$F$2:$F$26,$AE751,LISTS!$G$2:$G$26,$AF751)=0,"NOT ON LIST",""))</f>
        <v/>
      </c>
      <c r="AH751" s="8" t="str">
        <f t="shared" si="35"/>
        <v/>
      </c>
    </row>
    <row r="752" spans="31:34" x14ac:dyDescent="0.25">
      <c r="AE752" s="8" t="str">
        <f t="shared" si="33"/>
        <v/>
      </c>
      <c r="AF752" s="8" t="str">
        <f t="shared" si="34"/>
        <v/>
      </c>
      <c r="AG752" s="8" t="str">
        <f>IF(TRIM($E752)&lt;&gt;"Tax Paid","",IF(COUNTIFS(LISTS!$F$2:$F$26,$AE752,LISTS!$G$2:$G$26,$AF752)=0,"NOT ON LIST",""))</f>
        <v/>
      </c>
      <c r="AH752" s="8" t="str">
        <f t="shared" si="35"/>
        <v/>
      </c>
    </row>
    <row r="753" spans="31:34" x14ac:dyDescent="0.25">
      <c r="AE753" s="8" t="str">
        <f t="shared" si="33"/>
        <v/>
      </c>
      <c r="AF753" s="8" t="str">
        <f t="shared" si="34"/>
        <v/>
      </c>
      <c r="AG753" s="8" t="str">
        <f>IF(TRIM($E753)&lt;&gt;"Tax Paid","",IF(COUNTIFS(LISTS!$F$2:$F$26,$AE753,LISTS!$G$2:$G$26,$AF753)=0,"NOT ON LIST",""))</f>
        <v/>
      </c>
      <c r="AH753" s="8" t="str">
        <f t="shared" si="35"/>
        <v/>
      </c>
    </row>
    <row r="754" spans="31:34" x14ac:dyDescent="0.25">
      <c r="AE754" s="8" t="str">
        <f t="shared" si="33"/>
        <v/>
      </c>
      <c r="AF754" s="8" t="str">
        <f t="shared" si="34"/>
        <v/>
      </c>
      <c r="AG754" s="8" t="str">
        <f>IF(TRIM($E754)&lt;&gt;"Tax Paid","",IF(COUNTIFS(LISTS!$F$2:$F$26,$AE754,LISTS!$G$2:$G$26,$AF754)=0,"NOT ON LIST",""))</f>
        <v/>
      </c>
      <c r="AH754" s="8" t="str">
        <f t="shared" si="35"/>
        <v/>
      </c>
    </row>
    <row r="755" spans="31:34" x14ac:dyDescent="0.25">
      <c r="AE755" s="8" t="str">
        <f t="shared" si="33"/>
        <v/>
      </c>
      <c r="AF755" s="8" t="str">
        <f t="shared" si="34"/>
        <v/>
      </c>
      <c r="AG755" s="8" t="str">
        <f>IF(TRIM($E755)&lt;&gt;"Tax Paid","",IF(COUNTIFS(LISTS!$F$2:$F$26,$AE755,LISTS!$G$2:$G$26,$AF755)=0,"NOT ON LIST",""))</f>
        <v/>
      </c>
      <c r="AH755" s="8" t="str">
        <f t="shared" si="35"/>
        <v/>
      </c>
    </row>
    <row r="756" spans="31:34" x14ac:dyDescent="0.25">
      <c r="AE756" s="8" t="str">
        <f t="shared" si="33"/>
        <v/>
      </c>
      <c r="AF756" s="8" t="str">
        <f t="shared" si="34"/>
        <v/>
      </c>
      <c r="AG756" s="8" t="str">
        <f>IF(TRIM($E756)&lt;&gt;"Tax Paid","",IF(COUNTIFS(LISTS!$F$2:$F$26,$AE756,LISTS!$G$2:$G$26,$AF756)=0,"NOT ON LIST",""))</f>
        <v/>
      </c>
      <c r="AH756" s="8" t="str">
        <f t="shared" si="35"/>
        <v/>
      </c>
    </row>
    <row r="757" spans="31:34" x14ac:dyDescent="0.25">
      <c r="AE757" s="8" t="str">
        <f t="shared" si="33"/>
        <v/>
      </c>
      <c r="AF757" s="8" t="str">
        <f t="shared" si="34"/>
        <v/>
      </c>
      <c r="AG757" s="8" t="str">
        <f>IF(TRIM($E757)&lt;&gt;"Tax Paid","",IF(COUNTIFS(LISTS!$F$2:$F$26,$AE757,LISTS!$G$2:$G$26,$AF757)=0,"NOT ON LIST",""))</f>
        <v/>
      </c>
      <c r="AH757" s="8" t="str">
        <f t="shared" si="35"/>
        <v/>
      </c>
    </row>
    <row r="758" spans="31:34" x14ac:dyDescent="0.25">
      <c r="AE758" s="8" t="str">
        <f t="shared" si="33"/>
        <v/>
      </c>
      <c r="AF758" s="8" t="str">
        <f t="shared" si="34"/>
        <v/>
      </c>
      <c r="AG758" s="8" t="str">
        <f>IF(TRIM($E758)&lt;&gt;"Tax Paid","",IF(COUNTIFS(LISTS!$F$2:$F$26,$AE758,LISTS!$G$2:$G$26,$AF758)=0,"NOT ON LIST",""))</f>
        <v/>
      </c>
      <c r="AH758" s="8" t="str">
        <f t="shared" si="35"/>
        <v/>
      </c>
    </row>
    <row r="759" spans="31:34" x14ac:dyDescent="0.25">
      <c r="AE759" s="8" t="str">
        <f t="shared" si="33"/>
        <v/>
      </c>
      <c r="AF759" s="8" t="str">
        <f t="shared" si="34"/>
        <v/>
      </c>
      <c r="AG759" s="8" t="str">
        <f>IF(TRIM($E759)&lt;&gt;"Tax Paid","",IF(COUNTIFS(LISTS!$F$2:$F$26,$AE759,LISTS!$G$2:$G$26,$AF759)=0,"NOT ON LIST",""))</f>
        <v/>
      </c>
      <c r="AH759" s="8" t="str">
        <f t="shared" si="35"/>
        <v/>
      </c>
    </row>
    <row r="760" spans="31:34" x14ac:dyDescent="0.25">
      <c r="AE760" s="8" t="str">
        <f t="shared" si="33"/>
        <v/>
      </c>
      <c r="AF760" s="8" t="str">
        <f t="shared" si="34"/>
        <v/>
      </c>
      <c r="AG760" s="8" t="str">
        <f>IF(TRIM($E760)&lt;&gt;"Tax Paid","",IF(COUNTIFS(LISTS!$F$2:$F$26,$AE760,LISTS!$G$2:$G$26,$AF760)=0,"NOT ON LIST",""))</f>
        <v/>
      </c>
      <c r="AH760" s="8" t="str">
        <f t="shared" si="35"/>
        <v/>
      </c>
    </row>
    <row r="761" spans="31:34" x14ac:dyDescent="0.25">
      <c r="AE761" s="8" t="str">
        <f t="shared" si="33"/>
        <v/>
      </c>
      <c r="AF761" s="8" t="str">
        <f t="shared" si="34"/>
        <v/>
      </c>
      <c r="AG761" s="8" t="str">
        <f>IF(TRIM($E761)&lt;&gt;"Tax Paid","",IF(COUNTIFS(LISTS!$F$2:$F$26,$AE761,LISTS!$G$2:$G$26,$AF761)=0,"NOT ON LIST",""))</f>
        <v/>
      </c>
      <c r="AH761" s="8" t="str">
        <f t="shared" si="35"/>
        <v/>
      </c>
    </row>
    <row r="762" spans="31:34" x14ac:dyDescent="0.25">
      <c r="AE762" s="8" t="str">
        <f t="shared" si="33"/>
        <v/>
      </c>
      <c r="AF762" s="8" t="str">
        <f t="shared" si="34"/>
        <v/>
      </c>
      <c r="AG762" s="8" t="str">
        <f>IF(TRIM($E762)&lt;&gt;"Tax Paid","",IF(COUNTIFS(LISTS!$F$2:$F$26,$AE762,LISTS!$G$2:$G$26,$AF762)=0,"NOT ON LIST",""))</f>
        <v/>
      </c>
      <c r="AH762" s="8" t="str">
        <f t="shared" si="35"/>
        <v/>
      </c>
    </row>
    <row r="763" spans="31:34" x14ac:dyDescent="0.25">
      <c r="AE763" s="8" t="str">
        <f t="shared" si="33"/>
        <v/>
      </c>
      <c r="AF763" s="8" t="str">
        <f t="shared" si="34"/>
        <v/>
      </c>
      <c r="AG763" s="8" t="str">
        <f>IF(TRIM($E763)&lt;&gt;"Tax Paid","",IF(COUNTIFS(LISTS!$F$2:$F$26,$AE763,LISTS!$G$2:$G$26,$AF763)=0,"NOT ON LIST",""))</f>
        <v/>
      </c>
      <c r="AH763" s="8" t="str">
        <f t="shared" si="35"/>
        <v/>
      </c>
    </row>
    <row r="764" spans="31:34" x14ac:dyDescent="0.25">
      <c r="AE764" s="8" t="str">
        <f t="shared" si="33"/>
        <v/>
      </c>
      <c r="AF764" s="8" t="str">
        <f t="shared" si="34"/>
        <v/>
      </c>
      <c r="AG764" s="8" t="str">
        <f>IF(TRIM($E764)&lt;&gt;"Tax Paid","",IF(COUNTIFS(LISTS!$F$2:$F$26,$AE764,LISTS!$G$2:$G$26,$AF764)=0,"NOT ON LIST",""))</f>
        <v/>
      </c>
      <c r="AH764" s="8" t="str">
        <f t="shared" si="35"/>
        <v/>
      </c>
    </row>
    <row r="765" spans="31:34" x14ac:dyDescent="0.25">
      <c r="AE765" s="8" t="str">
        <f t="shared" si="33"/>
        <v/>
      </c>
      <c r="AF765" s="8" t="str">
        <f t="shared" si="34"/>
        <v/>
      </c>
      <c r="AG765" s="8" t="str">
        <f>IF(TRIM($E765)&lt;&gt;"Tax Paid","",IF(COUNTIFS(LISTS!$F$2:$F$26,$AE765,LISTS!$G$2:$G$26,$AF765)=0,"NOT ON LIST",""))</f>
        <v/>
      </c>
      <c r="AH765" s="8" t="str">
        <f t="shared" si="35"/>
        <v/>
      </c>
    </row>
    <row r="766" spans="31:34" x14ac:dyDescent="0.25">
      <c r="AE766" s="8" t="str">
        <f t="shared" si="33"/>
        <v/>
      </c>
      <c r="AF766" s="8" t="str">
        <f t="shared" si="34"/>
        <v/>
      </c>
      <c r="AG766" s="8" t="str">
        <f>IF(TRIM($E766)&lt;&gt;"Tax Paid","",IF(COUNTIFS(LISTS!$F$2:$F$26,$AE766,LISTS!$G$2:$G$26,$AF766)=0,"NOT ON LIST",""))</f>
        <v/>
      </c>
      <c r="AH766" s="8" t="str">
        <f t="shared" si="35"/>
        <v/>
      </c>
    </row>
    <row r="767" spans="31:34" x14ac:dyDescent="0.25">
      <c r="AE767" s="8" t="str">
        <f t="shared" si="33"/>
        <v/>
      </c>
      <c r="AF767" s="8" t="str">
        <f t="shared" si="34"/>
        <v/>
      </c>
      <c r="AG767" s="8" t="str">
        <f>IF(TRIM($E767)&lt;&gt;"Tax Paid","",IF(COUNTIFS(LISTS!$F$2:$F$26,$AE767,LISTS!$G$2:$G$26,$AF767)=0,"NOT ON LIST",""))</f>
        <v/>
      </c>
      <c r="AH767" s="8" t="str">
        <f t="shared" si="35"/>
        <v/>
      </c>
    </row>
    <row r="768" spans="31:34" x14ac:dyDescent="0.25">
      <c r="AE768" s="8" t="str">
        <f t="shared" si="33"/>
        <v/>
      </c>
      <c r="AF768" s="8" t="str">
        <f t="shared" si="34"/>
        <v/>
      </c>
      <c r="AG768" s="8" t="str">
        <f>IF(TRIM($E768)&lt;&gt;"Tax Paid","",IF(COUNTIFS(LISTS!$F$2:$F$26,$AE768,LISTS!$G$2:$G$26,$AF768)=0,"NOT ON LIST",""))</f>
        <v/>
      </c>
      <c r="AH768" s="8" t="str">
        <f t="shared" si="35"/>
        <v/>
      </c>
    </row>
    <row r="769" spans="31:34" x14ac:dyDescent="0.25">
      <c r="AE769" s="8" t="str">
        <f t="shared" si="33"/>
        <v/>
      </c>
      <c r="AF769" s="8" t="str">
        <f t="shared" si="34"/>
        <v/>
      </c>
      <c r="AG769" s="8" t="str">
        <f>IF(TRIM($E769)&lt;&gt;"Tax Paid","",IF(COUNTIFS(LISTS!$F$2:$F$26,$AE769,LISTS!$G$2:$G$26,$AF769)=0,"NOT ON LIST",""))</f>
        <v/>
      </c>
      <c r="AH769" s="8" t="str">
        <f t="shared" si="35"/>
        <v/>
      </c>
    </row>
    <row r="770" spans="31:34" x14ac:dyDescent="0.25">
      <c r="AE770" s="8" t="str">
        <f t="shared" ref="AE770:AE833" si="36">IF(TRIM($E770)="Tax Paid",TRIM($S770),"")</f>
        <v/>
      </c>
      <c r="AF770" s="8" t="str">
        <f t="shared" ref="AF770:AF833" si="37">IF(TRIM($E770)="Tax Paid",ROUND($Z770/100,5),"")</f>
        <v/>
      </c>
      <c r="AG770" s="8" t="str">
        <f>IF(TRIM($E770)&lt;&gt;"Tax Paid","",IF(COUNTIFS(LISTS!$F$2:$F$26,$AE770,LISTS!$G$2:$G$26,$AF770)=0,"NOT ON LIST",""))</f>
        <v/>
      </c>
      <c r="AH770" s="8" t="str">
        <f t="shared" ref="AH770:AH833" si="38">IF($AG770="","",IF($AE770="","(no county)",$AE770)&amp;" ("&amp;SUBSTITUTE(TEXT($AF770,"0.###%"),".%","%")&amp;")")</f>
        <v/>
      </c>
    </row>
    <row r="771" spans="31:34" x14ac:dyDescent="0.25">
      <c r="AE771" s="8" t="str">
        <f t="shared" si="36"/>
        <v/>
      </c>
      <c r="AF771" s="8" t="str">
        <f t="shared" si="37"/>
        <v/>
      </c>
      <c r="AG771" s="8" t="str">
        <f>IF(TRIM($E771)&lt;&gt;"Tax Paid","",IF(COUNTIFS(LISTS!$F$2:$F$26,$AE771,LISTS!$G$2:$G$26,$AF771)=0,"NOT ON LIST",""))</f>
        <v/>
      </c>
      <c r="AH771" s="8" t="str">
        <f t="shared" si="38"/>
        <v/>
      </c>
    </row>
    <row r="772" spans="31:34" x14ac:dyDescent="0.25">
      <c r="AE772" s="8" t="str">
        <f t="shared" si="36"/>
        <v/>
      </c>
      <c r="AF772" s="8" t="str">
        <f t="shared" si="37"/>
        <v/>
      </c>
      <c r="AG772" s="8" t="str">
        <f>IF(TRIM($E772)&lt;&gt;"Tax Paid","",IF(COUNTIFS(LISTS!$F$2:$F$26,$AE772,LISTS!$G$2:$G$26,$AF772)=0,"NOT ON LIST",""))</f>
        <v/>
      </c>
      <c r="AH772" s="8" t="str">
        <f t="shared" si="38"/>
        <v/>
      </c>
    </row>
    <row r="773" spans="31:34" x14ac:dyDescent="0.25">
      <c r="AE773" s="8" t="str">
        <f t="shared" si="36"/>
        <v/>
      </c>
      <c r="AF773" s="8" t="str">
        <f t="shared" si="37"/>
        <v/>
      </c>
      <c r="AG773" s="8" t="str">
        <f>IF(TRIM($E773)&lt;&gt;"Tax Paid","",IF(COUNTIFS(LISTS!$F$2:$F$26,$AE773,LISTS!$G$2:$G$26,$AF773)=0,"NOT ON LIST",""))</f>
        <v/>
      </c>
      <c r="AH773" s="8" t="str">
        <f t="shared" si="38"/>
        <v/>
      </c>
    </row>
    <row r="774" spans="31:34" x14ac:dyDescent="0.25">
      <c r="AE774" s="8" t="str">
        <f t="shared" si="36"/>
        <v/>
      </c>
      <c r="AF774" s="8" t="str">
        <f t="shared" si="37"/>
        <v/>
      </c>
      <c r="AG774" s="8" t="str">
        <f>IF(TRIM($E774)&lt;&gt;"Tax Paid","",IF(COUNTIFS(LISTS!$F$2:$F$26,$AE774,LISTS!$G$2:$G$26,$AF774)=0,"NOT ON LIST",""))</f>
        <v/>
      </c>
      <c r="AH774" s="8" t="str">
        <f t="shared" si="38"/>
        <v/>
      </c>
    </row>
    <row r="775" spans="31:34" x14ac:dyDescent="0.25">
      <c r="AE775" s="8" t="str">
        <f t="shared" si="36"/>
        <v/>
      </c>
      <c r="AF775" s="8" t="str">
        <f t="shared" si="37"/>
        <v/>
      </c>
      <c r="AG775" s="8" t="str">
        <f>IF(TRIM($E775)&lt;&gt;"Tax Paid","",IF(COUNTIFS(LISTS!$F$2:$F$26,$AE775,LISTS!$G$2:$G$26,$AF775)=0,"NOT ON LIST",""))</f>
        <v/>
      </c>
      <c r="AH775" s="8" t="str">
        <f t="shared" si="38"/>
        <v/>
      </c>
    </row>
    <row r="776" spans="31:34" x14ac:dyDescent="0.25">
      <c r="AE776" s="8" t="str">
        <f t="shared" si="36"/>
        <v/>
      </c>
      <c r="AF776" s="8" t="str">
        <f t="shared" si="37"/>
        <v/>
      </c>
      <c r="AG776" s="8" t="str">
        <f>IF(TRIM($E776)&lt;&gt;"Tax Paid","",IF(COUNTIFS(LISTS!$F$2:$F$26,$AE776,LISTS!$G$2:$G$26,$AF776)=0,"NOT ON LIST",""))</f>
        <v/>
      </c>
      <c r="AH776" s="8" t="str">
        <f t="shared" si="38"/>
        <v/>
      </c>
    </row>
    <row r="777" spans="31:34" x14ac:dyDescent="0.25">
      <c r="AE777" s="8" t="str">
        <f t="shared" si="36"/>
        <v/>
      </c>
      <c r="AF777" s="8" t="str">
        <f t="shared" si="37"/>
        <v/>
      </c>
      <c r="AG777" s="8" t="str">
        <f>IF(TRIM($E777)&lt;&gt;"Tax Paid","",IF(COUNTIFS(LISTS!$F$2:$F$26,$AE777,LISTS!$G$2:$G$26,$AF777)=0,"NOT ON LIST",""))</f>
        <v/>
      </c>
      <c r="AH777" s="8" t="str">
        <f t="shared" si="38"/>
        <v/>
      </c>
    </row>
    <row r="778" spans="31:34" x14ac:dyDescent="0.25">
      <c r="AE778" s="8" t="str">
        <f t="shared" si="36"/>
        <v/>
      </c>
      <c r="AF778" s="8" t="str">
        <f t="shared" si="37"/>
        <v/>
      </c>
      <c r="AG778" s="8" t="str">
        <f>IF(TRIM($E778)&lt;&gt;"Tax Paid","",IF(COUNTIFS(LISTS!$F$2:$F$26,$AE778,LISTS!$G$2:$G$26,$AF778)=0,"NOT ON LIST",""))</f>
        <v/>
      </c>
      <c r="AH778" s="8" t="str">
        <f t="shared" si="38"/>
        <v/>
      </c>
    </row>
    <row r="779" spans="31:34" x14ac:dyDescent="0.25">
      <c r="AE779" s="8" t="str">
        <f t="shared" si="36"/>
        <v/>
      </c>
      <c r="AF779" s="8" t="str">
        <f t="shared" si="37"/>
        <v/>
      </c>
      <c r="AG779" s="8" t="str">
        <f>IF(TRIM($E779)&lt;&gt;"Tax Paid","",IF(COUNTIFS(LISTS!$F$2:$F$26,$AE779,LISTS!$G$2:$G$26,$AF779)=0,"NOT ON LIST",""))</f>
        <v/>
      </c>
      <c r="AH779" s="8" t="str">
        <f t="shared" si="38"/>
        <v/>
      </c>
    </row>
    <row r="780" spans="31:34" x14ac:dyDescent="0.25">
      <c r="AE780" s="8" t="str">
        <f t="shared" si="36"/>
        <v/>
      </c>
      <c r="AF780" s="8" t="str">
        <f t="shared" si="37"/>
        <v/>
      </c>
      <c r="AG780" s="8" t="str">
        <f>IF(TRIM($E780)&lt;&gt;"Tax Paid","",IF(COUNTIFS(LISTS!$F$2:$F$26,$AE780,LISTS!$G$2:$G$26,$AF780)=0,"NOT ON LIST",""))</f>
        <v/>
      </c>
      <c r="AH780" s="8" t="str">
        <f t="shared" si="38"/>
        <v/>
      </c>
    </row>
    <row r="781" spans="31:34" x14ac:dyDescent="0.25">
      <c r="AE781" s="8" t="str">
        <f t="shared" si="36"/>
        <v/>
      </c>
      <c r="AF781" s="8" t="str">
        <f t="shared" si="37"/>
        <v/>
      </c>
      <c r="AG781" s="8" t="str">
        <f>IF(TRIM($E781)&lt;&gt;"Tax Paid","",IF(COUNTIFS(LISTS!$F$2:$F$26,$AE781,LISTS!$G$2:$G$26,$AF781)=0,"NOT ON LIST",""))</f>
        <v/>
      </c>
      <c r="AH781" s="8" t="str">
        <f t="shared" si="38"/>
        <v/>
      </c>
    </row>
    <row r="782" spans="31:34" x14ac:dyDescent="0.25">
      <c r="AE782" s="8" t="str">
        <f t="shared" si="36"/>
        <v/>
      </c>
      <c r="AF782" s="8" t="str">
        <f t="shared" si="37"/>
        <v/>
      </c>
      <c r="AG782" s="8" t="str">
        <f>IF(TRIM($E782)&lt;&gt;"Tax Paid","",IF(COUNTIFS(LISTS!$F$2:$F$26,$AE782,LISTS!$G$2:$G$26,$AF782)=0,"NOT ON LIST",""))</f>
        <v/>
      </c>
      <c r="AH782" s="8" t="str">
        <f t="shared" si="38"/>
        <v/>
      </c>
    </row>
    <row r="783" spans="31:34" x14ac:dyDescent="0.25">
      <c r="AE783" s="8" t="str">
        <f t="shared" si="36"/>
        <v/>
      </c>
      <c r="AF783" s="8" t="str">
        <f t="shared" si="37"/>
        <v/>
      </c>
      <c r="AG783" s="8" t="str">
        <f>IF(TRIM($E783)&lt;&gt;"Tax Paid","",IF(COUNTIFS(LISTS!$F$2:$F$26,$AE783,LISTS!$G$2:$G$26,$AF783)=0,"NOT ON LIST",""))</f>
        <v/>
      </c>
      <c r="AH783" s="8" t="str">
        <f t="shared" si="38"/>
        <v/>
      </c>
    </row>
    <row r="784" spans="31:34" x14ac:dyDescent="0.25">
      <c r="AE784" s="8" t="str">
        <f t="shared" si="36"/>
        <v/>
      </c>
      <c r="AF784" s="8" t="str">
        <f t="shared" si="37"/>
        <v/>
      </c>
      <c r="AG784" s="8" t="str">
        <f>IF(TRIM($E784)&lt;&gt;"Tax Paid","",IF(COUNTIFS(LISTS!$F$2:$F$26,$AE784,LISTS!$G$2:$G$26,$AF784)=0,"NOT ON LIST",""))</f>
        <v/>
      </c>
      <c r="AH784" s="8" t="str">
        <f t="shared" si="38"/>
        <v/>
      </c>
    </row>
    <row r="785" spans="31:34" x14ac:dyDescent="0.25">
      <c r="AE785" s="8" t="str">
        <f t="shared" si="36"/>
        <v/>
      </c>
      <c r="AF785" s="8" t="str">
        <f t="shared" si="37"/>
        <v/>
      </c>
      <c r="AG785" s="8" t="str">
        <f>IF(TRIM($E785)&lt;&gt;"Tax Paid","",IF(COUNTIFS(LISTS!$F$2:$F$26,$AE785,LISTS!$G$2:$G$26,$AF785)=0,"NOT ON LIST",""))</f>
        <v/>
      </c>
      <c r="AH785" s="8" t="str">
        <f t="shared" si="38"/>
        <v/>
      </c>
    </row>
    <row r="786" spans="31:34" x14ac:dyDescent="0.25">
      <c r="AE786" s="8" t="str">
        <f t="shared" si="36"/>
        <v/>
      </c>
      <c r="AF786" s="8" t="str">
        <f t="shared" si="37"/>
        <v/>
      </c>
      <c r="AG786" s="8" t="str">
        <f>IF(TRIM($E786)&lt;&gt;"Tax Paid","",IF(COUNTIFS(LISTS!$F$2:$F$26,$AE786,LISTS!$G$2:$G$26,$AF786)=0,"NOT ON LIST",""))</f>
        <v/>
      </c>
      <c r="AH786" s="8" t="str">
        <f t="shared" si="38"/>
        <v/>
      </c>
    </row>
    <row r="787" spans="31:34" x14ac:dyDescent="0.25">
      <c r="AE787" s="8" t="str">
        <f t="shared" si="36"/>
        <v/>
      </c>
      <c r="AF787" s="8" t="str">
        <f t="shared" si="37"/>
        <v/>
      </c>
      <c r="AG787" s="8" t="str">
        <f>IF(TRIM($E787)&lt;&gt;"Tax Paid","",IF(COUNTIFS(LISTS!$F$2:$F$26,$AE787,LISTS!$G$2:$G$26,$AF787)=0,"NOT ON LIST",""))</f>
        <v/>
      </c>
      <c r="AH787" s="8" t="str">
        <f t="shared" si="38"/>
        <v/>
      </c>
    </row>
    <row r="788" spans="31:34" x14ac:dyDescent="0.25">
      <c r="AE788" s="8" t="str">
        <f t="shared" si="36"/>
        <v/>
      </c>
      <c r="AF788" s="8" t="str">
        <f t="shared" si="37"/>
        <v/>
      </c>
      <c r="AG788" s="8" t="str">
        <f>IF(TRIM($E788)&lt;&gt;"Tax Paid","",IF(COUNTIFS(LISTS!$F$2:$F$26,$AE788,LISTS!$G$2:$G$26,$AF788)=0,"NOT ON LIST",""))</f>
        <v/>
      </c>
      <c r="AH788" s="8" t="str">
        <f t="shared" si="38"/>
        <v/>
      </c>
    </row>
    <row r="789" spans="31:34" x14ac:dyDescent="0.25">
      <c r="AE789" s="8" t="str">
        <f t="shared" si="36"/>
        <v/>
      </c>
      <c r="AF789" s="8" t="str">
        <f t="shared" si="37"/>
        <v/>
      </c>
      <c r="AG789" s="8" t="str">
        <f>IF(TRIM($E789)&lt;&gt;"Tax Paid","",IF(COUNTIFS(LISTS!$F$2:$F$26,$AE789,LISTS!$G$2:$G$26,$AF789)=0,"NOT ON LIST",""))</f>
        <v/>
      </c>
      <c r="AH789" s="8" t="str">
        <f t="shared" si="38"/>
        <v/>
      </c>
    </row>
    <row r="790" spans="31:34" x14ac:dyDescent="0.25">
      <c r="AE790" s="8" t="str">
        <f t="shared" si="36"/>
        <v/>
      </c>
      <c r="AF790" s="8" t="str">
        <f t="shared" si="37"/>
        <v/>
      </c>
      <c r="AG790" s="8" t="str">
        <f>IF(TRIM($E790)&lt;&gt;"Tax Paid","",IF(COUNTIFS(LISTS!$F$2:$F$26,$AE790,LISTS!$G$2:$G$26,$AF790)=0,"NOT ON LIST",""))</f>
        <v/>
      </c>
      <c r="AH790" s="8" t="str">
        <f t="shared" si="38"/>
        <v/>
      </c>
    </row>
    <row r="791" spans="31:34" x14ac:dyDescent="0.25">
      <c r="AE791" s="8" t="str">
        <f t="shared" si="36"/>
        <v/>
      </c>
      <c r="AF791" s="8" t="str">
        <f t="shared" si="37"/>
        <v/>
      </c>
      <c r="AG791" s="8" t="str">
        <f>IF(TRIM($E791)&lt;&gt;"Tax Paid","",IF(COUNTIFS(LISTS!$F$2:$F$26,$AE791,LISTS!$G$2:$G$26,$AF791)=0,"NOT ON LIST",""))</f>
        <v/>
      </c>
      <c r="AH791" s="8" t="str">
        <f t="shared" si="38"/>
        <v/>
      </c>
    </row>
    <row r="792" spans="31:34" x14ac:dyDescent="0.25">
      <c r="AE792" s="8" t="str">
        <f t="shared" si="36"/>
        <v/>
      </c>
      <c r="AF792" s="8" t="str">
        <f t="shared" si="37"/>
        <v/>
      </c>
      <c r="AG792" s="8" t="str">
        <f>IF(TRIM($E792)&lt;&gt;"Tax Paid","",IF(COUNTIFS(LISTS!$F$2:$F$26,$AE792,LISTS!$G$2:$G$26,$AF792)=0,"NOT ON LIST",""))</f>
        <v/>
      </c>
      <c r="AH792" s="8" t="str">
        <f t="shared" si="38"/>
        <v/>
      </c>
    </row>
    <row r="793" spans="31:34" x14ac:dyDescent="0.25">
      <c r="AE793" s="8" t="str">
        <f t="shared" si="36"/>
        <v/>
      </c>
      <c r="AF793" s="8" t="str">
        <f t="shared" si="37"/>
        <v/>
      </c>
      <c r="AG793" s="8" t="str">
        <f>IF(TRIM($E793)&lt;&gt;"Tax Paid","",IF(COUNTIFS(LISTS!$F$2:$F$26,$AE793,LISTS!$G$2:$G$26,$AF793)=0,"NOT ON LIST",""))</f>
        <v/>
      </c>
      <c r="AH793" s="8" t="str">
        <f t="shared" si="38"/>
        <v/>
      </c>
    </row>
    <row r="794" spans="31:34" x14ac:dyDescent="0.25">
      <c r="AE794" s="8" t="str">
        <f t="shared" si="36"/>
        <v/>
      </c>
      <c r="AF794" s="8" t="str">
        <f t="shared" si="37"/>
        <v/>
      </c>
      <c r="AG794" s="8" t="str">
        <f>IF(TRIM($E794)&lt;&gt;"Tax Paid","",IF(COUNTIFS(LISTS!$F$2:$F$26,$AE794,LISTS!$G$2:$G$26,$AF794)=0,"NOT ON LIST",""))</f>
        <v/>
      </c>
      <c r="AH794" s="8" t="str">
        <f t="shared" si="38"/>
        <v/>
      </c>
    </row>
    <row r="795" spans="31:34" x14ac:dyDescent="0.25">
      <c r="AE795" s="8" t="str">
        <f t="shared" si="36"/>
        <v/>
      </c>
      <c r="AF795" s="8" t="str">
        <f t="shared" si="37"/>
        <v/>
      </c>
      <c r="AG795" s="8" t="str">
        <f>IF(TRIM($E795)&lt;&gt;"Tax Paid","",IF(COUNTIFS(LISTS!$F$2:$F$26,$AE795,LISTS!$G$2:$G$26,$AF795)=0,"NOT ON LIST",""))</f>
        <v/>
      </c>
      <c r="AH795" s="8" t="str">
        <f t="shared" si="38"/>
        <v/>
      </c>
    </row>
    <row r="796" spans="31:34" x14ac:dyDescent="0.25">
      <c r="AE796" s="8" t="str">
        <f t="shared" si="36"/>
        <v/>
      </c>
      <c r="AF796" s="8" t="str">
        <f t="shared" si="37"/>
        <v/>
      </c>
      <c r="AG796" s="8" t="str">
        <f>IF(TRIM($E796)&lt;&gt;"Tax Paid","",IF(COUNTIFS(LISTS!$F$2:$F$26,$AE796,LISTS!$G$2:$G$26,$AF796)=0,"NOT ON LIST",""))</f>
        <v/>
      </c>
      <c r="AH796" s="8" t="str">
        <f t="shared" si="38"/>
        <v/>
      </c>
    </row>
    <row r="797" spans="31:34" x14ac:dyDescent="0.25">
      <c r="AE797" s="8" t="str">
        <f t="shared" si="36"/>
        <v/>
      </c>
      <c r="AF797" s="8" t="str">
        <f t="shared" si="37"/>
        <v/>
      </c>
      <c r="AG797" s="8" t="str">
        <f>IF(TRIM($E797)&lt;&gt;"Tax Paid","",IF(COUNTIFS(LISTS!$F$2:$F$26,$AE797,LISTS!$G$2:$G$26,$AF797)=0,"NOT ON LIST",""))</f>
        <v/>
      </c>
      <c r="AH797" s="8" t="str">
        <f t="shared" si="38"/>
        <v/>
      </c>
    </row>
    <row r="798" spans="31:34" x14ac:dyDescent="0.25">
      <c r="AE798" s="8" t="str">
        <f t="shared" si="36"/>
        <v/>
      </c>
      <c r="AF798" s="8" t="str">
        <f t="shared" si="37"/>
        <v/>
      </c>
      <c r="AG798" s="8" t="str">
        <f>IF(TRIM($E798)&lt;&gt;"Tax Paid","",IF(COUNTIFS(LISTS!$F$2:$F$26,$AE798,LISTS!$G$2:$G$26,$AF798)=0,"NOT ON LIST",""))</f>
        <v/>
      </c>
      <c r="AH798" s="8" t="str">
        <f t="shared" si="38"/>
        <v/>
      </c>
    </row>
    <row r="799" spans="31:34" x14ac:dyDescent="0.25">
      <c r="AE799" s="8" t="str">
        <f t="shared" si="36"/>
        <v/>
      </c>
      <c r="AF799" s="8" t="str">
        <f t="shared" si="37"/>
        <v/>
      </c>
      <c r="AG799" s="8" t="str">
        <f>IF(TRIM($E799)&lt;&gt;"Tax Paid","",IF(COUNTIFS(LISTS!$F$2:$F$26,$AE799,LISTS!$G$2:$G$26,$AF799)=0,"NOT ON LIST",""))</f>
        <v/>
      </c>
      <c r="AH799" s="8" t="str">
        <f t="shared" si="38"/>
        <v/>
      </c>
    </row>
    <row r="800" spans="31:34" x14ac:dyDescent="0.25">
      <c r="AE800" s="8" t="str">
        <f t="shared" si="36"/>
        <v/>
      </c>
      <c r="AF800" s="8" t="str">
        <f t="shared" si="37"/>
        <v/>
      </c>
      <c r="AG800" s="8" t="str">
        <f>IF(TRIM($E800)&lt;&gt;"Tax Paid","",IF(COUNTIFS(LISTS!$F$2:$F$26,$AE800,LISTS!$G$2:$G$26,$AF800)=0,"NOT ON LIST",""))</f>
        <v/>
      </c>
      <c r="AH800" s="8" t="str">
        <f t="shared" si="38"/>
        <v/>
      </c>
    </row>
    <row r="801" spans="31:34" x14ac:dyDescent="0.25">
      <c r="AE801" s="8" t="str">
        <f t="shared" si="36"/>
        <v/>
      </c>
      <c r="AF801" s="8" t="str">
        <f t="shared" si="37"/>
        <v/>
      </c>
      <c r="AG801" s="8" t="str">
        <f>IF(TRIM($E801)&lt;&gt;"Tax Paid","",IF(COUNTIFS(LISTS!$F$2:$F$26,$AE801,LISTS!$G$2:$G$26,$AF801)=0,"NOT ON LIST",""))</f>
        <v/>
      </c>
      <c r="AH801" s="8" t="str">
        <f t="shared" si="38"/>
        <v/>
      </c>
    </row>
    <row r="802" spans="31:34" x14ac:dyDescent="0.25">
      <c r="AE802" s="8" t="str">
        <f t="shared" si="36"/>
        <v/>
      </c>
      <c r="AF802" s="8" t="str">
        <f t="shared" si="37"/>
        <v/>
      </c>
      <c r="AG802" s="8" t="str">
        <f>IF(TRIM($E802)&lt;&gt;"Tax Paid","",IF(COUNTIFS(LISTS!$F$2:$F$26,$AE802,LISTS!$G$2:$G$26,$AF802)=0,"NOT ON LIST",""))</f>
        <v/>
      </c>
      <c r="AH802" s="8" t="str">
        <f t="shared" si="38"/>
        <v/>
      </c>
    </row>
    <row r="803" spans="31:34" x14ac:dyDescent="0.25">
      <c r="AE803" s="8" t="str">
        <f t="shared" si="36"/>
        <v/>
      </c>
      <c r="AF803" s="8" t="str">
        <f t="shared" si="37"/>
        <v/>
      </c>
      <c r="AG803" s="8" t="str">
        <f>IF(TRIM($E803)&lt;&gt;"Tax Paid","",IF(COUNTIFS(LISTS!$F$2:$F$26,$AE803,LISTS!$G$2:$G$26,$AF803)=0,"NOT ON LIST",""))</f>
        <v/>
      </c>
      <c r="AH803" s="8" t="str">
        <f t="shared" si="38"/>
        <v/>
      </c>
    </row>
    <row r="804" spans="31:34" x14ac:dyDescent="0.25">
      <c r="AE804" s="8" t="str">
        <f t="shared" si="36"/>
        <v/>
      </c>
      <c r="AF804" s="8" t="str">
        <f t="shared" si="37"/>
        <v/>
      </c>
      <c r="AG804" s="8" t="str">
        <f>IF(TRIM($E804)&lt;&gt;"Tax Paid","",IF(COUNTIFS(LISTS!$F$2:$F$26,$AE804,LISTS!$G$2:$G$26,$AF804)=0,"NOT ON LIST",""))</f>
        <v/>
      </c>
      <c r="AH804" s="8" t="str">
        <f t="shared" si="38"/>
        <v/>
      </c>
    </row>
    <row r="805" spans="31:34" x14ac:dyDescent="0.25">
      <c r="AE805" s="8" t="str">
        <f t="shared" si="36"/>
        <v/>
      </c>
      <c r="AF805" s="8" t="str">
        <f t="shared" si="37"/>
        <v/>
      </c>
      <c r="AG805" s="8" t="str">
        <f>IF(TRIM($E805)&lt;&gt;"Tax Paid","",IF(COUNTIFS(LISTS!$F$2:$F$26,$AE805,LISTS!$G$2:$G$26,$AF805)=0,"NOT ON LIST",""))</f>
        <v/>
      </c>
      <c r="AH805" s="8" t="str">
        <f t="shared" si="38"/>
        <v/>
      </c>
    </row>
    <row r="806" spans="31:34" x14ac:dyDescent="0.25">
      <c r="AE806" s="8" t="str">
        <f t="shared" si="36"/>
        <v/>
      </c>
      <c r="AF806" s="8" t="str">
        <f t="shared" si="37"/>
        <v/>
      </c>
      <c r="AG806" s="8" t="str">
        <f>IF(TRIM($E806)&lt;&gt;"Tax Paid","",IF(COUNTIFS(LISTS!$F$2:$F$26,$AE806,LISTS!$G$2:$G$26,$AF806)=0,"NOT ON LIST",""))</f>
        <v/>
      </c>
      <c r="AH806" s="8" t="str">
        <f t="shared" si="38"/>
        <v/>
      </c>
    </row>
    <row r="807" spans="31:34" x14ac:dyDescent="0.25">
      <c r="AE807" s="8" t="str">
        <f t="shared" si="36"/>
        <v/>
      </c>
      <c r="AF807" s="8" t="str">
        <f t="shared" si="37"/>
        <v/>
      </c>
      <c r="AG807" s="8" t="str">
        <f>IF(TRIM($E807)&lt;&gt;"Tax Paid","",IF(COUNTIFS(LISTS!$F$2:$F$26,$AE807,LISTS!$G$2:$G$26,$AF807)=0,"NOT ON LIST",""))</f>
        <v/>
      </c>
      <c r="AH807" s="8" t="str">
        <f t="shared" si="38"/>
        <v/>
      </c>
    </row>
    <row r="808" spans="31:34" x14ac:dyDescent="0.25">
      <c r="AE808" s="8" t="str">
        <f t="shared" si="36"/>
        <v/>
      </c>
      <c r="AF808" s="8" t="str">
        <f t="shared" si="37"/>
        <v/>
      </c>
      <c r="AG808" s="8" t="str">
        <f>IF(TRIM($E808)&lt;&gt;"Tax Paid","",IF(COUNTIFS(LISTS!$F$2:$F$26,$AE808,LISTS!$G$2:$G$26,$AF808)=0,"NOT ON LIST",""))</f>
        <v/>
      </c>
      <c r="AH808" s="8" t="str">
        <f t="shared" si="38"/>
        <v/>
      </c>
    </row>
    <row r="809" spans="31:34" x14ac:dyDescent="0.25">
      <c r="AE809" s="8" t="str">
        <f t="shared" si="36"/>
        <v/>
      </c>
      <c r="AF809" s="8" t="str">
        <f t="shared" si="37"/>
        <v/>
      </c>
      <c r="AG809" s="8" t="str">
        <f>IF(TRIM($E809)&lt;&gt;"Tax Paid","",IF(COUNTIFS(LISTS!$F$2:$F$26,$AE809,LISTS!$G$2:$G$26,$AF809)=0,"NOT ON LIST",""))</f>
        <v/>
      </c>
      <c r="AH809" s="8" t="str">
        <f t="shared" si="38"/>
        <v/>
      </c>
    </row>
    <row r="810" spans="31:34" x14ac:dyDescent="0.25">
      <c r="AE810" s="8" t="str">
        <f t="shared" si="36"/>
        <v/>
      </c>
      <c r="AF810" s="8" t="str">
        <f t="shared" si="37"/>
        <v/>
      </c>
      <c r="AG810" s="8" t="str">
        <f>IF(TRIM($E810)&lt;&gt;"Tax Paid","",IF(COUNTIFS(LISTS!$F$2:$F$26,$AE810,LISTS!$G$2:$G$26,$AF810)=0,"NOT ON LIST",""))</f>
        <v/>
      </c>
      <c r="AH810" s="8" t="str">
        <f t="shared" si="38"/>
        <v/>
      </c>
    </row>
    <row r="811" spans="31:34" x14ac:dyDescent="0.25">
      <c r="AE811" s="8" t="str">
        <f t="shared" si="36"/>
        <v/>
      </c>
      <c r="AF811" s="8" t="str">
        <f t="shared" si="37"/>
        <v/>
      </c>
      <c r="AG811" s="8" t="str">
        <f>IF(TRIM($E811)&lt;&gt;"Tax Paid","",IF(COUNTIFS(LISTS!$F$2:$F$26,$AE811,LISTS!$G$2:$G$26,$AF811)=0,"NOT ON LIST",""))</f>
        <v/>
      </c>
      <c r="AH811" s="8" t="str">
        <f t="shared" si="38"/>
        <v/>
      </c>
    </row>
    <row r="812" spans="31:34" x14ac:dyDescent="0.25">
      <c r="AE812" s="8" t="str">
        <f t="shared" si="36"/>
        <v/>
      </c>
      <c r="AF812" s="8" t="str">
        <f t="shared" si="37"/>
        <v/>
      </c>
      <c r="AG812" s="8" t="str">
        <f>IF(TRIM($E812)&lt;&gt;"Tax Paid","",IF(COUNTIFS(LISTS!$F$2:$F$26,$AE812,LISTS!$G$2:$G$26,$AF812)=0,"NOT ON LIST",""))</f>
        <v/>
      </c>
      <c r="AH812" s="8" t="str">
        <f t="shared" si="38"/>
        <v/>
      </c>
    </row>
    <row r="813" spans="31:34" x14ac:dyDescent="0.25">
      <c r="AE813" s="8" t="str">
        <f t="shared" si="36"/>
        <v/>
      </c>
      <c r="AF813" s="8" t="str">
        <f t="shared" si="37"/>
        <v/>
      </c>
      <c r="AG813" s="8" t="str">
        <f>IF(TRIM($E813)&lt;&gt;"Tax Paid","",IF(COUNTIFS(LISTS!$F$2:$F$26,$AE813,LISTS!$G$2:$G$26,$AF813)=0,"NOT ON LIST",""))</f>
        <v/>
      </c>
      <c r="AH813" s="8" t="str">
        <f t="shared" si="38"/>
        <v/>
      </c>
    </row>
    <row r="814" spans="31:34" x14ac:dyDescent="0.25">
      <c r="AE814" s="8" t="str">
        <f t="shared" si="36"/>
        <v/>
      </c>
      <c r="AF814" s="8" t="str">
        <f t="shared" si="37"/>
        <v/>
      </c>
      <c r="AG814" s="8" t="str">
        <f>IF(TRIM($E814)&lt;&gt;"Tax Paid","",IF(COUNTIFS(LISTS!$F$2:$F$26,$AE814,LISTS!$G$2:$G$26,$AF814)=0,"NOT ON LIST",""))</f>
        <v/>
      </c>
      <c r="AH814" s="8" t="str">
        <f t="shared" si="38"/>
        <v/>
      </c>
    </row>
    <row r="815" spans="31:34" x14ac:dyDescent="0.25">
      <c r="AE815" s="8" t="str">
        <f t="shared" si="36"/>
        <v/>
      </c>
      <c r="AF815" s="8" t="str">
        <f t="shared" si="37"/>
        <v/>
      </c>
      <c r="AG815" s="8" t="str">
        <f>IF(TRIM($E815)&lt;&gt;"Tax Paid","",IF(COUNTIFS(LISTS!$F$2:$F$26,$AE815,LISTS!$G$2:$G$26,$AF815)=0,"NOT ON LIST",""))</f>
        <v/>
      </c>
      <c r="AH815" s="8" t="str">
        <f t="shared" si="38"/>
        <v/>
      </c>
    </row>
    <row r="816" spans="31:34" x14ac:dyDescent="0.25">
      <c r="AE816" s="8" t="str">
        <f t="shared" si="36"/>
        <v/>
      </c>
      <c r="AF816" s="8" t="str">
        <f t="shared" si="37"/>
        <v/>
      </c>
      <c r="AG816" s="8" t="str">
        <f>IF(TRIM($E816)&lt;&gt;"Tax Paid","",IF(COUNTIFS(LISTS!$F$2:$F$26,$AE816,LISTS!$G$2:$G$26,$AF816)=0,"NOT ON LIST",""))</f>
        <v/>
      </c>
      <c r="AH816" s="8" t="str">
        <f t="shared" si="38"/>
        <v/>
      </c>
    </row>
    <row r="817" spans="31:34" x14ac:dyDescent="0.25">
      <c r="AE817" s="8" t="str">
        <f t="shared" si="36"/>
        <v/>
      </c>
      <c r="AF817" s="8" t="str">
        <f t="shared" si="37"/>
        <v/>
      </c>
      <c r="AG817" s="8" t="str">
        <f>IF(TRIM($E817)&lt;&gt;"Tax Paid","",IF(COUNTIFS(LISTS!$F$2:$F$26,$AE817,LISTS!$G$2:$G$26,$AF817)=0,"NOT ON LIST",""))</f>
        <v/>
      </c>
      <c r="AH817" s="8" t="str">
        <f t="shared" si="38"/>
        <v/>
      </c>
    </row>
    <row r="818" spans="31:34" x14ac:dyDescent="0.25">
      <c r="AE818" s="8" t="str">
        <f t="shared" si="36"/>
        <v/>
      </c>
      <c r="AF818" s="8" t="str">
        <f t="shared" si="37"/>
        <v/>
      </c>
      <c r="AG818" s="8" t="str">
        <f>IF(TRIM($E818)&lt;&gt;"Tax Paid","",IF(COUNTIFS(LISTS!$F$2:$F$26,$AE818,LISTS!$G$2:$G$26,$AF818)=0,"NOT ON LIST",""))</f>
        <v/>
      </c>
      <c r="AH818" s="8" t="str">
        <f t="shared" si="38"/>
        <v/>
      </c>
    </row>
    <row r="819" spans="31:34" x14ac:dyDescent="0.25">
      <c r="AE819" s="8" t="str">
        <f t="shared" si="36"/>
        <v/>
      </c>
      <c r="AF819" s="8" t="str">
        <f t="shared" si="37"/>
        <v/>
      </c>
      <c r="AG819" s="8" t="str">
        <f>IF(TRIM($E819)&lt;&gt;"Tax Paid","",IF(COUNTIFS(LISTS!$F$2:$F$26,$AE819,LISTS!$G$2:$G$26,$AF819)=0,"NOT ON LIST",""))</f>
        <v/>
      </c>
      <c r="AH819" s="8" t="str">
        <f t="shared" si="38"/>
        <v/>
      </c>
    </row>
    <row r="820" spans="31:34" x14ac:dyDescent="0.25">
      <c r="AE820" s="8" t="str">
        <f t="shared" si="36"/>
        <v/>
      </c>
      <c r="AF820" s="8" t="str">
        <f t="shared" si="37"/>
        <v/>
      </c>
      <c r="AG820" s="8" t="str">
        <f>IF(TRIM($E820)&lt;&gt;"Tax Paid","",IF(COUNTIFS(LISTS!$F$2:$F$26,$AE820,LISTS!$G$2:$G$26,$AF820)=0,"NOT ON LIST",""))</f>
        <v/>
      </c>
      <c r="AH820" s="8" t="str">
        <f t="shared" si="38"/>
        <v/>
      </c>
    </row>
    <row r="821" spans="31:34" x14ac:dyDescent="0.25">
      <c r="AE821" s="8" t="str">
        <f t="shared" si="36"/>
        <v/>
      </c>
      <c r="AF821" s="8" t="str">
        <f t="shared" si="37"/>
        <v/>
      </c>
      <c r="AG821" s="8" t="str">
        <f>IF(TRIM($E821)&lt;&gt;"Tax Paid","",IF(COUNTIFS(LISTS!$F$2:$F$26,$AE821,LISTS!$G$2:$G$26,$AF821)=0,"NOT ON LIST",""))</f>
        <v/>
      </c>
      <c r="AH821" s="8" t="str">
        <f t="shared" si="38"/>
        <v/>
      </c>
    </row>
    <row r="822" spans="31:34" x14ac:dyDescent="0.25">
      <c r="AE822" s="8" t="str">
        <f t="shared" si="36"/>
        <v/>
      </c>
      <c r="AF822" s="8" t="str">
        <f t="shared" si="37"/>
        <v/>
      </c>
      <c r="AG822" s="8" t="str">
        <f>IF(TRIM($E822)&lt;&gt;"Tax Paid","",IF(COUNTIFS(LISTS!$F$2:$F$26,$AE822,LISTS!$G$2:$G$26,$AF822)=0,"NOT ON LIST",""))</f>
        <v/>
      </c>
      <c r="AH822" s="8" t="str">
        <f t="shared" si="38"/>
        <v/>
      </c>
    </row>
    <row r="823" spans="31:34" x14ac:dyDescent="0.25">
      <c r="AE823" s="8" t="str">
        <f t="shared" si="36"/>
        <v/>
      </c>
      <c r="AF823" s="8" t="str">
        <f t="shared" si="37"/>
        <v/>
      </c>
      <c r="AG823" s="8" t="str">
        <f>IF(TRIM($E823)&lt;&gt;"Tax Paid","",IF(COUNTIFS(LISTS!$F$2:$F$26,$AE823,LISTS!$G$2:$G$26,$AF823)=0,"NOT ON LIST",""))</f>
        <v/>
      </c>
      <c r="AH823" s="8" t="str">
        <f t="shared" si="38"/>
        <v/>
      </c>
    </row>
    <row r="824" spans="31:34" x14ac:dyDescent="0.25">
      <c r="AE824" s="8" t="str">
        <f t="shared" si="36"/>
        <v/>
      </c>
      <c r="AF824" s="8" t="str">
        <f t="shared" si="37"/>
        <v/>
      </c>
      <c r="AG824" s="8" t="str">
        <f>IF(TRIM($E824)&lt;&gt;"Tax Paid","",IF(COUNTIFS(LISTS!$F$2:$F$26,$AE824,LISTS!$G$2:$G$26,$AF824)=0,"NOT ON LIST",""))</f>
        <v/>
      </c>
      <c r="AH824" s="8" t="str">
        <f t="shared" si="38"/>
        <v/>
      </c>
    </row>
    <row r="825" spans="31:34" x14ac:dyDescent="0.25">
      <c r="AE825" s="8" t="str">
        <f t="shared" si="36"/>
        <v/>
      </c>
      <c r="AF825" s="8" t="str">
        <f t="shared" si="37"/>
        <v/>
      </c>
      <c r="AG825" s="8" t="str">
        <f>IF(TRIM($E825)&lt;&gt;"Tax Paid","",IF(COUNTIFS(LISTS!$F$2:$F$26,$AE825,LISTS!$G$2:$G$26,$AF825)=0,"NOT ON LIST",""))</f>
        <v/>
      </c>
      <c r="AH825" s="8" t="str">
        <f t="shared" si="38"/>
        <v/>
      </c>
    </row>
    <row r="826" spans="31:34" x14ac:dyDescent="0.25">
      <c r="AE826" s="8" t="str">
        <f t="shared" si="36"/>
        <v/>
      </c>
      <c r="AF826" s="8" t="str">
        <f t="shared" si="37"/>
        <v/>
      </c>
      <c r="AG826" s="8" t="str">
        <f>IF(TRIM($E826)&lt;&gt;"Tax Paid","",IF(COUNTIFS(LISTS!$F$2:$F$26,$AE826,LISTS!$G$2:$G$26,$AF826)=0,"NOT ON LIST",""))</f>
        <v/>
      </c>
      <c r="AH826" s="8" t="str">
        <f t="shared" si="38"/>
        <v/>
      </c>
    </row>
    <row r="827" spans="31:34" x14ac:dyDescent="0.25">
      <c r="AE827" s="8" t="str">
        <f t="shared" si="36"/>
        <v/>
      </c>
      <c r="AF827" s="8" t="str">
        <f t="shared" si="37"/>
        <v/>
      </c>
      <c r="AG827" s="8" t="str">
        <f>IF(TRIM($E827)&lt;&gt;"Tax Paid","",IF(COUNTIFS(LISTS!$F$2:$F$26,$AE827,LISTS!$G$2:$G$26,$AF827)=0,"NOT ON LIST",""))</f>
        <v/>
      </c>
      <c r="AH827" s="8" t="str">
        <f t="shared" si="38"/>
        <v/>
      </c>
    </row>
    <row r="828" spans="31:34" x14ac:dyDescent="0.25">
      <c r="AE828" s="8" t="str">
        <f t="shared" si="36"/>
        <v/>
      </c>
      <c r="AF828" s="8" t="str">
        <f t="shared" si="37"/>
        <v/>
      </c>
      <c r="AG828" s="8" t="str">
        <f>IF(TRIM($E828)&lt;&gt;"Tax Paid","",IF(COUNTIFS(LISTS!$F$2:$F$26,$AE828,LISTS!$G$2:$G$26,$AF828)=0,"NOT ON LIST",""))</f>
        <v/>
      </c>
      <c r="AH828" s="8" t="str">
        <f t="shared" si="38"/>
        <v/>
      </c>
    </row>
    <row r="829" spans="31:34" x14ac:dyDescent="0.25">
      <c r="AE829" s="8" t="str">
        <f t="shared" si="36"/>
        <v/>
      </c>
      <c r="AF829" s="8" t="str">
        <f t="shared" si="37"/>
        <v/>
      </c>
      <c r="AG829" s="8" t="str">
        <f>IF(TRIM($E829)&lt;&gt;"Tax Paid","",IF(COUNTIFS(LISTS!$F$2:$F$26,$AE829,LISTS!$G$2:$G$26,$AF829)=0,"NOT ON LIST",""))</f>
        <v/>
      </c>
      <c r="AH829" s="8" t="str">
        <f t="shared" si="38"/>
        <v/>
      </c>
    </row>
    <row r="830" spans="31:34" x14ac:dyDescent="0.25">
      <c r="AE830" s="8" t="str">
        <f t="shared" si="36"/>
        <v/>
      </c>
      <c r="AF830" s="8" t="str">
        <f t="shared" si="37"/>
        <v/>
      </c>
      <c r="AG830" s="8" t="str">
        <f>IF(TRIM($E830)&lt;&gt;"Tax Paid","",IF(COUNTIFS(LISTS!$F$2:$F$26,$AE830,LISTS!$G$2:$G$26,$AF830)=0,"NOT ON LIST",""))</f>
        <v/>
      </c>
      <c r="AH830" s="8" t="str">
        <f t="shared" si="38"/>
        <v/>
      </c>
    </row>
    <row r="831" spans="31:34" x14ac:dyDescent="0.25">
      <c r="AE831" s="8" t="str">
        <f t="shared" si="36"/>
        <v/>
      </c>
      <c r="AF831" s="8" t="str">
        <f t="shared" si="37"/>
        <v/>
      </c>
      <c r="AG831" s="8" t="str">
        <f>IF(TRIM($E831)&lt;&gt;"Tax Paid","",IF(COUNTIFS(LISTS!$F$2:$F$26,$AE831,LISTS!$G$2:$G$26,$AF831)=0,"NOT ON LIST",""))</f>
        <v/>
      </c>
      <c r="AH831" s="8" t="str">
        <f t="shared" si="38"/>
        <v/>
      </c>
    </row>
    <row r="832" spans="31:34" x14ac:dyDescent="0.25">
      <c r="AE832" s="8" t="str">
        <f t="shared" si="36"/>
        <v/>
      </c>
      <c r="AF832" s="8" t="str">
        <f t="shared" si="37"/>
        <v/>
      </c>
      <c r="AG832" s="8" t="str">
        <f>IF(TRIM($E832)&lt;&gt;"Tax Paid","",IF(COUNTIFS(LISTS!$F$2:$F$26,$AE832,LISTS!$G$2:$G$26,$AF832)=0,"NOT ON LIST",""))</f>
        <v/>
      </c>
      <c r="AH832" s="8" t="str">
        <f t="shared" si="38"/>
        <v/>
      </c>
    </row>
    <row r="833" spans="31:34" x14ac:dyDescent="0.25">
      <c r="AE833" s="8" t="str">
        <f t="shared" si="36"/>
        <v/>
      </c>
      <c r="AF833" s="8" t="str">
        <f t="shared" si="37"/>
        <v/>
      </c>
      <c r="AG833" s="8" t="str">
        <f>IF(TRIM($E833)&lt;&gt;"Tax Paid","",IF(COUNTIFS(LISTS!$F$2:$F$26,$AE833,LISTS!$G$2:$G$26,$AF833)=0,"NOT ON LIST",""))</f>
        <v/>
      </c>
      <c r="AH833" s="8" t="str">
        <f t="shared" si="38"/>
        <v/>
      </c>
    </row>
    <row r="834" spans="31:34" x14ac:dyDescent="0.25">
      <c r="AE834" s="8" t="str">
        <f t="shared" ref="AE834:AE897" si="39">IF(TRIM($E834)="Tax Paid",TRIM($S834),"")</f>
        <v/>
      </c>
      <c r="AF834" s="8" t="str">
        <f t="shared" ref="AF834:AF897" si="40">IF(TRIM($E834)="Tax Paid",ROUND($Z834/100,5),"")</f>
        <v/>
      </c>
      <c r="AG834" s="8" t="str">
        <f>IF(TRIM($E834)&lt;&gt;"Tax Paid","",IF(COUNTIFS(LISTS!$F$2:$F$26,$AE834,LISTS!$G$2:$G$26,$AF834)=0,"NOT ON LIST",""))</f>
        <v/>
      </c>
      <c r="AH834" s="8" t="str">
        <f t="shared" ref="AH834:AH897" si="41">IF($AG834="","",IF($AE834="","(no county)",$AE834)&amp;" ("&amp;SUBSTITUTE(TEXT($AF834,"0.###%"),".%","%")&amp;")")</f>
        <v/>
      </c>
    </row>
    <row r="835" spans="31:34" x14ac:dyDescent="0.25">
      <c r="AE835" s="8" t="str">
        <f t="shared" si="39"/>
        <v/>
      </c>
      <c r="AF835" s="8" t="str">
        <f t="shared" si="40"/>
        <v/>
      </c>
      <c r="AG835" s="8" t="str">
        <f>IF(TRIM($E835)&lt;&gt;"Tax Paid","",IF(COUNTIFS(LISTS!$F$2:$F$26,$AE835,LISTS!$G$2:$G$26,$AF835)=0,"NOT ON LIST",""))</f>
        <v/>
      </c>
      <c r="AH835" s="8" t="str">
        <f t="shared" si="41"/>
        <v/>
      </c>
    </row>
    <row r="836" spans="31:34" x14ac:dyDescent="0.25">
      <c r="AE836" s="8" t="str">
        <f t="shared" si="39"/>
        <v/>
      </c>
      <c r="AF836" s="8" t="str">
        <f t="shared" si="40"/>
        <v/>
      </c>
      <c r="AG836" s="8" t="str">
        <f>IF(TRIM($E836)&lt;&gt;"Tax Paid","",IF(COUNTIFS(LISTS!$F$2:$F$26,$AE836,LISTS!$G$2:$G$26,$AF836)=0,"NOT ON LIST",""))</f>
        <v/>
      </c>
      <c r="AH836" s="8" t="str">
        <f t="shared" si="41"/>
        <v/>
      </c>
    </row>
    <row r="837" spans="31:34" x14ac:dyDescent="0.25">
      <c r="AE837" s="8" t="str">
        <f t="shared" si="39"/>
        <v/>
      </c>
      <c r="AF837" s="8" t="str">
        <f t="shared" si="40"/>
        <v/>
      </c>
      <c r="AG837" s="8" t="str">
        <f>IF(TRIM($E837)&lt;&gt;"Tax Paid","",IF(COUNTIFS(LISTS!$F$2:$F$26,$AE837,LISTS!$G$2:$G$26,$AF837)=0,"NOT ON LIST",""))</f>
        <v/>
      </c>
      <c r="AH837" s="8" t="str">
        <f t="shared" si="41"/>
        <v/>
      </c>
    </row>
    <row r="838" spans="31:34" x14ac:dyDescent="0.25">
      <c r="AE838" s="8" t="str">
        <f t="shared" si="39"/>
        <v/>
      </c>
      <c r="AF838" s="8" t="str">
        <f t="shared" si="40"/>
        <v/>
      </c>
      <c r="AG838" s="8" t="str">
        <f>IF(TRIM($E838)&lt;&gt;"Tax Paid","",IF(COUNTIFS(LISTS!$F$2:$F$26,$AE838,LISTS!$G$2:$G$26,$AF838)=0,"NOT ON LIST",""))</f>
        <v/>
      </c>
      <c r="AH838" s="8" t="str">
        <f t="shared" si="41"/>
        <v/>
      </c>
    </row>
    <row r="839" spans="31:34" x14ac:dyDescent="0.25">
      <c r="AE839" s="8" t="str">
        <f t="shared" si="39"/>
        <v/>
      </c>
      <c r="AF839" s="8" t="str">
        <f t="shared" si="40"/>
        <v/>
      </c>
      <c r="AG839" s="8" t="str">
        <f>IF(TRIM($E839)&lt;&gt;"Tax Paid","",IF(COUNTIFS(LISTS!$F$2:$F$26,$AE839,LISTS!$G$2:$G$26,$AF839)=0,"NOT ON LIST",""))</f>
        <v/>
      </c>
      <c r="AH839" s="8" t="str">
        <f t="shared" si="41"/>
        <v/>
      </c>
    </row>
    <row r="840" spans="31:34" x14ac:dyDescent="0.25">
      <c r="AE840" s="8" t="str">
        <f t="shared" si="39"/>
        <v/>
      </c>
      <c r="AF840" s="8" t="str">
        <f t="shared" si="40"/>
        <v/>
      </c>
      <c r="AG840" s="8" t="str">
        <f>IF(TRIM($E840)&lt;&gt;"Tax Paid","",IF(COUNTIFS(LISTS!$F$2:$F$26,$AE840,LISTS!$G$2:$G$26,$AF840)=0,"NOT ON LIST",""))</f>
        <v/>
      </c>
      <c r="AH840" s="8" t="str">
        <f t="shared" si="41"/>
        <v/>
      </c>
    </row>
    <row r="841" spans="31:34" x14ac:dyDescent="0.25">
      <c r="AE841" s="8" t="str">
        <f t="shared" si="39"/>
        <v/>
      </c>
      <c r="AF841" s="8" t="str">
        <f t="shared" si="40"/>
        <v/>
      </c>
      <c r="AG841" s="8" t="str">
        <f>IF(TRIM($E841)&lt;&gt;"Tax Paid","",IF(COUNTIFS(LISTS!$F$2:$F$26,$AE841,LISTS!$G$2:$G$26,$AF841)=0,"NOT ON LIST",""))</f>
        <v/>
      </c>
      <c r="AH841" s="8" t="str">
        <f t="shared" si="41"/>
        <v/>
      </c>
    </row>
    <row r="842" spans="31:34" x14ac:dyDescent="0.25">
      <c r="AE842" s="8" t="str">
        <f t="shared" si="39"/>
        <v/>
      </c>
      <c r="AF842" s="8" t="str">
        <f t="shared" si="40"/>
        <v/>
      </c>
      <c r="AG842" s="8" t="str">
        <f>IF(TRIM($E842)&lt;&gt;"Tax Paid","",IF(COUNTIFS(LISTS!$F$2:$F$26,$AE842,LISTS!$G$2:$G$26,$AF842)=0,"NOT ON LIST",""))</f>
        <v/>
      </c>
      <c r="AH842" s="8" t="str">
        <f t="shared" si="41"/>
        <v/>
      </c>
    </row>
    <row r="843" spans="31:34" x14ac:dyDescent="0.25">
      <c r="AE843" s="8" t="str">
        <f t="shared" si="39"/>
        <v/>
      </c>
      <c r="AF843" s="8" t="str">
        <f t="shared" si="40"/>
        <v/>
      </c>
      <c r="AG843" s="8" t="str">
        <f>IF(TRIM($E843)&lt;&gt;"Tax Paid","",IF(COUNTIFS(LISTS!$F$2:$F$26,$AE843,LISTS!$G$2:$G$26,$AF843)=0,"NOT ON LIST",""))</f>
        <v/>
      </c>
      <c r="AH843" s="8" t="str">
        <f t="shared" si="41"/>
        <v/>
      </c>
    </row>
    <row r="844" spans="31:34" x14ac:dyDescent="0.25">
      <c r="AE844" s="8" t="str">
        <f t="shared" si="39"/>
        <v/>
      </c>
      <c r="AF844" s="8" t="str">
        <f t="shared" si="40"/>
        <v/>
      </c>
      <c r="AG844" s="8" t="str">
        <f>IF(TRIM($E844)&lt;&gt;"Tax Paid","",IF(COUNTIFS(LISTS!$F$2:$F$26,$AE844,LISTS!$G$2:$G$26,$AF844)=0,"NOT ON LIST",""))</f>
        <v/>
      </c>
      <c r="AH844" s="8" t="str">
        <f t="shared" si="41"/>
        <v/>
      </c>
    </row>
    <row r="845" spans="31:34" x14ac:dyDescent="0.25">
      <c r="AE845" s="8" t="str">
        <f t="shared" si="39"/>
        <v/>
      </c>
      <c r="AF845" s="8" t="str">
        <f t="shared" si="40"/>
        <v/>
      </c>
      <c r="AG845" s="8" t="str">
        <f>IF(TRIM($E845)&lt;&gt;"Tax Paid","",IF(COUNTIFS(LISTS!$F$2:$F$26,$AE845,LISTS!$G$2:$G$26,$AF845)=0,"NOT ON LIST",""))</f>
        <v/>
      </c>
      <c r="AH845" s="8" t="str">
        <f t="shared" si="41"/>
        <v/>
      </c>
    </row>
    <row r="846" spans="31:34" x14ac:dyDescent="0.25">
      <c r="AE846" s="8" t="str">
        <f t="shared" si="39"/>
        <v/>
      </c>
      <c r="AF846" s="8" t="str">
        <f t="shared" si="40"/>
        <v/>
      </c>
      <c r="AG846" s="8" t="str">
        <f>IF(TRIM($E846)&lt;&gt;"Tax Paid","",IF(COUNTIFS(LISTS!$F$2:$F$26,$AE846,LISTS!$G$2:$G$26,$AF846)=0,"NOT ON LIST",""))</f>
        <v/>
      </c>
      <c r="AH846" s="8" t="str">
        <f t="shared" si="41"/>
        <v/>
      </c>
    </row>
    <row r="847" spans="31:34" x14ac:dyDescent="0.25">
      <c r="AE847" s="8" t="str">
        <f t="shared" si="39"/>
        <v/>
      </c>
      <c r="AF847" s="8" t="str">
        <f t="shared" si="40"/>
        <v/>
      </c>
      <c r="AG847" s="8" t="str">
        <f>IF(TRIM($E847)&lt;&gt;"Tax Paid","",IF(COUNTIFS(LISTS!$F$2:$F$26,$AE847,LISTS!$G$2:$G$26,$AF847)=0,"NOT ON LIST",""))</f>
        <v/>
      </c>
      <c r="AH847" s="8" t="str">
        <f t="shared" si="41"/>
        <v/>
      </c>
    </row>
    <row r="848" spans="31:34" x14ac:dyDescent="0.25">
      <c r="AE848" s="8" t="str">
        <f t="shared" si="39"/>
        <v/>
      </c>
      <c r="AF848" s="8" t="str">
        <f t="shared" si="40"/>
        <v/>
      </c>
      <c r="AG848" s="8" t="str">
        <f>IF(TRIM($E848)&lt;&gt;"Tax Paid","",IF(COUNTIFS(LISTS!$F$2:$F$26,$AE848,LISTS!$G$2:$G$26,$AF848)=0,"NOT ON LIST",""))</f>
        <v/>
      </c>
      <c r="AH848" s="8" t="str">
        <f t="shared" si="41"/>
        <v/>
      </c>
    </row>
    <row r="849" spans="31:34" x14ac:dyDescent="0.25">
      <c r="AE849" s="8" t="str">
        <f t="shared" si="39"/>
        <v/>
      </c>
      <c r="AF849" s="8" t="str">
        <f t="shared" si="40"/>
        <v/>
      </c>
      <c r="AG849" s="8" t="str">
        <f>IF(TRIM($E849)&lt;&gt;"Tax Paid","",IF(COUNTIFS(LISTS!$F$2:$F$26,$AE849,LISTS!$G$2:$G$26,$AF849)=0,"NOT ON LIST",""))</f>
        <v/>
      </c>
      <c r="AH849" s="8" t="str">
        <f t="shared" si="41"/>
        <v/>
      </c>
    </row>
    <row r="850" spans="31:34" x14ac:dyDescent="0.25">
      <c r="AE850" s="8" t="str">
        <f t="shared" si="39"/>
        <v/>
      </c>
      <c r="AF850" s="8" t="str">
        <f t="shared" si="40"/>
        <v/>
      </c>
      <c r="AG850" s="8" t="str">
        <f>IF(TRIM($E850)&lt;&gt;"Tax Paid","",IF(COUNTIFS(LISTS!$F$2:$F$26,$AE850,LISTS!$G$2:$G$26,$AF850)=0,"NOT ON LIST",""))</f>
        <v/>
      </c>
      <c r="AH850" s="8" t="str">
        <f t="shared" si="41"/>
        <v/>
      </c>
    </row>
    <row r="851" spans="31:34" x14ac:dyDescent="0.25">
      <c r="AE851" s="8" t="str">
        <f t="shared" si="39"/>
        <v/>
      </c>
      <c r="AF851" s="8" t="str">
        <f t="shared" si="40"/>
        <v/>
      </c>
      <c r="AG851" s="8" t="str">
        <f>IF(TRIM($E851)&lt;&gt;"Tax Paid","",IF(COUNTIFS(LISTS!$F$2:$F$26,$AE851,LISTS!$G$2:$G$26,$AF851)=0,"NOT ON LIST",""))</f>
        <v/>
      </c>
      <c r="AH851" s="8" t="str">
        <f t="shared" si="41"/>
        <v/>
      </c>
    </row>
    <row r="852" spans="31:34" x14ac:dyDescent="0.25">
      <c r="AE852" s="8" t="str">
        <f t="shared" si="39"/>
        <v/>
      </c>
      <c r="AF852" s="8" t="str">
        <f t="shared" si="40"/>
        <v/>
      </c>
      <c r="AG852" s="8" t="str">
        <f>IF(TRIM($E852)&lt;&gt;"Tax Paid","",IF(COUNTIFS(LISTS!$F$2:$F$26,$AE852,LISTS!$G$2:$G$26,$AF852)=0,"NOT ON LIST",""))</f>
        <v/>
      </c>
      <c r="AH852" s="8" t="str">
        <f t="shared" si="41"/>
        <v/>
      </c>
    </row>
    <row r="853" spans="31:34" x14ac:dyDescent="0.25">
      <c r="AE853" s="8" t="str">
        <f t="shared" si="39"/>
        <v/>
      </c>
      <c r="AF853" s="8" t="str">
        <f t="shared" si="40"/>
        <v/>
      </c>
      <c r="AG853" s="8" t="str">
        <f>IF(TRIM($E853)&lt;&gt;"Tax Paid","",IF(COUNTIFS(LISTS!$F$2:$F$26,$AE853,LISTS!$G$2:$G$26,$AF853)=0,"NOT ON LIST",""))</f>
        <v/>
      </c>
      <c r="AH853" s="8" t="str">
        <f t="shared" si="41"/>
        <v/>
      </c>
    </row>
    <row r="854" spans="31:34" x14ac:dyDescent="0.25">
      <c r="AE854" s="8" t="str">
        <f t="shared" si="39"/>
        <v/>
      </c>
      <c r="AF854" s="8" t="str">
        <f t="shared" si="40"/>
        <v/>
      </c>
      <c r="AG854" s="8" t="str">
        <f>IF(TRIM($E854)&lt;&gt;"Tax Paid","",IF(COUNTIFS(LISTS!$F$2:$F$26,$AE854,LISTS!$G$2:$G$26,$AF854)=0,"NOT ON LIST",""))</f>
        <v/>
      </c>
      <c r="AH854" s="8" t="str">
        <f t="shared" si="41"/>
        <v/>
      </c>
    </row>
    <row r="855" spans="31:34" x14ac:dyDescent="0.25">
      <c r="AE855" s="8" t="str">
        <f t="shared" si="39"/>
        <v/>
      </c>
      <c r="AF855" s="8" t="str">
        <f t="shared" si="40"/>
        <v/>
      </c>
      <c r="AG855" s="8" t="str">
        <f>IF(TRIM($E855)&lt;&gt;"Tax Paid","",IF(COUNTIFS(LISTS!$F$2:$F$26,$AE855,LISTS!$G$2:$G$26,$AF855)=0,"NOT ON LIST",""))</f>
        <v/>
      </c>
      <c r="AH855" s="8" t="str">
        <f t="shared" si="41"/>
        <v/>
      </c>
    </row>
    <row r="856" spans="31:34" x14ac:dyDescent="0.25">
      <c r="AE856" s="8" t="str">
        <f t="shared" si="39"/>
        <v/>
      </c>
      <c r="AF856" s="8" t="str">
        <f t="shared" si="40"/>
        <v/>
      </c>
      <c r="AG856" s="8" t="str">
        <f>IF(TRIM($E856)&lt;&gt;"Tax Paid","",IF(COUNTIFS(LISTS!$F$2:$F$26,$AE856,LISTS!$G$2:$G$26,$AF856)=0,"NOT ON LIST",""))</f>
        <v/>
      </c>
      <c r="AH856" s="8" t="str">
        <f t="shared" si="41"/>
        <v/>
      </c>
    </row>
    <row r="857" spans="31:34" x14ac:dyDescent="0.25">
      <c r="AE857" s="8" t="str">
        <f t="shared" si="39"/>
        <v/>
      </c>
      <c r="AF857" s="8" t="str">
        <f t="shared" si="40"/>
        <v/>
      </c>
      <c r="AG857" s="8" t="str">
        <f>IF(TRIM($E857)&lt;&gt;"Tax Paid","",IF(COUNTIFS(LISTS!$F$2:$F$26,$AE857,LISTS!$G$2:$G$26,$AF857)=0,"NOT ON LIST",""))</f>
        <v/>
      </c>
      <c r="AH857" s="8" t="str">
        <f t="shared" si="41"/>
        <v/>
      </c>
    </row>
    <row r="858" spans="31:34" x14ac:dyDescent="0.25">
      <c r="AE858" s="8" t="str">
        <f t="shared" si="39"/>
        <v/>
      </c>
      <c r="AF858" s="8" t="str">
        <f t="shared" si="40"/>
        <v/>
      </c>
      <c r="AG858" s="8" t="str">
        <f>IF(TRIM($E858)&lt;&gt;"Tax Paid","",IF(COUNTIFS(LISTS!$F$2:$F$26,$AE858,LISTS!$G$2:$G$26,$AF858)=0,"NOT ON LIST",""))</f>
        <v/>
      </c>
      <c r="AH858" s="8" t="str">
        <f t="shared" si="41"/>
        <v/>
      </c>
    </row>
    <row r="859" spans="31:34" x14ac:dyDescent="0.25">
      <c r="AE859" s="8" t="str">
        <f t="shared" si="39"/>
        <v/>
      </c>
      <c r="AF859" s="8" t="str">
        <f t="shared" si="40"/>
        <v/>
      </c>
      <c r="AG859" s="8" t="str">
        <f>IF(TRIM($E859)&lt;&gt;"Tax Paid","",IF(COUNTIFS(LISTS!$F$2:$F$26,$AE859,LISTS!$G$2:$G$26,$AF859)=0,"NOT ON LIST",""))</f>
        <v/>
      </c>
      <c r="AH859" s="8" t="str">
        <f t="shared" si="41"/>
        <v/>
      </c>
    </row>
    <row r="860" spans="31:34" x14ac:dyDescent="0.25">
      <c r="AE860" s="8" t="str">
        <f t="shared" si="39"/>
        <v/>
      </c>
      <c r="AF860" s="8" t="str">
        <f t="shared" si="40"/>
        <v/>
      </c>
      <c r="AG860" s="8" t="str">
        <f>IF(TRIM($E860)&lt;&gt;"Tax Paid","",IF(COUNTIFS(LISTS!$F$2:$F$26,$AE860,LISTS!$G$2:$G$26,$AF860)=0,"NOT ON LIST",""))</f>
        <v/>
      </c>
      <c r="AH860" s="8" t="str">
        <f t="shared" si="41"/>
        <v/>
      </c>
    </row>
    <row r="861" spans="31:34" x14ac:dyDescent="0.25">
      <c r="AE861" s="8" t="str">
        <f t="shared" si="39"/>
        <v/>
      </c>
      <c r="AF861" s="8" t="str">
        <f t="shared" si="40"/>
        <v/>
      </c>
      <c r="AG861" s="8" t="str">
        <f>IF(TRIM($E861)&lt;&gt;"Tax Paid","",IF(COUNTIFS(LISTS!$F$2:$F$26,$AE861,LISTS!$G$2:$G$26,$AF861)=0,"NOT ON LIST",""))</f>
        <v/>
      </c>
      <c r="AH861" s="8" t="str">
        <f t="shared" si="41"/>
        <v/>
      </c>
    </row>
    <row r="862" spans="31:34" x14ac:dyDescent="0.25">
      <c r="AE862" s="8" t="str">
        <f t="shared" si="39"/>
        <v/>
      </c>
      <c r="AF862" s="8" t="str">
        <f t="shared" si="40"/>
        <v/>
      </c>
      <c r="AG862" s="8" t="str">
        <f>IF(TRIM($E862)&lt;&gt;"Tax Paid","",IF(COUNTIFS(LISTS!$F$2:$F$26,$AE862,LISTS!$G$2:$G$26,$AF862)=0,"NOT ON LIST",""))</f>
        <v/>
      </c>
      <c r="AH862" s="8" t="str">
        <f t="shared" si="41"/>
        <v/>
      </c>
    </row>
    <row r="863" spans="31:34" x14ac:dyDescent="0.25">
      <c r="AE863" s="8" t="str">
        <f t="shared" si="39"/>
        <v/>
      </c>
      <c r="AF863" s="8" t="str">
        <f t="shared" si="40"/>
        <v/>
      </c>
      <c r="AG863" s="8" t="str">
        <f>IF(TRIM($E863)&lt;&gt;"Tax Paid","",IF(COUNTIFS(LISTS!$F$2:$F$26,$AE863,LISTS!$G$2:$G$26,$AF863)=0,"NOT ON LIST",""))</f>
        <v/>
      </c>
      <c r="AH863" s="8" t="str">
        <f t="shared" si="41"/>
        <v/>
      </c>
    </row>
    <row r="864" spans="31:34" x14ac:dyDescent="0.25">
      <c r="AE864" s="8" t="str">
        <f t="shared" si="39"/>
        <v/>
      </c>
      <c r="AF864" s="8" t="str">
        <f t="shared" si="40"/>
        <v/>
      </c>
      <c r="AG864" s="8" t="str">
        <f>IF(TRIM($E864)&lt;&gt;"Tax Paid","",IF(COUNTIFS(LISTS!$F$2:$F$26,$AE864,LISTS!$G$2:$G$26,$AF864)=0,"NOT ON LIST",""))</f>
        <v/>
      </c>
      <c r="AH864" s="8" t="str">
        <f t="shared" si="41"/>
        <v/>
      </c>
    </row>
    <row r="865" spans="31:34" x14ac:dyDescent="0.25">
      <c r="AE865" s="8" t="str">
        <f t="shared" si="39"/>
        <v/>
      </c>
      <c r="AF865" s="8" t="str">
        <f t="shared" si="40"/>
        <v/>
      </c>
      <c r="AG865" s="8" t="str">
        <f>IF(TRIM($E865)&lt;&gt;"Tax Paid","",IF(COUNTIFS(LISTS!$F$2:$F$26,$AE865,LISTS!$G$2:$G$26,$AF865)=0,"NOT ON LIST",""))</f>
        <v/>
      </c>
      <c r="AH865" s="8" t="str">
        <f t="shared" si="41"/>
        <v/>
      </c>
    </row>
    <row r="866" spans="31:34" x14ac:dyDescent="0.25">
      <c r="AE866" s="8" t="str">
        <f t="shared" si="39"/>
        <v/>
      </c>
      <c r="AF866" s="8" t="str">
        <f t="shared" si="40"/>
        <v/>
      </c>
      <c r="AG866" s="8" t="str">
        <f>IF(TRIM($E866)&lt;&gt;"Tax Paid","",IF(COUNTIFS(LISTS!$F$2:$F$26,$AE866,LISTS!$G$2:$G$26,$AF866)=0,"NOT ON LIST",""))</f>
        <v/>
      </c>
      <c r="AH866" s="8" t="str">
        <f t="shared" si="41"/>
        <v/>
      </c>
    </row>
    <row r="867" spans="31:34" x14ac:dyDescent="0.25">
      <c r="AE867" s="8" t="str">
        <f t="shared" si="39"/>
        <v/>
      </c>
      <c r="AF867" s="8" t="str">
        <f t="shared" si="40"/>
        <v/>
      </c>
      <c r="AG867" s="8" t="str">
        <f>IF(TRIM($E867)&lt;&gt;"Tax Paid","",IF(COUNTIFS(LISTS!$F$2:$F$26,$AE867,LISTS!$G$2:$G$26,$AF867)=0,"NOT ON LIST",""))</f>
        <v/>
      </c>
      <c r="AH867" s="8" t="str">
        <f t="shared" si="41"/>
        <v/>
      </c>
    </row>
    <row r="868" spans="31:34" x14ac:dyDescent="0.25">
      <c r="AE868" s="8" t="str">
        <f t="shared" si="39"/>
        <v/>
      </c>
      <c r="AF868" s="8" t="str">
        <f t="shared" si="40"/>
        <v/>
      </c>
      <c r="AG868" s="8" t="str">
        <f>IF(TRIM($E868)&lt;&gt;"Tax Paid","",IF(COUNTIFS(LISTS!$F$2:$F$26,$AE868,LISTS!$G$2:$G$26,$AF868)=0,"NOT ON LIST",""))</f>
        <v/>
      </c>
      <c r="AH868" s="8" t="str">
        <f t="shared" si="41"/>
        <v/>
      </c>
    </row>
    <row r="869" spans="31:34" x14ac:dyDescent="0.25">
      <c r="AE869" s="8" t="str">
        <f t="shared" si="39"/>
        <v/>
      </c>
      <c r="AF869" s="8" t="str">
        <f t="shared" si="40"/>
        <v/>
      </c>
      <c r="AG869" s="8" t="str">
        <f>IF(TRIM($E869)&lt;&gt;"Tax Paid","",IF(COUNTIFS(LISTS!$F$2:$F$26,$AE869,LISTS!$G$2:$G$26,$AF869)=0,"NOT ON LIST",""))</f>
        <v/>
      </c>
      <c r="AH869" s="8" t="str">
        <f t="shared" si="41"/>
        <v/>
      </c>
    </row>
    <row r="870" spans="31:34" x14ac:dyDescent="0.25">
      <c r="AE870" s="8" t="str">
        <f t="shared" si="39"/>
        <v/>
      </c>
      <c r="AF870" s="8" t="str">
        <f t="shared" si="40"/>
        <v/>
      </c>
      <c r="AG870" s="8" t="str">
        <f>IF(TRIM($E870)&lt;&gt;"Tax Paid","",IF(COUNTIFS(LISTS!$F$2:$F$26,$AE870,LISTS!$G$2:$G$26,$AF870)=0,"NOT ON LIST",""))</f>
        <v/>
      </c>
      <c r="AH870" s="8" t="str">
        <f t="shared" si="41"/>
        <v/>
      </c>
    </row>
    <row r="871" spans="31:34" x14ac:dyDescent="0.25">
      <c r="AE871" s="8" t="str">
        <f t="shared" si="39"/>
        <v/>
      </c>
      <c r="AF871" s="8" t="str">
        <f t="shared" si="40"/>
        <v/>
      </c>
      <c r="AG871" s="8" t="str">
        <f>IF(TRIM($E871)&lt;&gt;"Tax Paid","",IF(COUNTIFS(LISTS!$F$2:$F$26,$AE871,LISTS!$G$2:$G$26,$AF871)=0,"NOT ON LIST",""))</f>
        <v/>
      </c>
      <c r="AH871" s="8" t="str">
        <f t="shared" si="41"/>
        <v/>
      </c>
    </row>
    <row r="872" spans="31:34" x14ac:dyDescent="0.25">
      <c r="AE872" s="8" t="str">
        <f t="shared" si="39"/>
        <v/>
      </c>
      <c r="AF872" s="8" t="str">
        <f t="shared" si="40"/>
        <v/>
      </c>
      <c r="AG872" s="8" t="str">
        <f>IF(TRIM($E872)&lt;&gt;"Tax Paid","",IF(COUNTIFS(LISTS!$F$2:$F$26,$AE872,LISTS!$G$2:$G$26,$AF872)=0,"NOT ON LIST",""))</f>
        <v/>
      </c>
      <c r="AH872" s="8" t="str">
        <f t="shared" si="41"/>
        <v/>
      </c>
    </row>
    <row r="873" spans="31:34" x14ac:dyDescent="0.25">
      <c r="AE873" s="8" t="str">
        <f t="shared" si="39"/>
        <v/>
      </c>
      <c r="AF873" s="8" t="str">
        <f t="shared" si="40"/>
        <v/>
      </c>
      <c r="AG873" s="8" t="str">
        <f>IF(TRIM($E873)&lt;&gt;"Tax Paid","",IF(COUNTIFS(LISTS!$F$2:$F$26,$AE873,LISTS!$G$2:$G$26,$AF873)=0,"NOT ON LIST",""))</f>
        <v/>
      </c>
      <c r="AH873" s="8" t="str">
        <f t="shared" si="41"/>
        <v/>
      </c>
    </row>
    <row r="874" spans="31:34" x14ac:dyDescent="0.25">
      <c r="AE874" s="8" t="str">
        <f t="shared" si="39"/>
        <v/>
      </c>
      <c r="AF874" s="8" t="str">
        <f t="shared" si="40"/>
        <v/>
      </c>
      <c r="AG874" s="8" t="str">
        <f>IF(TRIM($E874)&lt;&gt;"Tax Paid","",IF(COUNTIFS(LISTS!$F$2:$F$26,$AE874,LISTS!$G$2:$G$26,$AF874)=0,"NOT ON LIST",""))</f>
        <v/>
      </c>
      <c r="AH874" s="8" t="str">
        <f t="shared" si="41"/>
        <v/>
      </c>
    </row>
    <row r="875" spans="31:34" x14ac:dyDescent="0.25">
      <c r="AE875" s="8" t="str">
        <f t="shared" si="39"/>
        <v/>
      </c>
      <c r="AF875" s="8" t="str">
        <f t="shared" si="40"/>
        <v/>
      </c>
      <c r="AG875" s="8" t="str">
        <f>IF(TRIM($E875)&lt;&gt;"Tax Paid","",IF(COUNTIFS(LISTS!$F$2:$F$26,$AE875,LISTS!$G$2:$G$26,$AF875)=0,"NOT ON LIST",""))</f>
        <v/>
      </c>
      <c r="AH875" s="8" t="str">
        <f t="shared" si="41"/>
        <v/>
      </c>
    </row>
    <row r="876" spans="31:34" x14ac:dyDescent="0.25">
      <c r="AE876" s="8" t="str">
        <f t="shared" si="39"/>
        <v/>
      </c>
      <c r="AF876" s="8" t="str">
        <f t="shared" si="40"/>
        <v/>
      </c>
      <c r="AG876" s="8" t="str">
        <f>IF(TRIM($E876)&lt;&gt;"Tax Paid","",IF(COUNTIFS(LISTS!$F$2:$F$26,$AE876,LISTS!$G$2:$G$26,$AF876)=0,"NOT ON LIST",""))</f>
        <v/>
      </c>
      <c r="AH876" s="8" t="str">
        <f t="shared" si="41"/>
        <v/>
      </c>
    </row>
    <row r="877" spans="31:34" x14ac:dyDescent="0.25">
      <c r="AE877" s="8" t="str">
        <f t="shared" si="39"/>
        <v/>
      </c>
      <c r="AF877" s="8" t="str">
        <f t="shared" si="40"/>
        <v/>
      </c>
      <c r="AG877" s="8" t="str">
        <f>IF(TRIM($E877)&lt;&gt;"Tax Paid","",IF(COUNTIFS(LISTS!$F$2:$F$26,$AE877,LISTS!$G$2:$G$26,$AF877)=0,"NOT ON LIST",""))</f>
        <v/>
      </c>
      <c r="AH877" s="8" t="str">
        <f t="shared" si="41"/>
        <v/>
      </c>
    </row>
    <row r="878" spans="31:34" x14ac:dyDescent="0.25">
      <c r="AE878" s="8" t="str">
        <f t="shared" si="39"/>
        <v/>
      </c>
      <c r="AF878" s="8" t="str">
        <f t="shared" si="40"/>
        <v/>
      </c>
      <c r="AG878" s="8" t="str">
        <f>IF(TRIM($E878)&lt;&gt;"Tax Paid","",IF(COUNTIFS(LISTS!$F$2:$F$26,$AE878,LISTS!$G$2:$G$26,$AF878)=0,"NOT ON LIST",""))</f>
        <v/>
      </c>
      <c r="AH878" s="8" t="str">
        <f t="shared" si="41"/>
        <v/>
      </c>
    </row>
    <row r="879" spans="31:34" x14ac:dyDescent="0.25">
      <c r="AE879" s="8" t="str">
        <f t="shared" si="39"/>
        <v/>
      </c>
      <c r="AF879" s="8" t="str">
        <f t="shared" si="40"/>
        <v/>
      </c>
      <c r="AG879" s="8" t="str">
        <f>IF(TRIM($E879)&lt;&gt;"Tax Paid","",IF(COUNTIFS(LISTS!$F$2:$F$26,$AE879,LISTS!$G$2:$G$26,$AF879)=0,"NOT ON LIST",""))</f>
        <v/>
      </c>
      <c r="AH879" s="8" t="str">
        <f t="shared" si="41"/>
        <v/>
      </c>
    </row>
    <row r="880" spans="31:34" x14ac:dyDescent="0.25">
      <c r="AE880" s="8" t="str">
        <f t="shared" si="39"/>
        <v/>
      </c>
      <c r="AF880" s="8" t="str">
        <f t="shared" si="40"/>
        <v/>
      </c>
      <c r="AG880" s="8" t="str">
        <f>IF(TRIM($E880)&lt;&gt;"Tax Paid","",IF(COUNTIFS(LISTS!$F$2:$F$26,$AE880,LISTS!$G$2:$G$26,$AF880)=0,"NOT ON LIST",""))</f>
        <v/>
      </c>
      <c r="AH880" s="8" t="str">
        <f t="shared" si="41"/>
        <v/>
      </c>
    </row>
    <row r="881" spans="31:34" x14ac:dyDescent="0.25">
      <c r="AE881" s="8" t="str">
        <f t="shared" si="39"/>
        <v/>
      </c>
      <c r="AF881" s="8" t="str">
        <f t="shared" si="40"/>
        <v/>
      </c>
      <c r="AG881" s="8" t="str">
        <f>IF(TRIM($E881)&lt;&gt;"Tax Paid","",IF(COUNTIFS(LISTS!$F$2:$F$26,$AE881,LISTS!$G$2:$G$26,$AF881)=0,"NOT ON LIST",""))</f>
        <v/>
      </c>
      <c r="AH881" s="8" t="str">
        <f t="shared" si="41"/>
        <v/>
      </c>
    </row>
    <row r="882" spans="31:34" x14ac:dyDescent="0.25">
      <c r="AE882" s="8" t="str">
        <f t="shared" si="39"/>
        <v/>
      </c>
      <c r="AF882" s="8" t="str">
        <f t="shared" si="40"/>
        <v/>
      </c>
      <c r="AG882" s="8" t="str">
        <f>IF(TRIM($E882)&lt;&gt;"Tax Paid","",IF(COUNTIFS(LISTS!$F$2:$F$26,$AE882,LISTS!$G$2:$G$26,$AF882)=0,"NOT ON LIST",""))</f>
        <v/>
      </c>
      <c r="AH882" s="8" t="str">
        <f t="shared" si="41"/>
        <v/>
      </c>
    </row>
    <row r="883" spans="31:34" x14ac:dyDescent="0.25">
      <c r="AE883" s="8" t="str">
        <f t="shared" si="39"/>
        <v/>
      </c>
      <c r="AF883" s="8" t="str">
        <f t="shared" si="40"/>
        <v/>
      </c>
      <c r="AG883" s="8" t="str">
        <f>IF(TRIM($E883)&lt;&gt;"Tax Paid","",IF(COUNTIFS(LISTS!$F$2:$F$26,$AE883,LISTS!$G$2:$G$26,$AF883)=0,"NOT ON LIST",""))</f>
        <v/>
      </c>
      <c r="AH883" s="8" t="str">
        <f t="shared" si="41"/>
        <v/>
      </c>
    </row>
    <row r="884" spans="31:34" x14ac:dyDescent="0.25">
      <c r="AE884" s="8" t="str">
        <f t="shared" si="39"/>
        <v/>
      </c>
      <c r="AF884" s="8" t="str">
        <f t="shared" si="40"/>
        <v/>
      </c>
      <c r="AG884" s="8" t="str">
        <f>IF(TRIM($E884)&lt;&gt;"Tax Paid","",IF(COUNTIFS(LISTS!$F$2:$F$26,$AE884,LISTS!$G$2:$G$26,$AF884)=0,"NOT ON LIST",""))</f>
        <v/>
      </c>
      <c r="AH884" s="8" t="str">
        <f t="shared" si="41"/>
        <v/>
      </c>
    </row>
    <row r="885" spans="31:34" x14ac:dyDescent="0.25">
      <c r="AE885" s="8" t="str">
        <f t="shared" si="39"/>
        <v/>
      </c>
      <c r="AF885" s="8" t="str">
        <f t="shared" si="40"/>
        <v/>
      </c>
      <c r="AG885" s="8" t="str">
        <f>IF(TRIM($E885)&lt;&gt;"Tax Paid","",IF(COUNTIFS(LISTS!$F$2:$F$26,$AE885,LISTS!$G$2:$G$26,$AF885)=0,"NOT ON LIST",""))</f>
        <v/>
      </c>
      <c r="AH885" s="8" t="str">
        <f t="shared" si="41"/>
        <v/>
      </c>
    </row>
    <row r="886" spans="31:34" x14ac:dyDescent="0.25">
      <c r="AE886" s="8" t="str">
        <f t="shared" si="39"/>
        <v/>
      </c>
      <c r="AF886" s="8" t="str">
        <f t="shared" si="40"/>
        <v/>
      </c>
      <c r="AG886" s="8" t="str">
        <f>IF(TRIM($E886)&lt;&gt;"Tax Paid","",IF(COUNTIFS(LISTS!$F$2:$F$26,$AE886,LISTS!$G$2:$G$26,$AF886)=0,"NOT ON LIST",""))</f>
        <v/>
      </c>
      <c r="AH886" s="8" t="str">
        <f t="shared" si="41"/>
        <v/>
      </c>
    </row>
    <row r="887" spans="31:34" x14ac:dyDescent="0.25">
      <c r="AE887" s="8" t="str">
        <f t="shared" si="39"/>
        <v/>
      </c>
      <c r="AF887" s="8" t="str">
        <f t="shared" si="40"/>
        <v/>
      </c>
      <c r="AG887" s="8" t="str">
        <f>IF(TRIM($E887)&lt;&gt;"Tax Paid","",IF(COUNTIFS(LISTS!$F$2:$F$26,$AE887,LISTS!$G$2:$G$26,$AF887)=0,"NOT ON LIST",""))</f>
        <v/>
      </c>
      <c r="AH887" s="8" t="str">
        <f t="shared" si="41"/>
        <v/>
      </c>
    </row>
    <row r="888" spans="31:34" x14ac:dyDescent="0.25">
      <c r="AE888" s="8" t="str">
        <f t="shared" si="39"/>
        <v/>
      </c>
      <c r="AF888" s="8" t="str">
        <f t="shared" si="40"/>
        <v/>
      </c>
      <c r="AG888" s="8" t="str">
        <f>IF(TRIM($E888)&lt;&gt;"Tax Paid","",IF(COUNTIFS(LISTS!$F$2:$F$26,$AE888,LISTS!$G$2:$G$26,$AF888)=0,"NOT ON LIST",""))</f>
        <v/>
      </c>
      <c r="AH888" s="8" t="str">
        <f t="shared" si="41"/>
        <v/>
      </c>
    </row>
    <row r="889" spans="31:34" x14ac:dyDescent="0.25">
      <c r="AE889" s="8" t="str">
        <f t="shared" si="39"/>
        <v/>
      </c>
      <c r="AF889" s="8" t="str">
        <f t="shared" si="40"/>
        <v/>
      </c>
      <c r="AG889" s="8" t="str">
        <f>IF(TRIM($E889)&lt;&gt;"Tax Paid","",IF(COUNTIFS(LISTS!$F$2:$F$26,$AE889,LISTS!$G$2:$G$26,$AF889)=0,"NOT ON LIST",""))</f>
        <v/>
      </c>
      <c r="AH889" s="8" t="str">
        <f t="shared" si="41"/>
        <v/>
      </c>
    </row>
    <row r="890" spans="31:34" x14ac:dyDescent="0.25">
      <c r="AE890" s="8" t="str">
        <f t="shared" si="39"/>
        <v/>
      </c>
      <c r="AF890" s="8" t="str">
        <f t="shared" si="40"/>
        <v/>
      </c>
      <c r="AG890" s="8" t="str">
        <f>IF(TRIM($E890)&lt;&gt;"Tax Paid","",IF(COUNTIFS(LISTS!$F$2:$F$26,$AE890,LISTS!$G$2:$G$26,$AF890)=0,"NOT ON LIST",""))</f>
        <v/>
      </c>
      <c r="AH890" s="8" t="str">
        <f t="shared" si="41"/>
        <v/>
      </c>
    </row>
    <row r="891" spans="31:34" x14ac:dyDescent="0.25">
      <c r="AE891" s="8" t="str">
        <f t="shared" si="39"/>
        <v/>
      </c>
      <c r="AF891" s="8" t="str">
        <f t="shared" si="40"/>
        <v/>
      </c>
      <c r="AG891" s="8" t="str">
        <f>IF(TRIM($E891)&lt;&gt;"Tax Paid","",IF(COUNTIFS(LISTS!$F$2:$F$26,$AE891,LISTS!$G$2:$G$26,$AF891)=0,"NOT ON LIST",""))</f>
        <v/>
      </c>
      <c r="AH891" s="8" t="str">
        <f t="shared" si="41"/>
        <v/>
      </c>
    </row>
    <row r="892" spans="31:34" x14ac:dyDescent="0.25">
      <c r="AE892" s="8" t="str">
        <f t="shared" si="39"/>
        <v/>
      </c>
      <c r="AF892" s="8" t="str">
        <f t="shared" si="40"/>
        <v/>
      </c>
      <c r="AG892" s="8" t="str">
        <f>IF(TRIM($E892)&lt;&gt;"Tax Paid","",IF(COUNTIFS(LISTS!$F$2:$F$26,$AE892,LISTS!$G$2:$G$26,$AF892)=0,"NOT ON LIST",""))</f>
        <v/>
      </c>
      <c r="AH892" s="8" t="str">
        <f t="shared" si="41"/>
        <v/>
      </c>
    </row>
    <row r="893" spans="31:34" x14ac:dyDescent="0.25">
      <c r="AE893" s="8" t="str">
        <f t="shared" si="39"/>
        <v/>
      </c>
      <c r="AF893" s="8" t="str">
        <f t="shared" si="40"/>
        <v/>
      </c>
      <c r="AG893" s="8" t="str">
        <f>IF(TRIM($E893)&lt;&gt;"Tax Paid","",IF(COUNTIFS(LISTS!$F$2:$F$26,$AE893,LISTS!$G$2:$G$26,$AF893)=0,"NOT ON LIST",""))</f>
        <v/>
      </c>
      <c r="AH893" s="8" t="str">
        <f t="shared" si="41"/>
        <v/>
      </c>
    </row>
    <row r="894" spans="31:34" x14ac:dyDescent="0.25">
      <c r="AE894" s="8" t="str">
        <f t="shared" si="39"/>
        <v/>
      </c>
      <c r="AF894" s="8" t="str">
        <f t="shared" si="40"/>
        <v/>
      </c>
      <c r="AG894" s="8" t="str">
        <f>IF(TRIM($E894)&lt;&gt;"Tax Paid","",IF(COUNTIFS(LISTS!$F$2:$F$26,$AE894,LISTS!$G$2:$G$26,$AF894)=0,"NOT ON LIST",""))</f>
        <v/>
      </c>
      <c r="AH894" s="8" t="str">
        <f t="shared" si="41"/>
        <v/>
      </c>
    </row>
    <row r="895" spans="31:34" x14ac:dyDescent="0.25">
      <c r="AE895" s="8" t="str">
        <f t="shared" si="39"/>
        <v/>
      </c>
      <c r="AF895" s="8" t="str">
        <f t="shared" si="40"/>
        <v/>
      </c>
      <c r="AG895" s="8" t="str">
        <f>IF(TRIM($E895)&lt;&gt;"Tax Paid","",IF(COUNTIFS(LISTS!$F$2:$F$26,$AE895,LISTS!$G$2:$G$26,$AF895)=0,"NOT ON LIST",""))</f>
        <v/>
      </c>
      <c r="AH895" s="8" t="str">
        <f t="shared" si="41"/>
        <v/>
      </c>
    </row>
    <row r="896" spans="31:34" x14ac:dyDescent="0.25">
      <c r="AE896" s="8" t="str">
        <f t="shared" si="39"/>
        <v/>
      </c>
      <c r="AF896" s="8" t="str">
        <f t="shared" si="40"/>
        <v/>
      </c>
      <c r="AG896" s="8" t="str">
        <f>IF(TRIM($E896)&lt;&gt;"Tax Paid","",IF(COUNTIFS(LISTS!$F$2:$F$26,$AE896,LISTS!$G$2:$G$26,$AF896)=0,"NOT ON LIST",""))</f>
        <v/>
      </c>
      <c r="AH896" s="8" t="str">
        <f t="shared" si="41"/>
        <v/>
      </c>
    </row>
    <row r="897" spans="31:34" x14ac:dyDescent="0.25">
      <c r="AE897" s="8" t="str">
        <f t="shared" si="39"/>
        <v/>
      </c>
      <c r="AF897" s="8" t="str">
        <f t="shared" si="40"/>
        <v/>
      </c>
      <c r="AG897" s="8" t="str">
        <f>IF(TRIM($E897)&lt;&gt;"Tax Paid","",IF(COUNTIFS(LISTS!$F$2:$F$26,$AE897,LISTS!$G$2:$G$26,$AF897)=0,"NOT ON LIST",""))</f>
        <v/>
      </c>
      <c r="AH897" s="8" t="str">
        <f t="shared" si="41"/>
        <v/>
      </c>
    </row>
    <row r="898" spans="31:34" x14ac:dyDescent="0.25">
      <c r="AE898" s="8" t="str">
        <f t="shared" ref="AE898:AE961" si="42">IF(TRIM($E898)="Tax Paid",TRIM($S898),"")</f>
        <v/>
      </c>
      <c r="AF898" s="8" t="str">
        <f t="shared" ref="AF898:AF961" si="43">IF(TRIM($E898)="Tax Paid",ROUND($Z898/100,5),"")</f>
        <v/>
      </c>
      <c r="AG898" s="8" t="str">
        <f>IF(TRIM($E898)&lt;&gt;"Tax Paid","",IF(COUNTIFS(LISTS!$F$2:$F$26,$AE898,LISTS!$G$2:$G$26,$AF898)=0,"NOT ON LIST",""))</f>
        <v/>
      </c>
      <c r="AH898" s="8" t="str">
        <f t="shared" ref="AH898:AH961" si="44">IF($AG898="","",IF($AE898="","(no county)",$AE898)&amp;" ("&amp;SUBSTITUTE(TEXT($AF898,"0.###%"),".%","%")&amp;")")</f>
        <v/>
      </c>
    </row>
    <row r="899" spans="31:34" x14ac:dyDescent="0.25">
      <c r="AE899" s="8" t="str">
        <f t="shared" si="42"/>
        <v/>
      </c>
      <c r="AF899" s="8" t="str">
        <f t="shared" si="43"/>
        <v/>
      </c>
      <c r="AG899" s="8" t="str">
        <f>IF(TRIM($E899)&lt;&gt;"Tax Paid","",IF(COUNTIFS(LISTS!$F$2:$F$26,$AE899,LISTS!$G$2:$G$26,$AF899)=0,"NOT ON LIST",""))</f>
        <v/>
      </c>
      <c r="AH899" s="8" t="str">
        <f t="shared" si="44"/>
        <v/>
      </c>
    </row>
    <row r="900" spans="31:34" x14ac:dyDescent="0.25">
      <c r="AE900" s="8" t="str">
        <f t="shared" si="42"/>
        <v/>
      </c>
      <c r="AF900" s="8" t="str">
        <f t="shared" si="43"/>
        <v/>
      </c>
      <c r="AG900" s="8" t="str">
        <f>IF(TRIM($E900)&lt;&gt;"Tax Paid","",IF(COUNTIFS(LISTS!$F$2:$F$26,$AE900,LISTS!$G$2:$G$26,$AF900)=0,"NOT ON LIST",""))</f>
        <v/>
      </c>
      <c r="AH900" s="8" t="str">
        <f t="shared" si="44"/>
        <v/>
      </c>
    </row>
    <row r="901" spans="31:34" x14ac:dyDescent="0.25">
      <c r="AE901" s="8" t="str">
        <f t="shared" si="42"/>
        <v/>
      </c>
      <c r="AF901" s="8" t="str">
        <f t="shared" si="43"/>
        <v/>
      </c>
      <c r="AG901" s="8" t="str">
        <f>IF(TRIM($E901)&lt;&gt;"Tax Paid","",IF(COUNTIFS(LISTS!$F$2:$F$26,$AE901,LISTS!$G$2:$G$26,$AF901)=0,"NOT ON LIST",""))</f>
        <v/>
      </c>
      <c r="AH901" s="8" t="str">
        <f t="shared" si="44"/>
        <v/>
      </c>
    </row>
    <row r="902" spans="31:34" x14ac:dyDescent="0.25">
      <c r="AE902" s="8" t="str">
        <f t="shared" si="42"/>
        <v/>
      </c>
      <c r="AF902" s="8" t="str">
        <f t="shared" si="43"/>
        <v/>
      </c>
      <c r="AG902" s="8" t="str">
        <f>IF(TRIM($E902)&lt;&gt;"Tax Paid","",IF(COUNTIFS(LISTS!$F$2:$F$26,$AE902,LISTS!$G$2:$G$26,$AF902)=0,"NOT ON LIST",""))</f>
        <v/>
      </c>
      <c r="AH902" s="8" t="str">
        <f t="shared" si="44"/>
        <v/>
      </c>
    </row>
    <row r="903" spans="31:34" x14ac:dyDescent="0.25">
      <c r="AE903" s="8" t="str">
        <f t="shared" si="42"/>
        <v/>
      </c>
      <c r="AF903" s="8" t="str">
        <f t="shared" si="43"/>
        <v/>
      </c>
      <c r="AG903" s="8" t="str">
        <f>IF(TRIM($E903)&lt;&gt;"Tax Paid","",IF(COUNTIFS(LISTS!$F$2:$F$26,$AE903,LISTS!$G$2:$G$26,$AF903)=0,"NOT ON LIST",""))</f>
        <v/>
      </c>
      <c r="AH903" s="8" t="str">
        <f t="shared" si="44"/>
        <v/>
      </c>
    </row>
    <row r="904" spans="31:34" x14ac:dyDescent="0.25">
      <c r="AE904" s="8" t="str">
        <f t="shared" si="42"/>
        <v/>
      </c>
      <c r="AF904" s="8" t="str">
        <f t="shared" si="43"/>
        <v/>
      </c>
      <c r="AG904" s="8" t="str">
        <f>IF(TRIM($E904)&lt;&gt;"Tax Paid","",IF(COUNTIFS(LISTS!$F$2:$F$26,$AE904,LISTS!$G$2:$G$26,$AF904)=0,"NOT ON LIST",""))</f>
        <v/>
      </c>
      <c r="AH904" s="8" t="str">
        <f t="shared" si="44"/>
        <v/>
      </c>
    </row>
    <row r="905" spans="31:34" x14ac:dyDescent="0.25">
      <c r="AE905" s="8" t="str">
        <f t="shared" si="42"/>
        <v/>
      </c>
      <c r="AF905" s="8" t="str">
        <f t="shared" si="43"/>
        <v/>
      </c>
      <c r="AG905" s="8" t="str">
        <f>IF(TRIM($E905)&lt;&gt;"Tax Paid","",IF(COUNTIFS(LISTS!$F$2:$F$26,$AE905,LISTS!$G$2:$G$26,$AF905)=0,"NOT ON LIST",""))</f>
        <v/>
      </c>
      <c r="AH905" s="8" t="str">
        <f t="shared" si="44"/>
        <v/>
      </c>
    </row>
    <row r="906" spans="31:34" x14ac:dyDescent="0.25">
      <c r="AE906" s="8" t="str">
        <f t="shared" si="42"/>
        <v/>
      </c>
      <c r="AF906" s="8" t="str">
        <f t="shared" si="43"/>
        <v/>
      </c>
      <c r="AG906" s="8" t="str">
        <f>IF(TRIM($E906)&lt;&gt;"Tax Paid","",IF(COUNTIFS(LISTS!$F$2:$F$26,$AE906,LISTS!$G$2:$G$26,$AF906)=0,"NOT ON LIST",""))</f>
        <v/>
      </c>
      <c r="AH906" s="8" t="str">
        <f t="shared" si="44"/>
        <v/>
      </c>
    </row>
    <row r="907" spans="31:34" x14ac:dyDescent="0.25">
      <c r="AE907" s="8" t="str">
        <f t="shared" si="42"/>
        <v/>
      </c>
      <c r="AF907" s="8" t="str">
        <f t="shared" si="43"/>
        <v/>
      </c>
      <c r="AG907" s="8" t="str">
        <f>IF(TRIM($E907)&lt;&gt;"Tax Paid","",IF(COUNTIFS(LISTS!$F$2:$F$26,$AE907,LISTS!$G$2:$G$26,$AF907)=0,"NOT ON LIST",""))</f>
        <v/>
      </c>
      <c r="AH907" s="8" t="str">
        <f t="shared" si="44"/>
        <v/>
      </c>
    </row>
    <row r="908" spans="31:34" x14ac:dyDescent="0.25">
      <c r="AE908" s="8" t="str">
        <f t="shared" si="42"/>
        <v/>
      </c>
      <c r="AF908" s="8" t="str">
        <f t="shared" si="43"/>
        <v/>
      </c>
      <c r="AG908" s="8" t="str">
        <f>IF(TRIM($E908)&lt;&gt;"Tax Paid","",IF(COUNTIFS(LISTS!$F$2:$F$26,$AE908,LISTS!$G$2:$G$26,$AF908)=0,"NOT ON LIST",""))</f>
        <v/>
      </c>
      <c r="AH908" s="8" t="str">
        <f t="shared" si="44"/>
        <v/>
      </c>
    </row>
    <row r="909" spans="31:34" x14ac:dyDescent="0.25">
      <c r="AE909" s="8" t="str">
        <f t="shared" si="42"/>
        <v/>
      </c>
      <c r="AF909" s="8" t="str">
        <f t="shared" si="43"/>
        <v/>
      </c>
      <c r="AG909" s="8" t="str">
        <f>IF(TRIM($E909)&lt;&gt;"Tax Paid","",IF(COUNTIFS(LISTS!$F$2:$F$26,$AE909,LISTS!$G$2:$G$26,$AF909)=0,"NOT ON LIST",""))</f>
        <v/>
      </c>
      <c r="AH909" s="8" t="str">
        <f t="shared" si="44"/>
        <v/>
      </c>
    </row>
    <row r="910" spans="31:34" x14ac:dyDescent="0.25">
      <c r="AE910" s="8" t="str">
        <f t="shared" si="42"/>
        <v/>
      </c>
      <c r="AF910" s="8" t="str">
        <f t="shared" si="43"/>
        <v/>
      </c>
      <c r="AG910" s="8" t="str">
        <f>IF(TRIM($E910)&lt;&gt;"Tax Paid","",IF(COUNTIFS(LISTS!$F$2:$F$26,$AE910,LISTS!$G$2:$G$26,$AF910)=0,"NOT ON LIST",""))</f>
        <v/>
      </c>
      <c r="AH910" s="8" t="str">
        <f t="shared" si="44"/>
        <v/>
      </c>
    </row>
    <row r="911" spans="31:34" x14ac:dyDescent="0.25">
      <c r="AE911" s="8" t="str">
        <f t="shared" si="42"/>
        <v/>
      </c>
      <c r="AF911" s="8" t="str">
        <f t="shared" si="43"/>
        <v/>
      </c>
      <c r="AG911" s="8" t="str">
        <f>IF(TRIM($E911)&lt;&gt;"Tax Paid","",IF(COUNTIFS(LISTS!$F$2:$F$26,$AE911,LISTS!$G$2:$G$26,$AF911)=0,"NOT ON LIST",""))</f>
        <v/>
      </c>
      <c r="AH911" s="8" t="str">
        <f t="shared" si="44"/>
        <v/>
      </c>
    </row>
    <row r="912" spans="31:34" x14ac:dyDescent="0.25">
      <c r="AE912" s="8" t="str">
        <f t="shared" si="42"/>
        <v/>
      </c>
      <c r="AF912" s="8" t="str">
        <f t="shared" si="43"/>
        <v/>
      </c>
      <c r="AG912" s="8" t="str">
        <f>IF(TRIM($E912)&lt;&gt;"Tax Paid","",IF(COUNTIFS(LISTS!$F$2:$F$26,$AE912,LISTS!$G$2:$G$26,$AF912)=0,"NOT ON LIST",""))</f>
        <v/>
      </c>
      <c r="AH912" s="8" t="str">
        <f t="shared" si="44"/>
        <v/>
      </c>
    </row>
    <row r="913" spans="31:34" x14ac:dyDescent="0.25">
      <c r="AE913" s="8" t="str">
        <f t="shared" si="42"/>
        <v/>
      </c>
      <c r="AF913" s="8" t="str">
        <f t="shared" si="43"/>
        <v/>
      </c>
      <c r="AG913" s="8" t="str">
        <f>IF(TRIM($E913)&lt;&gt;"Tax Paid","",IF(COUNTIFS(LISTS!$F$2:$F$26,$AE913,LISTS!$G$2:$G$26,$AF913)=0,"NOT ON LIST",""))</f>
        <v/>
      </c>
      <c r="AH913" s="8" t="str">
        <f t="shared" si="44"/>
        <v/>
      </c>
    </row>
    <row r="914" spans="31:34" x14ac:dyDescent="0.25">
      <c r="AE914" s="8" t="str">
        <f t="shared" si="42"/>
        <v/>
      </c>
      <c r="AF914" s="8" t="str">
        <f t="shared" si="43"/>
        <v/>
      </c>
      <c r="AG914" s="8" t="str">
        <f>IF(TRIM($E914)&lt;&gt;"Tax Paid","",IF(COUNTIFS(LISTS!$F$2:$F$26,$AE914,LISTS!$G$2:$G$26,$AF914)=0,"NOT ON LIST",""))</f>
        <v/>
      </c>
      <c r="AH914" s="8" t="str">
        <f t="shared" si="44"/>
        <v/>
      </c>
    </row>
    <row r="915" spans="31:34" x14ac:dyDescent="0.25">
      <c r="AE915" s="8" t="str">
        <f t="shared" si="42"/>
        <v/>
      </c>
      <c r="AF915" s="8" t="str">
        <f t="shared" si="43"/>
        <v/>
      </c>
      <c r="AG915" s="8" t="str">
        <f>IF(TRIM($E915)&lt;&gt;"Tax Paid","",IF(COUNTIFS(LISTS!$F$2:$F$26,$AE915,LISTS!$G$2:$G$26,$AF915)=0,"NOT ON LIST",""))</f>
        <v/>
      </c>
      <c r="AH915" s="8" t="str">
        <f t="shared" si="44"/>
        <v/>
      </c>
    </row>
    <row r="916" spans="31:34" x14ac:dyDescent="0.25">
      <c r="AE916" s="8" t="str">
        <f t="shared" si="42"/>
        <v/>
      </c>
      <c r="AF916" s="8" t="str">
        <f t="shared" si="43"/>
        <v/>
      </c>
      <c r="AG916" s="8" t="str">
        <f>IF(TRIM($E916)&lt;&gt;"Tax Paid","",IF(COUNTIFS(LISTS!$F$2:$F$26,$AE916,LISTS!$G$2:$G$26,$AF916)=0,"NOT ON LIST",""))</f>
        <v/>
      </c>
      <c r="AH916" s="8" t="str">
        <f t="shared" si="44"/>
        <v/>
      </c>
    </row>
    <row r="917" spans="31:34" x14ac:dyDescent="0.25">
      <c r="AE917" s="8" t="str">
        <f t="shared" si="42"/>
        <v/>
      </c>
      <c r="AF917" s="8" t="str">
        <f t="shared" si="43"/>
        <v/>
      </c>
      <c r="AG917" s="8" t="str">
        <f>IF(TRIM($E917)&lt;&gt;"Tax Paid","",IF(COUNTIFS(LISTS!$F$2:$F$26,$AE917,LISTS!$G$2:$G$26,$AF917)=0,"NOT ON LIST",""))</f>
        <v/>
      </c>
      <c r="AH917" s="8" t="str">
        <f t="shared" si="44"/>
        <v/>
      </c>
    </row>
    <row r="918" spans="31:34" x14ac:dyDescent="0.25">
      <c r="AE918" s="8" t="str">
        <f t="shared" si="42"/>
        <v/>
      </c>
      <c r="AF918" s="8" t="str">
        <f t="shared" si="43"/>
        <v/>
      </c>
      <c r="AG918" s="8" t="str">
        <f>IF(TRIM($E918)&lt;&gt;"Tax Paid","",IF(COUNTIFS(LISTS!$F$2:$F$26,$AE918,LISTS!$G$2:$G$26,$AF918)=0,"NOT ON LIST",""))</f>
        <v/>
      </c>
      <c r="AH918" s="8" t="str">
        <f t="shared" si="44"/>
        <v/>
      </c>
    </row>
    <row r="919" spans="31:34" x14ac:dyDescent="0.25">
      <c r="AE919" s="8" t="str">
        <f t="shared" si="42"/>
        <v/>
      </c>
      <c r="AF919" s="8" t="str">
        <f t="shared" si="43"/>
        <v/>
      </c>
      <c r="AG919" s="8" t="str">
        <f>IF(TRIM($E919)&lt;&gt;"Tax Paid","",IF(COUNTIFS(LISTS!$F$2:$F$26,$AE919,LISTS!$G$2:$G$26,$AF919)=0,"NOT ON LIST",""))</f>
        <v/>
      </c>
      <c r="AH919" s="8" t="str">
        <f t="shared" si="44"/>
        <v/>
      </c>
    </row>
    <row r="920" spans="31:34" x14ac:dyDescent="0.25">
      <c r="AE920" s="8" t="str">
        <f t="shared" si="42"/>
        <v/>
      </c>
      <c r="AF920" s="8" t="str">
        <f t="shared" si="43"/>
        <v/>
      </c>
      <c r="AG920" s="8" t="str">
        <f>IF(TRIM($E920)&lt;&gt;"Tax Paid","",IF(COUNTIFS(LISTS!$F$2:$F$26,$AE920,LISTS!$G$2:$G$26,$AF920)=0,"NOT ON LIST",""))</f>
        <v/>
      </c>
      <c r="AH920" s="8" t="str">
        <f t="shared" si="44"/>
        <v/>
      </c>
    </row>
    <row r="921" spans="31:34" x14ac:dyDescent="0.25">
      <c r="AE921" s="8" t="str">
        <f t="shared" si="42"/>
        <v/>
      </c>
      <c r="AF921" s="8" t="str">
        <f t="shared" si="43"/>
        <v/>
      </c>
      <c r="AG921" s="8" t="str">
        <f>IF(TRIM($E921)&lt;&gt;"Tax Paid","",IF(COUNTIFS(LISTS!$F$2:$F$26,$AE921,LISTS!$G$2:$G$26,$AF921)=0,"NOT ON LIST",""))</f>
        <v/>
      </c>
      <c r="AH921" s="8" t="str">
        <f t="shared" si="44"/>
        <v/>
      </c>
    </row>
    <row r="922" spans="31:34" x14ac:dyDescent="0.25">
      <c r="AE922" s="8" t="str">
        <f t="shared" si="42"/>
        <v/>
      </c>
      <c r="AF922" s="8" t="str">
        <f t="shared" si="43"/>
        <v/>
      </c>
      <c r="AG922" s="8" t="str">
        <f>IF(TRIM($E922)&lt;&gt;"Tax Paid","",IF(COUNTIFS(LISTS!$F$2:$F$26,$AE922,LISTS!$G$2:$G$26,$AF922)=0,"NOT ON LIST",""))</f>
        <v/>
      </c>
      <c r="AH922" s="8" t="str">
        <f t="shared" si="44"/>
        <v/>
      </c>
    </row>
    <row r="923" spans="31:34" x14ac:dyDescent="0.25">
      <c r="AE923" s="8" t="str">
        <f t="shared" si="42"/>
        <v/>
      </c>
      <c r="AF923" s="8" t="str">
        <f t="shared" si="43"/>
        <v/>
      </c>
      <c r="AG923" s="8" t="str">
        <f>IF(TRIM($E923)&lt;&gt;"Tax Paid","",IF(COUNTIFS(LISTS!$F$2:$F$26,$AE923,LISTS!$G$2:$G$26,$AF923)=0,"NOT ON LIST",""))</f>
        <v/>
      </c>
      <c r="AH923" s="8" t="str">
        <f t="shared" si="44"/>
        <v/>
      </c>
    </row>
    <row r="924" spans="31:34" x14ac:dyDescent="0.25">
      <c r="AE924" s="8" t="str">
        <f t="shared" si="42"/>
        <v/>
      </c>
      <c r="AF924" s="8" t="str">
        <f t="shared" si="43"/>
        <v/>
      </c>
      <c r="AG924" s="8" t="str">
        <f>IF(TRIM($E924)&lt;&gt;"Tax Paid","",IF(COUNTIFS(LISTS!$F$2:$F$26,$AE924,LISTS!$G$2:$G$26,$AF924)=0,"NOT ON LIST",""))</f>
        <v/>
      </c>
      <c r="AH924" s="8" t="str">
        <f t="shared" si="44"/>
        <v/>
      </c>
    </row>
    <row r="925" spans="31:34" x14ac:dyDescent="0.25">
      <c r="AE925" s="8" t="str">
        <f t="shared" si="42"/>
        <v/>
      </c>
      <c r="AF925" s="8" t="str">
        <f t="shared" si="43"/>
        <v/>
      </c>
      <c r="AG925" s="8" t="str">
        <f>IF(TRIM($E925)&lt;&gt;"Tax Paid","",IF(COUNTIFS(LISTS!$F$2:$F$26,$AE925,LISTS!$G$2:$G$26,$AF925)=0,"NOT ON LIST",""))</f>
        <v/>
      </c>
      <c r="AH925" s="8" t="str">
        <f t="shared" si="44"/>
        <v/>
      </c>
    </row>
    <row r="926" spans="31:34" x14ac:dyDescent="0.25">
      <c r="AE926" s="8" t="str">
        <f t="shared" si="42"/>
        <v/>
      </c>
      <c r="AF926" s="8" t="str">
        <f t="shared" si="43"/>
        <v/>
      </c>
      <c r="AG926" s="8" t="str">
        <f>IF(TRIM($E926)&lt;&gt;"Tax Paid","",IF(COUNTIFS(LISTS!$F$2:$F$26,$AE926,LISTS!$G$2:$G$26,$AF926)=0,"NOT ON LIST",""))</f>
        <v/>
      </c>
      <c r="AH926" s="8" t="str">
        <f t="shared" si="44"/>
        <v/>
      </c>
    </row>
    <row r="927" spans="31:34" x14ac:dyDescent="0.25">
      <c r="AE927" s="8" t="str">
        <f t="shared" si="42"/>
        <v/>
      </c>
      <c r="AF927" s="8" t="str">
        <f t="shared" si="43"/>
        <v/>
      </c>
      <c r="AG927" s="8" t="str">
        <f>IF(TRIM($E927)&lt;&gt;"Tax Paid","",IF(COUNTIFS(LISTS!$F$2:$F$26,$AE927,LISTS!$G$2:$G$26,$AF927)=0,"NOT ON LIST",""))</f>
        <v/>
      </c>
      <c r="AH927" s="8" t="str">
        <f t="shared" si="44"/>
        <v/>
      </c>
    </row>
    <row r="928" spans="31:34" x14ac:dyDescent="0.25">
      <c r="AE928" s="8" t="str">
        <f t="shared" si="42"/>
        <v/>
      </c>
      <c r="AF928" s="8" t="str">
        <f t="shared" si="43"/>
        <v/>
      </c>
      <c r="AG928" s="8" t="str">
        <f>IF(TRIM($E928)&lt;&gt;"Tax Paid","",IF(COUNTIFS(LISTS!$F$2:$F$26,$AE928,LISTS!$G$2:$G$26,$AF928)=0,"NOT ON LIST",""))</f>
        <v/>
      </c>
      <c r="AH928" s="8" t="str">
        <f t="shared" si="44"/>
        <v/>
      </c>
    </row>
    <row r="929" spans="31:34" x14ac:dyDescent="0.25">
      <c r="AE929" s="8" t="str">
        <f t="shared" si="42"/>
        <v/>
      </c>
      <c r="AF929" s="8" t="str">
        <f t="shared" si="43"/>
        <v/>
      </c>
      <c r="AG929" s="8" t="str">
        <f>IF(TRIM($E929)&lt;&gt;"Tax Paid","",IF(COUNTIFS(LISTS!$F$2:$F$26,$AE929,LISTS!$G$2:$G$26,$AF929)=0,"NOT ON LIST",""))</f>
        <v/>
      </c>
      <c r="AH929" s="8" t="str">
        <f t="shared" si="44"/>
        <v/>
      </c>
    </row>
    <row r="930" spans="31:34" x14ac:dyDescent="0.25">
      <c r="AE930" s="8" t="str">
        <f t="shared" si="42"/>
        <v/>
      </c>
      <c r="AF930" s="8" t="str">
        <f t="shared" si="43"/>
        <v/>
      </c>
      <c r="AG930" s="8" t="str">
        <f>IF(TRIM($E930)&lt;&gt;"Tax Paid","",IF(COUNTIFS(LISTS!$F$2:$F$26,$AE930,LISTS!$G$2:$G$26,$AF930)=0,"NOT ON LIST",""))</f>
        <v/>
      </c>
      <c r="AH930" s="8" t="str">
        <f t="shared" si="44"/>
        <v/>
      </c>
    </row>
    <row r="931" spans="31:34" x14ac:dyDescent="0.25">
      <c r="AE931" s="8" t="str">
        <f t="shared" si="42"/>
        <v/>
      </c>
      <c r="AF931" s="8" t="str">
        <f t="shared" si="43"/>
        <v/>
      </c>
      <c r="AG931" s="8" t="str">
        <f>IF(TRIM($E931)&lt;&gt;"Tax Paid","",IF(COUNTIFS(LISTS!$F$2:$F$26,$AE931,LISTS!$G$2:$G$26,$AF931)=0,"NOT ON LIST",""))</f>
        <v/>
      </c>
      <c r="AH931" s="8" t="str">
        <f t="shared" si="44"/>
        <v/>
      </c>
    </row>
    <row r="932" spans="31:34" x14ac:dyDescent="0.25">
      <c r="AE932" s="8" t="str">
        <f t="shared" si="42"/>
        <v/>
      </c>
      <c r="AF932" s="8" t="str">
        <f t="shared" si="43"/>
        <v/>
      </c>
      <c r="AG932" s="8" t="str">
        <f>IF(TRIM($E932)&lt;&gt;"Tax Paid","",IF(COUNTIFS(LISTS!$F$2:$F$26,$AE932,LISTS!$G$2:$G$26,$AF932)=0,"NOT ON LIST",""))</f>
        <v/>
      </c>
      <c r="AH932" s="8" t="str">
        <f t="shared" si="44"/>
        <v/>
      </c>
    </row>
    <row r="933" spans="31:34" x14ac:dyDescent="0.25">
      <c r="AE933" s="8" t="str">
        <f t="shared" si="42"/>
        <v/>
      </c>
      <c r="AF933" s="8" t="str">
        <f t="shared" si="43"/>
        <v/>
      </c>
      <c r="AG933" s="8" t="str">
        <f>IF(TRIM($E933)&lt;&gt;"Tax Paid","",IF(COUNTIFS(LISTS!$F$2:$F$26,$AE933,LISTS!$G$2:$G$26,$AF933)=0,"NOT ON LIST",""))</f>
        <v/>
      </c>
      <c r="AH933" s="8" t="str">
        <f t="shared" si="44"/>
        <v/>
      </c>
    </row>
    <row r="934" spans="31:34" x14ac:dyDescent="0.25">
      <c r="AE934" s="8" t="str">
        <f t="shared" si="42"/>
        <v/>
      </c>
      <c r="AF934" s="8" t="str">
        <f t="shared" si="43"/>
        <v/>
      </c>
      <c r="AG934" s="8" t="str">
        <f>IF(TRIM($E934)&lt;&gt;"Tax Paid","",IF(COUNTIFS(LISTS!$F$2:$F$26,$AE934,LISTS!$G$2:$G$26,$AF934)=0,"NOT ON LIST",""))</f>
        <v/>
      </c>
      <c r="AH934" s="8" t="str">
        <f t="shared" si="44"/>
        <v/>
      </c>
    </row>
    <row r="935" spans="31:34" x14ac:dyDescent="0.25">
      <c r="AE935" s="8" t="str">
        <f t="shared" si="42"/>
        <v/>
      </c>
      <c r="AF935" s="8" t="str">
        <f t="shared" si="43"/>
        <v/>
      </c>
      <c r="AG935" s="8" t="str">
        <f>IF(TRIM($E935)&lt;&gt;"Tax Paid","",IF(COUNTIFS(LISTS!$F$2:$F$26,$AE935,LISTS!$G$2:$G$26,$AF935)=0,"NOT ON LIST",""))</f>
        <v/>
      </c>
      <c r="AH935" s="8" t="str">
        <f t="shared" si="44"/>
        <v/>
      </c>
    </row>
    <row r="936" spans="31:34" x14ac:dyDescent="0.25">
      <c r="AE936" s="8" t="str">
        <f t="shared" si="42"/>
        <v/>
      </c>
      <c r="AF936" s="8" t="str">
        <f t="shared" si="43"/>
        <v/>
      </c>
      <c r="AG936" s="8" t="str">
        <f>IF(TRIM($E936)&lt;&gt;"Tax Paid","",IF(COUNTIFS(LISTS!$F$2:$F$26,$AE936,LISTS!$G$2:$G$26,$AF936)=0,"NOT ON LIST",""))</f>
        <v/>
      </c>
      <c r="AH936" s="8" t="str">
        <f t="shared" si="44"/>
        <v/>
      </c>
    </row>
    <row r="937" spans="31:34" x14ac:dyDescent="0.25">
      <c r="AE937" s="8" t="str">
        <f t="shared" si="42"/>
        <v/>
      </c>
      <c r="AF937" s="8" t="str">
        <f t="shared" si="43"/>
        <v/>
      </c>
      <c r="AG937" s="8" t="str">
        <f>IF(TRIM($E937)&lt;&gt;"Tax Paid","",IF(COUNTIFS(LISTS!$F$2:$F$26,$AE937,LISTS!$G$2:$G$26,$AF937)=0,"NOT ON LIST",""))</f>
        <v/>
      </c>
      <c r="AH937" s="8" t="str">
        <f t="shared" si="44"/>
        <v/>
      </c>
    </row>
    <row r="938" spans="31:34" x14ac:dyDescent="0.25">
      <c r="AE938" s="8" t="str">
        <f t="shared" si="42"/>
        <v/>
      </c>
      <c r="AF938" s="8" t="str">
        <f t="shared" si="43"/>
        <v/>
      </c>
      <c r="AG938" s="8" t="str">
        <f>IF(TRIM($E938)&lt;&gt;"Tax Paid","",IF(COUNTIFS(LISTS!$F$2:$F$26,$AE938,LISTS!$G$2:$G$26,$AF938)=0,"NOT ON LIST",""))</f>
        <v/>
      </c>
      <c r="AH938" s="8" t="str">
        <f t="shared" si="44"/>
        <v/>
      </c>
    </row>
    <row r="939" spans="31:34" x14ac:dyDescent="0.25">
      <c r="AE939" s="8" t="str">
        <f t="shared" si="42"/>
        <v/>
      </c>
      <c r="AF939" s="8" t="str">
        <f t="shared" si="43"/>
        <v/>
      </c>
      <c r="AG939" s="8" t="str">
        <f>IF(TRIM($E939)&lt;&gt;"Tax Paid","",IF(COUNTIFS(LISTS!$F$2:$F$26,$AE939,LISTS!$G$2:$G$26,$AF939)=0,"NOT ON LIST",""))</f>
        <v/>
      </c>
      <c r="AH939" s="8" t="str">
        <f t="shared" si="44"/>
        <v/>
      </c>
    </row>
    <row r="940" spans="31:34" x14ac:dyDescent="0.25">
      <c r="AE940" s="8" t="str">
        <f t="shared" si="42"/>
        <v/>
      </c>
      <c r="AF940" s="8" t="str">
        <f t="shared" si="43"/>
        <v/>
      </c>
      <c r="AG940" s="8" t="str">
        <f>IF(TRIM($E940)&lt;&gt;"Tax Paid","",IF(COUNTIFS(LISTS!$F$2:$F$26,$AE940,LISTS!$G$2:$G$26,$AF940)=0,"NOT ON LIST",""))</f>
        <v/>
      </c>
      <c r="AH940" s="8" t="str">
        <f t="shared" si="44"/>
        <v/>
      </c>
    </row>
    <row r="941" spans="31:34" x14ac:dyDescent="0.25">
      <c r="AE941" s="8" t="str">
        <f t="shared" si="42"/>
        <v/>
      </c>
      <c r="AF941" s="8" t="str">
        <f t="shared" si="43"/>
        <v/>
      </c>
      <c r="AG941" s="8" t="str">
        <f>IF(TRIM($E941)&lt;&gt;"Tax Paid","",IF(COUNTIFS(LISTS!$F$2:$F$26,$AE941,LISTS!$G$2:$G$26,$AF941)=0,"NOT ON LIST",""))</f>
        <v/>
      </c>
      <c r="AH941" s="8" t="str">
        <f t="shared" si="44"/>
        <v/>
      </c>
    </row>
    <row r="942" spans="31:34" x14ac:dyDescent="0.25">
      <c r="AE942" s="8" t="str">
        <f t="shared" si="42"/>
        <v/>
      </c>
      <c r="AF942" s="8" t="str">
        <f t="shared" si="43"/>
        <v/>
      </c>
      <c r="AG942" s="8" t="str">
        <f>IF(TRIM($E942)&lt;&gt;"Tax Paid","",IF(COUNTIFS(LISTS!$F$2:$F$26,$AE942,LISTS!$G$2:$G$26,$AF942)=0,"NOT ON LIST",""))</f>
        <v/>
      </c>
      <c r="AH942" s="8" t="str">
        <f t="shared" si="44"/>
        <v/>
      </c>
    </row>
    <row r="943" spans="31:34" x14ac:dyDescent="0.25">
      <c r="AE943" s="8" t="str">
        <f t="shared" si="42"/>
        <v/>
      </c>
      <c r="AF943" s="8" t="str">
        <f t="shared" si="43"/>
        <v/>
      </c>
      <c r="AG943" s="8" t="str">
        <f>IF(TRIM($E943)&lt;&gt;"Tax Paid","",IF(COUNTIFS(LISTS!$F$2:$F$26,$AE943,LISTS!$G$2:$G$26,$AF943)=0,"NOT ON LIST",""))</f>
        <v/>
      </c>
      <c r="AH943" s="8" t="str">
        <f t="shared" si="44"/>
        <v/>
      </c>
    </row>
    <row r="944" spans="31:34" x14ac:dyDescent="0.25">
      <c r="AE944" s="8" t="str">
        <f t="shared" si="42"/>
        <v/>
      </c>
      <c r="AF944" s="8" t="str">
        <f t="shared" si="43"/>
        <v/>
      </c>
      <c r="AG944" s="8" t="str">
        <f>IF(TRIM($E944)&lt;&gt;"Tax Paid","",IF(COUNTIFS(LISTS!$F$2:$F$26,$AE944,LISTS!$G$2:$G$26,$AF944)=0,"NOT ON LIST",""))</f>
        <v/>
      </c>
      <c r="AH944" s="8" t="str">
        <f t="shared" si="44"/>
        <v/>
      </c>
    </row>
    <row r="945" spans="31:34" x14ac:dyDescent="0.25">
      <c r="AE945" s="8" t="str">
        <f t="shared" si="42"/>
        <v/>
      </c>
      <c r="AF945" s="8" t="str">
        <f t="shared" si="43"/>
        <v/>
      </c>
      <c r="AG945" s="8" t="str">
        <f>IF(TRIM($E945)&lt;&gt;"Tax Paid","",IF(COUNTIFS(LISTS!$F$2:$F$26,$AE945,LISTS!$G$2:$G$26,$AF945)=0,"NOT ON LIST",""))</f>
        <v/>
      </c>
      <c r="AH945" s="8" t="str">
        <f t="shared" si="44"/>
        <v/>
      </c>
    </row>
    <row r="946" spans="31:34" x14ac:dyDescent="0.25">
      <c r="AE946" s="8" t="str">
        <f t="shared" si="42"/>
        <v/>
      </c>
      <c r="AF946" s="8" t="str">
        <f t="shared" si="43"/>
        <v/>
      </c>
      <c r="AG946" s="8" t="str">
        <f>IF(TRIM($E946)&lt;&gt;"Tax Paid","",IF(COUNTIFS(LISTS!$F$2:$F$26,$AE946,LISTS!$G$2:$G$26,$AF946)=0,"NOT ON LIST",""))</f>
        <v/>
      </c>
      <c r="AH946" s="8" t="str">
        <f t="shared" si="44"/>
        <v/>
      </c>
    </row>
    <row r="947" spans="31:34" x14ac:dyDescent="0.25">
      <c r="AE947" s="8" t="str">
        <f t="shared" si="42"/>
        <v/>
      </c>
      <c r="AF947" s="8" t="str">
        <f t="shared" si="43"/>
        <v/>
      </c>
      <c r="AG947" s="8" t="str">
        <f>IF(TRIM($E947)&lt;&gt;"Tax Paid","",IF(COUNTIFS(LISTS!$F$2:$F$26,$AE947,LISTS!$G$2:$G$26,$AF947)=0,"NOT ON LIST",""))</f>
        <v/>
      </c>
      <c r="AH947" s="8" t="str">
        <f t="shared" si="44"/>
        <v/>
      </c>
    </row>
    <row r="948" spans="31:34" x14ac:dyDescent="0.25">
      <c r="AE948" s="8" t="str">
        <f t="shared" si="42"/>
        <v/>
      </c>
      <c r="AF948" s="8" t="str">
        <f t="shared" si="43"/>
        <v/>
      </c>
      <c r="AG948" s="8" t="str">
        <f>IF(TRIM($E948)&lt;&gt;"Tax Paid","",IF(COUNTIFS(LISTS!$F$2:$F$26,$AE948,LISTS!$G$2:$G$26,$AF948)=0,"NOT ON LIST",""))</f>
        <v/>
      </c>
      <c r="AH948" s="8" t="str">
        <f t="shared" si="44"/>
        <v/>
      </c>
    </row>
    <row r="949" spans="31:34" x14ac:dyDescent="0.25">
      <c r="AE949" s="8" t="str">
        <f t="shared" si="42"/>
        <v/>
      </c>
      <c r="AF949" s="8" t="str">
        <f t="shared" si="43"/>
        <v/>
      </c>
      <c r="AG949" s="8" t="str">
        <f>IF(TRIM($E949)&lt;&gt;"Tax Paid","",IF(COUNTIFS(LISTS!$F$2:$F$26,$AE949,LISTS!$G$2:$G$26,$AF949)=0,"NOT ON LIST",""))</f>
        <v/>
      </c>
      <c r="AH949" s="8" t="str">
        <f t="shared" si="44"/>
        <v/>
      </c>
    </row>
    <row r="950" spans="31:34" x14ac:dyDescent="0.25">
      <c r="AE950" s="8" t="str">
        <f t="shared" si="42"/>
        <v/>
      </c>
      <c r="AF950" s="8" t="str">
        <f t="shared" si="43"/>
        <v/>
      </c>
      <c r="AG950" s="8" t="str">
        <f>IF(TRIM($E950)&lt;&gt;"Tax Paid","",IF(COUNTIFS(LISTS!$F$2:$F$26,$AE950,LISTS!$G$2:$G$26,$AF950)=0,"NOT ON LIST",""))</f>
        <v/>
      </c>
      <c r="AH950" s="8" t="str">
        <f t="shared" si="44"/>
        <v/>
      </c>
    </row>
    <row r="951" spans="31:34" x14ac:dyDescent="0.25">
      <c r="AE951" s="8" t="str">
        <f t="shared" si="42"/>
        <v/>
      </c>
      <c r="AF951" s="8" t="str">
        <f t="shared" si="43"/>
        <v/>
      </c>
      <c r="AG951" s="8" t="str">
        <f>IF(TRIM($E951)&lt;&gt;"Tax Paid","",IF(COUNTIFS(LISTS!$F$2:$F$26,$AE951,LISTS!$G$2:$G$26,$AF951)=0,"NOT ON LIST",""))</f>
        <v/>
      </c>
      <c r="AH951" s="8" t="str">
        <f t="shared" si="44"/>
        <v/>
      </c>
    </row>
    <row r="952" spans="31:34" x14ac:dyDescent="0.25">
      <c r="AE952" s="8" t="str">
        <f t="shared" si="42"/>
        <v/>
      </c>
      <c r="AF952" s="8" t="str">
        <f t="shared" si="43"/>
        <v/>
      </c>
      <c r="AG952" s="8" t="str">
        <f>IF(TRIM($E952)&lt;&gt;"Tax Paid","",IF(COUNTIFS(LISTS!$F$2:$F$26,$AE952,LISTS!$G$2:$G$26,$AF952)=0,"NOT ON LIST",""))</f>
        <v/>
      </c>
      <c r="AH952" s="8" t="str">
        <f t="shared" si="44"/>
        <v/>
      </c>
    </row>
    <row r="953" spans="31:34" x14ac:dyDescent="0.25">
      <c r="AE953" s="8" t="str">
        <f t="shared" si="42"/>
        <v/>
      </c>
      <c r="AF953" s="8" t="str">
        <f t="shared" si="43"/>
        <v/>
      </c>
      <c r="AG953" s="8" t="str">
        <f>IF(TRIM($E953)&lt;&gt;"Tax Paid","",IF(COUNTIFS(LISTS!$F$2:$F$26,$AE953,LISTS!$G$2:$G$26,$AF953)=0,"NOT ON LIST",""))</f>
        <v/>
      </c>
      <c r="AH953" s="8" t="str">
        <f t="shared" si="44"/>
        <v/>
      </c>
    </row>
    <row r="954" spans="31:34" x14ac:dyDescent="0.25">
      <c r="AE954" s="8" t="str">
        <f t="shared" si="42"/>
        <v/>
      </c>
      <c r="AF954" s="8" t="str">
        <f t="shared" si="43"/>
        <v/>
      </c>
      <c r="AG954" s="8" t="str">
        <f>IF(TRIM($E954)&lt;&gt;"Tax Paid","",IF(COUNTIFS(LISTS!$F$2:$F$26,$AE954,LISTS!$G$2:$G$26,$AF954)=0,"NOT ON LIST",""))</f>
        <v/>
      </c>
      <c r="AH954" s="8" t="str">
        <f t="shared" si="44"/>
        <v/>
      </c>
    </row>
    <row r="955" spans="31:34" x14ac:dyDescent="0.25">
      <c r="AE955" s="8" t="str">
        <f t="shared" si="42"/>
        <v/>
      </c>
      <c r="AF955" s="8" t="str">
        <f t="shared" si="43"/>
        <v/>
      </c>
      <c r="AG955" s="8" t="str">
        <f>IF(TRIM($E955)&lt;&gt;"Tax Paid","",IF(COUNTIFS(LISTS!$F$2:$F$26,$AE955,LISTS!$G$2:$G$26,$AF955)=0,"NOT ON LIST",""))</f>
        <v/>
      </c>
      <c r="AH955" s="8" t="str">
        <f t="shared" si="44"/>
        <v/>
      </c>
    </row>
    <row r="956" spans="31:34" x14ac:dyDescent="0.25">
      <c r="AE956" s="8" t="str">
        <f t="shared" si="42"/>
        <v/>
      </c>
      <c r="AF956" s="8" t="str">
        <f t="shared" si="43"/>
        <v/>
      </c>
      <c r="AG956" s="8" t="str">
        <f>IF(TRIM($E956)&lt;&gt;"Tax Paid","",IF(COUNTIFS(LISTS!$F$2:$F$26,$AE956,LISTS!$G$2:$G$26,$AF956)=0,"NOT ON LIST",""))</f>
        <v/>
      </c>
      <c r="AH956" s="8" t="str">
        <f t="shared" si="44"/>
        <v/>
      </c>
    </row>
    <row r="957" spans="31:34" x14ac:dyDescent="0.25">
      <c r="AE957" s="8" t="str">
        <f t="shared" si="42"/>
        <v/>
      </c>
      <c r="AF957" s="8" t="str">
        <f t="shared" si="43"/>
        <v/>
      </c>
      <c r="AG957" s="8" t="str">
        <f>IF(TRIM($E957)&lt;&gt;"Tax Paid","",IF(COUNTIFS(LISTS!$F$2:$F$26,$AE957,LISTS!$G$2:$G$26,$AF957)=0,"NOT ON LIST",""))</f>
        <v/>
      </c>
      <c r="AH957" s="8" t="str">
        <f t="shared" si="44"/>
        <v/>
      </c>
    </row>
    <row r="958" spans="31:34" x14ac:dyDescent="0.25">
      <c r="AE958" s="8" t="str">
        <f t="shared" si="42"/>
        <v/>
      </c>
      <c r="AF958" s="8" t="str">
        <f t="shared" si="43"/>
        <v/>
      </c>
      <c r="AG958" s="8" t="str">
        <f>IF(TRIM($E958)&lt;&gt;"Tax Paid","",IF(COUNTIFS(LISTS!$F$2:$F$26,$AE958,LISTS!$G$2:$G$26,$AF958)=0,"NOT ON LIST",""))</f>
        <v/>
      </c>
      <c r="AH958" s="8" t="str">
        <f t="shared" si="44"/>
        <v/>
      </c>
    </row>
    <row r="959" spans="31:34" x14ac:dyDescent="0.25">
      <c r="AE959" s="8" t="str">
        <f t="shared" si="42"/>
        <v/>
      </c>
      <c r="AF959" s="8" t="str">
        <f t="shared" si="43"/>
        <v/>
      </c>
      <c r="AG959" s="8" t="str">
        <f>IF(TRIM($E959)&lt;&gt;"Tax Paid","",IF(COUNTIFS(LISTS!$F$2:$F$26,$AE959,LISTS!$G$2:$G$26,$AF959)=0,"NOT ON LIST",""))</f>
        <v/>
      </c>
      <c r="AH959" s="8" t="str">
        <f t="shared" si="44"/>
        <v/>
      </c>
    </row>
    <row r="960" spans="31:34" x14ac:dyDescent="0.25">
      <c r="AE960" s="8" t="str">
        <f t="shared" si="42"/>
        <v/>
      </c>
      <c r="AF960" s="8" t="str">
        <f t="shared" si="43"/>
        <v/>
      </c>
      <c r="AG960" s="8" t="str">
        <f>IF(TRIM($E960)&lt;&gt;"Tax Paid","",IF(COUNTIFS(LISTS!$F$2:$F$26,$AE960,LISTS!$G$2:$G$26,$AF960)=0,"NOT ON LIST",""))</f>
        <v/>
      </c>
      <c r="AH960" s="8" t="str">
        <f t="shared" si="44"/>
        <v/>
      </c>
    </row>
    <row r="961" spans="31:34" x14ac:dyDescent="0.25">
      <c r="AE961" s="8" t="str">
        <f t="shared" si="42"/>
        <v/>
      </c>
      <c r="AF961" s="8" t="str">
        <f t="shared" si="43"/>
        <v/>
      </c>
      <c r="AG961" s="8" t="str">
        <f>IF(TRIM($E961)&lt;&gt;"Tax Paid","",IF(COUNTIFS(LISTS!$F$2:$F$26,$AE961,LISTS!$G$2:$G$26,$AF961)=0,"NOT ON LIST",""))</f>
        <v/>
      </c>
      <c r="AH961" s="8" t="str">
        <f t="shared" si="44"/>
        <v/>
      </c>
    </row>
    <row r="962" spans="31:34" x14ac:dyDescent="0.25">
      <c r="AE962" s="8" t="str">
        <f t="shared" ref="AE962:AE1025" si="45">IF(TRIM($E962)="Tax Paid",TRIM($S962),"")</f>
        <v/>
      </c>
      <c r="AF962" s="8" t="str">
        <f t="shared" ref="AF962:AF1025" si="46">IF(TRIM($E962)="Tax Paid",ROUND($Z962/100,5),"")</f>
        <v/>
      </c>
      <c r="AG962" s="8" t="str">
        <f>IF(TRIM($E962)&lt;&gt;"Tax Paid","",IF(COUNTIFS(LISTS!$F$2:$F$26,$AE962,LISTS!$G$2:$G$26,$AF962)=0,"NOT ON LIST",""))</f>
        <v/>
      </c>
      <c r="AH962" s="8" t="str">
        <f t="shared" ref="AH962:AH1025" si="47">IF($AG962="","",IF($AE962="","(no county)",$AE962)&amp;" ("&amp;SUBSTITUTE(TEXT($AF962,"0.###%"),".%","%")&amp;")")</f>
        <v/>
      </c>
    </row>
    <row r="963" spans="31:34" x14ac:dyDescent="0.25">
      <c r="AE963" s="8" t="str">
        <f t="shared" si="45"/>
        <v/>
      </c>
      <c r="AF963" s="8" t="str">
        <f t="shared" si="46"/>
        <v/>
      </c>
      <c r="AG963" s="8" t="str">
        <f>IF(TRIM($E963)&lt;&gt;"Tax Paid","",IF(COUNTIFS(LISTS!$F$2:$F$26,$AE963,LISTS!$G$2:$G$26,$AF963)=0,"NOT ON LIST",""))</f>
        <v/>
      </c>
      <c r="AH963" s="8" t="str">
        <f t="shared" si="47"/>
        <v/>
      </c>
    </row>
    <row r="964" spans="31:34" x14ac:dyDescent="0.25">
      <c r="AE964" s="8" t="str">
        <f t="shared" si="45"/>
        <v/>
      </c>
      <c r="AF964" s="8" t="str">
        <f t="shared" si="46"/>
        <v/>
      </c>
      <c r="AG964" s="8" t="str">
        <f>IF(TRIM($E964)&lt;&gt;"Tax Paid","",IF(COUNTIFS(LISTS!$F$2:$F$26,$AE964,LISTS!$G$2:$G$26,$AF964)=0,"NOT ON LIST",""))</f>
        <v/>
      </c>
      <c r="AH964" s="8" t="str">
        <f t="shared" si="47"/>
        <v/>
      </c>
    </row>
    <row r="965" spans="31:34" x14ac:dyDescent="0.25">
      <c r="AE965" s="8" t="str">
        <f t="shared" si="45"/>
        <v/>
      </c>
      <c r="AF965" s="8" t="str">
        <f t="shared" si="46"/>
        <v/>
      </c>
      <c r="AG965" s="8" t="str">
        <f>IF(TRIM($E965)&lt;&gt;"Tax Paid","",IF(COUNTIFS(LISTS!$F$2:$F$26,$AE965,LISTS!$G$2:$G$26,$AF965)=0,"NOT ON LIST",""))</f>
        <v/>
      </c>
      <c r="AH965" s="8" t="str">
        <f t="shared" si="47"/>
        <v/>
      </c>
    </row>
    <row r="966" spans="31:34" x14ac:dyDescent="0.25">
      <c r="AE966" s="8" t="str">
        <f t="shared" si="45"/>
        <v/>
      </c>
      <c r="AF966" s="8" t="str">
        <f t="shared" si="46"/>
        <v/>
      </c>
      <c r="AG966" s="8" t="str">
        <f>IF(TRIM($E966)&lt;&gt;"Tax Paid","",IF(COUNTIFS(LISTS!$F$2:$F$26,$AE966,LISTS!$G$2:$G$26,$AF966)=0,"NOT ON LIST",""))</f>
        <v/>
      </c>
      <c r="AH966" s="8" t="str">
        <f t="shared" si="47"/>
        <v/>
      </c>
    </row>
    <row r="967" spans="31:34" x14ac:dyDescent="0.25">
      <c r="AE967" s="8" t="str">
        <f t="shared" si="45"/>
        <v/>
      </c>
      <c r="AF967" s="8" t="str">
        <f t="shared" si="46"/>
        <v/>
      </c>
      <c r="AG967" s="8" t="str">
        <f>IF(TRIM($E967)&lt;&gt;"Tax Paid","",IF(COUNTIFS(LISTS!$F$2:$F$26,$AE967,LISTS!$G$2:$G$26,$AF967)=0,"NOT ON LIST",""))</f>
        <v/>
      </c>
      <c r="AH967" s="8" t="str">
        <f t="shared" si="47"/>
        <v/>
      </c>
    </row>
    <row r="968" spans="31:34" x14ac:dyDescent="0.25">
      <c r="AE968" s="8" t="str">
        <f t="shared" si="45"/>
        <v/>
      </c>
      <c r="AF968" s="8" t="str">
        <f t="shared" si="46"/>
        <v/>
      </c>
      <c r="AG968" s="8" t="str">
        <f>IF(TRIM($E968)&lt;&gt;"Tax Paid","",IF(COUNTIFS(LISTS!$F$2:$F$26,$AE968,LISTS!$G$2:$G$26,$AF968)=0,"NOT ON LIST",""))</f>
        <v/>
      </c>
      <c r="AH968" s="8" t="str">
        <f t="shared" si="47"/>
        <v/>
      </c>
    </row>
    <row r="969" spans="31:34" x14ac:dyDescent="0.25">
      <c r="AE969" s="8" t="str">
        <f t="shared" si="45"/>
        <v/>
      </c>
      <c r="AF969" s="8" t="str">
        <f t="shared" si="46"/>
        <v/>
      </c>
      <c r="AG969" s="8" t="str">
        <f>IF(TRIM($E969)&lt;&gt;"Tax Paid","",IF(COUNTIFS(LISTS!$F$2:$F$26,$AE969,LISTS!$G$2:$G$26,$AF969)=0,"NOT ON LIST",""))</f>
        <v/>
      </c>
      <c r="AH969" s="8" t="str">
        <f t="shared" si="47"/>
        <v/>
      </c>
    </row>
    <row r="970" spans="31:34" x14ac:dyDescent="0.25">
      <c r="AE970" s="8" t="str">
        <f t="shared" si="45"/>
        <v/>
      </c>
      <c r="AF970" s="8" t="str">
        <f t="shared" si="46"/>
        <v/>
      </c>
      <c r="AG970" s="8" t="str">
        <f>IF(TRIM($E970)&lt;&gt;"Tax Paid","",IF(COUNTIFS(LISTS!$F$2:$F$26,$AE970,LISTS!$G$2:$G$26,$AF970)=0,"NOT ON LIST",""))</f>
        <v/>
      </c>
      <c r="AH970" s="8" t="str">
        <f t="shared" si="47"/>
        <v/>
      </c>
    </row>
    <row r="971" spans="31:34" x14ac:dyDescent="0.25">
      <c r="AE971" s="8" t="str">
        <f t="shared" si="45"/>
        <v/>
      </c>
      <c r="AF971" s="8" t="str">
        <f t="shared" si="46"/>
        <v/>
      </c>
      <c r="AG971" s="8" t="str">
        <f>IF(TRIM($E971)&lt;&gt;"Tax Paid","",IF(COUNTIFS(LISTS!$F$2:$F$26,$AE971,LISTS!$G$2:$G$26,$AF971)=0,"NOT ON LIST",""))</f>
        <v/>
      </c>
      <c r="AH971" s="8" t="str">
        <f t="shared" si="47"/>
        <v/>
      </c>
    </row>
    <row r="972" spans="31:34" x14ac:dyDescent="0.25">
      <c r="AE972" s="8" t="str">
        <f t="shared" si="45"/>
        <v/>
      </c>
      <c r="AF972" s="8" t="str">
        <f t="shared" si="46"/>
        <v/>
      </c>
      <c r="AG972" s="8" t="str">
        <f>IF(TRIM($E972)&lt;&gt;"Tax Paid","",IF(COUNTIFS(LISTS!$F$2:$F$26,$AE972,LISTS!$G$2:$G$26,$AF972)=0,"NOT ON LIST",""))</f>
        <v/>
      </c>
      <c r="AH972" s="8" t="str">
        <f t="shared" si="47"/>
        <v/>
      </c>
    </row>
    <row r="973" spans="31:34" x14ac:dyDescent="0.25">
      <c r="AE973" s="8" t="str">
        <f t="shared" si="45"/>
        <v/>
      </c>
      <c r="AF973" s="8" t="str">
        <f t="shared" si="46"/>
        <v/>
      </c>
      <c r="AG973" s="8" t="str">
        <f>IF(TRIM($E973)&lt;&gt;"Tax Paid","",IF(COUNTIFS(LISTS!$F$2:$F$26,$AE973,LISTS!$G$2:$G$26,$AF973)=0,"NOT ON LIST",""))</f>
        <v/>
      </c>
      <c r="AH973" s="8" t="str">
        <f t="shared" si="47"/>
        <v/>
      </c>
    </row>
    <row r="974" spans="31:34" x14ac:dyDescent="0.25">
      <c r="AE974" s="8" t="str">
        <f t="shared" si="45"/>
        <v/>
      </c>
      <c r="AF974" s="8" t="str">
        <f t="shared" si="46"/>
        <v/>
      </c>
      <c r="AG974" s="8" t="str">
        <f>IF(TRIM($E974)&lt;&gt;"Tax Paid","",IF(COUNTIFS(LISTS!$F$2:$F$26,$AE974,LISTS!$G$2:$G$26,$AF974)=0,"NOT ON LIST",""))</f>
        <v/>
      </c>
      <c r="AH974" s="8" t="str">
        <f t="shared" si="47"/>
        <v/>
      </c>
    </row>
    <row r="975" spans="31:34" x14ac:dyDescent="0.25">
      <c r="AE975" s="8" t="str">
        <f t="shared" si="45"/>
        <v/>
      </c>
      <c r="AF975" s="8" t="str">
        <f t="shared" si="46"/>
        <v/>
      </c>
      <c r="AG975" s="8" t="str">
        <f>IF(TRIM($E975)&lt;&gt;"Tax Paid","",IF(COUNTIFS(LISTS!$F$2:$F$26,$AE975,LISTS!$G$2:$G$26,$AF975)=0,"NOT ON LIST",""))</f>
        <v/>
      </c>
      <c r="AH975" s="8" t="str">
        <f t="shared" si="47"/>
        <v/>
      </c>
    </row>
    <row r="976" spans="31:34" x14ac:dyDescent="0.25">
      <c r="AE976" s="8" t="str">
        <f t="shared" si="45"/>
        <v/>
      </c>
      <c r="AF976" s="8" t="str">
        <f t="shared" si="46"/>
        <v/>
      </c>
      <c r="AG976" s="8" t="str">
        <f>IF(TRIM($E976)&lt;&gt;"Tax Paid","",IF(COUNTIFS(LISTS!$F$2:$F$26,$AE976,LISTS!$G$2:$G$26,$AF976)=0,"NOT ON LIST",""))</f>
        <v/>
      </c>
      <c r="AH976" s="8" t="str">
        <f t="shared" si="47"/>
        <v/>
      </c>
    </row>
    <row r="977" spans="31:34" x14ac:dyDescent="0.25">
      <c r="AE977" s="8" t="str">
        <f t="shared" si="45"/>
        <v/>
      </c>
      <c r="AF977" s="8" t="str">
        <f t="shared" si="46"/>
        <v/>
      </c>
      <c r="AG977" s="8" t="str">
        <f>IF(TRIM($E977)&lt;&gt;"Tax Paid","",IF(COUNTIFS(LISTS!$F$2:$F$26,$AE977,LISTS!$G$2:$G$26,$AF977)=0,"NOT ON LIST",""))</f>
        <v/>
      </c>
      <c r="AH977" s="8" t="str">
        <f t="shared" si="47"/>
        <v/>
      </c>
    </row>
    <row r="978" spans="31:34" x14ac:dyDescent="0.25">
      <c r="AE978" s="8" t="str">
        <f t="shared" si="45"/>
        <v/>
      </c>
      <c r="AF978" s="8" t="str">
        <f t="shared" si="46"/>
        <v/>
      </c>
      <c r="AG978" s="8" t="str">
        <f>IF(TRIM($E978)&lt;&gt;"Tax Paid","",IF(COUNTIFS(LISTS!$F$2:$F$26,$AE978,LISTS!$G$2:$G$26,$AF978)=0,"NOT ON LIST",""))</f>
        <v/>
      </c>
      <c r="AH978" s="8" t="str">
        <f t="shared" si="47"/>
        <v/>
      </c>
    </row>
    <row r="979" spans="31:34" x14ac:dyDescent="0.25">
      <c r="AE979" s="8" t="str">
        <f t="shared" si="45"/>
        <v/>
      </c>
      <c r="AF979" s="8" t="str">
        <f t="shared" si="46"/>
        <v/>
      </c>
      <c r="AG979" s="8" t="str">
        <f>IF(TRIM($E979)&lt;&gt;"Tax Paid","",IF(COUNTIFS(LISTS!$F$2:$F$26,$AE979,LISTS!$G$2:$G$26,$AF979)=0,"NOT ON LIST",""))</f>
        <v/>
      </c>
      <c r="AH979" s="8" t="str">
        <f t="shared" si="47"/>
        <v/>
      </c>
    </row>
    <row r="980" spans="31:34" x14ac:dyDescent="0.25">
      <c r="AE980" s="8" t="str">
        <f t="shared" si="45"/>
        <v/>
      </c>
      <c r="AF980" s="8" t="str">
        <f t="shared" si="46"/>
        <v/>
      </c>
      <c r="AG980" s="8" t="str">
        <f>IF(TRIM($E980)&lt;&gt;"Tax Paid","",IF(COUNTIFS(LISTS!$F$2:$F$26,$AE980,LISTS!$G$2:$G$26,$AF980)=0,"NOT ON LIST",""))</f>
        <v/>
      </c>
      <c r="AH980" s="8" t="str">
        <f t="shared" si="47"/>
        <v/>
      </c>
    </row>
    <row r="981" spans="31:34" x14ac:dyDescent="0.25">
      <c r="AE981" s="8" t="str">
        <f t="shared" si="45"/>
        <v/>
      </c>
      <c r="AF981" s="8" t="str">
        <f t="shared" si="46"/>
        <v/>
      </c>
      <c r="AG981" s="8" t="str">
        <f>IF(TRIM($E981)&lt;&gt;"Tax Paid","",IF(COUNTIFS(LISTS!$F$2:$F$26,$AE981,LISTS!$G$2:$G$26,$AF981)=0,"NOT ON LIST",""))</f>
        <v/>
      </c>
      <c r="AH981" s="8" t="str">
        <f t="shared" si="47"/>
        <v/>
      </c>
    </row>
    <row r="982" spans="31:34" x14ac:dyDescent="0.25">
      <c r="AE982" s="8" t="str">
        <f t="shared" si="45"/>
        <v/>
      </c>
      <c r="AF982" s="8" t="str">
        <f t="shared" si="46"/>
        <v/>
      </c>
      <c r="AG982" s="8" t="str">
        <f>IF(TRIM($E982)&lt;&gt;"Tax Paid","",IF(COUNTIFS(LISTS!$F$2:$F$26,$AE982,LISTS!$G$2:$G$26,$AF982)=0,"NOT ON LIST",""))</f>
        <v/>
      </c>
      <c r="AH982" s="8" t="str">
        <f t="shared" si="47"/>
        <v/>
      </c>
    </row>
    <row r="983" spans="31:34" x14ac:dyDescent="0.25">
      <c r="AE983" s="8" t="str">
        <f t="shared" si="45"/>
        <v/>
      </c>
      <c r="AF983" s="8" t="str">
        <f t="shared" si="46"/>
        <v/>
      </c>
      <c r="AG983" s="8" t="str">
        <f>IF(TRIM($E983)&lt;&gt;"Tax Paid","",IF(COUNTIFS(LISTS!$F$2:$F$26,$AE983,LISTS!$G$2:$G$26,$AF983)=0,"NOT ON LIST",""))</f>
        <v/>
      </c>
      <c r="AH983" s="8" t="str">
        <f t="shared" si="47"/>
        <v/>
      </c>
    </row>
    <row r="984" spans="31:34" x14ac:dyDescent="0.25">
      <c r="AE984" s="8" t="str">
        <f t="shared" si="45"/>
        <v/>
      </c>
      <c r="AF984" s="8" t="str">
        <f t="shared" si="46"/>
        <v/>
      </c>
      <c r="AG984" s="8" t="str">
        <f>IF(TRIM($E984)&lt;&gt;"Tax Paid","",IF(COUNTIFS(LISTS!$F$2:$F$26,$AE984,LISTS!$G$2:$G$26,$AF984)=0,"NOT ON LIST",""))</f>
        <v/>
      </c>
      <c r="AH984" s="8" t="str">
        <f t="shared" si="47"/>
        <v/>
      </c>
    </row>
    <row r="985" spans="31:34" x14ac:dyDescent="0.25">
      <c r="AE985" s="8" t="str">
        <f t="shared" si="45"/>
        <v/>
      </c>
      <c r="AF985" s="8" t="str">
        <f t="shared" si="46"/>
        <v/>
      </c>
      <c r="AG985" s="8" t="str">
        <f>IF(TRIM($E985)&lt;&gt;"Tax Paid","",IF(COUNTIFS(LISTS!$F$2:$F$26,$AE985,LISTS!$G$2:$G$26,$AF985)=0,"NOT ON LIST",""))</f>
        <v/>
      </c>
      <c r="AH985" s="8" t="str">
        <f t="shared" si="47"/>
        <v/>
      </c>
    </row>
    <row r="986" spans="31:34" x14ac:dyDescent="0.25">
      <c r="AE986" s="8" t="str">
        <f t="shared" si="45"/>
        <v/>
      </c>
      <c r="AF986" s="8" t="str">
        <f t="shared" si="46"/>
        <v/>
      </c>
      <c r="AG986" s="8" t="str">
        <f>IF(TRIM($E986)&lt;&gt;"Tax Paid","",IF(COUNTIFS(LISTS!$F$2:$F$26,$AE986,LISTS!$G$2:$G$26,$AF986)=0,"NOT ON LIST",""))</f>
        <v/>
      </c>
      <c r="AH986" s="8" t="str">
        <f t="shared" si="47"/>
        <v/>
      </c>
    </row>
    <row r="987" spans="31:34" x14ac:dyDescent="0.25">
      <c r="AE987" s="8" t="str">
        <f t="shared" si="45"/>
        <v/>
      </c>
      <c r="AF987" s="8" t="str">
        <f t="shared" si="46"/>
        <v/>
      </c>
      <c r="AG987" s="8" t="str">
        <f>IF(TRIM($E987)&lt;&gt;"Tax Paid","",IF(COUNTIFS(LISTS!$F$2:$F$26,$AE987,LISTS!$G$2:$G$26,$AF987)=0,"NOT ON LIST",""))</f>
        <v/>
      </c>
      <c r="AH987" s="8" t="str">
        <f t="shared" si="47"/>
        <v/>
      </c>
    </row>
    <row r="988" spans="31:34" x14ac:dyDescent="0.25">
      <c r="AE988" s="8" t="str">
        <f t="shared" si="45"/>
        <v/>
      </c>
      <c r="AF988" s="8" t="str">
        <f t="shared" si="46"/>
        <v/>
      </c>
      <c r="AG988" s="8" t="str">
        <f>IF(TRIM($E988)&lt;&gt;"Tax Paid","",IF(COUNTIFS(LISTS!$F$2:$F$26,$AE988,LISTS!$G$2:$G$26,$AF988)=0,"NOT ON LIST",""))</f>
        <v/>
      </c>
      <c r="AH988" s="8" t="str">
        <f t="shared" si="47"/>
        <v/>
      </c>
    </row>
    <row r="989" spans="31:34" x14ac:dyDescent="0.25">
      <c r="AE989" s="8" t="str">
        <f t="shared" si="45"/>
        <v/>
      </c>
      <c r="AF989" s="8" t="str">
        <f t="shared" si="46"/>
        <v/>
      </c>
      <c r="AG989" s="8" t="str">
        <f>IF(TRIM($E989)&lt;&gt;"Tax Paid","",IF(COUNTIFS(LISTS!$F$2:$F$26,$AE989,LISTS!$G$2:$G$26,$AF989)=0,"NOT ON LIST",""))</f>
        <v/>
      </c>
      <c r="AH989" s="8" t="str">
        <f t="shared" si="47"/>
        <v/>
      </c>
    </row>
    <row r="990" spans="31:34" x14ac:dyDescent="0.25">
      <c r="AE990" s="8" t="str">
        <f t="shared" si="45"/>
        <v/>
      </c>
      <c r="AF990" s="8" t="str">
        <f t="shared" si="46"/>
        <v/>
      </c>
      <c r="AG990" s="8" t="str">
        <f>IF(TRIM($E990)&lt;&gt;"Tax Paid","",IF(COUNTIFS(LISTS!$F$2:$F$26,$AE990,LISTS!$G$2:$G$26,$AF990)=0,"NOT ON LIST",""))</f>
        <v/>
      </c>
      <c r="AH990" s="8" t="str">
        <f t="shared" si="47"/>
        <v/>
      </c>
    </row>
    <row r="991" spans="31:34" x14ac:dyDescent="0.25">
      <c r="AE991" s="8" t="str">
        <f t="shared" si="45"/>
        <v/>
      </c>
      <c r="AF991" s="8" t="str">
        <f t="shared" si="46"/>
        <v/>
      </c>
      <c r="AG991" s="8" t="str">
        <f>IF(TRIM($E991)&lt;&gt;"Tax Paid","",IF(COUNTIFS(LISTS!$F$2:$F$26,$AE991,LISTS!$G$2:$G$26,$AF991)=0,"NOT ON LIST",""))</f>
        <v/>
      </c>
      <c r="AH991" s="8" t="str">
        <f t="shared" si="47"/>
        <v/>
      </c>
    </row>
    <row r="992" spans="31:34" x14ac:dyDescent="0.25">
      <c r="AE992" s="8" t="str">
        <f t="shared" si="45"/>
        <v/>
      </c>
      <c r="AF992" s="8" t="str">
        <f t="shared" si="46"/>
        <v/>
      </c>
      <c r="AG992" s="8" t="str">
        <f>IF(TRIM($E992)&lt;&gt;"Tax Paid","",IF(COUNTIFS(LISTS!$F$2:$F$26,$AE992,LISTS!$G$2:$G$26,$AF992)=0,"NOT ON LIST",""))</f>
        <v/>
      </c>
      <c r="AH992" s="8" t="str">
        <f t="shared" si="47"/>
        <v/>
      </c>
    </row>
    <row r="993" spans="31:34" x14ac:dyDescent="0.25">
      <c r="AE993" s="8" t="str">
        <f t="shared" si="45"/>
        <v/>
      </c>
      <c r="AF993" s="8" t="str">
        <f t="shared" si="46"/>
        <v/>
      </c>
      <c r="AG993" s="8" t="str">
        <f>IF(TRIM($E993)&lt;&gt;"Tax Paid","",IF(COUNTIFS(LISTS!$F$2:$F$26,$AE993,LISTS!$G$2:$G$26,$AF993)=0,"NOT ON LIST",""))</f>
        <v/>
      </c>
      <c r="AH993" s="8" t="str">
        <f t="shared" si="47"/>
        <v/>
      </c>
    </row>
    <row r="994" spans="31:34" x14ac:dyDescent="0.25">
      <c r="AE994" s="8" t="str">
        <f t="shared" si="45"/>
        <v/>
      </c>
      <c r="AF994" s="8" t="str">
        <f t="shared" si="46"/>
        <v/>
      </c>
      <c r="AG994" s="8" t="str">
        <f>IF(TRIM($E994)&lt;&gt;"Tax Paid","",IF(COUNTIFS(LISTS!$F$2:$F$26,$AE994,LISTS!$G$2:$G$26,$AF994)=0,"NOT ON LIST",""))</f>
        <v/>
      </c>
      <c r="AH994" s="8" t="str">
        <f t="shared" si="47"/>
        <v/>
      </c>
    </row>
    <row r="995" spans="31:34" x14ac:dyDescent="0.25">
      <c r="AE995" s="8" t="str">
        <f t="shared" si="45"/>
        <v/>
      </c>
      <c r="AF995" s="8" t="str">
        <f t="shared" si="46"/>
        <v/>
      </c>
      <c r="AG995" s="8" t="str">
        <f>IF(TRIM($E995)&lt;&gt;"Tax Paid","",IF(COUNTIFS(LISTS!$F$2:$F$26,$AE995,LISTS!$G$2:$G$26,$AF995)=0,"NOT ON LIST",""))</f>
        <v/>
      </c>
      <c r="AH995" s="8" t="str">
        <f t="shared" si="47"/>
        <v/>
      </c>
    </row>
    <row r="996" spans="31:34" x14ac:dyDescent="0.25">
      <c r="AE996" s="8" t="str">
        <f t="shared" si="45"/>
        <v/>
      </c>
      <c r="AF996" s="8" t="str">
        <f t="shared" si="46"/>
        <v/>
      </c>
      <c r="AG996" s="8" t="str">
        <f>IF(TRIM($E996)&lt;&gt;"Tax Paid","",IF(COUNTIFS(LISTS!$F$2:$F$26,$AE996,LISTS!$G$2:$G$26,$AF996)=0,"NOT ON LIST",""))</f>
        <v/>
      </c>
      <c r="AH996" s="8" t="str">
        <f t="shared" si="47"/>
        <v/>
      </c>
    </row>
    <row r="997" spans="31:34" x14ac:dyDescent="0.25">
      <c r="AE997" s="8" t="str">
        <f t="shared" si="45"/>
        <v/>
      </c>
      <c r="AF997" s="8" t="str">
        <f t="shared" si="46"/>
        <v/>
      </c>
      <c r="AG997" s="8" t="str">
        <f>IF(TRIM($E997)&lt;&gt;"Tax Paid","",IF(COUNTIFS(LISTS!$F$2:$F$26,$AE997,LISTS!$G$2:$G$26,$AF997)=0,"NOT ON LIST",""))</f>
        <v/>
      </c>
      <c r="AH997" s="8" t="str">
        <f t="shared" si="47"/>
        <v/>
      </c>
    </row>
    <row r="998" spans="31:34" x14ac:dyDescent="0.25">
      <c r="AE998" s="8" t="str">
        <f t="shared" si="45"/>
        <v/>
      </c>
      <c r="AF998" s="8" t="str">
        <f t="shared" si="46"/>
        <v/>
      </c>
      <c r="AG998" s="8" t="str">
        <f>IF(TRIM($E998)&lt;&gt;"Tax Paid","",IF(COUNTIFS(LISTS!$F$2:$F$26,$AE998,LISTS!$G$2:$G$26,$AF998)=0,"NOT ON LIST",""))</f>
        <v/>
      </c>
      <c r="AH998" s="8" t="str">
        <f t="shared" si="47"/>
        <v/>
      </c>
    </row>
    <row r="999" spans="31:34" x14ac:dyDescent="0.25">
      <c r="AE999" s="8" t="str">
        <f t="shared" si="45"/>
        <v/>
      </c>
      <c r="AF999" s="8" t="str">
        <f t="shared" si="46"/>
        <v/>
      </c>
      <c r="AG999" s="8" t="str">
        <f>IF(TRIM($E999)&lt;&gt;"Tax Paid","",IF(COUNTIFS(LISTS!$F$2:$F$26,$AE999,LISTS!$G$2:$G$26,$AF999)=0,"NOT ON LIST",""))</f>
        <v/>
      </c>
      <c r="AH999" s="8" t="str">
        <f t="shared" si="47"/>
        <v/>
      </c>
    </row>
    <row r="1000" spans="31:34" x14ac:dyDescent="0.25">
      <c r="AE1000" s="8" t="str">
        <f t="shared" si="45"/>
        <v/>
      </c>
      <c r="AF1000" s="8" t="str">
        <f t="shared" si="46"/>
        <v/>
      </c>
      <c r="AG1000" s="8" t="str">
        <f>IF(TRIM($E1000)&lt;&gt;"Tax Paid","",IF(COUNTIFS(LISTS!$F$2:$F$26,$AE1000,LISTS!$G$2:$G$26,$AF1000)=0,"NOT ON LIST",""))</f>
        <v/>
      </c>
      <c r="AH1000" s="8" t="str">
        <f t="shared" si="47"/>
        <v/>
      </c>
    </row>
    <row r="1001" spans="31:34" x14ac:dyDescent="0.25">
      <c r="AE1001" s="8" t="str">
        <f t="shared" si="45"/>
        <v/>
      </c>
      <c r="AF1001" s="8" t="str">
        <f t="shared" si="46"/>
        <v/>
      </c>
      <c r="AG1001" s="8" t="str">
        <f>IF(TRIM($E1001)&lt;&gt;"Tax Paid","",IF(COUNTIFS(LISTS!$F$2:$F$26,$AE1001,LISTS!$G$2:$G$26,$AF1001)=0,"NOT ON LIST",""))</f>
        <v/>
      </c>
      <c r="AH1001" s="8" t="str">
        <f t="shared" si="47"/>
        <v/>
      </c>
    </row>
    <row r="1002" spans="31:34" x14ac:dyDescent="0.25">
      <c r="AE1002" s="8" t="str">
        <f t="shared" si="45"/>
        <v/>
      </c>
      <c r="AF1002" s="8" t="str">
        <f t="shared" si="46"/>
        <v/>
      </c>
      <c r="AG1002" s="8" t="str">
        <f>IF(TRIM($E1002)&lt;&gt;"Tax Paid","",IF(COUNTIFS(LISTS!$F$2:$F$26,$AE1002,LISTS!$G$2:$G$26,$AF1002)=0,"NOT ON LIST",""))</f>
        <v/>
      </c>
      <c r="AH1002" s="8" t="str">
        <f t="shared" si="47"/>
        <v/>
      </c>
    </row>
    <row r="1003" spans="31:34" x14ac:dyDescent="0.25">
      <c r="AE1003" s="8" t="str">
        <f t="shared" si="45"/>
        <v/>
      </c>
      <c r="AF1003" s="8" t="str">
        <f t="shared" si="46"/>
        <v/>
      </c>
      <c r="AG1003" s="8" t="str">
        <f>IF(TRIM($E1003)&lt;&gt;"Tax Paid","",IF(COUNTIFS(LISTS!$F$2:$F$26,$AE1003,LISTS!$G$2:$G$26,$AF1003)=0,"NOT ON LIST",""))</f>
        <v/>
      </c>
      <c r="AH1003" s="8" t="str">
        <f t="shared" si="47"/>
        <v/>
      </c>
    </row>
    <row r="1004" spans="31:34" x14ac:dyDescent="0.25">
      <c r="AE1004" s="8" t="str">
        <f t="shared" si="45"/>
        <v/>
      </c>
      <c r="AF1004" s="8" t="str">
        <f t="shared" si="46"/>
        <v/>
      </c>
      <c r="AG1004" s="8" t="str">
        <f>IF(TRIM($E1004)&lt;&gt;"Tax Paid","",IF(COUNTIFS(LISTS!$F$2:$F$26,$AE1004,LISTS!$G$2:$G$26,$AF1004)=0,"NOT ON LIST",""))</f>
        <v/>
      </c>
      <c r="AH1004" s="8" t="str">
        <f t="shared" si="47"/>
        <v/>
      </c>
    </row>
    <row r="1005" spans="31:34" x14ac:dyDescent="0.25">
      <c r="AE1005" s="8" t="str">
        <f t="shared" si="45"/>
        <v/>
      </c>
      <c r="AF1005" s="8" t="str">
        <f t="shared" si="46"/>
        <v/>
      </c>
      <c r="AG1005" s="8" t="str">
        <f>IF(TRIM($E1005)&lt;&gt;"Tax Paid","",IF(COUNTIFS(LISTS!$F$2:$F$26,$AE1005,LISTS!$G$2:$G$26,$AF1005)=0,"NOT ON LIST",""))</f>
        <v/>
      </c>
      <c r="AH1005" s="8" t="str">
        <f t="shared" si="47"/>
        <v/>
      </c>
    </row>
    <row r="1006" spans="31:34" x14ac:dyDescent="0.25">
      <c r="AE1006" s="8" t="str">
        <f t="shared" si="45"/>
        <v/>
      </c>
      <c r="AF1006" s="8" t="str">
        <f t="shared" si="46"/>
        <v/>
      </c>
      <c r="AG1006" s="8" t="str">
        <f>IF(TRIM($E1006)&lt;&gt;"Tax Paid","",IF(COUNTIFS(LISTS!$F$2:$F$26,$AE1006,LISTS!$G$2:$G$26,$AF1006)=0,"NOT ON LIST",""))</f>
        <v/>
      </c>
      <c r="AH1006" s="8" t="str">
        <f t="shared" si="47"/>
        <v/>
      </c>
    </row>
    <row r="1007" spans="31:34" x14ac:dyDescent="0.25">
      <c r="AE1007" s="8" t="str">
        <f t="shared" si="45"/>
        <v/>
      </c>
      <c r="AF1007" s="8" t="str">
        <f t="shared" si="46"/>
        <v/>
      </c>
      <c r="AG1007" s="8" t="str">
        <f>IF(TRIM($E1007)&lt;&gt;"Tax Paid","",IF(COUNTIFS(LISTS!$F$2:$F$26,$AE1007,LISTS!$G$2:$G$26,$AF1007)=0,"NOT ON LIST",""))</f>
        <v/>
      </c>
      <c r="AH1007" s="8" t="str">
        <f t="shared" si="47"/>
        <v/>
      </c>
    </row>
    <row r="1008" spans="31:34" x14ac:dyDescent="0.25">
      <c r="AE1008" s="8" t="str">
        <f t="shared" si="45"/>
        <v/>
      </c>
      <c r="AF1008" s="8" t="str">
        <f t="shared" si="46"/>
        <v/>
      </c>
      <c r="AG1008" s="8" t="str">
        <f>IF(TRIM($E1008)&lt;&gt;"Tax Paid","",IF(COUNTIFS(LISTS!$F$2:$F$26,$AE1008,LISTS!$G$2:$G$26,$AF1008)=0,"NOT ON LIST",""))</f>
        <v/>
      </c>
      <c r="AH1008" s="8" t="str">
        <f t="shared" si="47"/>
        <v/>
      </c>
    </row>
    <row r="1009" spans="31:34" x14ac:dyDescent="0.25">
      <c r="AE1009" s="8" t="str">
        <f t="shared" si="45"/>
        <v/>
      </c>
      <c r="AF1009" s="8" t="str">
        <f t="shared" si="46"/>
        <v/>
      </c>
      <c r="AG1009" s="8" t="str">
        <f>IF(TRIM($E1009)&lt;&gt;"Tax Paid","",IF(COUNTIFS(LISTS!$F$2:$F$26,$AE1009,LISTS!$G$2:$G$26,$AF1009)=0,"NOT ON LIST",""))</f>
        <v/>
      </c>
      <c r="AH1009" s="8" t="str">
        <f t="shared" si="47"/>
        <v/>
      </c>
    </row>
    <row r="1010" spans="31:34" x14ac:dyDescent="0.25">
      <c r="AE1010" s="8" t="str">
        <f t="shared" si="45"/>
        <v/>
      </c>
      <c r="AF1010" s="8" t="str">
        <f t="shared" si="46"/>
        <v/>
      </c>
      <c r="AG1010" s="8" t="str">
        <f>IF(TRIM($E1010)&lt;&gt;"Tax Paid","",IF(COUNTIFS(LISTS!$F$2:$F$26,$AE1010,LISTS!$G$2:$G$26,$AF1010)=0,"NOT ON LIST",""))</f>
        <v/>
      </c>
      <c r="AH1010" s="8" t="str">
        <f t="shared" si="47"/>
        <v/>
      </c>
    </row>
    <row r="1011" spans="31:34" x14ac:dyDescent="0.25">
      <c r="AE1011" s="8" t="str">
        <f t="shared" si="45"/>
        <v/>
      </c>
      <c r="AF1011" s="8" t="str">
        <f t="shared" si="46"/>
        <v/>
      </c>
      <c r="AG1011" s="8" t="str">
        <f>IF(TRIM($E1011)&lt;&gt;"Tax Paid","",IF(COUNTIFS(LISTS!$F$2:$F$26,$AE1011,LISTS!$G$2:$G$26,$AF1011)=0,"NOT ON LIST",""))</f>
        <v/>
      </c>
      <c r="AH1011" s="8" t="str">
        <f t="shared" si="47"/>
        <v/>
      </c>
    </row>
    <row r="1012" spans="31:34" x14ac:dyDescent="0.25">
      <c r="AE1012" s="8" t="str">
        <f t="shared" si="45"/>
        <v/>
      </c>
      <c r="AF1012" s="8" t="str">
        <f t="shared" si="46"/>
        <v/>
      </c>
      <c r="AG1012" s="8" t="str">
        <f>IF(TRIM($E1012)&lt;&gt;"Tax Paid","",IF(COUNTIFS(LISTS!$F$2:$F$26,$AE1012,LISTS!$G$2:$G$26,$AF1012)=0,"NOT ON LIST",""))</f>
        <v/>
      </c>
      <c r="AH1012" s="8" t="str">
        <f t="shared" si="47"/>
        <v/>
      </c>
    </row>
    <row r="1013" spans="31:34" x14ac:dyDescent="0.25">
      <c r="AE1013" s="8" t="str">
        <f t="shared" si="45"/>
        <v/>
      </c>
      <c r="AF1013" s="8" t="str">
        <f t="shared" si="46"/>
        <v/>
      </c>
      <c r="AG1013" s="8" t="str">
        <f>IF(TRIM($E1013)&lt;&gt;"Tax Paid","",IF(COUNTIFS(LISTS!$F$2:$F$26,$AE1013,LISTS!$G$2:$G$26,$AF1013)=0,"NOT ON LIST",""))</f>
        <v/>
      </c>
      <c r="AH1013" s="8" t="str">
        <f t="shared" si="47"/>
        <v/>
      </c>
    </row>
    <row r="1014" spans="31:34" x14ac:dyDescent="0.25">
      <c r="AE1014" s="8" t="str">
        <f t="shared" si="45"/>
        <v/>
      </c>
      <c r="AF1014" s="8" t="str">
        <f t="shared" si="46"/>
        <v/>
      </c>
      <c r="AG1014" s="8" t="str">
        <f>IF(TRIM($E1014)&lt;&gt;"Tax Paid","",IF(COUNTIFS(LISTS!$F$2:$F$26,$AE1014,LISTS!$G$2:$G$26,$AF1014)=0,"NOT ON LIST",""))</f>
        <v/>
      </c>
      <c r="AH1014" s="8" t="str">
        <f t="shared" si="47"/>
        <v/>
      </c>
    </row>
    <row r="1015" spans="31:34" x14ac:dyDescent="0.25">
      <c r="AE1015" s="8" t="str">
        <f t="shared" si="45"/>
        <v/>
      </c>
      <c r="AF1015" s="8" t="str">
        <f t="shared" si="46"/>
        <v/>
      </c>
      <c r="AG1015" s="8" t="str">
        <f>IF(TRIM($E1015)&lt;&gt;"Tax Paid","",IF(COUNTIFS(LISTS!$F$2:$F$26,$AE1015,LISTS!$G$2:$G$26,$AF1015)=0,"NOT ON LIST",""))</f>
        <v/>
      </c>
      <c r="AH1015" s="8" t="str">
        <f t="shared" si="47"/>
        <v/>
      </c>
    </row>
    <row r="1016" spans="31:34" x14ac:dyDescent="0.25">
      <c r="AE1016" s="8" t="str">
        <f t="shared" si="45"/>
        <v/>
      </c>
      <c r="AF1016" s="8" t="str">
        <f t="shared" si="46"/>
        <v/>
      </c>
      <c r="AG1016" s="8" t="str">
        <f>IF(TRIM($E1016)&lt;&gt;"Tax Paid","",IF(COUNTIFS(LISTS!$F$2:$F$26,$AE1016,LISTS!$G$2:$G$26,$AF1016)=0,"NOT ON LIST",""))</f>
        <v/>
      </c>
      <c r="AH1016" s="8" t="str">
        <f t="shared" si="47"/>
        <v/>
      </c>
    </row>
    <row r="1017" spans="31:34" x14ac:dyDescent="0.25">
      <c r="AE1017" s="8" t="str">
        <f t="shared" si="45"/>
        <v/>
      </c>
      <c r="AF1017" s="8" t="str">
        <f t="shared" si="46"/>
        <v/>
      </c>
      <c r="AG1017" s="8" t="str">
        <f>IF(TRIM($E1017)&lt;&gt;"Tax Paid","",IF(COUNTIFS(LISTS!$F$2:$F$26,$AE1017,LISTS!$G$2:$G$26,$AF1017)=0,"NOT ON LIST",""))</f>
        <v/>
      </c>
      <c r="AH1017" s="8" t="str">
        <f t="shared" si="47"/>
        <v/>
      </c>
    </row>
    <row r="1018" spans="31:34" x14ac:dyDescent="0.25">
      <c r="AE1018" s="8" t="str">
        <f t="shared" si="45"/>
        <v/>
      </c>
      <c r="AF1018" s="8" t="str">
        <f t="shared" si="46"/>
        <v/>
      </c>
      <c r="AG1018" s="8" t="str">
        <f>IF(TRIM($E1018)&lt;&gt;"Tax Paid","",IF(COUNTIFS(LISTS!$F$2:$F$26,$AE1018,LISTS!$G$2:$G$26,$AF1018)=0,"NOT ON LIST",""))</f>
        <v/>
      </c>
      <c r="AH1018" s="8" t="str">
        <f t="shared" si="47"/>
        <v/>
      </c>
    </row>
    <row r="1019" spans="31:34" x14ac:dyDescent="0.25">
      <c r="AE1019" s="8" t="str">
        <f t="shared" si="45"/>
        <v/>
      </c>
      <c r="AF1019" s="8" t="str">
        <f t="shared" si="46"/>
        <v/>
      </c>
      <c r="AG1019" s="8" t="str">
        <f>IF(TRIM($E1019)&lt;&gt;"Tax Paid","",IF(COUNTIFS(LISTS!$F$2:$F$26,$AE1019,LISTS!$G$2:$G$26,$AF1019)=0,"NOT ON LIST",""))</f>
        <v/>
      </c>
      <c r="AH1019" s="8" t="str">
        <f t="shared" si="47"/>
        <v/>
      </c>
    </row>
    <row r="1020" spans="31:34" x14ac:dyDescent="0.25">
      <c r="AE1020" s="8" t="str">
        <f t="shared" si="45"/>
        <v/>
      </c>
      <c r="AF1020" s="8" t="str">
        <f t="shared" si="46"/>
        <v/>
      </c>
      <c r="AG1020" s="8" t="str">
        <f>IF(TRIM($E1020)&lt;&gt;"Tax Paid","",IF(COUNTIFS(LISTS!$F$2:$F$26,$AE1020,LISTS!$G$2:$G$26,$AF1020)=0,"NOT ON LIST",""))</f>
        <v/>
      </c>
      <c r="AH1020" s="8" t="str">
        <f t="shared" si="47"/>
        <v/>
      </c>
    </row>
    <row r="1021" spans="31:34" x14ac:dyDescent="0.25">
      <c r="AE1021" s="8" t="str">
        <f t="shared" si="45"/>
        <v/>
      </c>
      <c r="AF1021" s="8" t="str">
        <f t="shared" si="46"/>
        <v/>
      </c>
      <c r="AG1021" s="8" t="str">
        <f>IF(TRIM($E1021)&lt;&gt;"Tax Paid","",IF(COUNTIFS(LISTS!$F$2:$F$26,$AE1021,LISTS!$G$2:$G$26,$AF1021)=0,"NOT ON LIST",""))</f>
        <v/>
      </c>
      <c r="AH1021" s="8" t="str">
        <f t="shared" si="47"/>
        <v/>
      </c>
    </row>
    <row r="1022" spans="31:34" x14ac:dyDescent="0.25">
      <c r="AE1022" s="8" t="str">
        <f t="shared" si="45"/>
        <v/>
      </c>
      <c r="AF1022" s="8" t="str">
        <f t="shared" si="46"/>
        <v/>
      </c>
      <c r="AG1022" s="8" t="str">
        <f>IF(TRIM($E1022)&lt;&gt;"Tax Paid","",IF(COUNTIFS(LISTS!$F$2:$F$26,$AE1022,LISTS!$G$2:$G$26,$AF1022)=0,"NOT ON LIST",""))</f>
        <v/>
      </c>
      <c r="AH1022" s="8" t="str">
        <f t="shared" si="47"/>
        <v/>
      </c>
    </row>
    <row r="1023" spans="31:34" x14ac:dyDescent="0.25">
      <c r="AE1023" s="8" t="str">
        <f t="shared" si="45"/>
        <v/>
      </c>
      <c r="AF1023" s="8" t="str">
        <f t="shared" si="46"/>
        <v/>
      </c>
      <c r="AG1023" s="8" t="str">
        <f>IF(TRIM($E1023)&lt;&gt;"Tax Paid","",IF(COUNTIFS(LISTS!$F$2:$F$26,$AE1023,LISTS!$G$2:$G$26,$AF1023)=0,"NOT ON LIST",""))</f>
        <v/>
      </c>
      <c r="AH1023" s="8" t="str">
        <f t="shared" si="47"/>
        <v/>
      </c>
    </row>
    <row r="1024" spans="31:34" x14ac:dyDescent="0.25">
      <c r="AE1024" s="8" t="str">
        <f t="shared" si="45"/>
        <v/>
      </c>
      <c r="AF1024" s="8" t="str">
        <f t="shared" si="46"/>
        <v/>
      </c>
      <c r="AG1024" s="8" t="str">
        <f>IF(TRIM($E1024)&lt;&gt;"Tax Paid","",IF(COUNTIFS(LISTS!$F$2:$F$26,$AE1024,LISTS!$G$2:$G$26,$AF1024)=0,"NOT ON LIST",""))</f>
        <v/>
      </c>
      <c r="AH1024" s="8" t="str">
        <f t="shared" si="47"/>
        <v/>
      </c>
    </row>
    <row r="1025" spans="31:34" x14ac:dyDescent="0.25">
      <c r="AE1025" s="8" t="str">
        <f t="shared" si="45"/>
        <v/>
      </c>
      <c r="AF1025" s="8" t="str">
        <f t="shared" si="46"/>
        <v/>
      </c>
      <c r="AG1025" s="8" t="str">
        <f>IF(TRIM($E1025)&lt;&gt;"Tax Paid","",IF(COUNTIFS(LISTS!$F$2:$F$26,$AE1025,LISTS!$G$2:$G$26,$AF1025)=0,"NOT ON LIST",""))</f>
        <v/>
      </c>
      <c r="AH1025" s="8" t="str">
        <f t="shared" si="47"/>
        <v/>
      </c>
    </row>
    <row r="1026" spans="31:34" x14ac:dyDescent="0.25">
      <c r="AE1026" s="8" t="str">
        <f t="shared" ref="AE1026:AE1089" si="48">IF(TRIM($E1026)="Tax Paid",TRIM($S1026),"")</f>
        <v/>
      </c>
      <c r="AF1026" s="8" t="str">
        <f t="shared" ref="AF1026:AF1089" si="49">IF(TRIM($E1026)="Tax Paid",ROUND($Z1026/100,5),"")</f>
        <v/>
      </c>
      <c r="AG1026" s="8" t="str">
        <f>IF(TRIM($E1026)&lt;&gt;"Tax Paid","",IF(COUNTIFS(LISTS!$F$2:$F$26,$AE1026,LISTS!$G$2:$G$26,$AF1026)=0,"NOT ON LIST",""))</f>
        <v/>
      </c>
      <c r="AH1026" s="8" t="str">
        <f t="shared" ref="AH1026:AH1089" si="50">IF($AG1026="","",IF($AE1026="","(no county)",$AE1026)&amp;" ("&amp;SUBSTITUTE(TEXT($AF1026,"0.###%"),".%","%")&amp;")")</f>
        <v/>
      </c>
    </row>
    <row r="1027" spans="31:34" x14ac:dyDescent="0.25">
      <c r="AE1027" s="8" t="str">
        <f t="shared" si="48"/>
        <v/>
      </c>
      <c r="AF1027" s="8" t="str">
        <f t="shared" si="49"/>
        <v/>
      </c>
      <c r="AG1027" s="8" t="str">
        <f>IF(TRIM($E1027)&lt;&gt;"Tax Paid","",IF(COUNTIFS(LISTS!$F$2:$F$26,$AE1027,LISTS!$G$2:$G$26,$AF1027)=0,"NOT ON LIST",""))</f>
        <v/>
      </c>
      <c r="AH1027" s="8" t="str">
        <f t="shared" si="50"/>
        <v/>
      </c>
    </row>
    <row r="1028" spans="31:34" x14ac:dyDescent="0.25">
      <c r="AE1028" s="8" t="str">
        <f t="shared" si="48"/>
        <v/>
      </c>
      <c r="AF1028" s="8" t="str">
        <f t="shared" si="49"/>
        <v/>
      </c>
      <c r="AG1028" s="8" t="str">
        <f>IF(TRIM($E1028)&lt;&gt;"Tax Paid","",IF(COUNTIFS(LISTS!$F$2:$F$26,$AE1028,LISTS!$G$2:$G$26,$AF1028)=0,"NOT ON LIST",""))</f>
        <v/>
      </c>
      <c r="AH1028" s="8" t="str">
        <f t="shared" si="50"/>
        <v/>
      </c>
    </row>
    <row r="1029" spans="31:34" x14ac:dyDescent="0.25">
      <c r="AE1029" s="8" t="str">
        <f t="shared" si="48"/>
        <v/>
      </c>
      <c r="AF1029" s="8" t="str">
        <f t="shared" si="49"/>
        <v/>
      </c>
      <c r="AG1029" s="8" t="str">
        <f>IF(TRIM($E1029)&lt;&gt;"Tax Paid","",IF(COUNTIFS(LISTS!$F$2:$F$26,$AE1029,LISTS!$G$2:$G$26,$AF1029)=0,"NOT ON LIST",""))</f>
        <v/>
      </c>
      <c r="AH1029" s="8" t="str">
        <f t="shared" si="50"/>
        <v/>
      </c>
    </row>
    <row r="1030" spans="31:34" x14ac:dyDescent="0.25">
      <c r="AE1030" s="8" t="str">
        <f t="shared" si="48"/>
        <v/>
      </c>
      <c r="AF1030" s="8" t="str">
        <f t="shared" si="49"/>
        <v/>
      </c>
      <c r="AG1030" s="8" t="str">
        <f>IF(TRIM($E1030)&lt;&gt;"Tax Paid","",IF(COUNTIFS(LISTS!$F$2:$F$26,$AE1030,LISTS!$G$2:$G$26,$AF1030)=0,"NOT ON LIST",""))</f>
        <v/>
      </c>
      <c r="AH1030" s="8" t="str">
        <f t="shared" si="50"/>
        <v/>
      </c>
    </row>
    <row r="1031" spans="31:34" x14ac:dyDescent="0.25">
      <c r="AE1031" s="8" t="str">
        <f t="shared" si="48"/>
        <v/>
      </c>
      <c r="AF1031" s="8" t="str">
        <f t="shared" si="49"/>
        <v/>
      </c>
      <c r="AG1031" s="8" t="str">
        <f>IF(TRIM($E1031)&lt;&gt;"Tax Paid","",IF(COUNTIFS(LISTS!$F$2:$F$26,$AE1031,LISTS!$G$2:$G$26,$AF1031)=0,"NOT ON LIST",""))</f>
        <v/>
      </c>
      <c r="AH1031" s="8" t="str">
        <f t="shared" si="50"/>
        <v/>
      </c>
    </row>
    <row r="1032" spans="31:34" x14ac:dyDescent="0.25">
      <c r="AE1032" s="8" t="str">
        <f t="shared" si="48"/>
        <v/>
      </c>
      <c r="AF1032" s="8" t="str">
        <f t="shared" si="49"/>
        <v/>
      </c>
      <c r="AG1032" s="8" t="str">
        <f>IF(TRIM($E1032)&lt;&gt;"Tax Paid","",IF(COUNTIFS(LISTS!$F$2:$F$26,$AE1032,LISTS!$G$2:$G$26,$AF1032)=0,"NOT ON LIST",""))</f>
        <v/>
      </c>
      <c r="AH1032" s="8" t="str">
        <f t="shared" si="50"/>
        <v/>
      </c>
    </row>
    <row r="1033" spans="31:34" x14ac:dyDescent="0.25">
      <c r="AE1033" s="8" t="str">
        <f t="shared" si="48"/>
        <v/>
      </c>
      <c r="AF1033" s="8" t="str">
        <f t="shared" si="49"/>
        <v/>
      </c>
      <c r="AG1033" s="8" t="str">
        <f>IF(TRIM($E1033)&lt;&gt;"Tax Paid","",IF(COUNTIFS(LISTS!$F$2:$F$26,$AE1033,LISTS!$G$2:$G$26,$AF1033)=0,"NOT ON LIST",""))</f>
        <v/>
      </c>
      <c r="AH1033" s="8" t="str">
        <f t="shared" si="50"/>
        <v/>
      </c>
    </row>
    <row r="1034" spans="31:34" x14ac:dyDescent="0.25">
      <c r="AE1034" s="8" t="str">
        <f t="shared" si="48"/>
        <v/>
      </c>
      <c r="AF1034" s="8" t="str">
        <f t="shared" si="49"/>
        <v/>
      </c>
      <c r="AG1034" s="8" t="str">
        <f>IF(TRIM($E1034)&lt;&gt;"Tax Paid","",IF(COUNTIFS(LISTS!$F$2:$F$26,$AE1034,LISTS!$G$2:$G$26,$AF1034)=0,"NOT ON LIST",""))</f>
        <v/>
      </c>
      <c r="AH1034" s="8" t="str">
        <f t="shared" si="50"/>
        <v/>
      </c>
    </row>
    <row r="1035" spans="31:34" x14ac:dyDescent="0.25">
      <c r="AE1035" s="8" t="str">
        <f t="shared" si="48"/>
        <v/>
      </c>
      <c r="AF1035" s="8" t="str">
        <f t="shared" si="49"/>
        <v/>
      </c>
      <c r="AG1035" s="8" t="str">
        <f>IF(TRIM($E1035)&lt;&gt;"Tax Paid","",IF(COUNTIFS(LISTS!$F$2:$F$26,$AE1035,LISTS!$G$2:$G$26,$AF1035)=0,"NOT ON LIST",""))</f>
        <v/>
      </c>
      <c r="AH1035" s="8" t="str">
        <f t="shared" si="50"/>
        <v/>
      </c>
    </row>
    <row r="1036" spans="31:34" x14ac:dyDescent="0.25">
      <c r="AE1036" s="8" t="str">
        <f t="shared" si="48"/>
        <v/>
      </c>
      <c r="AF1036" s="8" t="str">
        <f t="shared" si="49"/>
        <v/>
      </c>
      <c r="AG1036" s="8" t="str">
        <f>IF(TRIM($E1036)&lt;&gt;"Tax Paid","",IF(COUNTIFS(LISTS!$F$2:$F$26,$AE1036,LISTS!$G$2:$G$26,$AF1036)=0,"NOT ON LIST",""))</f>
        <v/>
      </c>
      <c r="AH1036" s="8" t="str">
        <f t="shared" si="50"/>
        <v/>
      </c>
    </row>
    <row r="1037" spans="31:34" x14ac:dyDescent="0.25">
      <c r="AE1037" s="8" t="str">
        <f t="shared" si="48"/>
        <v/>
      </c>
      <c r="AF1037" s="8" t="str">
        <f t="shared" si="49"/>
        <v/>
      </c>
      <c r="AG1037" s="8" t="str">
        <f>IF(TRIM($E1037)&lt;&gt;"Tax Paid","",IF(COUNTIFS(LISTS!$F$2:$F$26,$AE1037,LISTS!$G$2:$G$26,$AF1037)=0,"NOT ON LIST",""))</f>
        <v/>
      </c>
      <c r="AH1037" s="8" t="str">
        <f t="shared" si="50"/>
        <v/>
      </c>
    </row>
    <row r="1038" spans="31:34" x14ac:dyDescent="0.25">
      <c r="AE1038" s="8" t="str">
        <f t="shared" si="48"/>
        <v/>
      </c>
      <c r="AF1038" s="8" t="str">
        <f t="shared" si="49"/>
        <v/>
      </c>
      <c r="AG1038" s="8" t="str">
        <f>IF(TRIM($E1038)&lt;&gt;"Tax Paid","",IF(COUNTIFS(LISTS!$F$2:$F$26,$AE1038,LISTS!$G$2:$G$26,$AF1038)=0,"NOT ON LIST",""))</f>
        <v/>
      </c>
      <c r="AH1038" s="8" t="str">
        <f t="shared" si="50"/>
        <v/>
      </c>
    </row>
    <row r="1039" spans="31:34" x14ac:dyDescent="0.25">
      <c r="AE1039" s="8" t="str">
        <f t="shared" si="48"/>
        <v/>
      </c>
      <c r="AF1039" s="8" t="str">
        <f t="shared" si="49"/>
        <v/>
      </c>
      <c r="AG1039" s="8" t="str">
        <f>IF(TRIM($E1039)&lt;&gt;"Tax Paid","",IF(COUNTIFS(LISTS!$F$2:$F$26,$AE1039,LISTS!$G$2:$G$26,$AF1039)=0,"NOT ON LIST",""))</f>
        <v/>
      </c>
      <c r="AH1039" s="8" t="str">
        <f t="shared" si="50"/>
        <v/>
      </c>
    </row>
    <row r="1040" spans="31:34" x14ac:dyDescent="0.25">
      <c r="AE1040" s="8" t="str">
        <f t="shared" si="48"/>
        <v/>
      </c>
      <c r="AF1040" s="8" t="str">
        <f t="shared" si="49"/>
        <v/>
      </c>
      <c r="AG1040" s="8" t="str">
        <f>IF(TRIM($E1040)&lt;&gt;"Tax Paid","",IF(COUNTIFS(LISTS!$F$2:$F$26,$AE1040,LISTS!$G$2:$G$26,$AF1040)=0,"NOT ON LIST",""))</f>
        <v/>
      </c>
      <c r="AH1040" s="8" t="str">
        <f t="shared" si="50"/>
        <v/>
      </c>
    </row>
    <row r="1041" spans="31:34" x14ac:dyDescent="0.25">
      <c r="AE1041" s="8" t="str">
        <f t="shared" si="48"/>
        <v/>
      </c>
      <c r="AF1041" s="8" t="str">
        <f t="shared" si="49"/>
        <v/>
      </c>
      <c r="AG1041" s="8" t="str">
        <f>IF(TRIM($E1041)&lt;&gt;"Tax Paid","",IF(COUNTIFS(LISTS!$F$2:$F$26,$AE1041,LISTS!$G$2:$G$26,$AF1041)=0,"NOT ON LIST",""))</f>
        <v/>
      </c>
      <c r="AH1041" s="8" t="str">
        <f t="shared" si="50"/>
        <v/>
      </c>
    </row>
    <row r="1042" spans="31:34" x14ac:dyDescent="0.25">
      <c r="AE1042" s="8" t="str">
        <f t="shared" si="48"/>
        <v/>
      </c>
      <c r="AF1042" s="8" t="str">
        <f t="shared" si="49"/>
        <v/>
      </c>
      <c r="AG1042" s="8" t="str">
        <f>IF(TRIM($E1042)&lt;&gt;"Tax Paid","",IF(COUNTIFS(LISTS!$F$2:$F$26,$AE1042,LISTS!$G$2:$G$26,$AF1042)=0,"NOT ON LIST",""))</f>
        <v/>
      </c>
      <c r="AH1042" s="8" t="str">
        <f t="shared" si="50"/>
        <v/>
      </c>
    </row>
    <row r="1043" spans="31:34" x14ac:dyDescent="0.25">
      <c r="AE1043" s="8" t="str">
        <f t="shared" si="48"/>
        <v/>
      </c>
      <c r="AF1043" s="8" t="str">
        <f t="shared" si="49"/>
        <v/>
      </c>
      <c r="AG1043" s="8" t="str">
        <f>IF(TRIM($E1043)&lt;&gt;"Tax Paid","",IF(COUNTIFS(LISTS!$F$2:$F$26,$AE1043,LISTS!$G$2:$G$26,$AF1043)=0,"NOT ON LIST",""))</f>
        <v/>
      </c>
      <c r="AH1043" s="8" t="str">
        <f t="shared" si="50"/>
        <v/>
      </c>
    </row>
    <row r="1044" spans="31:34" x14ac:dyDescent="0.25">
      <c r="AE1044" s="8" t="str">
        <f t="shared" si="48"/>
        <v/>
      </c>
      <c r="AF1044" s="8" t="str">
        <f t="shared" si="49"/>
        <v/>
      </c>
      <c r="AG1044" s="8" t="str">
        <f>IF(TRIM($E1044)&lt;&gt;"Tax Paid","",IF(COUNTIFS(LISTS!$F$2:$F$26,$AE1044,LISTS!$G$2:$G$26,$AF1044)=0,"NOT ON LIST",""))</f>
        <v/>
      </c>
      <c r="AH1044" s="8" t="str">
        <f t="shared" si="50"/>
        <v/>
      </c>
    </row>
    <row r="1045" spans="31:34" x14ac:dyDescent="0.25">
      <c r="AE1045" s="8" t="str">
        <f t="shared" si="48"/>
        <v/>
      </c>
      <c r="AF1045" s="8" t="str">
        <f t="shared" si="49"/>
        <v/>
      </c>
      <c r="AG1045" s="8" t="str">
        <f>IF(TRIM($E1045)&lt;&gt;"Tax Paid","",IF(COUNTIFS(LISTS!$F$2:$F$26,$AE1045,LISTS!$G$2:$G$26,$AF1045)=0,"NOT ON LIST",""))</f>
        <v/>
      </c>
      <c r="AH1045" s="8" t="str">
        <f t="shared" si="50"/>
        <v/>
      </c>
    </row>
    <row r="1046" spans="31:34" x14ac:dyDescent="0.25">
      <c r="AE1046" s="8" t="str">
        <f t="shared" si="48"/>
        <v/>
      </c>
      <c r="AF1046" s="8" t="str">
        <f t="shared" si="49"/>
        <v/>
      </c>
      <c r="AG1046" s="8" t="str">
        <f>IF(TRIM($E1046)&lt;&gt;"Tax Paid","",IF(COUNTIFS(LISTS!$F$2:$F$26,$AE1046,LISTS!$G$2:$G$26,$AF1046)=0,"NOT ON LIST",""))</f>
        <v/>
      </c>
      <c r="AH1046" s="8" t="str">
        <f t="shared" si="50"/>
        <v/>
      </c>
    </row>
    <row r="1047" spans="31:34" x14ac:dyDescent="0.25">
      <c r="AE1047" s="8" t="str">
        <f t="shared" si="48"/>
        <v/>
      </c>
      <c r="AF1047" s="8" t="str">
        <f t="shared" si="49"/>
        <v/>
      </c>
      <c r="AG1047" s="8" t="str">
        <f>IF(TRIM($E1047)&lt;&gt;"Tax Paid","",IF(COUNTIFS(LISTS!$F$2:$F$26,$AE1047,LISTS!$G$2:$G$26,$AF1047)=0,"NOT ON LIST",""))</f>
        <v/>
      </c>
      <c r="AH1047" s="8" t="str">
        <f t="shared" si="50"/>
        <v/>
      </c>
    </row>
    <row r="1048" spans="31:34" x14ac:dyDescent="0.25">
      <c r="AE1048" s="8" t="str">
        <f t="shared" si="48"/>
        <v/>
      </c>
      <c r="AF1048" s="8" t="str">
        <f t="shared" si="49"/>
        <v/>
      </c>
      <c r="AG1048" s="8" t="str">
        <f>IF(TRIM($E1048)&lt;&gt;"Tax Paid","",IF(COUNTIFS(LISTS!$F$2:$F$26,$AE1048,LISTS!$G$2:$G$26,$AF1048)=0,"NOT ON LIST",""))</f>
        <v/>
      </c>
      <c r="AH1048" s="8" t="str">
        <f t="shared" si="50"/>
        <v/>
      </c>
    </row>
    <row r="1049" spans="31:34" x14ac:dyDescent="0.25">
      <c r="AE1049" s="8" t="str">
        <f t="shared" si="48"/>
        <v/>
      </c>
      <c r="AF1049" s="8" t="str">
        <f t="shared" si="49"/>
        <v/>
      </c>
      <c r="AG1049" s="8" t="str">
        <f>IF(TRIM($E1049)&lt;&gt;"Tax Paid","",IF(COUNTIFS(LISTS!$F$2:$F$26,$AE1049,LISTS!$G$2:$G$26,$AF1049)=0,"NOT ON LIST",""))</f>
        <v/>
      </c>
      <c r="AH1049" s="8" t="str">
        <f t="shared" si="50"/>
        <v/>
      </c>
    </row>
    <row r="1050" spans="31:34" x14ac:dyDescent="0.25">
      <c r="AE1050" s="8" t="str">
        <f t="shared" si="48"/>
        <v/>
      </c>
      <c r="AF1050" s="8" t="str">
        <f t="shared" si="49"/>
        <v/>
      </c>
      <c r="AG1050" s="8" t="str">
        <f>IF(TRIM($E1050)&lt;&gt;"Tax Paid","",IF(COUNTIFS(LISTS!$F$2:$F$26,$AE1050,LISTS!$G$2:$G$26,$AF1050)=0,"NOT ON LIST",""))</f>
        <v/>
      </c>
      <c r="AH1050" s="8" t="str">
        <f t="shared" si="50"/>
        <v/>
      </c>
    </row>
    <row r="1051" spans="31:34" x14ac:dyDescent="0.25">
      <c r="AE1051" s="8" t="str">
        <f t="shared" si="48"/>
        <v/>
      </c>
      <c r="AF1051" s="8" t="str">
        <f t="shared" si="49"/>
        <v/>
      </c>
      <c r="AG1051" s="8" t="str">
        <f>IF(TRIM($E1051)&lt;&gt;"Tax Paid","",IF(COUNTIFS(LISTS!$F$2:$F$26,$AE1051,LISTS!$G$2:$G$26,$AF1051)=0,"NOT ON LIST",""))</f>
        <v/>
      </c>
      <c r="AH1051" s="8" t="str">
        <f t="shared" si="50"/>
        <v/>
      </c>
    </row>
    <row r="1052" spans="31:34" x14ac:dyDescent="0.25">
      <c r="AE1052" s="8" t="str">
        <f t="shared" si="48"/>
        <v/>
      </c>
      <c r="AF1052" s="8" t="str">
        <f t="shared" si="49"/>
        <v/>
      </c>
      <c r="AG1052" s="8" t="str">
        <f>IF(TRIM($E1052)&lt;&gt;"Tax Paid","",IF(COUNTIFS(LISTS!$F$2:$F$26,$AE1052,LISTS!$G$2:$G$26,$AF1052)=0,"NOT ON LIST",""))</f>
        <v/>
      </c>
      <c r="AH1052" s="8" t="str">
        <f t="shared" si="50"/>
        <v/>
      </c>
    </row>
    <row r="1053" spans="31:34" x14ac:dyDescent="0.25">
      <c r="AE1053" s="8" t="str">
        <f t="shared" si="48"/>
        <v/>
      </c>
      <c r="AF1053" s="8" t="str">
        <f t="shared" si="49"/>
        <v/>
      </c>
      <c r="AG1053" s="8" t="str">
        <f>IF(TRIM($E1053)&lt;&gt;"Tax Paid","",IF(COUNTIFS(LISTS!$F$2:$F$26,$AE1053,LISTS!$G$2:$G$26,$AF1053)=0,"NOT ON LIST",""))</f>
        <v/>
      </c>
      <c r="AH1053" s="8" t="str">
        <f t="shared" si="50"/>
        <v/>
      </c>
    </row>
    <row r="1054" spans="31:34" x14ac:dyDescent="0.25">
      <c r="AE1054" s="8" t="str">
        <f t="shared" si="48"/>
        <v/>
      </c>
      <c r="AF1054" s="8" t="str">
        <f t="shared" si="49"/>
        <v/>
      </c>
      <c r="AG1054" s="8" t="str">
        <f>IF(TRIM($E1054)&lt;&gt;"Tax Paid","",IF(COUNTIFS(LISTS!$F$2:$F$26,$AE1054,LISTS!$G$2:$G$26,$AF1054)=0,"NOT ON LIST",""))</f>
        <v/>
      </c>
      <c r="AH1054" s="8" t="str">
        <f t="shared" si="50"/>
        <v/>
      </c>
    </row>
    <row r="1055" spans="31:34" x14ac:dyDescent="0.25">
      <c r="AE1055" s="8" t="str">
        <f t="shared" si="48"/>
        <v/>
      </c>
      <c r="AF1055" s="8" t="str">
        <f t="shared" si="49"/>
        <v/>
      </c>
      <c r="AG1055" s="8" t="str">
        <f>IF(TRIM($E1055)&lt;&gt;"Tax Paid","",IF(COUNTIFS(LISTS!$F$2:$F$26,$AE1055,LISTS!$G$2:$G$26,$AF1055)=0,"NOT ON LIST",""))</f>
        <v/>
      </c>
      <c r="AH1055" s="8" t="str">
        <f t="shared" si="50"/>
        <v/>
      </c>
    </row>
    <row r="1056" spans="31:34" x14ac:dyDescent="0.25">
      <c r="AE1056" s="8" t="str">
        <f t="shared" si="48"/>
        <v/>
      </c>
      <c r="AF1056" s="8" t="str">
        <f t="shared" si="49"/>
        <v/>
      </c>
      <c r="AG1056" s="8" t="str">
        <f>IF(TRIM($E1056)&lt;&gt;"Tax Paid","",IF(COUNTIFS(LISTS!$F$2:$F$26,$AE1056,LISTS!$G$2:$G$26,$AF1056)=0,"NOT ON LIST",""))</f>
        <v/>
      </c>
      <c r="AH1056" s="8" t="str">
        <f t="shared" si="50"/>
        <v/>
      </c>
    </row>
    <row r="1057" spans="31:34" x14ac:dyDescent="0.25">
      <c r="AE1057" s="8" t="str">
        <f t="shared" si="48"/>
        <v/>
      </c>
      <c r="AF1057" s="8" t="str">
        <f t="shared" si="49"/>
        <v/>
      </c>
      <c r="AG1057" s="8" t="str">
        <f>IF(TRIM($E1057)&lt;&gt;"Tax Paid","",IF(COUNTIFS(LISTS!$F$2:$F$26,$AE1057,LISTS!$G$2:$G$26,$AF1057)=0,"NOT ON LIST",""))</f>
        <v/>
      </c>
      <c r="AH1057" s="8" t="str">
        <f t="shared" si="50"/>
        <v/>
      </c>
    </row>
    <row r="1058" spans="31:34" x14ac:dyDescent="0.25">
      <c r="AE1058" s="8" t="str">
        <f t="shared" si="48"/>
        <v/>
      </c>
      <c r="AF1058" s="8" t="str">
        <f t="shared" si="49"/>
        <v/>
      </c>
      <c r="AG1058" s="8" t="str">
        <f>IF(TRIM($E1058)&lt;&gt;"Tax Paid","",IF(COUNTIFS(LISTS!$F$2:$F$26,$AE1058,LISTS!$G$2:$G$26,$AF1058)=0,"NOT ON LIST",""))</f>
        <v/>
      </c>
      <c r="AH1058" s="8" t="str">
        <f t="shared" si="50"/>
        <v/>
      </c>
    </row>
    <row r="1059" spans="31:34" x14ac:dyDescent="0.25">
      <c r="AE1059" s="8" t="str">
        <f t="shared" si="48"/>
        <v/>
      </c>
      <c r="AF1059" s="8" t="str">
        <f t="shared" si="49"/>
        <v/>
      </c>
      <c r="AG1059" s="8" t="str">
        <f>IF(TRIM($E1059)&lt;&gt;"Tax Paid","",IF(COUNTIFS(LISTS!$F$2:$F$26,$AE1059,LISTS!$G$2:$G$26,$AF1059)=0,"NOT ON LIST",""))</f>
        <v/>
      </c>
      <c r="AH1059" s="8" t="str">
        <f t="shared" si="50"/>
        <v/>
      </c>
    </row>
    <row r="1060" spans="31:34" x14ac:dyDescent="0.25">
      <c r="AE1060" s="8" t="str">
        <f t="shared" si="48"/>
        <v/>
      </c>
      <c r="AF1060" s="8" t="str">
        <f t="shared" si="49"/>
        <v/>
      </c>
      <c r="AG1060" s="8" t="str">
        <f>IF(TRIM($E1060)&lt;&gt;"Tax Paid","",IF(COUNTIFS(LISTS!$F$2:$F$26,$AE1060,LISTS!$G$2:$G$26,$AF1060)=0,"NOT ON LIST",""))</f>
        <v/>
      </c>
      <c r="AH1060" s="8" t="str">
        <f t="shared" si="50"/>
        <v/>
      </c>
    </row>
    <row r="1061" spans="31:34" x14ac:dyDescent="0.25">
      <c r="AE1061" s="8" t="str">
        <f t="shared" si="48"/>
        <v/>
      </c>
      <c r="AF1061" s="8" t="str">
        <f t="shared" si="49"/>
        <v/>
      </c>
      <c r="AG1061" s="8" t="str">
        <f>IF(TRIM($E1061)&lt;&gt;"Tax Paid","",IF(COUNTIFS(LISTS!$F$2:$F$26,$AE1061,LISTS!$G$2:$G$26,$AF1061)=0,"NOT ON LIST",""))</f>
        <v/>
      </c>
      <c r="AH1061" s="8" t="str">
        <f t="shared" si="50"/>
        <v/>
      </c>
    </row>
    <row r="1062" spans="31:34" x14ac:dyDescent="0.25">
      <c r="AE1062" s="8" t="str">
        <f t="shared" si="48"/>
        <v/>
      </c>
      <c r="AF1062" s="8" t="str">
        <f t="shared" si="49"/>
        <v/>
      </c>
      <c r="AG1062" s="8" t="str">
        <f>IF(TRIM($E1062)&lt;&gt;"Tax Paid","",IF(COUNTIFS(LISTS!$F$2:$F$26,$AE1062,LISTS!$G$2:$G$26,$AF1062)=0,"NOT ON LIST",""))</f>
        <v/>
      </c>
      <c r="AH1062" s="8" t="str">
        <f t="shared" si="50"/>
        <v/>
      </c>
    </row>
    <row r="1063" spans="31:34" x14ac:dyDescent="0.25">
      <c r="AE1063" s="8" t="str">
        <f t="shared" si="48"/>
        <v/>
      </c>
      <c r="AF1063" s="8" t="str">
        <f t="shared" si="49"/>
        <v/>
      </c>
      <c r="AG1063" s="8" t="str">
        <f>IF(TRIM($E1063)&lt;&gt;"Tax Paid","",IF(COUNTIFS(LISTS!$F$2:$F$26,$AE1063,LISTS!$G$2:$G$26,$AF1063)=0,"NOT ON LIST",""))</f>
        <v/>
      </c>
      <c r="AH1063" s="8" t="str">
        <f t="shared" si="50"/>
        <v/>
      </c>
    </row>
    <row r="1064" spans="31:34" x14ac:dyDescent="0.25">
      <c r="AE1064" s="8" t="str">
        <f t="shared" si="48"/>
        <v/>
      </c>
      <c r="AF1064" s="8" t="str">
        <f t="shared" si="49"/>
        <v/>
      </c>
      <c r="AG1064" s="8" t="str">
        <f>IF(TRIM($E1064)&lt;&gt;"Tax Paid","",IF(COUNTIFS(LISTS!$F$2:$F$26,$AE1064,LISTS!$G$2:$G$26,$AF1064)=0,"NOT ON LIST",""))</f>
        <v/>
      </c>
      <c r="AH1064" s="8" t="str">
        <f t="shared" si="50"/>
        <v/>
      </c>
    </row>
    <row r="1065" spans="31:34" x14ac:dyDescent="0.25">
      <c r="AE1065" s="8" t="str">
        <f t="shared" si="48"/>
        <v/>
      </c>
      <c r="AF1065" s="8" t="str">
        <f t="shared" si="49"/>
        <v/>
      </c>
      <c r="AG1065" s="8" t="str">
        <f>IF(TRIM($E1065)&lt;&gt;"Tax Paid","",IF(COUNTIFS(LISTS!$F$2:$F$26,$AE1065,LISTS!$G$2:$G$26,$AF1065)=0,"NOT ON LIST",""))</f>
        <v/>
      </c>
      <c r="AH1065" s="8" t="str">
        <f t="shared" si="50"/>
        <v/>
      </c>
    </row>
    <row r="1066" spans="31:34" x14ac:dyDescent="0.25">
      <c r="AE1066" s="8" t="str">
        <f t="shared" si="48"/>
        <v/>
      </c>
      <c r="AF1066" s="8" t="str">
        <f t="shared" si="49"/>
        <v/>
      </c>
      <c r="AG1066" s="8" t="str">
        <f>IF(TRIM($E1066)&lt;&gt;"Tax Paid","",IF(COUNTIFS(LISTS!$F$2:$F$26,$AE1066,LISTS!$G$2:$G$26,$AF1066)=0,"NOT ON LIST",""))</f>
        <v/>
      </c>
      <c r="AH1066" s="8" t="str">
        <f t="shared" si="50"/>
        <v/>
      </c>
    </row>
    <row r="1067" spans="31:34" x14ac:dyDescent="0.25">
      <c r="AE1067" s="8" t="str">
        <f t="shared" si="48"/>
        <v/>
      </c>
      <c r="AF1067" s="8" t="str">
        <f t="shared" si="49"/>
        <v/>
      </c>
      <c r="AG1067" s="8" t="str">
        <f>IF(TRIM($E1067)&lt;&gt;"Tax Paid","",IF(COUNTIFS(LISTS!$F$2:$F$26,$AE1067,LISTS!$G$2:$G$26,$AF1067)=0,"NOT ON LIST",""))</f>
        <v/>
      </c>
      <c r="AH1067" s="8" t="str">
        <f t="shared" si="50"/>
        <v/>
      </c>
    </row>
    <row r="1068" spans="31:34" x14ac:dyDescent="0.25">
      <c r="AE1068" s="8" t="str">
        <f t="shared" si="48"/>
        <v/>
      </c>
      <c r="AF1068" s="8" t="str">
        <f t="shared" si="49"/>
        <v/>
      </c>
      <c r="AG1068" s="8" t="str">
        <f>IF(TRIM($E1068)&lt;&gt;"Tax Paid","",IF(COUNTIFS(LISTS!$F$2:$F$26,$AE1068,LISTS!$G$2:$G$26,$AF1068)=0,"NOT ON LIST",""))</f>
        <v/>
      </c>
      <c r="AH1068" s="8" t="str">
        <f t="shared" si="50"/>
        <v/>
      </c>
    </row>
    <row r="1069" spans="31:34" x14ac:dyDescent="0.25">
      <c r="AE1069" s="8" t="str">
        <f t="shared" si="48"/>
        <v/>
      </c>
      <c r="AF1069" s="8" t="str">
        <f t="shared" si="49"/>
        <v/>
      </c>
      <c r="AG1069" s="8" t="str">
        <f>IF(TRIM($E1069)&lt;&gt;"Tax Paid","",IF(COUNTIFS(LISTS!$F$2:$F$26,$AE1069,LISTS!$G$2:$G$26,$AF1069)=0,"NOT ON LIST",""))</f>
        <v/>
      </c>
      <c r="AH1069" s="8" t="str">
        <f t="shared" si="50"/>
        <v/>
      </c>
    </row>
    <row r="1070" spans="31:34" x14ac:dyDescent="0.25">
      <c r="AE1070" s="8" t="str">
        <f t="shared" si="48"/>
        <v/>
      </c>
      <c r="AF1070" s="8" t="str">
        <f t="shared" si="49"/>
        <v/>
      </c>
      <c r="AG1070" s="8" t="str">
        <f>IF(TRIM($E1070)&lt;&gt;"Tax Paid","",IF(COUNTIFS(LISTS!$F$2:$F$26,$AE1070,LISTS!$G$2:$G$26,$AF1070)=0,"NOT ON LIST",""))</f>
        <v/>
      </c>
      <c r="AH1070" s="8" t="str">
        <f t="shared" si="50"/>
        <v/>
      </c>
    </row>
    <row r="1071" spans="31:34" x14ac:dyDescent="0.25">
      <c r="AE1071" s="8" t="str">
        <f t="shared" si="48"/>
        <v/>
      </c>
      <c r="AF1071" s="8" t="str">
        <f t="shared" si="49"/>
        <v/>
      </c>
      <c r="AG1071" s="8" t="str">
        <f>IF(TRIM($E1071)&lt;&gt;"Tax Paid","",IF(COUNTIFS(LISTS!$F$2:$F$26,$AE1071,LISTS!$G$2:$G$26,$AF1071)=0,"NOT ON LIST",""))</f>
        <v/>
      </c>
      <c r="AH1071" s="8" t="str">
        <f t="shared" si="50"/>
        <v/>
      </c>
    </row>
    <row r="1072" spans="31:34" x14ac:dyDescent="0.25">
      <c r="AE1072" s="8" t="str">
        <f t="shared" si="48"/>
        <v/>
      </c>
      <c r="AF1072" s="8" t="str">
        <f t="shared" si="49"/>
        <v/>
      </c>
      <c r="AG1072" s="8" t="str">
        <f>IF(TRIM($E1072)&lt;&gt;"Tax Paid","",IF(COUNTIFS(LISTS!$F$2:$F$26,$AE1072,LISTS!$G$2:$G$26,$AF1072)=0,"NOT ON LIST",""))</f>
        <v/>
      </c>
      <c r="AH1072" s="8" t="str">
        <f t="shared" si="50"/>
        <v/>
      </c>
    </row>
    <row r="1073" spans="31:34" x14ac:dyDescent="0.25">
      <c r="AE1073" s="8" t="str">
        <f t="shared" si="48"/>
        <v/>
      </c>
      <c r="AF1073" s="8" t="str">
        <f t="shared" si="49"/>
        <v/>
      </c>
      <c r="AG1073" s="8" t="str">
        <f>IF(TRIM($E1073)&lt;&gt;"Tax Paid","",IF(COUNTIFS(LISTS!$F$2:$F$26,$AE1073,LISTS!$G$2:$G$26,$AF1073)=0,"NOT ON LIST",""))</f>
        <v/>
      </c>
      <c r="AH1073" s="8" t="str">
        <f t="shared" si="50"/>
        <v/>
      </c>
    </row>
    <row r="1074" spans="31:34" x14ac:dyDescent="0.25">
      <c r="AE1074" s="8" t="str">
        <f t="shared" si="48"/>
        <v/>
      </c>
      <c r="AF1074" s="8" t="str">
        <f t="shared" si="49"/>
        <v/>
      </c>
      <c r="AG1074" s="8" t="str">
        <f>IF(TRIM($E1074)&lt;&gt;"Tax Paid","",IF(COUNTIFS(LISTS!$F$2:$F$26,$AE1074,LISTS!$G$2:$G$26,$AF1074)=0,"NOT ON LIST",""))</f>
        <v/>
      </c>
      <c r="AH1074" s="8" t="str">
        <f t="shared" si="50"/>
        <v/>
      </c>
    </row>
    <row r="1075" spans="31:34" x14ac:dyDescent="0.25">
      <c r="AE1075" s="8" t="str">
        <f t="shared" si="48"/>
        <v/>
      </c>
      <c r="AF1075" s="8" t="str">
        <f t="shared" si="49"/>
        <v/>
      </c>
      <c r="AG1075" s="8" t="str">
        <f>IF(TRIM($E1075)&lt;&gt;"Tax Paid","",IF(COUNTIFS(LISTS!$F$2:$F$26,$AE1075,LISTS!$G$2:$G$26,$AF1075)=0,"NOT ON LIST",""))</f>
        <v/>
      </c>
      <c r="AH1075" s="8" t="str">
        <f t="shared" si="50"/>
        <v/>
      </c>
    </row>
    <row r="1076" spans="31:34" x14ac:dyDescent="0.25">
      <c r="AE1076" s="8" t="str">
        <f t="shared" si="48"/>
        <v/>
      </c>
      <c r="AF1076" s="8" t="str">
        <f t="shared" si="49"/>
        <v/>
      </c>
      <c r="AG1076" s="8" t="str">
        <f>IF(TRIM($E1076)&lt;&gt;"Tax Paid","",IF(COUNTIFS(LISTS!$F$2:$F$26,$AE1076,LISTS!$G$2:$G$26,$AF1076)=0,"NOT ON LIST",""))</f>
        <v/>
      </c>
      <c r="AH1076" s="8" t="str">
        <f t="shared" si="50"/>
        <v/>
      </c>
    </row>
    <row r="1077" spans="31:34" x14ac:dyDescent="0.25">
      <c r="AE1077" s="8" t="str">
        <f t="shared" si="48"/>
        <v/>
      </c>
      <c r="AF1077" s="8" t="str">
        <f t="shared" si="49"/>
        <v/>
      </c>
      <c r="AG1077" s="8" t="str">
        <f>IF(TRIM($E1077)&lt;&gt;"Tax Paid","",IF(COUNTIFS(LISTS!$F$2:$F$26,$AE1077,LISTS!$G$2:$G$26,$AF1077)=0,"NOT ON LIST",""))</f>
        <v/>
      </c>
      <c r="AH1077" s="8" t="str">
        <f t="shared" si="50"/>
        <v/>
      </c>
    </row>
    <row r="1078" spans="31:34" x14ac:dyDescent="0.25">
      <c r="AE1078" s="8" t="str">
        <f t="shared" si="48"/>
        <v/>
      </c>
      <c r="AF1078" s="8" t="str">
        <f t="shared" si="49"/>
        <v/>
      </c>
      <c r="AG1078" s="8" t="str">
        <f>IF(TRIM($E1078)&lt;&gt;"Tax Paid","",IF(COUNTIFS(LISTS!$F$2:$F$26,$AE1078,LISTS!$G$2:$G$26,$AF1078)=0,"NOT ON LIST",""))</f>
        <v/>
      </c>
      <c r="AH1078" s="8" t="str">
        <f t="shared" si="50"/>
        <v/>
      </c>
    </row>
    <row r="1079" spans="31:34" x14ac:dyDescent="0.25">
      <c r="AE1079" s="8" t="str">
        <f t="shared" si="48"/>
        <v/>
      </c>
      <c r="AF1079" s="8" t="str">
        <f t="shared" si="49"/>
        <v/>
      </c>
      <c r="AG1079" s="8" t="str">
        <f>IF(TRIM($E1079)&lt;&gt;"Tax Paid","",IF(COUNTIFS(LISTS!$F$2:$F$26,$AE1079,LISTS!$G$2:$G$26,$AF1079)=0,"NOT ON LIST",""))</f>
        <v/>
      </c>
      <c r="AH1079" s="8" t="str">
        <f t="shared" si="50"/>
        <v/>
      </c>
    </row>
    <row r="1080" spans="31:34" x14ac:dyDescent="0.25">
      <c r="AE1080" s="8" t="str">
        <f t="shared" si="48"/>
        <v/>
      </c>
      <c r="AF1080" s="8" t="str">
        <f t="shared" si="49"/>
        <v/>
      </c>
      <c r="AG1080" s="8" t="str">
        <f>IF(TRIM($E1080)&lt;&gt;"Tax Paid","",IF(COUNTIFS(LISTS!$F$2:$F$26,$AE1080,LISTS!$G$2:$G$26,$AF1080)=0,"NOT ON LIST",""))</f>
        <v/>
      </c>
      <c r="AH1080" s="8" t="str">
        <f t="shared" si="50"/>
        <v/>
      </c>
    </row>
    <row r="1081" spans="31:34" x14ac:dyDescent="0.25">
      <c r="AE1081" s="8" t="str">
        <f t="shared" si="48"/>
        <v/>
      </c>
      <c r="AF1081" s="8" t="str">
        <f t="shared" si="49"/>
        <v/>
      </c>
      <c r="AG1081" s="8" t="str">
        <f>IF(TRIM($E1081)&lt;&gt;"Tax Paid","",IF(COUNTIFS(LISTS!$F$2:$F$26,$AE1081,LISTS!$G$2:$G$26,$AF1081)=0,"NOT ON LIST",""))</f>
        <v/>
      </c>
      <c r="AH1081" s="8" t="str">
        <f t="shared" si="50"/>
        <v/>
      </c>
    </row>
    <row r="1082" spans="31:34" x14ac:dyDescent="0.25">
      <c r="AE1082" s="8" t="str">
        <f t="shared" si="48"/>
        <v/>
      </c>
      <c r="AF1082" s="8" t="str">
        <f t="shared" si="49"/>
        <v/>
      </c>
      <c r="AG1082" s="8" t="str">
        <f>IF(TRIM($E1082)&lt;&gt;"Tax Paid","",IF(COUNTIFS(LISTS!$F$2:$F$26,$AE1082,LISTS!$G$2:$G$26,$AF1082)=0,"NOT ON LIST",""))</f>
        <v/>
      </c>
      <c r="AH1082" s="8" t="str">
        <f t="shared" si="50"/>
        <v/>
      </c>
    </row>
    <row r="1083" spans="31:34" x14ac:dyDescent="0.25">
      <c r="AE1083" s="8" t="str">
        <f t="shared" si="48"/>
        <v/>
      </c>
      <c r="AF1083" s="8" t="str">
        <f t="shared" si="49"/>
        <v/>
      </c>
      <c r="AG1083" s="8" t="str">
        <f>IF(TRIM($E1083)&lt;&gt;"Tax Paid","",IF(COUNTIFS(LISTS!$F$2:$F$26,$AE1083,LISTS!$G$2:$G$26,$AF1083)=0,"NOT ON LIST",""))</f>
        <v/>
      </c>
      <c r="AH1083" s="8" t="str">
        <f t="shared" si="50"/>
        <v/>
      </c>
    </row>
    <row r="1084" spans="31:34" x14ac:dyDescent="0.25">
      <c r="AE1084" s="8" t="str">
        <f t="shared" si="48"/>
        <v/>
      </c>
      <c r="AF1084" s="8" t="str">
        <f t="shared" si="49"/>
        <v/>
      </c>
      <c r="AG1084" s="8" t="str">
        <f>IF(TRIM($E1084)&lt;&gt;"Tax Paid","",IF(COUNTIFS(LISTS!$F$2:$F$26,$AE1084,LISTS!$G$2:$G$26,$AF1084)=0,"NOT ON LIST",""))</f>
        <v/>
      </c>
      <c r="AH1084" s="8" t="str">
        <f t="shared" si="50"/>
        <v/>
      </c>
    </row>
    <row r="1085" spans="31:34" x14ac:dyDescent="0.25">
      <c r="AE1085" s="8" t="str">
        <f t="shared" si="48"/>
        <v/>
      </c>
      <c r="AF1085" s="8" t="str">
        <f t="shared" si="49"/>
        <v/>
      </c>
      <c r="AG1085" s="8" t="str">
        <f>IF(TRIM($E1085)&lt;&gt;"Tax Paid","",IF(COUNTIFS(LISTS!$F$2:$F$26,$AE1085,LISTS!$G$2:$G$26,$AF1085)=0,"NOT ON LIST",""))</f>
        <v/>
      </c>
      <c r="AH1085" s="8" t="str">
        <f t="shared" si="50"/>
        <v/>
      </c>
    </row>
    <row r="1086" spans="31:34" x14ac:dyDescent="0.25">
      <c r="AE1086" s="8" t="str">
        <f t="shared" si="48"/>
        <v/>
      </c>
      <c r="AF1086" s="8" t="str">
        <f t="shared" si="49"/>
        <v/>
      </c>
      <c r="AG1086" s="8" t="str">
        <f>IF(TRIM($E1086)&lt;&gt;"Tax Paid","",IF(COUNTIFS(LISTS!$F$2:$F$26,$AE1086,LISTS!$G$2:$G$26,$AF1086)=0,"NOT ON LIST",""))</f>
        <v/>
      </c>
      <c r="AH1086" s="8" t="str">
        <f t="shared" si="50"/>
        <v/>
      </c>
    </row>
    <row r="1087" spans="31:34" x14ac:dyDescent="0.25">
      <c r="AE1087" s="8" t="str">
        <f t="shared" si="48"/>
        <v/>
      </c>
      <c r="AF1087" s="8" t="str">
        <f t="shared" si="49"/>
        <v/>
      </c>
      <c r="AG1087" s="8" t="str">
        <f>IF(TRIM($E1087)&lt;&gt;"Tax Paid","",IF(COUNTIFS(LISTS!$F$2:$F$26,$AE1087,LISTS!$G$2:$G$26,$AF1087)=0,"NOT ON LIST",""))</f>
        <v/>
      </c>
      <c r="AH1087" s="8" t="str">
        <f t="shared" si="50"/>
        <v/>
      </c>
    </row>
    <row r="1088" spans="31:34" x14ac:dyDescent="0.25">
      <c r="AE1088" s="8" t="str">
        <f t="shared" si="48"/>
        <v/>
      </c>
      <c r="AF1088" s="8" t="str">
        <f t="shared" si="49"/>
        <v/>
      </c>
      <c r="AG1088" s="8" t="str">
        <f>IF(TRIM($E1088)&lt;&gt;"Tax Paid","",IF(COUNTIFS(LISTS!$F$2:$F$26,$AE1088,LISTS!$G$2:$G$26,$AF1088)=0,"NOT ON LIST",""))</f>
        <v/>
      </c>
      <c r="AH1088" s="8" t="str">
        <f t="shared" si="50"/>
        <v/>
      </c>
    </row>
    <row r="1089" spans="31:34" x14ac:dyDescent="0.25">
      <c r="AE1089" s="8" t="str">
        <f t="shared" si="48"/>
        <v/>
      </c>
      <c r="AF1089" s="8" t="str">
        <f t="shared" si="49"/>
        <v/>
      </c>
      <c r="AG1089" s="8" t="str">
        <f>IF(TRIM($E1089)&lt;&gt;"Tax Paid","",IF(COUNTIFS(LISTS!$F$2:$F$26,$AE1089,LISTS!$G$2:$G$26,$AF1089)=0,"NOT ON LIST",""))</f>
        <v/>
      </c>
      <c r="AH1089" s="8" t="str">
        <f t="shared" si="50"/>
        <v/>
      </c>
    </row>
    <row r="1090" spans="31:34" x14ac:dyDescent="0.25">
      <c r="AE1090" s="8" t="str">
        <f t="shared" ref="AE1090:AE1153" si="51">IF(TRIM($E1090)="Tax Paid",TRIM($S1090),"")</f>
        <v/>
      </c>
      <c r="AF1090" s="8" t="str">
        <f t="shared" ref="AF1090:AF1153" si="52">IF(TRIM($E1090)="Tax Paid",ROUND($Z1090/100,5),"")</f>
        <v/>
      </c>
      <c r="AG1090" s="8" t="str">
        <f>IF(TRIM($E1090)&lt;&gt;"Tax Paid","",IF(COUNTIFS(LISTS!$F$2:$F$26,$AE1090,LISTS!$G$2:$G$26,$AF1090)=0,"NOT ON LIST",""))</f>
        <v/>
      </c>
      <c r="AH1090" s="8" t="str">
        <f t="shared" ref="AH1090:AH1153" si="53">IF($AG1090="","",IF($AE1090="","(no county)",$AE1090)&amp;" ("&amp;SUBSTITUTE(TEXT($AF1090,"0.###%"),".%","%")&amp;")")</f>
        <v/>
      </c>
    </row>
    <row r="1091" spans="31:34" x14ac:dyDescent="0.25">
      <c r="AE1091" s="8" t="str">
        <f t="shared" si="51"/>
        <v/>
      </c>
      <c r="AF1091" s="8" t="str">
        <f t="shared" si="52"/>
        <v/>
      </c>
      <c r="AG1091" s="8" t="str">
        <f>IF(TRIM($E1091)&lt;&gt;"Tax Paid","",IF(COUNTIFS(LISTS!$F$2:$F$26,$AE1091,LISTS!$G$2:$G$26,$AF1091)=0,"NOT ON LIST",""))</f>
        <v/>
      </c>
      <c r="AH1091" s="8" t="str">
        <f t="shared" si="53"/>
        <v/>
      </c>
    </row>
    <row r="1092" spans="31:34" x14ac:dyDescent="0.25">
      <c r="AE1092" s="8" t="str">
        <f t="shared" si="51"/>
        <v/>
      </c>
      <c r="AF1092" s="8" t="str">
        <f t="shared" si="52"/>
        <v/>
      </c>
      <c r="AG1092" s="8" t="str">
        <f>IF(TRIM($E1092)&lt;&gt;"Tax Paid","",IF(COUNTIFS(LISTS!$F$2:$F$26,$AE1092,LISTS!$G$2:$G$26,$AF1092)=0,"NOT ON LIST",""))</f>
        <v/>
      </c>
      <c r="AH1092" s="8" t="str">
        <f t="shared" si="53"/>
        <v/>
      </c>
    </row>
    <row r="1093" spans="31:34" x14ac:dyDescent="0.25">
      <c r="AE1093" s="8" t="str">
        <f t="shared" si="51"/>
        <v/>
      </c>
      <c r="AF1093" s="8" t="str">
        <f t="shared" si="52"/>
        <v/>
      </c>
      <c r="AG1093" s="8" t="str">
        <f>IF(TRIM($E1093)&lt;&gt;"Tax Paid","",IF(COUNTIFS(LISTS!$F$2:$F$26,$AE1093,LISTS!$G$2:$G$26,$AF1093)=0,"NOT ON LIST",""))</f>
        <v/>
      </c>
      <c r="AH1093" s="8" t="str">
        <f t="shared" si="53"/>
        <v/>
      </c>
    </row>
    <row r="1094" spans="31:34" x14ac:dyDescent="0.25">
      <c r="AE1094" s="8" t="str">
        <f t="shared" si="51"/>
        <v/>
      </c>
      <c r="AF1094" s="8" t="str">
        <f t="shared" si="52"/>
        <v/>
      </c>
      <c r="AG1094" s="8" t="str">
        <f>IF(TRIM($E1094)&lt;&gt;"Tax Paid","",IF(COUNTIFS(LISTS!$F$2:$F$26,$AE1094,LISTS!$G$2:$G$26,$AF1094)=0,"NOT ON LIST",""))</f>
        <v/>
      </c>
      <c r="AH1094" s="8" t="str">
        <f t="shared" si="53"/>
        <v/>
      </c>
    </row>
    <row r="1095" spans="31:34" x14ac:dyDescent="0.25">
      <c r="AE1095" s="8" t="str">
        <f t="shared" si="51"/>
        <v/>
      </c>
      <c r="AF1095" s="8" t="str">
        <f t="shared" si="52"/>
        <v/>
      </c>
      <c r="AG1095" s="8" t="str">
        <f>IF(TRIM($E1095)&lt;&gt;"Tax Paid","",IF(COUNTIFS(LISTS!$F$2:$F$26,$AE1095,LISTS!$G$2:$G$26,$AF1095)=0,"NOT ON LIST",""))</f>
        <v/>
      </c>
      <c r="AH1095" s="8" t="str">
        <f t="shared" si="53"/>
        <v/>
      </c>
    </row>
    <row r="1096" spans="31:34" x14ac:dyDescent="0.25">
      <c r="AE1096" s="8" t="str">
        <f t="shared" si="51"/>
        <v/>
      </c>
      <c r="AF1096" s="8" t="str">
        <f t="shared" si="52"/>
        <v/>
      </c>
      <c r="AG1096" s="8" t="str">
        <f>IF(TRIM($E1096)&lt;&gt;"Tax Paid","",IF(COUNTIFS(LISTS!$F$2:$F$26,$AE1096,LISTS!$G$2:$G$26,$AF1096)=0,"NOT ON LIST",""))</f>
        <v/>
      </c>
      <c r="AH1096" s="8" t="str">
        <f t="shared" si="53"/>
        <v/>
      </c>
    </row>
    <row r="1097" spans="31:34" x14ac:dyDescent="0.25">
      <c r="AE1097" s="8" t="str">
        <f t="shared" si="51"/>
        <v/>
      </c>
      <c r="AF1097" s="8" t="str">
        <f t="shared" si="52"/>
        <v/>
      </c>
      <c r="AG1097" s="8" t="str">
        <f>IF(TRIM($E1097)&lt;&gt;"Tax Paid","",IF(COUNTIFS(LISTS!$F$2:$F$26,$AE1097,LISTS!$G$2:$G$26,$AF1097)=0,"NOT ON LIST",""))</f>
        <v/>
      </c>
      <c r="AH1097" s="8" t="str">
        <f t="shared" si="53"/>
        <v/>
      </c>
    </row>
    <row r="1098" spans="31:34" x14ac:dyDescent="0.25">
      <c r="AE1098" s="8" t="str">
        <f t="shared" si="51"/>
        <v/>
      </c>
      <c r="AF1098" s="8" t="str">
        <f t="shared" si="52"/>
        <v/>
      </c>
      <c r="AG1098" s="8" t="str">
        <f>IF(TRIM($E1098)&lt;&gt;"Tax Paid","",IF(COUNTIFS(LISTS!$F$2:$F$26,$AE1098,LISTS!$G$2:$G$26,$AF1098)=0,"NOT ON LIST",""))</f>
        <v/>
      </c>
      <c r="AH1098" s="8" t="str">
        <f t="shared" si="53"/>
        <v/>
      </c>
    </row>
    <row r="1099" spans="31:34" x14ac:dyDescent="0.25">
      <c r="AE1099" s="8" t="str">
        <f t="shared" si="51"/>
        <v/>
      </c>
      <c r="AF1099" s="8" t="str">
        <f t="shared" si="52"/>
        <v/>
      </c>
      <c r="AG1099" s="8" t="str">
        <f>IF(TRIM($E1099)&lt;&gt;"Tax Paid","",IF(COUNTIFS(LISTS!$F$2:$F$26,$AE1099,LISTS!$G$2:$G$26,$AF1099)=0,"NOT ON LIST",""))</f>
        <v/>
      </c>
      <c r="AH1099" s="8" t="str">
        <f t="shared" si="53"/>
        <v/>
      </c>
    </row>
    <row r="1100" spans="31:34" x14ac:dyDescent="0.25">
      <c r="AE1100" s="8" t="str">
        <f t="shared" si="51"/>
        <v/>
      </c>
      <c r="AF1100" s="8" t="str">
        <f t="shared" si="52"/>
        <v/>
      </c>
      <c r="AG1100" s="8" t="str">
        <f>IF(TRIM($E1100)&lt;&gt;"Tax Paid","",IF(COUNTIFS(LISTS!$F$2:$F$26,$AE1100,LISTS!$G$2:$G$26,$AF1100)=0,"NOT ON LIST",""))</f>
        <v/>
      </c>
      <c r="AH1100" s="8" t="str">
        <f t="shared" si="53"/>
        <v/>
      </c>
    </row>
    <row r="1101" spans="31:34" x14ac:dyDescent="0.25">
      <c r="AE1101" s="8" t="str">
        <f t="shared" si="51"/>
        <v/>
      </c>
      <c r="AF1101" s="8" t="str">
        <f t="shared" si="52"/>
        <v/>
      </c>
      <c r="AG1101" s="8" t="str">
        <f>IF(TRIM($E1101)&lt;&gt;"Tax Paid","",IF(COUNTIFS(LISTS!$F$2:$F$26,$AE1101,LISTS!$G$2:$G$26,$AF1101)=0,"NOT ON LIST",""))</f>
        <v/>
      </c>
      <c r="AH1101" s="8" t="str">
        <f t="shared" si="53"/>
        <v/>
      </c>
    </row>
    <row r="1102" spans="31:34" x14ac:dyDescent="0.25">
      <c r="AE1102" s="8" t="str">
        <f t="shared" si="51"/>
        <v/>
      </c>
      <c r="AF1102" s="8" t="str">
        <f t="shared" si="52"/>
        <v/>
      </c>
      <c r="AG1102" s="8" t="str">
        <f>IF(TRIM($E1102)&lt;&gt;"Tax Paid","",IF(COUNTIFS(LISTS!$F$2:$F$26,$AE1102,LISTS!$G$2:$G$26,$AF1102)=0,"NOT ON LIST",""))</f>
        <v/>
      </c>
      <c r="AH1102" s="8" t="str">
        <f t="shared" si="53"/>
        <v/>
      </c>
    </row>
    <row r="1103" spans="31:34" x14ac:dyDescent="0.25">
      <c r="AE1103" s="8" t="str">
        <f t="shared" si="51"/>
        <v/>
      </c>
      <c r="AF1103" s="8" t="str">
        <f t="shared" si="52"/>
        <v/>
      </c>
      <c r="AG1103" s="8" t="str">
        <f>IF(TRIM($E1103)&lt;&gt;"Tax Paid","",IF(COUNTIFS(LISTS!$F$2:$F$26,$AE1103,LISTS!$G$2:$G$26,$AF1103)=0,"NOT ON LIST",""))</f>
        <v/>
      </c>
      <c r="AH1103" s="8" t="str">
        <f t="shared" si="53"/>
        <v/>
      </c>
    </row>
    <row r="1104" spans="31:34" x14ac:dyDescent="0.25">
      <c r="AE1104" s="8" t="str">
        <f t="shared" si="51"/>
        <v/>
      </c>
      <c r="AF1104" s="8" t="str">
        <f t="shared" si="52"/>
        <v/>
      </c>
      <c r="AG1104" s="8" t="str">
        <f>IF(TRIM($E1104)&lt;&gt;"Tax Paid","",IF(COUNTIFS(LISTS!$F$2:$F$26,$AE1104,LISTS!$G$2:$G$26,$AF1104)=0,"NOT ON LIST",""))</f>
        <v/>
      </c>
      <c r="AH1104" s="8" t="str">
        <f t="shared" si="53"/>
        <v/>
      </c>
    </row>
    <row r="1105" spans="31:34" x14ac:dyDescent="0.25">
      <c r="AE1105" s="8" t="str">
        <f t="shared" si="51"/>
        <v/>
      </c>
      <c r="AF1105" s="8" t="str">
        <f t="shared" si="52"/>
        <v/>
      </c>
      <c r="AG1105" s="8" t="str">
        <f>IF(TRIM($E1105)&lt;&gt;"Tax Paid","",IF(COUNTIFS(LISTS!$F$2:$F$26,$AE1105,LISTS!$G$2:$G$26,$AF1105)=0,"NOT ON LIST",""))</f>
        <v/>
      </c>
      <c r="AH1105" s="8" t="str">
        <f t="shared" si="53"/>
        <v/>
      </c>
    </row>
    <row r="1106" spans="31:34" x14ac:dyDescent="0.25">
      <c r="AE1106" s="8" t="str">
        <f t="shared" si="51"/>
        <v/>
      </c>
      <c r="AF1106" s="8" t="str">
        <f t="shared" si="52"/>
        <v/>
      </c>
      <c r="AG1106" s="8" t="str">
        <f>IF(TRIM($E1106)&lt;&gt;"Tax Paid","",IF(COUNTIFS(LISTS!$F$2:$F$26,$AE1106,LISTS!$G$2:$G$26,$AF1106)=0,"NOT ON LIST",""))</f>
        <v/>
      </c>
      <c r="AH1106" s="8" t="str">
        <f t="shared" si="53"/>
        <v/>
      </c>
    </row>
    <row r="1107" spans="31:34" x14ac:dyDescent="0.25">
      <c r="AE1107" s="8" t="str">
        <f t="shared" si="51"/>
        <v/>
      </c>
      <c r="AF1107" s="8" t="str">
        <f t="shared" si="52"/>
        <v/>
      </c>
      <c r="AG1107" s="8" t="str">
        <f>IF(TRIM($E1107)&lt;&gt;"Tax Paid","",IF(COUNTIFS(LISTS!$F$2:$F$26,$AE1107,LISTS!$G$2:$G$26,$AF1107)=0,"NOT ON LIST",""))</f>
        <v/>
      </c>
      <c r="AH1107" s="8" t="str">
        <f t="shared" si="53"/>
        <v/>
      </c>
    </row>
    <row r="1108" spans="31:34" x14ac:dyDescent="0.25">
      <c r="AE1108" s="8" t="str">
        <f t="shared" si="51"/>
        <v/>
      </c>
      <c r="AF1108" s="8" t="str">
        <f t="shared" si="52"/>
        <v/>
      </c>
      <c r="AG1108" s="8" t="str">
        <f>IF(TRIM($E1108)&lt;&gt;"Tax Paid","",IF(COUNTIFS(LISTS!$F$2:$F$26,$AE1108,LISTS!$G$2:$G$26,$AF1108)=0,"NOT ON LIST",""))</f>
        <v/>
      </c>
      <c r="AH1108" s="8" t="str">
        <f t="shared" si="53"/>
        <v/>
      </c>
    </row>
    <row r="1109" spans="31:34" x14ac:dyDescent="0.25">
      <c r="AE1109" s="8" t="str">
        <f t="shared" si="51"/>
        <v/>
      </c>
      <c r="AF1109" s="8" t="str">
        <f t="shared" si="52"/>
        <v/>
      </c>
      <c r="AG1109" s="8" t="str">
        <f>IF(TRIM($E1109)&lt;&gt;"Tax Paid","",IF(COUNTIFS(LISTS!$F$2:$F$26,$AE1109,LISTS!$G$2:$G$26,$AF1109)=0,"NOT ON LIST",""))</f>
        <v/>
      </c>
      <c r="AH1109" s="8" t="str">
        <f t="shared" si="53"/>
        <v/>
      </c>
    </row>
    <row r="1110" spans="31:34" x14ac:dyDescent="0.25">
      <c r="AE1110" s="8" t="str">
        <f t="shared" si="51"/>
        <v/>
      </c>
      <c r="AF1110" s="8" t="str">
        <f t="shared" si="52"/>
        <v/>
      </c>
      <c r="AG1110" s="8" t="str">
        <f>IF(TRIM($E1110)&lt;&gt;"Tax Paid","",IF(COUNTIFS(LISTS!$F$2:$F$26,$AE1110,LISTS!$G$2:$G$26,$AF1110)=0,"NOT ON LIST",""))</f>
        <v/>
      </c>
      <c r="AH1110" s="8" t="str">
        <f t="shared" si="53"/>
        <v/>
      </c>
    </row>
    <row r="1111" spans="31:34" x14ac:dyDescent="0.25">
      <c r="AE1111" s="8" t="str">
        <f t="shared" si="51"/>
        <v/>
      </c>
      <c r="AF1111" s="8" t="str">
        <f t="shared" si="52"/>
        <v/>
      </c>
      <c r="AG1111" s="8" t="str">
        <f>IF(TRIM($E1111)&lt;&gt;"Tax Paid","",IF(COUNTIFS(LISTS!$F$2:$F$26,$AE1111,LISTS!$G$2:$G$26,$AF1111)=0,"NOT ON LIST",""))</f>
        <v/>
      </c>
      <c r="AH1111" s="8" t="str">
        <f t="shared" si="53"/>
        <v/>
      </c>
    </row>
    <row r="1112" spans="31:34" x14ac:dyDescent="0.25">
      <c r="AE1112" s="8" t="str">
        <f t="shared" si="51"/>
        <v/>
      </c>
      <c r="AF1112" s="8" t="str">
        <f t="shared" si="52"/>
        <v/>
      </c>
      <c r="AG1112" s="8" t="str">
        <f>IF(TRIM($E1112)&lt;&gt;"Tax Paid","",IF(COUNTIFS(LISTS!$F$2:$F$26,$AE1112,LISTS!$G$2:$G$26,$AF1112)=0,"NOT ON LIST",""))</f>
        <v/>
      </c>
      <c r="AH1112" s="8" t="str">
        <f t="shared" si="53"/>
        <v/>
      </c>
    </row>
    <row r="1113" spans="31:34" x14ac:dyDescent="0.25">
      <c r="AE1113" s="8" t="str">
        <f t="shared" si="51"/>
        <v/>
      </c>
      <c r="AF1113" s="8" t="str">
        <f t="shared" si="52"/>
        <v/>
      </c>
      <c r="AG1113" s="8" t="str">
        <f>IF(TRIM($E1113)&lt;&gt;"Tax Paid","",IF(COUNTIFS(LISTS!$F$2:$F$26,$AE1113,LISTS!$G$2:$G$26,$AF1113)=0,"NOT ON LIST",""))</f>
        <v/>
      </c>
      <c r="AH1113" s="8" t="str">
        <f t="shared" si="53"/>
        <v/>
      </c>
    </row>
    <row r="1114" spans="31:34" x14ac:dyDescent="0.25">
      <c r="AE1114" s="8" t="str">
        <f t="shared" si="51"/>
        <v/>
      </c>
      <c r="AF1114" s="8" t="str">
        <f t="shared" si="52"/>
        <v/>
      </c>
      <c r="AG1114" s="8" t="str">
        <f>IF(TRIM($E1114)&lt;&gt;"Tax Paid","",IF(COUNTIFS(LISTS!$F$2:$F$26,$AE1114,LISTS!$G$2:$G$26,$AF1114)=0,"NOT ON LIST",""))</f>
        <v/>
      </c>
      <c r="AH1114" s="8" t="str">
        <f t="shared" si="53"/>
        <v/>
      </c>
    </row>
    <row r="1115" spans="31:34" x14ac:dyDescent="0.25">
      <c r="AE1115" s="8" t="str">
        <f t="shared" si="51"/>
        <v/>
      </c>
      <c r="AF1115" s="8" t="str">
        <f t="shared" si="52"/>
        <v/>
      </c>
      <c r="AG1115" s="8" t="str">
        <f>IF(TRIM($E1115)&lt;&gt;"Tax Paid","",IF(COUNTIFS(LISTS!$F$2:$F$26,$AE1115,LISTS!$G$2:$G$26,$AF1115)=0,"NOT ON LIST",""))</f>
        <v/>
      </c>
      <c r="AH1115" s="8" t="str">
        <f t="shared" si="53"/>
        <v/>
      </c>
    </row>
    <row r="1116" spans="31:34" x14ac:dyDescent="0.25">
      <c r="AE1116" s="8" t="str">
        <f t="shared" si="51"/>
        <v/>
      </c>
      <c r="AF1116" s="8" t="str">
        <f t="shared" si="52"/>
        <v/>
      </c>
      <c r="AG1116" s="8" t="str">
        <f>IF(TRIM($E1116)&lt;&gt;"Tax Paid","",IF(COUNTIFS(LISTS!$F$2:$F$26,$AE1116,LISTS!$G$2:$G$26,$AF1116)=0,"NOT ON LIST",""))</f>
        <v/>
      </c>
      <c r="AH1116" s="8" t="str">
        <f t="shared" si="53"/>
        <v/>
      </c>
    </row>
    <row r="1117" spans="31:34" x14ac:dyDescent="0.25">
      <c r="AE1117" s="8" t="str">
        <f t="shared" si="51"/>
        <v/>
      </c>
      <c r="AF1117" s="8" t="str">
        <f t="shared" si="52"/>
        <v/>
      </c>
      <c r="AG1117" s="8" t="str">
        <f>IF(TRIM($E1117)&lt;&gt;"Tax Paid","",IF(COUNTIFS(LISTS!$F$2:$F$26,$AE1117,LISTS!$G$2:$G$26,$AF1117)=0,"NOT ON LIST",""))</f>
        <v/>
      </c>
      <c r="AH1117" s="8" t="str">
        <f t="shared" si="53"/>
        <v/>
      </c>
    </row>
    <row r="1118" spans="31:34" x14ac:dyDescent="0.25">
      <c r="AE1118" s="8" t="str">
        <f t="shared" si="51"/>
        <v/>
      </c>
      <c r="AF1118" s="8" t="str">
        <f t="shared" si="52"/>
        <v/>
      </c>
      <c r="AG1118" s="8" t="str">
        <f>IF(TRIM($E1118)&lt;&gt;"Tax Paid","",IF(COUNTIFS(LISTS!$F$2:$F$26,$AE1118,LISTS!$G$2:$G$26,$AF1118)=0,"NOT ON LIST",""))</f>
        <v/>
      </c>
      <c r="AH1118" s="8" t="str">
        <f t="shared" si="53"/>
        <v/>
      </c>
    </row>
    <row r="1119" spans="31:34" x14ac:dyDescent="0.25">
      <c r="AE1119" s="8" t="str">
        <f t="shared" si="51"/>
        <v/>
      </c>
      <c r="AF1119" s="8" t="str">
        <f t="shared" si="52"/>
        <v/>
      </c>
      <c r="AG1119" s="8" t="str">
        <f>IF(TRIM($E1119)&lt;&gt;"Tax Paid","",IF(COUNTIFS(LISTS!$F$2:$F$26,$AE1119,LISTS!$G$2:$G$26,$AF1119)=0,"NOT ON LIST",""))</f>
        <v/>
      </c>
      <c r="AH1119" s="8" t="str">
        <f t="shared" si="53"/>
        <v/>
      </c>
    </row>
    <row r="1120" spans="31:34" x14ac:dyDescent="0.25">
      <c r="AE1120" s="8" t="str">
        <f t="shared" si="51"/>
        <v/>
      </c>
      <c r="AF1120" s="8" t="str">
        <f t="shared" si="52"/>
        <v/>
      </c>
      <c r="AG1120" s="8" t="str">
        <f>IF(TRIM($E1120)&lt;&gt;"Tax Paid","",IF(COUNTIFS(LISTS!$F$2:$F$26,$AE1120,LISTS!$G$2:$G$26,$AF1120)=0,"NOT ON LIST",""))</f>
        <v/>
      </c>
      <c r="AH1120" s="8" t="str">
        <f t="shared" si="53"/>
        <v/>
      </c>
    </row>
    <row r="1121" spans="31:34" x14ac:dyDescent="0.25">
      <c r="AE1121" s="8" t="str">
        <f t="shared" si="51"/>
        <v/>
      </c>
      <c r="AF1121" s="8" t="str">
        <f t="shared" si="52"/>
        <v/>
      </c>
      <c r="AG1121" s="8" t="str">
        <f>IF(TRIM($E1121)&lt;&gt;"Tax Paid","",IF(COUNTIFS(LISTS!$F$2:$F$26,$AE1121,LISTS!$G$2:$G$26,$AF1121)=0,"NOT ON LIST",""))</f>
        <v/>
      </c>
      <c r="AH1121" s="8" t="str">
        <f t="shared" si="53"/>
        <v/>
      </c>
    </row>
    <row r="1122" spans="31:34" x14ac:dyDescent="0.25">
      <c r="AE1122" s="8" t="str">
        <f t="shared" si="51"/>
        <v/>
      </c>
      <c r="AF1122" s="8" t="str">
        <f t="shared" si="52"/>
        <v/>
      </c>
      <c r="AG1122" s="8" t="str">
        <f>IF(TRIM($E1122)&lt;&gt;"Tax Paid","",IF(COUNTIFS(LISTS!$F$2:$F$26,$AE1122,LISTS!$G$2:$G$26,$AF1122)=0,"NOT ON LIST",""))</f>
        <v/>
      </c>
      <c r="AH1122" s="8" t="str">
        <f t="shared" si="53"/>
        <v/>
      </c>
    </row>
    <row r="1123" spans="31:34" x14ac:dyDescent="0.25">
      <c r="AE1123" s="8" t="str">
        <f t="shared" si="51"/>
        <v/>
      </c>
      <c r="AF1123" s="8" t="str">
        <f t="shared" si="52"/>
        <v/>
      </c>
      <c r="AG1123" s="8" t="str">
        <f>IF(TRIM($E1123)&lt;&gt;"Tax Paid","",IF(COUNTIFS(LISTS!$F$2:$F$26,$AE1123,LISTS!$G$2:$G$26,$AF1123)=0,"NOT ON LIST",""))</f>
        <v/>
      </c>
      <c r="AH1123" s="8" t="str">
        <f t="shared" si="53"/>
        <v/>
      </c>
    </row>
    <row r="1124" spans="31:34" x14ac:dyDescent="0.25">
      <c r="AE1124" s="8" t="str">
        <f t="shared" si="51"/>
        <v/>
      </c>
      <c r="AF1124" s="8" t="str">
        <f t="shared" si="52"/>
        <v/>
      </c>
      <c r="AG1124" s="8" t="str">
        <f>IF(TRIM($E1124)&lt;&gt;"Tax Paid","",IF(COUNTIFS(LISTS!$F$2:$F$26,$AE1124,LISTS!$G$2:$G$26,$AF1124)=0,"NOT ON LIST",""))</f>
        <v/>
      </c>
      <c r="AH1124" s="8" t="str">
        <f t="shared" si="53"/>
        <v/>
      </c>
    </row>
    <row r="1125" spans="31:34" x14ac:dyDescent="0.25">
      <c r="AE1125" s="8" t="str">
        <f t="shared" si="51"/>
        <v/>
      </c>
      <c r="AF1125" s="8" t="str">
        <f t="shared" si="52"/>
        <v/>
      </c>
      <c r="AG1125" s="8" t="str">
        <f>IF(TRIM($E1125)&lt;&gt;"Tax Paid","",IF(COUNTIFS(LISTS!$F$2:$F$26,$AE1125,LISTS!$G$2:$G$26,$AF1125)=0,"NOT ON LIST",""))</f>
        <v/>
      </c>
      <c r="AH1125" s="8" t="str">
        <f t="shared" si="53"/>
        <v/>
      </c>
    </row>
    <row r="1126" spans="31:34" x14ac:dyDescent="0.25">
      <c r="AE1126" s="8" t="str">
        <f t="shared" si="51"/>
        <v/>
      </c>
      <c r="AF1126" s="8" t="str">
        <f t="shared" si="52"/>
        <v/>
      </c>
      <c r="AG1126" s="8" t="str">
        <f>IF(TRIM($E1126)&lt;&gt;"Tax Paid","",IF(COUNTIFS(LISTS!$F$2:$F$26,$AE1126,LISTS!$G$2:$G$26,$AF1126)=0,"NOT ON LIST",""))</f>
        <v/>
      </c>
      <c r="AH1126" s="8" t="str">
        <f t="shared" si="53"/>
        <v/>
      </c>
    </row>
    <row r="1127" spans="31:34" x14ac:dyDescent="0.25">
      <c r="AE1127" s="8" t="str">
        <f t="shared" si="51"/>
        <v/>
      </c>
      <c r="AF1127" s="8" t="str">
        <f t="shared" si="52"/>
        <v/>
      </c>
      <c r="AG1127" s="8" t="str">
        <f>IF(TRIM($E1127)&lt;&gt;"Tax Paid","",IF(COUNTIFS(LISTS!$F$2:$F$26,$AE1127,LISTS!$G$2:$G$26,$AF1127)=0,"NOT ON LIST",""))</f>
        <v/>
      </c>
      <c r="AH1127" s="8" t="str">
        <f t="shared" si="53"/>
        <v/>
      </c>
    </row>
    <row r="1128" spans="31:34" x14ac:dyDescent="0.25">
      <c r="AE1128" s="8" t="str">
        <f t="shared" si="51"/>
        <v/>
      </c>
      <c r="AF1128" s="8" t="str">
        <f t="shared" si="52"/>
        <v/>
      </c>
      <c r="AG1128" s="8" t="str">
        <f>IF(TRIM($E1128)&lt;&gt;"Tax Paid","",IF(COUNTIFS(LISTS!$F$2:$F$26,$AE1128,LISTS!$G$2:$G$26,$AF1128)=0,"NOT ON LIST",""))</f>
        <v/>
      </c>
      <c r="AH1128" s="8" t="str">
        <f t="shared" si="53"/>
        <v/>
      </c>
    </row>
    <row r="1129" spans="31:34" x14ac:dyDescent="0.25">
      <c r="AE1129" s="8" t="str">
        <f t="shared" si="51"/>
        <v/>
      </c>
      <c r="AF1129" s="8" t="str">
        <f t="shared" si="52"/>
        <v/>
      </c>
      <c r="AG1129" s="8" t="str">
        <f>IF(TRIM($E1129)&lt;&gt;"Tax Paid","",IF(COUNTIFS(LISTS!$F$2:$F$26,$AE1129,LISTS!$G$2:$G$26,$AF1129)=0,"NOT ON LIST",""))</f>
        <v/>
      </c>
      <c r="AH1129" s="8" t="str">
        <f t="shared" si="53"/>
        <v/>
      </c>
    </row>
    <row r="1130" spans="31:34" x14ac:dyDescent="0.25">
      <c r="AE1130" s="8" t="str">
        <f t="shared" si="51"/>
        <v/>
      </c>
      <c r="AF1130" s="8" t="str">
        <f t="shared" si="52"/>
        <v/>
      </c>
      <c r="AG1130" s="8" t="str">
        <f>IF(TRIM($E1130)&lt;&gt;"Tax Paid","",IF(COUNTIFS(LISTS!$F$2:$F$26,$AE1130,LISTS!$G$2:$G$26,$AF1130)=0,"NOT ON LIST",""))</f>
        <v/>
      </c>
      <c r="AH1130" s="8" t="str">
        <f t="shared" si="53"/>
        <v/>
      </c>
    </row>
    <row r="1131" spans="31:34" x14ac:dyDescent="0.25">
      <c r="AE1131" s="8" t="str">
        <f t="shared" si="51"/>
        <v/>
      </c>
      <c r="AF1131" s="8" t="str">
        <f t="shared" si="52"/>
        <v/>
      </c>
      <c r="AG1131" s="8" t="str">
        <f>IF(TRIM($E1131)&lt;&gt;"Tax Paid","",IF(COUNTIFS(LISTS!$F$2:$F$26,$AE1131,LISTS!$G$2:$G$26,$AF1131)=0,"NOT ON LIST",""))</f>
        <v/>
      </c>
      <c r="AH1131" s="8" t="str">
        <f t="shared" si="53"/>
        <v/>
      </c>
    </row>
    <row r="1132" spans="31:34" x14ac:dyDescent="0.25">
      <c r="AE1132" s="8" t="str">
        <f t="shared" si="51"/>
        <v/>
      </c>
      <c r="AF1132" s="8" t="str">
        <f t="shared" si="52"/>
        <v/>
      </c>
      <c r="AG1132" s="8" t="str">
        <f>IF(TRIM($E1132)&lt;&gt;"Tax Paid","",IF(COUNTIFS(LISTS!$F$2:$F$26,$AE1132,LISTS!$G$2:$G$26,$AF1132)=0,"NOT ON LIST",""))</f>
        <v/>
      </c>
      <c r="AH1132" s="8" t="str">
        <f t="shared" si="53"/>
        <v/>
      </c>
    </row>
    <row r="1133" spans="31:34" x14ac:dyDescent="0.25">
      <c r="AE1133" s="8" t="str">
        <f t="shared" si="51"/>
        <v/>
      </c>
      <c r="AF1133" s="8" t="str">
        <f t="shared" si="52"/>
        <v/>
      </c>
      <c r="AG1133" s="8" t="str">
        <f>IF(TRIM($E1133)&lt;&gt;"Tax Paid","",IF(COUNTIFS(LISTS!$F$2:$F$26,$AE1133,LISTS!$G$2:$G$26,$AF1133)=0,"NOT ON LIST",""))</f>
        <v/>
      </c>
      <c r="AH1133" s="8" t="str">
        <f t="shared" si="53"/>
        <v/>
      </c>
    </row>
    <row r="1134" spans="31:34" x14ac:dyDescent="0.25">
      <c r="AE1134" s="8" t="str">
        <f t="shared" si="51"/>
        <v/>
      </c>
      <c r="AF1134" s="8" t="str">
        <f t="shared" si="52"/>
        <v/>
      </c>
      <c r="AG1134" s="8" t="str">
        <f>IF(TRIM($E1134)&lt;&gt;"Tax Paid","",IF(COUNTIFS(LISTS!$F$2:$F$26,$AE1134,LISTS!$G$2:$G$26,$AF1134)=0,"NOT ON LIST",""))</f>
        <v/>
      </c>
      <c r="AH1134" s="8" t="str">
        <f t="shared" si="53"/>
        <v/>
      </c>
    </row>
    <row r="1135" spans="31:34" x14ac:dyDescent="0.25">
      <c r="AE1135" s="8" t="str">
        <f t="shared" si="51"/>
        <v/>
      </c>
      <c r="AF1135" s="8" t="str">
        <f t="shared" si="52"/>
        <v/>
      </c>
      <c r="AG1135" s="8" t="str">
        <f>IF(TRIM($E1135)&lt;&gt;"Tax Paid","",IF(COUNTIFS(LISTS!$F$2:$F$26,$AE1135,LISTS!$G$2:$G$26,$AF1135)=0,"NOT ON LIST",""))</f>
        <v/>
      </c>
      <c r="AH1135" s="8" t="str">
        <f t="shared" si="53"/>
        <v/>
      </c>
    </row>
    <row r="1136" spans="31:34" x14ac:dyDescent="0.25">
      <c r="AE1136" s="8" t="str">
        <f t="shared" si="51"/>
        <v/>
      </c>
      <c r="AF1136" s="8" t="str">
        <f t="shared" si="52"/>
        <v/>
      </c>
      <c r="AG1136" s="8" t="str">
        <f>IF(TRIM($E1136)&lt;&gt;"Tax Paid","",IF(COUNTIFS(LISTS!$F$2:$F$26,$AE1136,LISTS!$G$2:$G$26,$AF1136)=0,"NOT ON LIST",""))</f>
        <v/>
      </c>
      <c r="AH1136" s="8" t="str">
        <f t="shared" si="53"/>
        <v/>
      </c>
    </row>
    <row r="1137" spans="31:34" x14ac:dyDescent="0.25">
      <c r="AE1137" s="8" t="str">
        <f t="shared" si="51"/>
        <v/>
      </c>
      <c r="AF1137" s="8" t="str">
        <f t="shared" si="52"/>
        <v/>
      </c>
      <c r="AG1137" s="8" t="str">
        <f>IF(TRIM($E1137)&lt;&gt;"Tax Paid","",IF(COUNTIFS(LISTS!$F$2:$F$26,$AE1137,LISTS!$G$2:$G$26,$AF1137)=0,"NOT ON LIST",""))</f>
        <v/>
      </c>
      <c r="AH1137" s="8" t="str">
        <f t="shared" si="53"/>
        <v/>
      </c>
    </row>
    <row r="1138" spans="31:34" x14ac:dyDescent="0.25">
      <c r="AE1138" s="8" t="str">
        <f t="shared" si="51"/>
        <v/>
      </c>
      <c r="AF1138" s="8" t="str">
        <f t="shared" si="52"/>
        <v/>
      </c>
      <c r="AG1138" s="8" t="str">
        <f>IF(TRIM($E1138)&lt;&gt;"Tax Paid","",IF(COUNTIFS(LISTS!$F$2:$F$26,$AE1138,LISTS!$G$2:$G$26,$AF1138)=0,"NOT ON LIST",""))</f>
        <v/>
      </c>
      <c r="AH1138" s="8" t="str">
        <f t="shared" si="53"/>
        <v/>
      </c>
    </row>
    <row r="1139" spans="31:34" x14ac:dyDescent="0.25">
      <c r="AE1139" s="8" t="str">
        <f t="shared" si="51"/>
        <v/>
      </c>
      <c r="AF1139" s="8" t="str">
        <f t="shared" si="52"/>
        <v/>
      </c>
      <c r="AG1139" s="8" t="str">
        <f>IF(TRIM($E1139)&lt;&gt;"Tax Paid","",IF(COUNTIFS(LISTS!$F$2:$F$26,$AE1139,LISTS!$G$2:$G$26,$AF1139)=0,"NOT ON LIST",""))</f>
        <v/>
      </c>
      <c r="AH1139" s="8" t="str">
        <f t="shared" si="53"/>
        <v/>
      </c>
    </row>
    <row r="1140" spans="31:34" x14ac:dyDescent="0.25">
      <c r="AE1140" s="8" t="str">
        <f t="shared" si="51"/>
        <v/>
      </c>
      <c r="AF1140" s="8" t="str">
        <f t="shared" si="52"/>
        <v/>
      </c>
      <c r="AG1140" s="8" t="str">
        <f>IF(TRIM($E1140)&lt;&gt;"Tax Paid","",IF(COUNTIFS(LISTS!$F$2:$F$26,$AE1140,LISTS!$G$2:$G$26,$AF1140)=0,"NOT ON LIST",""))</f>
        <v/>
      </c>
      <c r="AH1140" s="8" t="str">
        <f t="shared" si="53"/>
        <v/>
      </c>
    </row>
    <row r="1141" spans="31:34" x14ac:dyDescent="0.25">
      <c r="AE1141" s="8" t="str">
        <f t="shared" si="51"/>
        <v/>
      </c>
      <c r="AF1141" s="8" t="str">
        <f t="shared" si="52"/>
        <v/>
      </c>
      <c r="AG1141" s="8" t="str">
        <f>IF(TRIM($E1141)&lt;&gt;"Tax Paid","",IF(COUNTIFS(LISTS!$F$2:$F$26,$AE1141,LISTS!$G$2:$G$26,$AF1141)=0,"NOT ON LIST",""))</f>
        <v/>
      </c>
      <c r="AH1141" s="8" t="str">
        <f t="shared" si="53"/>
        <v/>
      </c>
    </row>
    <row r="1142" spans="31:34" x14ac:dyDescent="0.25">
      <c r="AE1142" s="8" t="str">
        <f t="shared" si="51"/>
        <v/>
      </c>
      <c r="AF1142" s="8" t="str">
        <f t="shared" si="52"/>
        <v/>
      </c>
      <c r="AG1142" s="8" t="str">
        <f>IF(TRIM($E1142)&lt;&gt;"Tax Paid","",IF(COUNTIFS(LISTS!$F$2:$F$26,$AE1142,LISTS!$G$2:$G$26,$AF1142)=0,"NOT ON LIST",""))</f>
        <v/>
      </c>
      <c r="AH1142" s="8" t="str">
        <f t="shared" si="53"/>
        <v/>
      </c>
    </row>
    <row r="1143" spans="31:34" x14ac:dyDescent="0.25">
      <c r="AE1143" s="8" t="str">
        <f t="shared" si="51"/>
        <v/>
      </c>
      <c r="AF1143" s="8" t="str">
        <f t="shared" si="52"/>
        <v/>
      </c>
      <c r="AG1143" s="8" t="str">
        <f>IF(TRIM($E1143)&lt;&gt;"Tax Paid","",IF(COUNTIFS(LISTS!$F$2:$F$26,$AE1143,LISTS!$G$2:$G$26,$AF1143)=0,"NOT ON LIST",""))</f>
        <v/>
      </c>
      <c r="AH1143" s="8" t="str">
        <f t="shared" si="53"/>
        <v/>
      </c>
    </row>
    <row r="1144" spans="31:34" x14ac:dyDescent="0.25">
      <c r="AE1144" s="8" t="str">
        <f t="shared" si="51"/>
        <v/>
      </c>
      <c r="AF1144" s="8" t="str">
        <f t="shared" si="52"/>
        <v/>
      </c>
      <c r="AG1144" s="8" t="str">
        <f>IF(TRIM($E1144)&lt;&gt;"Tax Paid","",IF(COUNTIFS(LISTS!$F$2:$F$26,$AE1144,LISTS!$G$2:$G$26,$AF1144)=0,"NOT ON LIST",""))</f>
        <v/>
      </c>
      <c r="AH1144" s="8" t="str">
        <f t="shared" si="53"/>
        <v/>
      </c>
    </row>
    <row r="1145" spans="31:34" x14ac:dyDescent="0.25">
      <c r="AE1145" s="8" t="str">
        <f t="shared" si="51"/>
        <v/>
      </c>
      <c r="AF1145" s="8" t="str">
        <f t="shared" si="52"/>
        <v/>
      </c>
      <c r="AG1145" s="8" t="str">
        <f>IF(TRIM($E1145)&lt;&gt;"Tax Paid","",IF(COUNTIFS(LISTS!$F$2:$F$26,$AE1145,LISTS!$G$2:$G$26,$AF1145)=0,"NOT ON LIST",""))</f>
        <v/>
      </c>
      <c r="AH1145" s="8" t="str">
        <f t="shared" si="53"/>
        <v/>
      </c>
    </row>
    <row r="1146" spans="31:34" x14ac:dyDescent="0.25">
      <c r="AE1146" s="8" t="str">
        <f t="shared" si="51"/>
        <v/>
      </c>
      <c r="AF1146" s="8" t="str">
        <f t="shared" si="52"/>
        <v/>
      </c>
      <c r="AG1146" s="8" t="str">
        <f>IF(TRIM($E1146)&lt;&gt;"Tax Paid","",IF(COUNTIFS(LISTS!$F$2:$F$26,$AE1146,LISTS!$G$2:$G$26,$AF1146)=0,"NOT ON LIST",""))</f>
        <v/>
      </c>
      <c r="AH1146" s="8" t="str">
        <f t="shared" si="53"/>
        <v/>
      </c>
    </row>
    <row r="1147" spans="31:34" x14ac:dyDescent="0.25">
      <c r="AE1147" s="8" t="str">
        <f t="shared" si="51"/>
        <v/>
      </c>
      <c r="AF1147" s="8" t="str">
        <f t="shared" si="52"/>
        <v/>
      </c>
      <c r="AG1147" s="8" t="str">
        <f>IF(TRIM($E1147)&lt;&gt;"Tax Paid","",IF(COUNTIFS(LISTS!$F$2:$F$26,$AE1147,LISTS!$G$2:$G$26,$AF1147)=0,"NOT ON LIST",""))</f>
        <v/>
      </c>
      <c r="AH1147" s="8" t="str">
        <f t="shared" si="53"/>
        <v/>
      </c>
    </row>
    <row r="1148" spans="31:34" x14ac:dyDescent="0.25">
      <c r="AE1148" s="8" t="str">
        <f t="shared" si="51"/>
        <v/>
      </c>
      <c r="AF1148" s="8" t="str">
        <f t="shared" si="52"/>
        <v/>
      </c>
      <c r="AG1148" s="8" t="str">
        <f>IF(TRIM($E1148)&lt;&gt;"Tax Paid","",IF(COUNTIFS(LISTS!$F$2:$F$26,$AE1148,LISTS!$G$2:$G$26,$AF1148)=0,"NOT ON LIST",""))</f>
        <v/>
      </c>
      <c r="AH1148" s="8" t="str">
        <f t="shared" si="53"/>
        <v/>
      </c>
    </row>
    <row r="1149" spans="31:34" x14ac:dyDescent="0.25">
      <c r="AE1149" s="8" t="str">
        <f t="shared" si="51"/>
        <v/>
      </c>
      <c r="AF1149" s="8" t="str">
        <f t="shared" si="52"/>
        <v/>
      </c>
      <c r="AG1149" s="8" t="str">
        <f>IF(TRIM($E1149)&lt;&gt;"Tax Paid","",IF(COUNTIFS(LISTS!$F$2:$F$26,$AE1149,LISTS!$G$2:$G$26,$AF1149)=0,"NOT ON LIST",""))</f>
        <v/>
      </c>
      <c r="AH1149" s="8" t="str">
        <f t="shared" si="53"/>
        <v/>
      </c>
    </row>
    <row r="1150" spans="31:34" x14ac:dyDescent="0.25">
      <c r="AE1150" s="8" t="str">
        <f t="shared" si="51"/>
        <v/>
      </c>
      <c r="AF1150" s="8" t="str">
        <f t="shared" si="52"/>
        <v/>
      </c>
      <c r="AG1150" s="8" t="str">
        <f>IF(TRIM($E1150)&lt;&gt;"Tax Paid","",IF(COUNTIFS(LISTS!$F$2:$F$26,$AE1150,LISTS!$G$2:$G$26,$AF1150)=0,"NOT ON LIST",""))</f>
        <v/>
      </c>
      <c r="AH1150" s="8" t="str">
        <f t="shared" si="53"/>
        <v/>
      </c>
    </row>
    <row r="1151" spans="31:34" x14ac:dyDescent="0.25">
      <c r="AE1151" s="8" t="str">
        <f t="shared" si="51"/>
        <v/>
      </c>
      <c r="AF1151" s="8" t="str">
        <f t="shared" si="52"/>
        <v/>
      </c>
      <c r="AG1151" s="8" t="str">
        <f>IF(TRIM($E1151)&lt;&gt;"Tax Paid","",IF(COUNTIFS(LISTS!$F$2:$F$26,$AE1151,LISTS!$G$2:$G$26,$AF1151)=0,"NOT ON LIST",""))</f>
        <v/>
      </c>
      <c r="AH1151" s="8" t="str">
        <f t="shared" si="53"/>
        <v/>
      </c>
    </row>
    <row r="1152" spans="31:34" x14ac:dyDescent="0.25">
      <c r="AE1152" s="8" t="str">
        <f t="shared" si="51"/>
        <v/>
      </c>
      <c r="AF1152" s="8" t="str">
        <f t="shared" si="52"/>
        <v/>
      </c>
      <c r="AG1152" s="8" t="str">
        <f>IF(TRIM($E1152)&lt;&gt;"Tax Paid","",IF(COUNTIFS(LISTS!$F$2:$F$26,$AE1152,LISTS!$G$2:$G$26,$AF1152)=0,"NOT ON LIST",""))</f>
        <v/>
      </c>
      <c r="AH1152" s="8" t="str">
        <f t="shared" si="53"/>
        <v/>
      </c>
    </row>
    <row r="1153" spans="31:34" x14ac:dyDescent="0.25">
      <c r="AE1153" s="8" t="str">
        <f t="shared" si="51"/>
        <v/>
      </c>
      <c r="AF1153" s="8" t="str">
        <f t="shared" si="52"/>
        <v/>
      </c>
      <c r="AG1153" s="8" t="str">
        <f>IF(TRIM($E1153)&lt;&gt;"Tax Paid","",IF(COUNTIFS(LISTS!$F$2:$F$26,$AE1153,LISTS!$G$2:$G$26,$AF1153)=0,"NOT ON LIST",""))</f>
        <v/>
      </c>
      <c r="AH1153" s="8" t="str">
        <f t="shared" si="53"/>
        <v/>
      </c>
    </row>
    <row r="1154" spans="31:34" x14ac:dyDescent="0.25">
      <c r="AE1154" s="8" t="str">
        <f t="shared" ref="AE1154:AE1217" si="54">IF(TRIM($E1154)="Tax Paid",TRIM($S1154),"")</f>
        <v/>
      </c>
      <c r="AF1154" s="8" t="str">
        <f t="shared" ref="AF1154:AF1217" si="55">IF(TRIM($E1154)="Tax Paid",ROUND($Z1154/100,5),"")</f>
        <v/>
      </c>
      <c r="AG1154" s="8" t="str">
        <f>IF(TRIM($E1154)&lt;&gt;"Tax Paid","",IF(COUNTIFS(LISTS!$F$2:$F$26,$AE1154,LISTS!$G$2:$G$26,$AF1154)=0,"NOT ON LIST",""))</f>
        <v/>
      </c>
      <c r="AH1154" s="8" t="str">
        <f t="shared" ref="AH1154:AH1217" si="56">IF($AG1154="","",IF($AE1154="","(no county)",$AE1154)&amp;" ("&amp;SUBSTITUTE(TEXT($AF1154,"0.###%"),".%","%")&amp;")")</f>
        <v/>
      </c>
    </row>
    <row r="1155" spans="31:34" x14ac:dyDescent="0.25">
      <c r="AE1155" s="8" t="str">
        <f t="shared" si="54"/>
        <v/>
      </c>
      <c r="AF1155" s="8" t="str">
        <f t="shared" si="55"/>
        <v/>
      </c>
      <c r="AG1155" s="8" t="str">
        <f>IF(TRIM($E1155)&lt;&gt;"Tax Paid","",IF(COUNTIFS(LISTS!$F$2:$F$26,$AE1155,LISTS!$G$2:$G$26,$AF1155)=0,"NOT ON LIST",""))</f>
        <v/>
      </c>
      <c r="AH1155" s="8" t="str">
        <f t="shared" si="56"/>
        <v/>
      </c>
    </row>
    <row r="1156" spans="31:34" x14ac:dyDescent="0.25">
      <c r="AE1156" s="8" t="str">
        <f t="shared" si="54"/>
        <v/>
      </c>
      <c r="AF1156" s="8" t="str">
        <f t="shared" si="55"/>
        <v/>
      </c>
      <c r="AG1156" s="8" t="str">
        <f>IF(TRIM($E1156)&lt;&gt;"Tax Paid","",IF(COUNTIFS(LISTS!$F$2:$F$26,$AE1156,LISTS!$G$2:$G$26,$AF1156)=0,"NOT ON LIST",""))</f>
        <v/>
      </c>
      <c r="AH1156" s="8" t="str">
        <f t="shared" si="56"/>
        <v/>
      </c>
    </row>
    <row r="1157" spans="31:34" x14ac:dyDescent="0.25">
      <c r="AE1157" s="8" t="str">
        <f t="shared" si="54"/>
        <v/>
      </c>
      <c r="AF1157" s="8" t="str">
        <f t="shared" si="55"/>
        <v/>
      </c>
      <c r="AG1157" s="8" t="str">
        <f>IF(TRIM($E1157)&lt;&gt;"Tax Paid","",IF(COUNTIFS(LISTS!$F$2:$F$26,$AE1157,LISTS!$G$2:$G$26,$AF1157)=0,"NOT ON LIST",""))</f>
        <v/>
      </c>
      <c r="AH1157" s="8" t="str">
        <f t="shared" si="56"/>
        <v/>
      </c>
    </row>
    <row r="1158" spans="31:34" x14ac:dyDescent="0.25">
      <c r="AE1158" s="8" t="str">
        <f t="shared" si="54"/>
        <v/>
      </c>
      <c r="AF1158" s="8" t="str">
        <f t="shared" si="55"/>
        <v/>
      </c>
      <c r="AG1158" s="8" t="str">
        <f>IF(TRIM($E1158)&lt;&gt;"Tax Paid","",IF(COUNTIFS(LISTS!$F$2:$F$26,$AE1158,LISTS!$G$2:$G$26,$AF1158)=0,"NOT ON LIST",""))</f>
        <v/>
      </c>
      <c r="AH1158" s="8" t="str">
        <f t="shared" si="56"/>
        <v/>
      </c>
    </row>
    <row r="1159" spans="31:34" x14ac:dyDescent="0.25">
      <c r="AE1159" s="8" t="str">
        <f t="shared" si="54"/>
        <v/>
      </c>
      <c r="AF1159" s="8" t="str">
        <f t="shared" si="55"/>
        <v/>
      </c>
      <c r="AG1159" s="8" t="str">
        <f>IF(TRIM($E1159)&lt;&gt;"Tax Paid","",IF(COUNTIFS(LISTS!$F$2:$F$26,$AE1159,LISTS!$G$2:$G$26,$AF1159)=0,"NOT ON LIST",""))</f>
        <v/>
      </c>
      <c r="AH1159" s="8" t="str">
        <f t="shared" si="56"/>
        <v/>
      </c>
    </row>
    <row r="1160" spans="31:34" x14ac:dyDescent="0.25">
      <c r="AE1160" s="8" t="str">
        <f t="shared" si="54"/>
        <v/>
      </c>
      <c r="AF1160" s="8" t="str">
        <f t="shared" si="55"/>
        <v/>
      </c>
      <c r="AG1160" s="8" t="str">
        <f>IF(TRIM($E1160)&lt;&gt;"Tax Paid","",IF(COUNTIFS(LISTS!$F$2:$F$26,$AE1160,LISTS!$G$2:$G$26,$AF1160)=0,"NOT ON LIST",""))</f>
        <v/>
      </c>
      <c r="AH1160" s="8" t="str">
        <f t="shared" si="56"/>
        <v/>
      </c>
    </row>
    <row r="1161" spans="31:34" x14ac:dyDescent="0.25">
      <c r="AE1161" s="8" t="str">
        <f t="shared" si="54"/>
        <v/>
      </c>
      <c r="AF1161" s="8" t="str">
        <f t="shared" si="55"/>
        <v/>
      </c>
      <c r="AG1161" s="8" t="str">
        <f>IF(TRIM($E1161)&lt;&gt;"Tax Paid","",IF(COUNTIFS(LISTS!$F$2:$F$26,$AE1161,LISTS!$G$2:$G$26,$AF1161)=0,"NOT ON LIST",""))</f>
        <v/>
      </c>
      <c r="AH1161" s="8" t="str">
        <f t="shared" si="56"/>
        <v/>
      </c>
    </row>
    <row r="1162" spans="31:34" x14ac:dyDescent="0.25">
      <c r="AE1162" s="8" t="str">
        <f t="shared" si="54"/>
        <v/>
      </c>
      <c r="AF1162" s="8" t="str">
        <f t="shared" si="55"/>
        <v/>
      </c>
      <c r="AG1162" s="8" t="str">
        <f>IF(TRIM($E1162)&lt;&gt;"Tax Paid","",IF(COUNTIFS(LISTS!$F$2:$F$26,$AE1162,LISTS!$G$2:$G$26,$AF1162)=0,"NOT ON LIST",""))</f>
        <v/>
      </c>
      <c r="AH1162" s="8" t="str">
        <f t="shared" si="56"/>
        <v/>
      </c>
    </row>
    <row r="1163" spans="31:34" x14ac:dyDescent="0.25">
      <c r="AE1163" s="8" t="str">
        <f t="shared" si="54"/>
        <v/>
      </c>
      <c r="AF1163" s="8" t="str">
        <f t="shared" si="55"/>
        <v/>
      </c>
      <c r="AG1163" s="8" t="str">
        <f>IF(TRIM($E1163)&lt;&gt;"Tax Paid","",IF(COUNTIFS(LISTS!$F$2:$F$26,$AE1163,LISTS!$G$2:$G$26,$AF1163)=0,"NOT ON LIST",""))</f>
        <v/>
      </c>
      <c r="AH1163" s="8" t="str">
        <f t="shared" si="56"/>
        <v/>
      </c>
    </row>
    <row r="1164" spans="31:34" x14ac:dyDescent="0.25">
      <c r="AE1164" s="8" t="str">
        <f t="shared" si="54"/>
        <v/>
      </c>
      <c r="AF1164" s="8" t="str">
        <f t="shared" si="55"/>
        <v/>
      </c>
      <c r="AG1164" s="8" t="str">
        <f>IF(TRIM($E1164)&lt;&gt;"Tax Paid","",IF(COUNTIFS(LISTS!$F$2:$F$26,$AE1164,LISTS!$G$2:$G$26,$AF1164)=0,"NOT ON LIST",""))</f>
        <v/>
      </c>
      <c r="AH1164" s="8" t="str">
        <f t="shared" si="56"/>
        <v/>
      </c>
    </row>
    <row r="1165" spans="31:34" x14ac:dyDescent="0.25">
      <c r="AE1165" s="8" t="str">
        <f t="shared" si="54"/>
        <v/>
      </c>
      <c r="AF1165" s="8" t="str">
        <f t="shared" si="55"/>
        <v/>
      </c>
      <c r="AG1165" s="8" t="str">
        <f>IF(TRIM($E1165)&lt;&gt;"Tax Paid","",IF(COUNTIFS(LISTS!$F$2:$F$26,$AE1165,LISTS!$G$2:$G$26,$AF1165)=0,"NOT ON LIST",""))</f>
        <v/>
      </c>
      <c r="AH1165" s="8" t="str">
        <f t="shared" si="56"/>
        <v/>
      </c>
    </row>
    <row r="1166" spans="31:34" x14ac:dyDescent="0.25">
      <c r="AE1166" s="8" t="str">
        <f t="shared" si="54"/>
        <v/>
      </c>
      <c r="AF1166" s="8" t="str">
        <f t="shared" si="55"/>
        <v/>
      </c>
      <c r="AG1166" s="8" t="str">
        <f>IF(TRIM($E1166)&lt;&gt;"Tax Paid","",IF(COUNTIFS(LISTS!$F$2:$F$26,$AE1166,LISTS!$G$2:$G$26,$AF1166)=0,"NOT ON LIST",""))</f>
        <v/>
      </c>
      <c r="AH1166" s="8" t="str">
        <f t="shared" si="56"/>
        <v/>
      </c>
    </row>
    <row r="1167" spans="31:34" x14ac:dyDescent="0.25">
      <c r="AE1167" s="8" t="str">
        <f t="shared" si="54"/>
        <v/>
      </c>
      <c r="AF1167" s="8" t="str">
        <f t="shared" si="55"/>
        <v/>
      </c>
      <c r="AG1167" s="8" t="str">
        <f>IF(TRIM($E1167)&lt;&gt;"Tax Paid","",IF(COUNTIFS(LISTS!$F$2:$F$26,$AE1167,LISTS!$G$2:$G$26,$AF1167)=0,"NOT ON LIST",""))</f>
        <v/>
      </c>
      <c r="AH1167" s="8" t="str">
        <f t="shared" si="56"/>
        <v/>
      </c>
    </row>
    <row r="1168" spans="31:34" x14ac:dyDescent="0.25">
      <c r="AE1168" s="8" t="str">
        <f t="shared" si="54"/>
        <v/>
      </c>
      <c r="AF1168" s="8" t="str">
        <f t="shared" si="55"/>
        <v/>
      </c>
      <c r="AG1168" s="8" t="str">
        <f>IF(TRIM($E1168)&lt;&gt;"Tax Paid","",IF(COUNTIFS(LISTS!$F$2:$F$26,$AE1168,LISTS!$G$2:$G$26,$AF1168)=0,"NOT ON LIST",""))</f>
        <v/>
      </c>
      <c r="AH1168" s="8" t="str">
        <f t="shared" si="56"/>
        <v/>
      </c>
    </row>
    <row r="1169" spans="31:34" x14ac:dyDescent="0.25">
      <c r="AE1169" s="8" t="str">
        <f t="shared" si="54"/>
        <v/>
      </c>
      <c r="AF1169" s="8" t="str">
        <f t="shared" si="55"/>
        <v/>
      </c>
      <c r="AG1169" s="8" t="str">
        <f>IF(TRIM($E1169)&lt;&gt;"Tax Paid","",IF(COUNTIFS(LISTS!$F$2:$F$26,$AE1169,LISTS!$G$2:$G$26,$AF1169)=0,"NOT ON LIST",""))</f>
        <v/>
      </c>
      <c r="AH1169" s="8" t="str">
        <f t="shared" si="56"/>
        <v/>
      </c>
    </row>
    <row r="1170" spans="31:34" x14ac:dyDescent="0.25">
      <c r="AE1170" s="8" t="str">
        <f t="shared" si="54"/>
        <v/>
      </c>
      <c r="AF1170" s="8" t="str">
        <f t="shared" si="55"/>
        <v/>
      </c>
      <c r="AG1170" s="8" t="str">
        <f>IF(TRIM($E1170)&lt;&gt;"Tax Paid","",IF(COUNTIFS(LISTS!$F$2:$F$26,$AE1170,LISTS!$G$2:$G$26,$AF1170)=0,"NOT ON LIST",""))</f>
        <v/>
      </c>
      <c r="AH1170" s="8" t="str">
        <f t="shared" si="56"/>
        <v/>
      </c>
    </row>
    <row r="1171" spans="31:34" x14ac:dyDescent="0.25">
      <c r="AE1171" s="8" t="str">
        <f t="shared" si="54"/>
        <v/>
      </c>
      <c r="AF1171" s="8" t="str">
        <f t="shared" si="55"/>
        <v/>
      </c>
      <c r="AG1171" s="8" t="str">
        <f>IF(TRIM($E1171)&lt;&gt;"Tax Paid","",IF(COUNTIFS(LISTS!$F$2:$F$26,$AE1171,LISTS!$G$2:$G$26,$AF1171)=0,"NOT ON LIST",""))</f>
        <v/>
      </c>
      <c r="AH1171" s="8" t="str">
        <f t="shared" si="56"/>
        <v/>
      </c>
    </row>
    <row r="1172" spans="31:34" x14ac:dyDescent="0.25">
      <c r="AE1172" s="8" t="str">
        <f t="shared" si="54"/>
        <v/>
      </c>
      <c r="AF1172" s="8" t="str">
        <f t="shared" si="55"/>
        <v/>
      </c>
      <c r="AG1172" s="8" t="str">
        <f>IF(TRIM($E1172)&lt;&gt;"Tax Paid","",IF(COUNTIFS(LISTS!$F$2:$F$26,$AE1172,LISTS!$G$2:$G$26,$AF1172)=0,"NOT ON LIST",""))</f>
        <v/>
      </c>
      <c r="AH1172" s="8" t="str">
        <f t="shared" si="56"/>
        <v/>
      </c>
    </row>
    <row r="1173" spans="31:34" x14ac:dyDescent="0.25">
      <c r="AE1173" s="8" t="str">
        <f t="shared" si="54"/>
        <v/>
      </c>
      <c r="AF1173" s="8" t="str">
        <f t="shared" si="55"/>
        <v/>
      </c>
      <c r="AG1173" s="8" t="str">
        <f>IF(TRIM($E1173)&lt;&gt;"Tax Paid","",IF(COUNTIFS(LISTS!$F$2:$F$26,$AE1173,LISTS!$G$2:$G$26,$AF1173)=0,"NOT ON LIST",""))</f>
        <v/>
      </c>
      <c r="AH1173" s="8" t="str">
        <f t="shared" si="56"/>
        <v/>
      </c>
    </row>
    <row r="1174" spans="31:34" x14ac:dyDescent="0.25">
      <c r="AE1174" s="8" t="str">
        <f t="shared" si="54"/>
        <v/>
      </c>
      <c r="AF1174" s="8" t="str">
        <f t="shared" si="55"/>
        <v/>
      </c>
      <c r="AG1174" s="8" t="str">
        <f>IF(TRIM($E1174)&lt;&gt;"Tax Paid","",IF(COUNTIFS(LISTS!$F$2:$F$26,$AE1174,LISTS!$G$2:$G$26,$AF1174)=0,"NOT ON LIST",""))</f>
        <v/>
      </c>
      <c r="AH1174" s="8" t="str">
        <f t="shared" si="56"/>
        <v/>
      </c>
    </row>
    <row r="1175" spans="31:34" x14ac:dyDescent="0.25">
      <c r="AE1175" s="8" t="str">
        <f t="shared" si="54"/>
        <v/>
      </c>
      <c r="AF1175" s="8" t="str">
        <f t="shared" si="55"/>
        <v/>
      </c>
      <c r="AG1175" s="8" t="str">
        <f>IF(TRIM($E1175)&lt;&gt;"Tax Paid","",IF(COUNTIFS(LISTS!$F$2:$F$26,$AE1175,LISTS!$G$2:$G$26,$AF1175)=0,"NOT ON LIST",""))</f>
        <v/>
      </c>
      <c r="AH1175" s="8" t="str">
        <f t="shared" si="56"/>
        <v/>
      </c>
    </row>
    <row r="1176" spans="31:34" x14ac:dyDescent="0.25">
      <c r="AE1176" s="8" t="str">
        <f t="shared" si="54"/>
        <v/>
      </c>
      <c r="AF1176" s="8" t="str">
        <f t="shared" si="55"/>
        <v/>
      </c>
      <c r="AG1176" s="8" t="str">
        <f>IF(TRIM($E1176)&lt;&gt;"Tax Paid","",IF(COUNTIFS(LISTS!$F$2:$F$26,$AE1176,LISTS!$G$2:$G$26,$AF1176)=0,"NOT ON LIST",""))</f>
        <v/>
      </c>
      <c r="AH1176" s="8" t="str">
        <f t="shared" si="56"/>
        <v/>
      </c>
    </row>
    <row r="1177" spans="31:34" x14ac:dyDescent="0.25">
      <c r="AE1177" s="8" t="str">
        <f t="shared" si="54"/>
        <v/>
      </c>
      <c r="AF1177" s="8" t="str">
        <f t="shared" si="55"/>
        <v/>
      </c>
      <c r="AG1177" s="8" t="str">
        <f>IF(TRIM($E1177)&lt;&gt;"Tax Paid","",IF(COUNTIFS(LISTS!$F$2:$F$26,$AE1177,LISTS!$G$2:$G$26,$AF1177)=0,"NOT ON LIST",""))</f>
        <v/>
      </c>
      <c r="AH1177" s="8" t="str">
        <f t="shared" si="56"/>
        <v/>
      </c>
    </row>
    <row r="1178" spans="31:34" x14ac:dyDescent="0.25">
      <c r="AE1178" s="8" t="str">
        <f t="shared" si="54"/>
        <v/>
      </c>
      <c r="AF1178" s="8" t="str">
        <f t="shared" si="55"/>
        <v/>
      </c>
      <c r="AG1178" s="8" t="str">
        <f>IF(TRIM($E1178)&lt;&gt;"Tax Paid","",IF(COUNTIFS(LISTS!$F$2:$F$26,$AE1178,LISTS!$G$2:$G$26,$AF1178)=0,"NOT ON LIST",""))</f>
        <v/>
      </c>
      <c r="AH1178" s="8" t="str">
        <f t="shared" si="56"/>
        <v/>
      </c>
    </row>
    <row r="1179" spans="31:34" x14ac:dyDescent="0.25">
      <c r="AE1179" s="8" t="str">
        <f t="shared" si="54"/>
        <v/>
      </c>
      <c r="AF1179" s="8" t="str">
        <f t="shared" si="55"/>
        <v/>
      </c>
      <c r="AG1179" s="8" t="str">
        <f>IF(TRIM($E1179)&lt;&gt;"Tax Paid","",IF(COUNTIFS(LISTS!$F$2:$F$26,$AE1179,LISTS!$G$2:$G$26,$AF1179)=0,"NOT ON LIST",""))</f>
        <v/>
      </c>
      <c r="AH1179" s="8" t="str">
        <f t="shared" si="56"/>
        <v/>
      </c>
    </row>
    <row r="1180" spans="31:34" x14ac:dyDescent="0.25">
      <c r="AE1180" s="8" t="str">
        <f t="shared" si="54"/>
        <v/>
      </c>
      <c r="AF1180" s="8" t="str">
        <f t="shared" si="55"/>
        <v/>
      </c>
      <c r="AG1180" s="8" t="str">
        <f>IF(TRIM($E1180)&lt;&gt;"Tax Paid","",IF(COUNTIFS(LISTS!$F$2:$F$26,$AE1180,LISTS!$G$2:$G$26,$AF1180)=0,"NOT ON LIST",""))</f>
        <v/>
      </c>
      <c r="AH1180" s="8" t="str">
        <f t="shared" si="56"/>
        <v/>
      </c>
    </row>
    <row r="1181" spans="31:34" x14ac:dyDescent="0.25">
      <c r="AE1181" s="8" t="str">
        <f t="shared" si="54"/>
        <v/>
      </c>
      <c r="AF1181" s="8" t="str">
        <f t="shared" si="55"/>
        <v/>
      </c>
      <c r="AG1181" s="8" t="str">
        <f>IF(TRIM($E1181)&lt;&gt;"Tax Paid","",IF(COUNTIFS(LISTS!$F$2:$F$26,$AE1181,LISTS!$G$2:$G$26,$AF1181)=0,"NOT ON LIST",""))</f>
        <v/>
      </c>
      <c r="AH1181" s="8" t="str">
        <f t="shared" si="56"/>
        <v/>
      </c>
    </row>
    <row r="1182" spans="31:34" x14ac:dyDescent="0.25">
      <c r="AE1182" s="8" t="str">
        <f t="shared" si="54"/>
        <v/>
      </c>
      <c r="AF1182" s="8" t="str">
        <f t="shared" si="55"/>
        <v/>
      </c>
      <c r="AG1182" s="8" t="str">
        <f>IF(TRIM($E1182)&lt;&gt;"Tax Paid","",IF(COUNTIFS(LISTS!$F$2:$F$26,$AE1182,LISTS!$G$2:$G$26,$AF1182)=0,"NOT ON LIST",""))</f>
        <v/>
      </c>
      <c r="AH1182" s="8" t="str">
        <f t="shared" si="56"/>
        <v/>
      </c>
    </row>
    <row r="1183" spans="31:34" x14ac:dyDescent="0.25">
      <c r="AE1183" s="8" t="str">
        <f t="shared" si="54"/>
        <v/>
      </c>
      <c r="AF1183" s="8" t="str">
        <f t="shared" si="55"/>
        <v/>
      </c>
      <c r="AG1183" s="8" t="str">
        <f>IF(TRIM($E1183)&lt;&gt;"Tax Paid","",IF(COUNTIFS(LISTS!$F$2:$F$26,$AE1183,LISTS!$G$2:$G$26,$AF1183)=0,"NOT ON LIST",""))</f>
        <v/>
      </c>
      <c r="AH1183" s="8" t="str">
        <f t="shared" si="56"/>
        <v/>
      </c>
    </row>
    <row r="1184" spans="31:34" x14ac:dyDescent="0.25">
      <c r="AE1184" s="8" t="str">
        <f t="shared" si="54"/>
        <v/>
      </c>
      <c r="AF1184" s="8" t="str">
        <f t="shared" si="55"/>
        <v/>
      </c>
      <c r="AG1184" s="8" t="str">
        <f>IF(TRIM($E1184)&lt;&gt;"Tax Paid","",IF(COUNTIFS(LISTS!$F$2:$F$26,$AE1184,LISTS!$G$2:$G$26,$AF1184)=0,"NOT ON LIST",""))</f>
        <v/>
      </c>
      <c r="AH1184" s="8" t="str">
        <f t="shared" si="56"/>
        <v/>
      </c>
    </row>
    <row r="1185" spans="31:34" x14ac:dyDescent="0.25">
      <c r="AE1185" s="8" t="str">
        <f t="shared" si="54"/>
        <v/>
      </c>
      <c r="AF1185" s="8" t="str">
        <f t="shared" si="55"/>
        <v/>
      </c>
      <c r="AG1185" s="8" t="str">
        <f>IF(TRIM($E1185)&lt;&gt;"Tax Paid","",IF(COUNTIFS(LISTS!$F$2:$F$26,$AE1185,LISTS!$G$2:$G$26,$AF1185)=0,"NOT ON LIST",""))</f>
        <v/>
      </c>
      <c r="AH1185" s="8" t="str">
        <f t="shared" si="56"/>
        <v/>
      </c>
    </row>
    <row r="1186" spans="31:34" x14ac:dyDescent="0.25">
      <c r="AE1186" s="8" t="str">
        <f t="shared" si="54"/>
        <v/>
      </c>
      <c r="AF1186" s="8" t="str">
        <f t="shared" si="55"/>
        <v/>
      </c>
      <c r="AG1186" s="8" t="str">
        <f>IF(TRIM($E1186)&lt;&gt;"Tax Paid","",IF(COUNTIFS(LISTS!$F$2:$F$26,$AE1186,LISTS!$G$2:$G$26,$AF1186)=0,"NOT ON LIST",""))</f>
        <v/>
      </c>
      <c r="AH1186" s="8" t="str">
        <f t="shared" si="56"/>
        <v/>
      </c>
    </row>
    <row r="1187" spans="31:34" x14ac:dyDescent="0.25">
      <c r="AE1187" s="8" t="str">
        <f t="shared" si="54"/>
        <v/>
      </c>
      <c r="AF1187" s="8" t="str">
        <f t="shared" si="55"/>
        <v/>
      </c>
      <c r="AG1187" s="8" t="str">
        <f>IF(TRIM($E1187)&lt;&gt;"Tax Paid","",IF(COUNTIFS(LISTS!$F$2:$F$26,$AE1187,LISTS!$G$2:$G$26,$AF1187)=0,"NOT ON LIST",""))</f>
        <v/>
      </c>
      <c r="AH1187" s="8" t="str">
        <f t="shared" si="56"/>
        <v/>
      </c>
    </row>
    <row r="1188" spans="31:34" x14ac:dyDescent="0.25">
      <c r="AE1188" s="8" t="str">
        <f t="shared" si="54"/>
        <v/>
      </c>
      <c r="AF1188" s="8" t="str">
        <f t="shared" si="55"/>
        <v/>
      </c>
      <c r="AG1188" s="8" t="str">
        <f>IF(TRIM($E1188)&lt;&gt;"Tax Paid","",IF(COUNTIFS(LISTS!$F$2:$F$26,$AE1188,LISTS!$G$2:$G$26,$AF1188)=0,"NOT ON LIST",""))</f>
        <v/>
      </c>
      <c r="AH1188" s="8" t="str">
        <f t="shared" si="56"/>
        <v/>
      </c>
    </row>
    <row r="1189" spans="31:34" x14ac:dyDescent="0.25">
      <c r="AE1189" s="8" t="str">
        <f t="shared" si="54"/>
        <v/>
      </c>
      <c r="AF1189" s="8" t="str">
        <f t="shared" si="55"/>
        <v/>
      </c>
      <c r="AG1189" s="8" t="str">
        <f>IF(TRIM($E1189)&lt;&gt;"Tax Paid","",IF(COUNTIFS(LISTS!$F$2:$F$26,$AE1189,LISTS!$G$2:$G$26,$AF1189)=0,"NOT ON LIST",""))</f>
        <v/>
      </c>
      <c r="AH1189" s="8" t="str">
        <f t="shared" si="56"/>
        <v/>
      </c>
    </row>
    <row r="1190" spans="31:34" x14ac:dyDescent="0.25">
      <c r="AE1190" s="8" t="str">
        <f t="shared" si="54"/>
        <v/>
      </c>
      <c r="AF1190" s="8" t="str">
        <f t="shared" si="55"/>
        <v/>
      </c>
      <c r="AG1190" s="8" t="str">
        <f>IF(TRIM($E1190)&lt;&gt;"Tax Paid","",IF(COUNTIFS(LISTS!$F$2:$F$26,$AE1190,LISTS!$G$2:$G$26,$AF1190)=0,"NOT ON LIST",""))</f>
        <v/>
      </c>
      <c r="AH1190" s="8" t="str">
        <f t="shared" si="56"/>
        <v/>
      </c>
    </row>
    <row r="1191" spans="31:34" x14ac:dyDescent="0.25">
      <c r="AE1191" s="8" t="str">
        <f t="shared" si="54"/>
        <v/>
      </c>
      <c r="AF1191" s="8" t="str">
        <f t="shared" si="55"/>
        <v/>
      </c>
      <c r="AG1191" s="8" t="str">
        <f>IF(TRIM($E1191)&lt;&gt;"Tax Paid","",IF(COUNTIFS(LISTS!$F$2:$F$26,$AE1191,LISTS!$G$2:$G$26,$AF1191)=0,"NOT ON LIST",""))</f>
        <v/>
      </c>
      <c r="AH1191" s="8" t="str">
        <f t="shared" si="56"/>
        <v/>
      </c>
    </row>
    <row r="1192" spans="31:34" x14ac:dyDescent="0.25">
      <c r="AE1192" s="8" t="str">
        <f t="shared" si="54"/>
        <v/>
      </c>
      <c r="AF1192" s="8" t="str">
        <f t="shared" si="55"/>
        <v/>
      </c>
      <c r="AG1192" s="8" t="str">
        <f>IF(TRIM($E1192)&lt;&gt;"Tax Paid","",IF(COUNTIFS(LISTS!$F$2:$F$26,$AE1192,LISTS!$G$2:$G$26,$AF1192)=0,"NOT ON LIST",""))</f>
        <v/>
      </c>
      <c r="AH1192" s="8" t="str">
        <f t="shared" si="56"/>
        <v/>
      </c>
    </row>
    <row r="1193" spans="31:34" x14ac:dyDescent="0.25">
      <c r="AE1193" s="8" t="str">
        <f t="shared" si="54"/>
        <v/>
      </c>
      <c r="AF1193" s="8" t="str">
        <f t="shared" si="55"/>
        <v/>
      </c>
      <c r="AG1193" s="8" t="str">
        <f>IF(TRIM($E1193)&lt;&gt;"Tax Paid","",IF(COUNTIFS(LISTS!$F$2:$F$26,$AE1193,LISTS!$G$2:$G$26,$AF1193)=0,"NOT ON LIST",""))</f>
        <v/>
      </c>
      <c r="AH1193" s="8" t="str">
        <f t="shared" si="56"/>
        <v/>
      </c>
    </row>
    <row r="1194" spans="31:34" x14ac:dyDescent="0.25">
      <c r="AE1194" s="8" t="str">
        <f t="shared" si="54"/>
        <v/>
      </c>
      <c r="AF1194" s="8" t="str">
        <f t="shared" si="55"/>
        <v/>
      </c>
      <c r="AG1194" s="8" t="str">
        <f>IF(TRIM($E1194)&lt;&gt;"Tax Paid","",IF(COUNTIFS(LISTS!$F$2:$F$26,$AE1194,LISTS!$G$2:$G$26,$AF1194)=0,"NOT ON LIST",""))</f>
        <v/>
      </c>
      <c r="AH1194" s="8" t="str">
        <f t="shared" si="56"/>
        <v/>
      </c>
    </row>
    <row r="1195" spans="31:34" x14ac:dyDescent="0.25">
      <c r="AE1195" s="8" t="str">
        <f t="shared" si="54"/>
        <v/>
      </c>
      <c r="AF1195" s="8" t="str">
        <f t="shared" si="55"/>
        <v/>
      </c>
      <c r="AG1195" s="8" t="str">
        <f>IF(TRIM($E1195)&lt;&gt;"Tax Paid","",IF(COUNTIFS(LISTS!$F$2:$F$26,$AE1195,LISTS!$G$2:$G$26,$AF1195)=0,"NOT ON LIST",""))</f>
        <v/>
      </c>
      <c r="AH1195" s="8" t="str">
        <f t="shared" si="56"/>
        <v/>
      </c>
    </row>
    <row r="1196" spans="31:34" x14ac:dyDescent="0.25">
      <c r="AE1196" s="8" t="str">
        <f t="shared" si="54"/>
        <v/>
      </c>
      <c r="AF1196" s="8" t="str">
        <f t="shared" si="55"/>
        <v/>
      </c>
      <c r="AG1196" s="8" t="str">
        <f>IF(TRIM($E1196)&lt;&gt;"Tax Paid","",IF(COUNTIFS(LISTS!$F$2:$F$26,$AE1196,LISTS!$G$2:$G$26,$AF1196)=0,"NOT ON LIST",""))</f>
        <v/>
      </c>
      <c r="AH1196" s="8" t="str">
        <f t="shared" si="56"/>
        <v/>
      </c>
    </row>
    <row r="1197" spans="31:34" x14ac:dyDescent="0.25">
      <c r="AE1197" s="8" t="str">
        <f t="shared" si="54"/>
        <v/>
      </c>
      <c r="AF1197" s="8" t="str">
        <f t="shared" si="55"/>
        <v/>
      </c>
      <c r="AG1197" s="8" t="str">
        <f>IF(TRIM($E1197)&lt;&gt;"Tax Paid","",IF(COUNTIFS(LISTS!$F$2:$F$26,$AE1197,LISTS!$G$2:$G$26,$AF1197)=0,"NOT ON LIST",""))</f>
        <v/>
      </c>
      <c r="AH1197" s="8" t="str">
        <f t="shared" si="56"/>
        <v/>
      </c>
    </row>
    <row r="1198" spans="31:34" x14ac:dyDescent="0.25">
      <c r="AE1198" s="8" t="str">
        <f t="shared" si="54"/>
        <v/>
      </c>
      <c r="AF1198" s="8" t="str">
        <f t="shared" si="55"/>
        <v/>
      </c>
      <c r="AG1198" s="8" t="str">
        <f>IF(TRIM($E1198)&lt;&gt;"Tax Paid","",IF(COUNTIFS(LISTS!$F$2:$F$26,$AE1198,LISTS!$G$2:$G$26,$AF1198)=0,"NOT ON LIST",""))</f>
        <v/>
      </c>
      <c r="AH1198" s="8" t="str">
        <f t="shared" si="56"/>
        <v/>
      </c>
    </row>
    <row r="1199" spans="31:34" x14ac:dyDescent="0.25">
      <c r="AE1199" s="8" t="str">
        <f t="shared" si="54"/>
        <v/>
      </c>
      <c r="AF1199" s="8" t="str">
        <f t="shared" si="55"/>
        <v/>
      </c>
      <c r="AG1199" s="8" t="str">
        <f>IF(TRIM($E1199)&lt;&gt;"Tax Paid","",IF(COUNTIFS(LISTS!$F$2:$F$26,$AE1199,LISTS!$G$2:$G$26,$AF1199)=0,"NOT ON LIST",""))</f>
        <v/>
      </c>
      <c r="AH1199" s="8" t="str">
        <f t="shared" si="56"/>
        <v/>
      </c>
    </row>
    <row r="1200" spans="31:34" x14ac:dyDescent="0.25">
      <c r="AE1200" s="8" t="str">
        <f t="shared" si="54"/>
        <v/>
      </c>
      <c r="AF1200" s="8" t="str">
        <f t="shared" si="55"/>
        <v/>
      </c>
      <c r="AG1200" s="8" t="str">
        <f>IF(TRIM($E1200)&lt;&gt;"Tax Paid","",IF(COUNTIFS(LISTS!$F$2:$F$26,$AE1200,LISTS!$G$2:$G$26,$AF1200)=0,"NOT ON LIST",""))</f>
        <v/>
      </c>
      <c r="AH1200" s="8" t="str">
        <f t="shared" si="56"/>
        <v/>
      </c>
    </row>
    <row r="1201" spans="31:34" x14ac:dyDescent="0.25">
      <c r="AE1201" s="8" t="str">
        <f t="shared" si="54"/>
        <v/>
      </c>
      <c r="AF1201" s="8" t="str">
        <f t="shared" si="55"/>
        <v/>
      </c>
      <c r="AG1201" s="8" t="str">
        <f>IF(TRIM($E1201)&lt;&gt;"Tax Paid","",IF(COUNTIFS(LISTS!$F$2:$F$26,$AE1201,LISTS!$G$2:$G$26,$AF1201)=0,"NOT ON LIST",""))</f>
        <v/>
      </c>
      <c r="AH1201" s="8" t="str">
        <f t="shared" si="56"/>
        <v/>
      </c>
    </row>
    <row r="1202" spans="31:34" x14ac:dyDescent="0.25">
      <c r="AE1202" s="8" t="str">
        <f t="shared" si="54"/>
        <v/>
      </c>
      <c r="AF1202" s="8" t="str">
        <f t="shared" si="55"/>
        <v/>
      </c>
      <c r="AG1202" s="8" t="str">
        <f>IF(TRIM($E1202)&lt;&gt;"Tax Paid","",IF(COUNTIFS(LISTS!$F$2:$F$26,$AE1202,LISTS!$G$2:$G$26,$AF1202)=0,"NOT ON LIST",""))</f>
        <v/>
      </c>
      <c r="AH1202" s="8" t="str">
        <f t="shared" si="56"/>
        <v/>
      </c>
    </row>
    <row r="1203" spans="31:34" x14ac:dyDescent="0.25">
      <c r="AE1203" s="8" t="str">
        <f t="shared" si="54"/>
        <v/>
      </c>
      <c r="AF1203" s="8" t="str">
        <f t="shared" si="55"/>
        <v/>
      </c>
      <c r="AG1203" s="8" t="str">
        <f>IF(TRIM($E1203)&lt;&gt;"Tax Paid","",IF(COUNTIFS(LISTS!$F$2:$F$26,$AE1203,LISTS!$G$2:$G$26,$AF1203)=0,"NOT ON LIST",""))</f>
        <v/>
      </c>
      <c r="AH1203" s="8" t="str">
        <f t="shared" si="56"/>
        <v/>
      </c>
    </row>
    <row r="1204" spans="31:34" x14ac:dyDescent="0.25">
      <c r="AE1204" s="8" t="str">
        <f t="shared" si="54"/>
        <v/>
      </c>
      <c r="AF1204" s="8" t="str">
        <f t="shared" si="55"/>
        <v/>
      </c>
      <c r="AG1204" s="8" t="str">
        <f>IF(TRIM($E1204)&lt;&gt;"Tax Paid","",IF(COUNTIFS(LISTS!$F$2:$F$26,$AE1204,LISTS!$G$2:$G$26,$AF1204)=0,"NOT ON LIST",""))</f>
        <v/>
      </c>
      <c r="AH1204" s="8" t="str">
        <f t="shared" si="56"/>
        <v/>
      </c>
    </row>
    <row r="1205" spans="31:34" x14ac:dyDescent="0.25">
      <c r="AE1205" s="8" t="str">
        <f t="shared" si="54"/>
        <v/>
      </c>
      <c r="AF1205" s="8" t="str">
        <f t="shared" si="55"/>
        <v/>
      </c>
      <c r="AG1205" s="8" t="str">
        <f>IF(TRIM($E1205)&lt;&gt;"Tax Paid","",IF(COUNTIFS(LISTS!$F$2:$F$26,$AE1205,LISTS!$G$2:$G$26,$AF1205)=0,"NOT ON LIST",""))</f>
        <v/>
      </c>
      <c r="AH1205" s="8" t="str">
        <f t="shared" si="56"/>
        <v/>
      </c>
    </row>
    <row r="1206" spans="31:34" x14ac:dyDescent="0.25">
      <c r="AE1206" s="8" t="str">
        <f t="shared" si="54"/>
        <v/>
      </c>
      <c r="AF1206" s="8" t="str">
        <f t="shared" si="55"/>
        <v/>
      </c>
      <c r="AG1206" s="8" t="str">
        <f>IF(TRIM($E1206)&lt;&gt;"Tax Paid","",IF(COUNTIFS(LISTS!$F$2:$F$26,$AE1206,LISTS!$G$2:$G$26,$AF1206)=0,"NOT ON LIST",""))</f>
        <v/>
      </c>
      <c r="AH1206" s="8" t="str">
        <f t="shared" si="56"/>
        <v/>
      </c>
    </row>
    <row r="1207" spans="31:34" x14ac:dyDescent="0.25">
      <c r="AE1207" s="8" t="str">
        <f t="shared" si="54"/>
        <v/>
      </c>
      <c r="AF1207" s="8" t="str">
        <f t="shared" si="55"/>
        <v/>
      </c>
      <c r="AG1207" s="8" t="str">
        <f>IF(TRIM($E1207)&lt;&gt;"Tax Paid","",IF(COUNTIFS(LISTS!$F$2:$F$26,$AE1207,LISTS!$G$2:$G$26,$AF1207)=0,"NOT ON LIST",""))</f>
        <v/>
      </c>
      <c r="AH1207" s="8" t="str">
        <f t="shared" si="56"/>
        <v/>
      </c>
    </row>
    <row r="1208" spans="31:34" x14ac:dyDescent="0.25">
      <c r="AE1208" s="8" t="str">
        <f t="shared" si="54"/>
        <v/>
      </c>
      <c r="AF1208" s="8" t="str">
        <f t="shared" si="55"/>
        <v/>
      </c>
      <c r="AG1208" s="8" t="str">
        <f>IF(TRIM($E1208)&lt;&gt;"Tax Paid","",IF(COUNTIFS(LISTS!$F$2:$F$26,$AE1208,LISTS!$G$2:$G$26,$AF1208)=0,"NOT ON LIST",""))</f>
        <v/>
      </c>
      <c r="AH1208" s="8" t="str">
        <f t="shared" si="56"/>
        <v/>
      </c>
    </row>
    <row r="1209" spans="31:34" x14ac:dyDescent="0.25">
      <c r="AE1209" s="8" t="str">
        <f t="shared" si="54"/>
        <v/>
      </c>
      <c r="AF1209" s="8" t="str">
        <f t="shared" si="55"/>
        <v/>
      </c>
      <c r="AG1209" s="8" t="str">
        <f>IF(TRIM($E1209)&lt;&gt;"Tax Paid","",IF(COUNTIFS(LISTS!$F$2:$F$26,$AE1209,LISTS!$G$2:$G$26,$AF1209)=0,"NOT ON LIST",""))</f>
        <v/>
      </c>
      <c r="AH1209" s="8" t="str">
        <f t="shared" si="56"/>
        <v/>
      </c>
    </row>
    <row r="1210" spans="31:34" x14ac:dyDescent="0.25">
      <c r="AE1210" s="8" t="str">
        <f t="shared" si="54"/>
        <v/>
      </c>
      <c r="AF1210" s="8" t="str">
        <f t="shared" si="55"/>
        <v/>
      </c>
      <c r="AG1210" s="8" t="str">
        <f>IF(TRIM($E1210)&lt;&gt;"Tax Paid","",IF(COUNTIFS(LISTS!$F$2:$F$26,$AE1210,LISTS!$G$2:$G$26,$AF1210)=0,"NOT ON LIST",""))</f>
        <v/>
      </c>
      <c r="AH1210" s="8" t="str">
        <f t="shared" si="56"/>
        <v/>
      </c>
    </row>
    <row r="1211" spans="31:34" x14ac:dyDescent="0.25">
      <c r="AE1211" s="8" t="str">
        <f t="shared" si="54"/>
        <v/>
      </c>
      <c r="AF1211" s="8" t="str">
        <f t="shared" si="55"/>
        <v/>
      </c>
      <c r="AG1211" s="8" t="str">
        <f>IF(TRIM($E1211)&lt;&gt;"Tax Paid","",IF(COUNTIFS(LISTS!$F$2:$F$26,$AE1211,LISTS!$G$2:$G$26,$AF1211)=0,"NOT ON LIST",""))</f>
        <v/>
      </c>
      <c r="AH1211" s="8" t="str">
        <f t="shared" si="56"/>
        <v/>
      </c>
    </row>
    <row r="1212" spans="31:34" x14ac:dyDescent="0.25">
      <c r="AE1212" s="8" t="str">
        <f t="shared" si="54"/>
        <v/>
      </c>
      <c r="AF1212" s="8" t="str">
        <f t="shared" si="55"/>
        <v/>
      </c>
      <c r="AG1212" s="8" t="str">
        <f>IF(TRIM($E1212)&lt;&gt;"Tax Paid","",IF(COUNTIFS(LISTS!$F$2:$F$26,$AE1212,LISTS!$G$2:$G$26,$AF1212)=0,"NOT ON LIST",""))</f>
        <v/>
      </c>
      <c r="AH1212" s="8" t="str">
        <f t="shared" si="56"/>
        <v/>
      </c>
    </row>
    <row r="1213" spans="31:34" x14ac:dyDescent="0.25">
      <c r="AE1213" s="8" t="str">
        <f t="shared" si="54"/>
        <v/>
      </c>
      <c r="AF1213" s="8" t="str">
        <f t="shared" si="55"/>
        <v/>
      </c>
      <c r="AG1213" s="8" t="str">
        <f>IF(TRIM($E1213)&lt;&gt;"Tax Paid","",IF(COUNTIFS(LISTS!$F$2:$F$26,$AE1213,LISTS!$G$2:$G$26,$AF1213)=0,"NOT ON LIST",""))</f>
        <v/>
      </c>
      <c r="AH1213" s="8" t="str">
        <f t="shared" si="56"/>
        <v/>
      </c>
    </row>
    <row r="1214" spans="31:34" x14ac:dyDescent="0.25">
      <c r="AE1214" s="8" t="str">
        <f t="shared" si="54"/>
        <v/>
      </c>
      <c r="AF1214" s="8" t="str">
        <f t="shared" si="55"/>
        <v/>
      </c>
      <c r="AG1214" s="8" t="str">
        <f>IF(TRIM($E1214)&lt;&gt;"Tax Paid","",IF(COUNTIFS(LISTS!$F$2:$F$26,$AE1214,LISTS!$G$2:$G$26,$AF1214)=0,"NOT ON LIST",""))</f>
        <v/>
      </c>
      <c r="AH1214" s="8" t="str">
        <f t="shared" si="56"/>
        <v/>
      </c>
    </row>
    <row r="1215" spans="31:34" x14ac:dyDescent="0.25">
      <c r="AE1215" s="8" t="str">
        <f t="shared" si="54"/>
        <v/>
      </c>
      <c r="AF1215" s="8" t="str">
        <f t="shared" si="55"/>
        <v/>
      </c>
      <c r="AG1215" s="8" t="str">
        <f>IF(TRIM($E1215)&lt;&gt;"Tax Paid","",IF(COUNTIFS(LISTS!$F$2:$F$26,$AE1215,LISTS!$G$2:$G$26,$AF1215)=0,"NOT ON LIST",""))</f>
        <v/>
      </c>
      <c r="AH1215" s="8" t="str">
        <f t="shared" si="56"/>
        <v/>
      </c>
    </row>
    <row r="1216" spans="31:34" x14ac:dyDescent="0.25">
      <c r="AE1216" s="8" t="str">
        <f t="shared" si="54"/>
        <v/>
      </c>
      <c r="AF1216" s="8" t="str">
        <f t="shared" si="55"/>
        <v/>
      </c>
      <c r="AG1216" s="8" t="str">
        <f>IF(TRIM($E1216)&lt;&gt;"Tax Paid","",IF(COUNTIFS(LISTS!$F$2:$F$26,$AE1216,LISTS!$G$2:$G$26,$AF1216)=0,"NOT ON LIST",""))</f>
        <v/>
      </c>
      <c r="AH1216" s="8" t="str">
        <f t="shared" si="56"/>
        <v/>
      </c>
    </row>
    <row r="1217" spans="31:34" x14ac:dyDescent="0.25">
      <c r="AE1217" s="8" t="str">
        <f t="shared" si="54"/>
        <v/>
      </c>
      <c r="AF1217" s="8" t="str">
        <f t="shared" si="55"/>
        <v/>
      </c>
      <c r="AG1217" s="8" t="str">
        <f>IF(TRIM($E1217)&lt;&gt;"Tax Paid","",IF(COUNTIFS(LISTS!$F$2:$F$26,$AE1217,LISTS!$G$2:$G$26,$AF1217)=0,"NOT ON LIST",""))</f>
        <v/>
      </c>
      <c r="AH1217" s="8" t="str">
        <f t="shared" si="56"/>
        <v/>
      </c>
    </row>
    <row r="1218" spans="31:34" x14ac:dyDescent="0.25">
      <c r="AE1218" s="8" t="str">
        <f t="shared" ref="AE1218:AE1281" si="57">IF(TRIM($E1218)="Tax Paid",TRIM($S1218),"")</f>
        <v/>
      </c>
      <c r="AF1218" s="8" t="str">
        <f t="shared" ref="AF1218:AF1281" si="58">IF(TRIM($E1218)="Tax Paid",ROUND($Z1218/100,5),"")</f>
        <v/>
      </c>
      <c r="AG1218" s="8" t="str">
        <f>IF(TRIM($E1218)&lt;&gt;"Tax Paid","",IF(COUNTIFS(LISTS!$F$2:$F$26,$AE1218,LISTS!$G$2:$G$26,$AF1218)=0,"NOT ON LIST",""))</f>
        <v/>
      </c>
      <c r="AH1218" s="8" t="str">
        <f t="shared" ref="AH1218:AH1281" si="59">IF($AG1218="","",IF($AE1218="","(no county)",$AE1218)&amp;" ("&amp;SUBSTITUTE(TEXT($AF1218,"0.###%"),".%","%")&amp;")")</f>
        <v/>
      </c>
    </row>
    <row r="1219" spans="31:34" x14ac:dyDescent="0.25">
      <c r="AE1219" s="8" t="str">
        <f t="shared" si="57"/>
        <v/>
      </c>
      <c r="AF1219" s="8" t="str">
        <f t="shared" si="58"/>
        <v/>
      </c>
      <c r="AG1219" s="8" t="str">
        <f>IF(TRIM($E1219)&lt;&gt;"Tax Paid","",IF(COUNTIFS(LISTS!$F$2:$F$26,$AE1219,LISTS!$G$2:$G$26,$AF1219)=0,"NOT ON LIST",""))</f>
        <v/>
      </c>
      <c r="AH1219" s="8" t="str">
        <f t="shared" si="59"/>
        <v/>
      </c>
    </row>
    <row r="1220" spans="31:34" x14ac:dyDescent="0.25">
      <c r="AE1220" s="8" t="str">
        <f t="shared" si="57"/>
        <v/>
      </c>
      <c r="AF1220" s="8" t="str">
        <f t="shared" si="58"/>
        <v/>
      </c>
      <c r="AG1220" s="8" t="str">
        <f>IF(TRIM($E1220)&lt;&gt;"Tax Paid","",IF(COUNTIFS(LISTS!$F$2:$F$26,$AE1220,LISTS!$G$2:$G$26,$AF1220)=0,"NOT ON LIST",""))</f>
        <v/>
      </c>
      <c r="AH1220" s="8" t="str">
        <f t="shared" si="59"/>
        <v/>
      </c>
    </row>
    <row r="1221" spans="31:34" x14ac:dyDescent="0.25">
      <c r="AE1221" s="8" t="str">
        <f t="shared" si="57"/>
        <v/>
      </c>
      <c r="AF1221" s="8" t="str">
        <f t="shared" si="58"/>
        <v/>
      </c>
      <c r="AG1221" s="8" t="str">
        <f>IF(TRIM($E1221)&lt;&gt;"Tax Paid","",IF(COUNTIFS(LISTS!$F$2:$F$26,$AE1221,LISTS!$G$2:$G$26,$AF1221)=0,"NOT ON LIST",""))</f>
        <v/>
      </c>
      <c r="AH1221" s="8" t="str">
        <f t="shared" si="59"/>
        <v/>
      </c>
    </row>
    <row r="1222" spans="31:34" x14ac:dyDescent="0.25">
      <c r="AE1222" s="8" t="str">
        <f t="shared" si="57"/>
        <v/>
      </c>
      <c r="AF1222" s="8" t="str">
        <f t="shared" si="58"/>
        <v/>
      </c>
      <c r="AG1222" s="8" t="str">
        <f>IF(TRIM($E1222)&lt;&gt;"Tax Paid","",IF(COUNTIFS(LISTS!$F$2:$F$26,$AE1222,LISTS!$G$2:$G$26,$AF1222)=0,"NOT ON LIST",""))</f>
        <v/>
      </c>
      <c r="AH1222" s="8" t="str">
        <f t="shared" si="59"/>
        <v/>
      </c>
    </row>
    <row r="1223" spans="31:34" x14ac:dyDescent="0.25">
      <c r="AE1223" s="8" t="str">
        <f t="shared" si="57"/>
        <v/>
      </c>
      <c r="AF1223" s="8" t="str">
        <f t="shared" si="58"/>
        <v/>
      </c>
      <c r="AG1223" s="8" t="str">
        <f>IF(TRIM($E1223)&lt;&gt;"Tax Paid","",IF(COUNTIFS(LISTS!$F$2:$F$26,$AE1223,LISTS!$G$2:$G$26,$AF1223)=0,"NOT ON LIST",""))</f>
        <v/>
      </c>
      <c r="AH1223" s="8" t="str">
        <f t="shared" si="59"/>
        <v/>
      </c>
    </row>
    <row r="1224" spans="31:34" x14ac:dyDescent="0.25">
      <c r="AE1224" s="8" t="str">
        <f t="shared" si="57"/>
        <v/>
      </c>
      <c r="AF1224" s="8" t="str">
        <f t="shared" si="58"/>
        <v/>
      </c>
      <c r="AG1224" s="8" t="str">
        <f>IF(TRIM($E1224)&lt;&gt;"Tax Paid","",IF(COUNTIFS(LISTS!$F$2:$F$26,$AE1224,LISTS!$G$2:$G$26,$AF1224)=0,"NOT ON LIST",""))</f>
        <v/>
      </c>
      <c r="AH1224" s="8" t="str">
        <f t="shared" si="59"/>
        <v/>
      </c>
    </row>
    <row r="1225" spans="31:34" x14ac:dyDescent="0.25">
      <c r="AE1225" s="8" t="str">
        <f t="shared" si="57"/>
        <v/>
      </c>
      <c r="AF1225" s="8" t="str">
        <f t="shared" si="58"/>
        <v/>
      </c>
      <c r="AG1225" s="8" t="str">
        <f>IF(TRIM($E1225)&lt;&gt;"Tax Paid","",IF(COUNTIFS(LISTS!$F$2:$F$26,$AE1225,LISTS!$G$2:$G$26,$AF1225)=0,"NOT ON LIST",""))</f>
        <v/>
      </c>
      <c r="AH1225" s="8" t="str">
        <f t="shared" si="59"/>
        <v/>
      </c>
    </row>
    <row r="1226" spans="31:34" x14ac:dyDescent="0.25">
      <c r="AE1226" s="8" t="str">
        <f t="shared" si="57"/>
        <v/>
      </c>
      <c r="AF1226" s="8" t="str">
        <f t="shared" si="58"/>
        <v/>
      </c>
      <c r="AG1226" s="8" t="str">
        <f>IF(TRIM($E1226)&lt;&gt;"Tax Paid","",IF(COUNTIFS(LISTS!$F$2:$F$26,$AE1226,LISTS!$G$2:$G$26,$AF1226)=0,"NOT ON LIST",""))</f>
        <v/>
      </c>
      <c r="AH1226" s="8" t="str">
        <f t="shared" si="59"/>
        <v/>
      </c>
    </row>
    <row r="1227" spans="31:34" x14ac:dyDescent="0.25">
      <c r="AE1227" s="8" t="str">
        <f t="shared" si="57"/>
        <v/>
      </c>
      <c r="AF1227" s="8" t="str">
        <f t="shared" si="58"/>
        <v/>
      </c>
      <c r="AG1227" s="8" t="str">
        <f>IF(TRIM($E1227)&lt;&gt;"Tax Paid","",IF(COUNTIFS(LISTS!$F$2:$F$26,$AE1227,LISTS!$G$2:$G$26,$AF1227)=0,"NOT ON LIST",""))</f>
        <v/>
      </c>
      <c r="AH1227" s="8" t="str">
        <f t="shared" si="59"/>
        <v/>
      </c>
    </row>
    <row r="1228" spans="31:34" x14ac:dyDescent="0.25">
      <c r="AE1228" s="8" t="str">
        <f t="shared" si="57"/>
        <v/>
      </c>
      <c r="AF1228" s="8" t="str">
        <f t="shared" si="58"/>
        <v/>
      </c>
      <c r="AG1228" s="8" t="str">
        <f>IF(TRIM($E1228)&lt;&gt;"Tax Paid","",IF(COUNTIFS(LISTS!$F$2:$F$26,$AE1228,LISTS!$G$2:$G$26,$AF1228)=0,"NOT ON LIST",""))</f>
        <v/>
      </c>
      <c r="AH1228" s="8" t="str">
        <f t="shared" si="59"/>
        <v/>
      </c>
    </row>
    <row r="1229" spans="31:34" x14ac:dyDescent="0.25">
      <c r="AE1229" s="8" t="str">
        <f t="shared" si="57"/>
        <v/>
      </c>
      <c r="AF1229" s="8" t="str">
        <f t="shared" si="58"/>
        <v/>
      </c>
      <c r="AG1229" s="8" t="str">
        <f>IF(TRIM($E1229)&lt;&gt;"Tax Paid","",IF(COUNTIFS(LISTS!$F$2:$F$26,$AE1229,LISTS!$G$2:$G$26,$AF1229)=0,"NOT ON LIST",""))</f>
        <v/>
      </c>
      <c r="AH1229" s="8" t="str">
        <f t="shared" si="59"/>
        <v/>
      </c>
    </row>
    <row r="1230" spans="31:34" x14ac:dyDescent="0.25">
      <c r="AE1230" s="8" t="str">
        <f t="shared" si="57"/>
        <v/>
      </c>
      <c r="AF1230" s="8" t="str">
        <f t="shared" si="58"/>
        <v/>
      </c>
      <c r="AG1230" s="8" t="str">
        <f>IF(TRIM($E1230)&lt;&gt;"Tax Paid","",IF(COUNTIFS(LISTS!$F$2:$F$26,$AE1230,LISTS!$G$2:$G$26,$AF1230)=0,"NOT ON LIST",""))</f>
        <v/>
      </c>
      <c r="AH1230" s="8" t="str">
        <f t="shared" si="59"/>
        <v/>
      </c>
    </row>
    <row r="1231" spans="31:34" x14ac:dyDescent="0.25">
      <c r="AE1231" s="8" t="str">
        <f t="shared" si="57"/>
        <v/>
      </c>
      <c r="AF1231" s="8" t="str">
        <f t="shared" si="58"/>
        <v/>
      </c>
      <c r="AG1231" s="8" t="str">
        <f>IF(TRIM($E1231)&lt;&gt;"Tax Paid","",IF(COUNTIFS(LISTS!$F$2:$F$26,$AE1231,LISTS!$G$2:$G$26,$AF1231)=0,"NOT ON LIST",""))</f>
        <v/>
      </c>
      <c r="AH1231" s="8" t="str">
        <f t="shared" si="59"/>
        <v/>
      </c>
    </row>
    <row r="1232" spans="31:34" x14ac:dyDescent="0.25">
      <c r="AE1232" s="8" t="str">
        <f t="shared" si="57"/>
        <v/>
      </c>
      <c r="AF1232" s="8" t="str">
        <f t="shared" si="58"/>
        <v/>
      </c>
      <c r="AG1232" s="8" t="str">
        <f>IF(TRIM($E1232)&lt;&gt;"Tax Paid","",IF(COUNTIFS(LISTS!$F$2:$F$26,$AE1232,LISTS!$G$2:$G$26,$AF1232)=0,"NOT ON LIST",""))</f>
        <v/>
      </c>
      <c r="AH1232" s="8" t="str">
        <f t="shared" si="59"/>
        <v/>
      </c>
    </row>
    <row r="1233" spans="31:34" x14ac:dyDescent="0.25">
      <c r="AE1233" s="8" t="str">
        <f t="shared" si="57"/>
        <v/>
      </c>
      <c r="AF1233" s="8" t="str">
        <f t="shared" si="58"/>
        <v/>
      </c>
      <c r="AG1233" s="8" t="str">
        <f>IF(TRIM($E1233)&lt;&gt;"Tax Paid","",IF(COUNTIFS(LISTS!$F$2:$F$26,$AE1233,LISTS!$G$2:$G$26,$AF1233)=0,"NOT ON LIST",""))</f>
        <v/>
      </c>
      <c r="AH1233" s="8" t="str">
        <f t="shared" si="59"/>
        <v/>
      </c>
    </row>
    <row r="1234" spans="31:34" x14ac:dyDescent="0.25">
      <c r="AE1234" s="8" t="str">
        <f t="shared" si="57"/>
        <v/>
      </c>
      <c r="AF1234" s="8" t="str">
        <f t="shared" si="58"/>
        <v/>
      </c>
      <c r="AG1234" s="8" t="str">
        <f>IF(TRIM($E1234)&lt;&gt;"Tax Paid","",IF(COUNTIFS(LISTS!$F$2:$F$26,$AE1234,LISTS!$G$2:$G$26,$AF1234)=0,"NOT ON LIST",""))</f>
        <v/>
      </c>
      <c r="AH1234" s="8" t="str">
        <f t="shared" si="59"/>
        <v/>
      </c>
    </row>
    <row r="1235" spans="31:34" x14ac:dyDescent="0.25">
      <c r="AE1235" s="8" t="str">
        <f t="shared" si="57"/>
        <v/>
      </c>
      <c r="AF1235" s="8" t="str">
        <f t="shared" si="58"/>
        <v/>
      </c>
      <c r="AG1235" s="8" t="str">
        <f>IF(TRIM($E1235)&lt;&gt;"Tax Paid","",IF(COUNTIFS(LISTS!$F$2:$F$26,$AE1235,LISTS!$G$2:$G$26,$AF1235)=0,"NOT ON LIST",""))</f>
        <v/>
      </c>
      <c r="AH1235" s="8" t="str">
        <f t="shared" si="59"/>
        <v/>
      </c>
    </row>
    <row r="1236" spans="31:34" x14ac:dyDescent="0.25">
      <c r="AE1236" s="8" t="str">
        <f t="shared" si="57"/>
        <v/>
      </c>
      <c r="AF1236" s="8" t="str">
        <f t="shared" si="58"/>
        <v/>
      </c>
      <c r="AG1236" s="8" t="str">
        <f>IF(TRIM($E1236)&lt;&gt;"Tax Paid","",IF(COUNTIFS(LISTS!$F$2:$F$26,$AE1236,LISTS!$G$2:$G$26,$AF1236)=0,"NOT ON LIST",""))</f>
        <v/>
      </c>
      <c r="AH1236" s="8" t="str">
        <f t="shared" si="59"/>
        <v/>
      </c>
    </row>
    <row r="1237" spans="31:34" x14ac:dyDescent="0.25">
      <c r="AE1237" s="8" t="str">
        <f t="shared" si="57"/>
        <v/>
      </c>
      <c r="AF1237" s="8" t="str">
        <f t="shared" si="58"/>
        <v/>
      </c>
      <c r="AG1237" s="8" t="str">
        <f>IF(TRIM($E1237)&lt;&gt;"Tax Paid","",IF(COUNTIFS(LISTS!$F$2:$F$26,$AE1237,LISTS!$G$2:$G$26,$AF1237)=0,"NOT ON LIST",""))</f>
        <v/>
      </c>
      <c r="AH1237" s="8" t="str">
        <f t="shared" si="59"/>
        <v/>
      </c>
    </row>
    <row r="1238" spans="31:34" x14ac:dyDescent="0.25">
      <c r="AE1238" s="8" t="str">
        <f t="shared" si="57"/>
        <v/>
      </c>
      <c r="AF1238" s="8" t="str">
        <f t="shared" si="58"/>
        <v/>
      </c>
      <c r="AG1238" s="8" t="str">
        <f>IF(TRIM($E1238)&lt;&gt;"Tax Paid","",IF(COUNTIFS(LISTS!$F$2:$F$26,$AE1238,LISTS!$G$2:$G$26,$AF1238)=0,"NOT ON LIST",""))</f>
        <v/>
      </c>
      <c r="AH1238" s="8" t="str">
        <f t="shared" si="59"/>
        <v/>
      </c>
    </row>
    <row r="1239" spans="31:34" x14ac:dyDescent="0.25">
      <c r="AE1239" s="8" t="str">
        <f t="shared" si="57"/>
        <v/>
      </c>
      <c r="AF1239" s="8" t="str">
        <f t="shared" si="58"/>
        <v/>
      </c>
      <c r="AG1239" s="8" t="str">
        <f>IF(TRIM($E1239)&lt;&gt;"Tax Paid","",IF(COUNTIFS(LISTS!$F$2:$F$26,$AE1239,LISTS!$G$2:$G$26,$AF1239)=0,"NOT ON LIST",""))</f>
        <v/>
      </c>
      <c r="AH1239" s="8" t="str">
        <f t="shared" si="59"/>
        <v/>
      </c>
    </row>
    <row r="1240" spans="31:34" x14ac:dyDescent="0.25">
      <c r="AE1240" s="8" t="str">
        <f t="shared" si="57"/>
        <v/>
      </c>
      <c r="AF1240" s="8" t="str">
        <f t="shared" si="58"/>
        <v/>
      </c>
      <c r="AG1240" s="8" t="str">
        <f>IF(TRIM($E1240)&lt;&gt;"Tax Paid","",IF(COUNTIFS(LISTS!$F$2:$F$26,$AE1240,LISTS!$G$2:$G$26,$AF1240)=0,"NOT ON LIST",""))</f>
        <v/>
      </c>
      <c r="AH1240" s="8" t="str">
        <f t="shared" si="59"/>
        <v/>
      </c>
    </row>
    <row r="1241" spans="31:34" x14ac:dyDescent="0.25">
      <c r="AE1241" s="8" t="str">
        <f t="shared" si="57"/>
        <v/>
      </c>
      <c r="AF1241" s="8" t="str">
        <f t="shared" si="58"/>
        <v/>
      </c>
      <c r="AG1241" s="8" t="str">
        <f>IF(TRIM($E1241)&lt;&gt;"Tax Paid","",IF(COUNTIFS(LISTS!$F$2:$F$26,$AE1241,LISTS!$G$2:$G$26,$AF1241)=0,"NOT ON LIST",""))</f>
        <v/>
      </c>
      <c r="AH1241" s="8" t="str">
        <f t="shared" si="59"/>
        <v/>
      </c>
    </row>
    <row r="1242" spans="31:34" x14ac:dyDescent="0.25">
      <c r="AE1242" s="8" t="str">
        <f t="shared" si="57"/>
        <v/>
      </c>
      <c r="AF1242" s="8" t="str">
        <f t="shared" si="58"/>
        <v/>
      </c>
      <c r="AG1242" s="8" t="str">
        <f>IF(TRIM($E1242)&lt;&gt;"Tax Paid","",IF(COUNTIFS(LISTS!$F$2:$F$26,$AE1242,LISTS!$G$2:$G$26,$AF1242)=0,"NOT ON LIST",""))</f>
        <v/>
      </c>
      <c r="AH1242" s="8" t="str">
        <f t="shared" si="59"/>
        <v/>
      </c>
    </row>
    <row r="1243" spans="31:34" x14ac:dyDescent="0.25">
      <c r="AE1243" s="8" t="str">
        <f t="shared" si="57"/>
        <v/>
      </c>
      <c r="AF1243" s="8" t="str">
        <f t="shared" si="58"/>
        <v/>
      </c>
      <c r="AG1243" s="8" t="str">
        <f>IF(TRIM($E1243)&lt;&gt;"Tax Paid","",IF(COUNTIFS(LISTS!$F$2:$F$26,$AE1243,LISTS!$G$2:$G$26,$AF1243)=0,"NOT ON LIST",""))</f>
        <v/>
      </c>
      <c r="AH1243" s="8" t="str">
        <f t="shared" si="59"/>
        <v/>
      </c>
    </row>
    <row r="1244" spans="31:34" x14ac:dyDescent="0.25">
      <c r="AE1244" s="8" t="str">
        <f t="shared" si="57"/>
        <v/>
      </c>
      <c r="AF1244" s="8" t="str">
        <f t="shared" si="58"/>
        <v/>
      </c>
      <c r="AG1244" s="8" t="str">
        <f>IF(TRIM($E1244)&lt;&gt;"Tax Paid","",IF(COUNTIFS(LISTS!$F$2:$F$26,$AE1244,LISTS!$G$2:$G$26,$AF1244)=0,"NOT ON LIST",""))</f>
        <v/>
      </c>
      <c r="AH1244" s="8" t="str">
        <f t="shared" si="59"/>
        <v/>
      </c>
    </row>
    <row r="1245" spans="31:34" x14ac:dyDescent="0.25">
      <c r="AE1245" s="8" t="str">
        <f t="shared" si="57"/>
        <v/>
      </c>
      <c r="AF1245" s="8" t="str">
        <f t="shared" si="58"/>
        <v/>
      </c>
      <c r="AG1245" s="8" t="str">
        <f>IF(TRIM($E1245)&lt;&gt;"Tax Paid","",IF(COUNTIFS(LISTS!$F$2:$F$26,$AE1245,LISTS!$G$2:$G$26,$AF1245)=0,"NOT ON LIST",""))</f>
        <v/>
      </c>
      <c r="AH1245" s="8" t="str">
        <f t="shared" si="59"/>
        <v/>
      </c>
    </row>
    <row r="1246" spans="31:34" x14ac:dyDescent="0.25">
      <c r="AE1246" s="8" t="str">
        <f t="shared" si="57"/>
        <v/>
      </c>
      <c r="AF1246" s="8" t="str">
        <f t="shared" si="58"/>
        <v/>
      </c>
      <c r="AG1246" s="8" t="str">
        <f>IF(TRIM($E1246)&lt;&gt;"Tax Paid","",IF(COUNTIFS(LISTS!$F$2:$F$26,$AE1246,LISTS!$G$2:$G$26,$AF1246)=0,"NOT ON LIST",""))</f>
        <v/>
      </c>
      <c r="AH1246" s="8" t="str">
        <f t="shared" si="59"/>
        <v/>
      </c>
    </row>
    <row r="1247" spans="31:34" x14ac:dyDescent="0.25">
      <c r="AE1247" s="8" t="str">
        <f t="shared" si="57"/>
        <v/>
      </c>
      <c r="AF1247" s="8" t="str">
        <f t="shared" si="58"/>
        <v/>
      </c>
      <c r="AG1247" s="8" t="str">
        <f>IF(TRIM($E1247)&lt;&gt;"Tax Paid","",IF(COUNTIFS(LISTS!$F$2:$F$26,$AE1247,LISTS!$G$2:$G$26,$AF1247)=0,"NOT ON LIST",""))</f>
        <v/>
      </c>
      <c r="AH1247" s="8" t="str">
        <f t="shared" si="59"/>
        <v/>
      </c>
    </row>
    <row r="1248" spans="31:34" x14ac:dyDescent="0.25">
      <c r="AE1248" s="8" t="str">
        <f t="shared" si="57"/>
        <v/>
      </c>
      <c r="AF1248" s="8" t="str">
        <f t="shared" si="58"/>
        <v/>
      </c>
      <c r="AG1248" s="8" t="str">
        <f>IF(TRIM($E1248)&lt;&gt;"Tax Paid","",IF(COUNTIFS(LISTS!$F$2:$F$26,$AE1248,LISTS!$G$2:$G$26,$AF1248)=0,"NOT ON LIST",""))</f>
        <v/>
      </c>
      <c r="AH1248" s="8" t="str">
        <f t="shared" si="59"/>
        <v/>
      </c>
    </row>
    <row r="1249" spans="31:34" x14ac:dyDescent="0.25">
      <c r="AE1249" s="8" t="str">
        <f t="shared" si="57"/>
        <v/>
      </c>
      <c r="AF1249" s="8" t="str">
        <f t="shared" si="58"/>
        <v/>
      </c>
      <c r="AG1249" s="8" t="str">
        <f>IF(TRIM($E1249)&lt;&gt;"Tax Paid","",IF(COUNTIFS(LISTS!$F$2:$F$26,$AE1249,LISTS!$G$2:$G$26,$AF1249)=0,"NOT ON LIST",""))</f>
        <v/>
      </c>
      <c r="AH1249" s="8" t="str">
        <f t="shared" si="59"/>
        <v/>
      </c>
    </row>
    <row r="1250" spans="31:34" x14ac:dyDescent="0.25">
      <c r="AE1250" s="8" t="str">
        <f t="shared" si="57"/>
        <v/>
      </c>
      <c r="AF1250" s="8" t="str">
        <f t="shared" si="58"/>
        <v/>
      </c>
      <c r="AG1250" s="8" t="str">
        <f>IF(TRIM($E1250)&lt;&gt;"Tax Paid","",IF(COUNTIFS(LISTS!$F$2:$F$26,$AE1250,LISTS!$G$2:$G$26,$AF1250)=0,"NOT ON LIST",""))</f>
        <v/>
      </c>
      <c r="AH1250" s="8" t="str">
        <f t="shared" si="59"/>
        <v/>
      </c>
    </row>
    <row r="1251" spans="31:34" x14ac:dyDescent="0.25">
      <c r="AE1251" s="8" t="str">
        <f t="shared" si="57"/>
        <v/>
      </c>
      <c r="AF1251" s="8" t="str">
        <f t="shared" si="58"/>
        <v/>
      </c>
      <c r="AG1251" s="8" t="str">
        <f>IF(TRIM($E1251)&lt;&gt;"Tax Paid","",IF(COUNTIFS(LISTS!$F$2:$F$26,$AE1251,LISTS!$G$2:$G$26,$AF1251)=0,"NOT ON LIST",""))</f>
        <v/>
      </c>
      <c r="AH1251" s="8" t="str">
        <f t="shared" si="59"/>
        <v/>
      </c>
    </row>
    <row r="1252" spans="31:34" x14ac:dyDescent="0.25">
      <c r="AE1252" s="8" t="str">
        <f t="shared" si="57"/>
        <v/>
      </c>
      <c r="AF1252" s="8" t="str">
        <f t="shared" si="58"/>
        <v/>
      </c>
      <c r="AG1252" s="8" t="str">
        <f>IF(TRIM($E1252)&lt;&gt;"Tax Paid","",IF(COUNTIFS(LISTS!$F$2:$F$26,$AE1252,LISTS!$G$2:$G$26,$AF1252)=0,"NOT ON LIST",""))</f>
        <v/>
      </c>
      <c r="AH1252" s="8" t="str">
        <f t="shared" si="59"/>
        <v/>
      </c>
    </row>
    <row r="1253" spans="31:34" x14ac:dyDescent="0.25">
      <c r="AE1253" s="8" t="str">
        <f t="shared" si="57"/>
        <v/>
      </c>
      <c r="AF1253" s="8" t="str">
        <f t="shared" si="58"/>
        <v/>
      </c>
      <c r="AG1253" s="8" t="str">
        <f>IF(TRIM($E1253)&lt;&gt;"Tax Paid","",IF(COUNTIFS(LISTS!$F$2:$F$26,$AE1253,LISTS!$G$2:$G$26,$AF1253)=0,"NOT ON LIST",""))</f>
        <v/>
      </c>
      <c r="AH1253" s="8" t="str">
        <f t="shared" si="59"/>
        <v/>
      </c>
    </row>
    <row r="1254" spans="31:34" x14ac:dyDescent="0.25">
      <c r="AE1254" s="8" t="str">
        <f t="shared" si="57"/>
        <v/>
      </c>
      <c r="AF1254" s="8" t="str">
        <f t="shared" si="58"/>
        <v/>
      </c>
      <c r="AG1254" s="8" t="str">
        <f>IF(TRIM($E1254)&lt;&gt;"Tax Paid","",IF(COUNTIFS(LISTS!$F$2:$F$26,$AE1254,LISTS!$G$2:$G$26,$AF1254)=0,"NOT ON LIST",""))</f>
        <v/>
      </c>
      <c r="AH1254" s="8" t="str">
        <f t="shared" si="59"/>
        <v/>
      </c>
    </row>
    <row r="1255" spans="31:34" x14ac:dyDescent="0.25">
      <c r="AE1255" s="8" t="str">
        <f t="shared" si="57"/>
        <v/>
      </c>
      <c r="AF1255" s="8" t="str">
        <f t="shared" si="58"/>
        <v/>
      </c>
      <c r="AG1255" s="8" t="str">
        <f>IF(TRIM($E1255)&lt;&gt;"Tax Paid","",IF(COUNTIFS(LISTS!$F$2:$F$26,$AE1255,LISTS!$G$2:$G$26,$AF1255)=0,"NOT ON LIST",""))</f>
        <v/>
      </c>
      <c r="AH1255" s="8" t="str">
        <f t="shared" si="59"/>
        <v/>
      </c>
    </row>
    <row r="1256" spans="31:34" x14ac:dyDescent="0.25">
      <c r="AE1256" s="8" t="str">
        <f t="shared" si="57"/>
        <v/>
      </c>
      <c r="AF1256" s="8" t="str">
        <f t="shared" si="58"/>
        <v/>
      </c>
      <c r="AG1256" s="8" t="str">
        <f>IF(TRIM($E1256)&lt;&gt;"Tax Paid","",IF(COUNTIFS(LISTS!$F$2:$F$26,$AE1256,LISTS!$G$2:$G$26,$AF1256)=0,"NOT ON LIST",""))</f>
        <v/>
      </c>
      <c r="AH1256" s="8" t="str">
        <f t="shared" si="59"/>
        <v/>
      </c>
    </row>
    <row r="1257" spans="31:34" x14ac:dyDescent="0.25">
      <c r="AE1257" s="8" t="str">
        <f t="shared" si="57"/>
        <v/>
      </c>
      <c r="AF1257" s="8" t="str">
        <f t="shared" si="58"/>
        <v/>
      </c>
      <c r="AG1257" s="8" t="str">
        <f>IF(TRIM($E1257)&lt;&gt;"Tax Paid","",IF(COUNTIFS(LISTS!$F$2:$F$26,$AE1257,LISTS!$G$2:$G$26,$AF1257)=0,"NOT ON LIST",""))</f>
        <v/>
      </c>
      <c r="AH1257" s="8" t="str">
        <f t="shared" si="59"/>
        <v/>
      </c>
    </row>
    <row r="1258" spans="31:34" x14ac:dyDescent="0.25">
      <c r="AE1258" s="8" t="str">
        <f t="shared" si="57"/>
        <v/>
      </c>
      <c r="AF1258" s="8" t="str">
        <f t="shared" si="58"/>
        <v/>
      </c>
      <c r="AG1258" s="8" t="str">
        <f>IF(TRIM($E1258)&lt;&gt;"Tax Paid","",IF(COUNTIFS(LISTS!$F$2:$F$26,$AE1258,LISTS!$G$2:$G$26,$AF1258)=0,"NOT ON LIST",""))</f>
        <v/>
      </c>
      <c r="AH1258" s="8" t="str">
        <f t="shared" si="59"/>
        <v/>
      </c>
    </row>
    <row r="1259" spans="31:34" x14ac:dyDescent="0.25">
      <c r="AE1259" s="8" t="str">
        <f t="shared" si="57"/>
        <v/>
      </c>
      <c r="AF1259" s="8" t="str">
        <f t="shared" si="58"/>
        <v/>
      </c>
      <c r="AG1259" s="8" t="str">
        <f>IF(TRIM($E1259)&lt;&gt;"Tax Paid","",IF(COUNTIFS(LISTS!$F$2:$F$26,$AE1259,LISTS!$G$2:$G$26,$AF1259)=0,"NOT ON LIST",""))</f>
        <v/>
      </c>
      <c r="AH1259" s="8" t="str">
        <f t="shared" si="59"/>
        <v/>
      </c>
    </row>
    <row r="1260" spans="31:34" x14ac:dyDescent="0.25">
      <c r="AE1260" s="8" t="str">
        <f t="shared" si="57"/>
        <v/>
      </c>
      <c r="AF1260" s="8" t="str">
        <f t="shared" si="58"/>
        <v/>
      </c>
      <c r="AG1260" s="8" t="str">
        <f>IF(TRIM($E1260)&lt;&gt;"Tax Paid","",IF(COUNTIFS(LISTS!$F$2:$F$26,$AE1260,LISTS!$G$2:$G$26,$AF1260)=0,"NOT ON LIST",""))</f>
        <v/>
      </c>
      <c r="AH1260" s="8" t="str">
        <f t="shared" si="59"/>
        <v/>
      </c>
    </row>
    <row r="1261" spans="31:34" x14ac:dyDescent="0.25">
      <c r="AE1261" s="8" t="str">
        <f t="shared" si="57"/>
        <v/>
      </c>
      <c r="AF1261" s="8" t="str">
        <f t="shared" si="58"/>
        <v/>
      </c>
      <c r="AG1261" s="8" t="str">
        <f>IF(TRIM($E1261)&lt;&gt;"Tax Paid","",IF(COUNTIFS(LISTS!$F$2:$F$26,$AE1261,LISTS!$G$2:$G$26,$AF1261)=0,"NOT ON LIST",""))</f>
        <v/>
      </c>
      <c r="AH1261" s="8" t="str">
        <f t="shared" si="59"/>
        <v/>
      </c>
    </row>
    <row r="1262" spans="31:34" x14ac:dyDescent="0.25">
      <c r="AE1262" s="8" t="str">
        <f t="shared" si="57"/>
        <v/>
      </c>
      <c r="AF1262" s="8" t="str">
        <f t="shared" si="58"/>
        <v/>
      </c>
      <c r="AG1262" s="8" t="str">
        <f>IF(TRIM($E1262)&lt;&gt;"Tax Paid","",IF(COUNTIFS(LISTS!$F$2:$F$26,$AE1262,LISTS!$G$2:$G$26,$AF1262)=0,"NOT ON LIST",""))</f>
        <v/>
      </c>
      <c r="AH1262" s="8" t="str">
        <f t="shared" si="59"/>
        <v/>
      </c>
    </row>
    <row r="1263" spans="31:34" x14ac:dyDescent="0.25">
      <c r="AE1263" s="8" t="str">
        <f t="shared" si="57"/>
        <v/>
      </c>
      <c r="AF1263" s="8" t="str">
        <f t="shared" si="58"/>
        <v/>
      </c>
      <c r="AG1263" s="8" t="str">
        <f>IF(TRIM($E1263)&lt;&gt;"Tax Paid","",IF(COUNTIFS(LISTS!$F$2:$F$26,$AE1263,LISTS!$G$2:$G$26,$AF1263)=0,"NOT ON LIST",""))</f>
        <v/>
      </c>
      <c r="AH1263" s="8" t="str">
        <f t="shared" si="59"/>
        <v/>
      </c>
    </row>
    <row r="1264" spans="31:34" x14ac:dyDescent="0.25">
      <c r="AE1264" s="8" t="str">
        <f t="shared" si="57"/>
        <v/>
      </c>
      <c r="AF1264" s="8" t="str">
        <f t="shared" si="58"/>
        <v/>
      </c>
      <c r="AG1264" s="8" t="str">
        <f>IF(TRIM($E1264)&lt;&gt;"Tax Paid","",IF(COUNTIFS(LISTS!$F$2:$F$26,$AE1264,LISTS!$G$2:$G$26,$AF1264)=0,"NOT ON LIST",""))</f>
        <v/>
      </c>
      <c r="AH1264" s="8" t="str">
        <f t="shared" si="59"/>
        <v/>
      </c>
    </row>
    <row r="1265" spans="31:34" x14ac:dyDescent="0.25">
      <c r="AE1265" s="8" t="str">
        <f t="shared" si="57"/>
        <v/>
      </c>
      <c r="AF1265" s="8" t="str">
        <f t="shared" si="58"/>
        <v/>
      </c>
      <c r="AG1265" s="8" t="str">
        <f>IF(TRIM($E1265)&lt;&gt;"Tax Paid","",IF(COUNTIFS(LISTS!$F$2:$F$26,$AE1265,LISTS!$G$2:$G$26,$AF1265)=0,"NOT ON LIST",""))</f>
        <v/>
      </c>
      <c r="AH1265" s="8" t="str">
        <f t="shared" si="59"/>
        <v/>
      </c>
    </row>
    <row r="1266" spans="31:34" x14ac:dyDescent="0.25">
      <c r="AE1266" s="8" t="str">
        <f t="shared" si="57"/>
        <v/>
      </c>
      <c r="AF1266" s="8" t="str">
        <f t="shared" si="58"/>
        <v/>
      </c>
      <c r="AG1266" s="8" t="str">
        <f>IF(TRIM($E1266)&lt;&gt;"Tax Paid","",IF(COUNTIFS(LISTS!$F$2:$F$26,$AE1266,LISTS!$G$2:$G$26,$AF1266)=0,"NOT ON LIST",""))</f>
        <v/>
      </c>
      <c r="AH1266" s="8" t="str">
        <f t="shared" si="59"/>
        <v/>
      </c>
    </row>
    <row r="1267" spans="31:34" x14ac:dyDescent="0.25">
      <c r="AE1267" s="8" t="str">
        <f t="shared" si="57"/>
        <v/>
      </c>
      <c r="AF1267" s="8" t="str">
        <f t="shared" si="58"/>
        <v/>
      </c>
      <c r="AG1267" s="8" t="str">
        <f>IF(TRIM($E1267)&lt;&gt;"Tax Paid","",IF(COUNTIFS(LISTS!$F$2:$F$26,$AE1267,LISTS!$G$2:$G$26,$AF1267)=0,"NOT ON LIST",""))</f>
        <v/>
      </c>
      <c r="AH1267" s="8" t="str">
        <f t="shared" si="59"/>
        <v/>
      </c>
    </row>
    <row r="1268" spans="31:34" x14ac:dyDescent="0.25">
      <c r="AE1268" s="8" t="str">
        <f t="shared" si="57"/>
        <v/>
      </c>
      <c r="AF1268" s="8" t="str">
        <f t="shared" si="58"/>
        <v/>
      </c>
      <c r="AG1268" s="8" t="str">
        <f>IF(TRIM($E1268)&lt;&gt;"Tax Paid","",IF(COUNTIFS(LISTS!$F$2:$F$26,$AE1268,LISTS!$G$2:$G$26,$AF1268)=0,"NOT ON LIST",""))</f>
        <v/>
      </c>
      <c r="AH1268" s="8" t="str">
        <f t="shared" si="59"/>
        <v/>
      </c>
    </row>
    <row r="1269" spans="31:34" x14ac:dyDescent="0.25">
      <c r="AE1269" s="8" t="str">
        <f t="shared" si="57"/>
        <v/>
      </c>
      <c r="AF1269" s="8" t="str">
        <f t="shared" si="58"/>
        <v/>
      </c>
      <c r="AG1269" s="8" t="str">
        <f>IF(TRIM($E1269)&lt;&gt;"Tax Paid","",IF(COUNTIFS(LISTS!$F$2:$F$26,$AE1269,LISTS!$G$2:$G$26,$AF1269)=0,"NOT ON LIST",""))</f>
        <v/>
      </c>
      <c r="AH1269" s="8" t="str">
        <f t="shared" si="59"/>
        <v/>
      </c>
    </row>
    <row r="1270" spans="31:34" x14ac:dyDescent="0.25">
      <c r="AE1270" s="8" t="str">
        <f t="shared" si="57"/>
        <v/>
      </c>
      <c r="AF1270" s="8" t="str">
        <f t="shared" si="58"/>
        <v/>
      </c>
      <c r="AG1270" s="8" t="str">
        <f>IF(TRIM($E1270)&lt;&gt;"Tax Paid","",IF(COUNTIFS(LISTS!$F$2:$F$26,$AE1270,LISTS!$G$2:$G$26,$AF1270)=0,"NOT ON LIST",""))</f>
        <v/>
      </c>
      <c r="AH1270" s="8" t="str">
        <f t="shared" si="59"/>
        <v/>
      </c>
    </row>
    <row r="1271" spans="31:34" x14ac:dyDescent="0.25">
      <c r="AE1271" s="8" t="str">
        <f t="shared" si="57"/>
        <v/>
      </c>
      <c r="AF1271" s="8" t="str">
        <f t="shared" si="58"/>
        <v/>
      </c>
      <c r="AG1271" s="8" t="str">
        <f>IF(TRIM($E1271)&lt;&gt;"Tax Paid","",IF(COUNTIFS(LISTS!$F$2:$F$26,$AE1271,LISTS!$G$2:$G$26,$AF1271)=0,"NOT ON LIST",""))</f>
        <v/>
      </c>
      <c r="AH1271" s="8" t="str">
        <f t="shared" si="59"/>
        <v/>
      </c>
    </row>
    <row r="1272" spans="31:34" x14ac:dyDescent="0.25">
      <c r="AE1272" s="8" t="str">
        <f t="shared" si="57"/>
        <v/>
      </c>
      <c r="AF1272" s="8" t="str">
        <f t="shared" si="58"/>
        <v/>
      </c>
      <c r="AG1272" s="8" t="str">
        <f>IF(TRIM($E1272)&lt;&gt;"Tax Paid","",IF(COUNTIFS(LISTS!$F$2:$F$26,$AE1272,LISTS!$G$2:$G$26,$AF1272)=0,"NOT ON LIST",""))</f>
        <v/>
      </c>
      <c r="AH1272" s="8" t="str">
        <f t="shared" si="59"/>
        <v/>
      </c>
    </row>
    <row r="1273" spans="31:34" x14ac:dyDescent="0.25">
      <c r="AE1273" s="8" t="str">
        <f t="shared" si="57"/>
        <v/>
      </c>
      <c r="AF1273" s="8" t="str">
        <f t="shared" si="58"/>
        <v/>
      </c>
      <c r="AG1273" s="8" t="str">
        <f>IF(TRIM($E1273)&lt;&gt;"Tax Paid","",IF(COUNTIFS(LISTS!$F$2:$F$26,$AE1273,LISTS!$G$2:$G$26,$AF1273)=0,"NOT ON LIST",""))</f>
        <v/>
      </c>
      <c r="AH1273" s="8" t="str">
        <f t="shared" si="59"/>
        <v/>
      </c>
    </row>
    <row r="1274" spans="31:34" x14ac:dyDescent="0.25">
      <c r="AE1274" s="8" t="str">
        <f t="shared" si="57"/>
        <v/>
      </c>
      <c r="AF1274" s="8" t="str">
        <f t="shared" si="58"/>
        <v/>
      </c>
      <c r="AG1274" s="8" t="str">
        <f>IF(TRIM($E1274)&lt;&gt;"Tax Paid","",IF(COUNTIFS(LISTS!$F$2:$F$26,$AE1274,LISTS!$G$2:$G$26,$AF1274)=0,"NOT ON LIST",""))</f>
        <v/>
      </c>
      <c r="AH1274" s="8" t="str">
        <f t="shared" si="59"/>
        <v/>
      </c>
    </row>
    <row r="1275" spans="31:34" x14ac:dyDescent="0.25">
      <c r="AE1275" s="8" t="str">
        <f t="shared" si="57"/>
        <v/>
      </c>
      <c r="AF1275" s="8" t="str">
        <f t="shared" si="58"/>
        <v/>
      </c>
      <c r="AG1275" s="8" t="str">
        <f>IF(TRIM($E1275)&lt;&gt;"Tax Paid","",IF(COUNTIFS(LISTS!$F$2:$F$26,$AE1275,LISTS!$G$2:$G$26,$AF1275)=0,"NOT ON LIST",""))</f>
        <v/>
      </c>
      <c r="AH1275" s="8" t="str">
        <f t="shared" si="59"/>
        <v/>
      </c>
    </row>
    <row r="1276" spans="31:34" x14ac:dyDescent="0.25">
      <c r="AE1276" s="8" t="str">
        <f t="shared" si="57"/>
        <v/>
      </c>
      <c r="AF1276" s="8" t="str">
        <f t="shared" si="58"/>
        <v/>
      </c>
      <c r="AG1276" s="8" t="str">
        <f>IF(TRIM($E1276)&lt;&gt;"Tax Paid","",IF(COUNTIFS(LISTS!$F$2:$F$26,$AE1276,LISTS!$G$2:$G$26,$AF1276)=0,"NOT ON LIST",""))</f>
        <v/>
      </c>
      <c r="AH1276" s="8" t="str">
        <f t="shared" si="59"/>
        <v/>
      </c>
    </row>
    <row r="1277" spans="31:34" x14ac:dyDescent="0.25">
      <c r="AE1277" s="8" t="str">
        <f t="shared" si="57"/>
        <v/>
      </c>
      <c r="AF1277" s="8" t="str">
        <f t="shared" si="58"/>
        <v/>
      </c>
      <c r="AG1277" s="8" t="str">
        <f>IF(TRIM($E1277)&lt;&gt;"Tax Paid","",IF(COUNTIFS(LISTS!$F$2:$F$26,$AE1277,LISTS!$G$2:$G$26,$AF1277)=0,"NOT ON LIST",""))</f>
        <v/>
      </c>
      <c r="AH1277" s="8" t="str">
        <f t="shared" si="59"/>
        <v/>
      </c>
    </row>
    <row r="1278" spans="31:34" x14ac:dyDescent="0.25">
      <c r="AE1278" s="8" t="str">
        <f t="shared" si="57"/>
        <v/>
      </c>
      <c r="AF1278" s="8" t="str">
        <f t="shared" si="58"/>
        <v/>
      </c>
      <c r="AG1278" s="8" t="str">
        <f>IF(TRIM($E1278)&lt;&gt;"Tax Paid","",IF(COUNTIFS(LISTS!$F$2:$F$26,$AE1278,LISTS!$G$2:$G$26,$AF1278)=0,"NOT ON LIST",""))</f>
        <v/>
      </c>
      <c r="AH1278" s="8" t="str">
        <f t="shared" si="59"/>
        <v/>
      </c>
    </row>
    <row r="1279" spans="31:34" x14ac:dyDescent="0.25">
      <c r="AE1279" s="8" t="str">
        <f t="shared" si="57"/>
        <v/>
      </c>
      <c r="AF1279" s="8" t="str">
        <f t="shared" si="58"/>
        <v/>
      </c>
      <c r="AG1279" s="8" t="str">
        <f>IF(TRIM($E1279)&lt;&gt;"Tax Paid","",IF(COUNTIFS(LISTS!$F$2:$F$26,$AE1279,LISTS!$G$2:$G$26,$AF1279)=0,"NOT ON LIST",""))</f>
        <v/>
      </c>
      <c r="AH1279" s="8" t="str">
        <f t="shared" si="59"/>
        <v/>
      </c>
    </row>
    <row r="1280" spans="31:34" x14ac:dyDescent="0.25">
      <c r="AE1280" s="8" t="str">
        <f t="shared" si="57"/>
        <v/>
      </c>
      <c r="AF1280" s="8" t="str">
        <f t="shared" si="58"/>
        <v/>
      </c>
      <c r="AG1280" s="8" t="str">
        <f>IF(TRIM($E1280)&lt;&gt;"Tax Paid","",IF(COUNTIFS(LISTS!$F$2:$F$26,$AE1280,LISTS!$G$2:$G$26,$AF1280)=0,"NOT ON LIST",""))</f>
        <v/>
      </c>
      <c r="AH1280" s="8" t="str">
        <f t="shared" si="59"/>
        <v/>
      </c>
    </row>
    <row r="1281" spans="31:34" x14ac:dyDescent="0.25">
      <c r="AE1281" s="8" t="str">
        <f t="shared" si="57"/>
        <v/>
      </c>
      <c r="AF1281" s="8" t="str">
        <f t="shared" si="58"/>
        <v/>
      </c>
      <c r="AG1281" s="8" t="str">
        <f>IF(TRIM($E1281)&lt;&gt;"Tax Paid","",IF(COUNTIFS(LISTS!$F$2:$F$26,$AE1281,LISTS!$G$2:$G$26,$AF1281)=0,"NOT ON LIST",""))</f>
        <v/>
      </c>
      <c r="AH1281" s="8" t="str">
        <f t="shared" si="59"/>
        <v/>
      </c>
    </row>
    <row r="1282" spans="31:34" x14ac:dyDescent="0.25">
      <c r="AE1282" s="8" t="str">
        <f t="shared" ref="AE1282:AE1345" si="60">IF(TRIM($E1282)="Tax Paid",TRIM($S1282),"")</f>
        <v/>
      </c>
      <c r="AF1282" s="8" t="str">
        <f t="shared" ref="AF1282:AF1345" si="61">IF(TRIM($E1282)="Tax Paid",ROUND($Z1282/100,5),"")</f>
        <v/>
      </c>
      <c r="AG1282" s="8" t="str">
        <f>IF(TRIM($E1282)&lt;&gt;"Tax Paid","",IF(COUNTIFS(LISTS!$F$2:$F$26,$AE1282,LISTS!$G$2:$G$26,$AF1282)=0,"NOT ON LIST",""))</f>
        <v/>
      </c>
      <c r="AH1282" s="8" t="str">
        <f t="shared" ref="AH1282:AH1345" si="62">IF($AG1282="","",IF($AE1282="","(no county)",$AE1282)&amp;" ("&amp;SUBSTITUTE(TEXT($AF1282,"0.###%"),".%","%")&amp;")")</f>
        <v/>
      </c>
    </row>
    <row r="1283" spans="31:34" x14ac:dyDescent="0.25">
      <c r="AE1283" s="8" t="str">
        <f t="shared" si="60"/>
        <v/>
      </c>
      <c r="AF1283" s="8" t="str">
        <f t="shared" si="61"/>
        <v/>
      </c>
      <c r="AG1283" s="8" t="str">
        <f>IF(TRIM($E1283)&lt;&gt;"Tax Paid","",IF(COUNTIFS(LISTS!$F$2:$F$26,$AE1283,LISTS!$G$2:$G$26,$AF1283)=0,"NOT ON LIST",""))</f>
        <v/>
      </c>
      <c r="AH1283" s="8" t="str">
        <f t="shared" si="62"/>
        <v/>
      </c>
    </row>
    <row r="1284" spans="31:34" x14ac:dyDescent="0.25">
      <c r="AE1284" s="8" t="str">
        <f t="shared" si="60"/>
        <v/>
      </c>
      <c r="AF1284" s="8" t="str">
        <f t="shared" si="61"/>
        <v/>
      </c>
      <c r="AG1284" s="8" t="str">
        <f>IF(TRIM($E1284)&lt;&gt;"Tax Paid","",IF(COUNTIFS(LISTS!$F$2:$F$26,$AE1284,LISTS!$G$2:$G$26,$AF1284)=0,"NOT ON LIST",""))</f>
        <v/>
      </c>
      <c r="AH1284" s="8" t="str">
        <f t="shared" si="62"/>
        <v/>
      </c>
    </row>
    <row r="1285" spans="31:34" x14ac:dyDescent="0.25">
      <c r="AE1285" s="8" t="str">
        <f t="shared" si="60"/>
        <v/>
      </c>
      <c r="AF1285" s="8" t="str">
        <f t="shared" si="61"/>
        <v/>
      </c>
      <c r="AG1285" s="8" t="str">
        <f>IF(TRIM($E1285)&lt;&gt;"Tax Paid","",IF(COUNTIFS(LISTS!$F$2:$F$26,$AE1285,LISTS!$G$2:$G$26,$AF1285)=0,"NOT ON LIST",""))</f>
        <v/>
      </c>
      <c r="AH1285" s="8" t="str">
        <f t="shared" si="62"/>
        <v/>
      </c>
    </row>
    <row r="1286" spans="31:34" x14ac:dyDescent="0.25">
      <c r="AE1286" s="8" t="str">
        <f t="shared" si="60"/>
        <v/>
      </c>
      <c r="AF1286" s="8" t="str">
        <f t="shared" si="61"/>
        <v/>
      </c>
      <c r="AG1286" s="8" t="str">
        <f>IF(TRIM($E1286)&lt;&gt;"Tax Paid","",IF(COUNTIFS(LISTS!$F$2:$F$26,$AE1286,LISTS!$G$2:$G$26,$AF1286)=0,"NOT ON LIST",""))</f>
        <v/>
      </c>
      <c r="AH1286" s="8" t="str">
        <f t="shared" si="62"/>
        <v/>
      </c>
    </row>
    <row r="1287" spans="31:34" x14ac:dyDescent="0.25">
      <c r="AE1287" s="8" t="str">
        <f t="shared" si="60"/>
        <v/>
      </c>
      <c r="AF1287" s="8" t="str">
        <f t="shared" si="61"/>
        <v/>
      </c>
      <c r="AG1287" s="8" t="str">
        <f>IF(TRIM($E1287)&lt;&gt;"Tax Paid","",IF(COUNTIFS(LISTS!$F$2:$F$26,$AE1287,LISTS!$G$2:$G$26,$AF1287)=0,"NOT ON LIST",""))</f>
        <v/>
      </c>
      <c r="AH1287" s="8" t="str">
        <f t="shared" si="62"/>
        <v/>
      </c>
    </row>
    <row r="1288" spans="31:34" x14ac:dyDescent="0.25">
      <c r="AE1288" s="8" t="str">
        <f t="shared" si="60"/>
        <v/>
      </c>
      <c r="AF1288" s="8" t="str">
        <f t="shared" si="61"/>
        <v/>
      </c>
      <c r="AG1288" s="8" t="str">
        <f>IF(TRIM($E1288)&lt;&gt;"Tax Paid","",IF(COUNTIFS(LISTS!$F$2:$F$26,$AE1288,LISTS!$G$2:$G$26,$AF1288)=0,"NOT ON LIST",""))</f>
        <v/>
      </c>
      <c r="AH1288" s="8" t="str">
        <f t="shared" si="62"/>
        <v/>
      </c>
    </row>
    <row r="1289" spans="31:34" x14ac:dyDescent="0.25">
      <c r="AE1289" s="8" t="str">
        <f t="shared" si="60"/>
        <v/>
      </c>
      <c r="AF1289" s="8" t="str">
        <f t="shared" si="61"/>
        <v/>
      </c>
      <c r="AG1289" s="8" t="str">
        <f>IF(TRIM($E1289)&lt;&gt;"Tax Paid","",IF(COUNTIFS(LISTS!$F$2:$F$26,$AE1289,LISTS!$G$2:$G$26,$AF1289)=0,"NOT ON LIST",""))</f>
        <v/>
      </c>
      <c r="AH1289" s="8" t="str">
        <f t="shared" si="62"/>
        <v/>
      </c>
    </row>
    <row r="1290" spans="31:34" x14ac:dyDescent="0.25">
      <c r="AE1290" s="8" t="str">
        <f t="shared" si="60"/>
        <v/>
      </c>
      <c r="AF1290" s="8" t="str">
        <f t="shared" si="61"/>
        <v/>
      </c>
      <c r="AG1290" s="8" t="str">
        <f>IF(TRIM($E1290)&lt;&gt;"Tax Paid","",IF(COUNTIFS(LISTS!$F$2:$F$26,$AE1290,LISTS!$G$2:$G$26,$AF1290)=0,"NOT ON LIST",""))</f>
        <v/>
      </c>
      <c r="AH1290" s="8" t="str">
        <f t="shared" si="62"/>
        <v/>
      </c>
    </row>
    <row r="1291" spans="31:34" x14ac:dyDescent="0.25">
      <c r="AE1291" s="8" t="str">
        <f t="shared" si="60"/>
        <v/>
      </c>
      <c r="AF1291" s="8" t="str">
        <f t="shared" si="61"/>
        <v/>
      </c>
      <c r="AG1291" s="8" t="str">
        <f>IF(TRIM($E1291)&lt;&gt;"Tax Paid","",IF(COUNTIFS(LISTS!$F$2:$F$26,$AE1291,LISTS!$G$2:$G$26,$AF1291)=0,"NOT ON LIST",""))</f>
        <v/>
      </c>
      <c r="AH1291" s="8" t="str">
        <f t="shared" si="62"/>
        <v/>
      </c>
    </row>
    <row r="1292" spans="31:34" x14ac:dyDescent="0.25">
      <c r="AE1292" s="8" t="str">
        <f t="shared" si="60"/>
        <v/>
      </c>
      <c r="AF1292" s="8" t="str">
        <f t="shared" si="61"/>
        <v/>
      </c>
      <c r="AG1292" s="8" t="str">
        <f>IF(TRIM($E1292)&lt;&gt;"Tax Paid","",IF(COUNTIFS(LISTS!$F$2:$F$26,$AE1292,LISTS!$G$2:$G$26,$AF1292)=0,"NOT ON LIST",""))</f>
        <v/>
      </c>
      <c r="AH1292" s="8" t="str">
        <f t="shared" si="62"/>
        <v/>
      </c>
    </row>
    <row r="1293" spans="31:34" x14ac:dyDescent="0.25">
      <c r="AE1293" s="8" t="str">
        <f t="shared" si="60"/>
        <v/>
      </c>
      <c r="AF1293" s="8" t="str">
        <f t="shared" si="61"/>
        <v/>
      </c>
      <c r="AG1293" s="8" t="str">
        <f>IF(TRIM($E1293)&lt;&gt;"Tax Paid","",IF(COUNTIFS(LISTS!$F$2:$F$26,$AE1293,LISTS!$G$2:$G$26,$AF1293)=0,"NOT ON LIST",""))</f>
        <v/>
      </c>
      <c r="AH1293" s="8" t="str">
        <f t="shared" si="62"/>
        <v/>
      </c>
    </row>
    <row r="1294" spans="31:34" x14ac:dyDescent="0.25">
      <c r="AE1294" s="8" t="str">
        <f t="shared" si="60"/>
        <v/>
      </c>
      <c r="AF1294" s="8" t="str">
        <f t="shared" si="61"/>
        <v/>
      </c>
      <c r="AG1294" s="8" t="str">
        <f>IF(TRIM($E1294)&lt;&gt;"Tax Paid","",IF(COUNTIFS(LISTS!$F$2:$F$26,$AE1294,LISTS!$G$2:$G$26,$AF1294)=0,"NOT ON LIST",""))</f>
        <v/>
      </c>
      <c r="AH1294" s="8" t="str">
        <f t="shared" si="62"/>
        <v/>
      </c>
    </row>
    <row r="1295" spans="31:34" x14ac:dyDescent="0.25">
      <c r="AE1295" s="8" t="str">
        <f t="shared" si="60"/>
        <v/>
      </c>
      <c r="AF1295" s="8" t="str">
        <f t="shared" si="61"/>
        <v/>
      </c>
      <c r="AG1295" s="8" t="str">
        <f>IF(TRIM($E1295)&lt;&gt;"Tax Paid","",IF(COUNTIFS(LISTS!$F$2:$F$26,$AE1295,LISTS!$G$2:$G$26,$AF1295)=0,"NOT ON LIST",""))</f>
        <v/>
      </c>
      <c r="AH1295" s="8" t="str">
        <f t="shared" si="62"/>
        <v/>
      </c>
    </row>
    <row r="1296" spans="31:34" x14ac:dyDescent="0.25">
      <c r="AE1296" s="8" t="str">
        <f t="shared" si="60"/>
        <v/>
      </c>
      <c r="AF1296" s="8" t="str">
        <f t="shared" si="61"/>
        <v/>
      </c>
      <c r="AG1296" s="8" t="str">
        <f>IF(TRIM($E1296)&lt;&gt;"Tax Paid","",IF(COUNTIFS(LISTS!$F$2:$F$26,$AE1296,LISTS!$G$2:$G$26,$AF1296)=0,"NOT ON LIST",""))</f>
        <v/>
      </c>
      <c r="AH1296" s="8" t="str">
        <f t="shared" si="62"/>
        <v/>
      </c>
    </row>
    <row r="1297" spans="31:34" x14ac:dyDescent="0.25">
      <c r="AE1297" s="8" t="str">
        <f t="shared" si="60"/>
        <v/>
      </c>
      <c r="AF1297" s="8" t="str">
        <f t="shared" si="61"/>
        <v/>
      </c>
      <c r="AG1297" s="8" t="str">
        <f>IF(TRIM($E1297)&lt;&gt;"Tax Paid","",IF(COUNTIFS(LISTS!$F$2:$F$26,$AE1297,LISTS!$G$2:$G$26,$AF1297)=0,"NOT ON LIST",""))</f>
        <v/>
      </c>
      <c r="AH1297" s="8" t="str">
        <f t="shared" si="62"/>
        <v/>
      </c>
    </row>
    <row r="1298" spans="31:34" x14ac:dyDescent="0.25">
      <c r="AE1298" s="8" t="str">
        <f t="shared" si="60"/>
        <v/>
      </c>
      <c r="AF1298" s="8" t="str">
        <f t="shared" si="61"/>
        <v/>
      </c>
      <c r="AG1298" s="8" t="str">
        <f>IF(TRIM($E1298)&lt;&gt;"Tax Paid","",IF(COUNTIFS(LISTS!$F$2:$F$26,$AE1298,LISTS!$G$2:$G$26,$AF1298)=0,"NOT ON LIST",""))</f>
        <v/>
      </c>
      <c r="AH1298" s="8" t="str">
        <f t="shared" si="62"/>
        <v/>
      </c>
    </row>
    <row r="1299" spans="31:34" x14ac:dyDescent="0.25">
      <c r="AE1299" s="8" t="str">
        <f t="shared" si="60"/>
        <v/>
      </c>
      <c r="AF1299" s="8" t="str">
        <f t="shared" si="61"/>
        <v/>
      </c>
      <c r="AG1299" s="8" t="str">
        <f>IF(TRIM($E1299)&lt;&gt;"Tax Paid","",IF(COUNTIFS(LISTS!$F$2:$F$26,$AE1299,LISTS!$G$2:$G$26,$AF1299)=0,"NOT ON LIST",""))</f>
        <v/>
      </c>
      <c r="AH1299" s="8" t="str">
        <f t="shared" si="62"/>
        <v/>
      </c>
    </row>
    <row r="1300" spans="31:34" x14ac:dyDescent="0.25">
      <c r="AE1300" s="8" t="str">
        <f t="shared" si="60"/>
        <v/>
      </c>
      <c r="AF1300" s="8" t="str">
        <f t="shared" si="61"/>
        <v/>
      </c>
      <c r="AG1300" s="8" t="str">
        <f>IF(TRIM($E1300)&lt;&gt;"Tax Paid","",IF(COUNTIFS(LISTS!$F$2:$F$26,$AE1300,LISTS!$G$2:$G$26,$AF1300)=0,"NOT ON LIST",""))</f>
        <v/>
      </c>
      <c r="AH1300" s="8" t="str">
        <f t="shared" si="62"/>
        <v/>
      </c>
    </row>
    <row r="1301" spans="31:34" x14ac:dyDescent="0.25">
      <c r="AE1301" s="8" t="str">
        <f t="shared" si="60"/>
        <v/>
      </c>
      <c r="AF1301" s="8" t="str">
        <f t="shared" si="61"/>
        <v/>
      </c>
      <c r="AG1301" s="8" t="str">
        <f>IF(TRIM($E1301)&lt;&gt;"Tax Paid","",IF(COUNTIFS(LISTS!$F$2:$F$26,$AE1301,LISTS!$G$2:$G$26,$AF1301)=0,"NOT ON LIST",""))</f>
        <v/>
      </c>
      <c r="AH1301" s="8" t="str">
        <f t="shared" si="62"/>
        <v/>
      </c>
    </row>
    <row r="1302" spans="31:34" x14ac:dyDescent="0.25">
      <c r="AE1302" s="8" t="str">
        <f t="shared" si="60"/>
        <v/>
      </c>
      <c r="AF1302" s="8" t="str">
        <f t="shared" si="61"/>
        <v/>
      </c>
      <c r="AG1302" s="8" t="str">
        <f>IF(TRIM($E1302)&lt;&gt;"Tax Paid","",IF(COUNTIFS(LISTS!$F$2:$F$26,$AE1302,LISTS!$G$2:$G$26,$AF1302)=0,"NOT ON LIST",""))</f>
        <v/>
      </c>
      <c r="AH1302" s="8" t="str">
        <f t="shared" si="62"/>
        <v/>
      </c>
    </row>
    <row r="1303" spans="31:34" x14ac:dyDescent="0.25">
      <c r="AE1303" s="8" t="str">
        <f t="shared" si="60"/>
        <v/>
      </c>
      <c r="AF1303" s="8" t="str">
        <f t="shared" si="61"/>
        <v/>
      </c>
      <c r="AG1303" s="8" t="str">
        <f>IF(TRIM($E1303)&lt;&gt;"Tax Paid","",IF(COUNTIFS(LISTS!$F$2:$F$26,$AE1303,LISTS!$G$2:$G$26,$AF1303)=0,"NOT ON LIST",""))</f>
        <v/>
      </c>
      <c r="AH1303" s="8" t="str">
        <f t="shared" si="62"/>
        <v/>
      </c>
    </row>
    <row r="1304" spans="31:34" x14ac:dyDescent="0.25">
      <c r="AE1304" s="8" t="str">
        <f t="shared" si="60"/>
        <v/>
      </c>
      <c r="AF1304" s="8" t="str">
        <f t="shared" si="61"/>
        <v/>
      </c>
      <c r="AG1304" s="8" t="str">
        <f>IF(TRIM($E1304)&lt;&gt;"Tax Paid","",IF(COUNTIFS(LISTS!$F$2:$F$26,$AE1304,LISTS!$G$2:$G$26,$AF1304)=0,"NOT ON LIST",""))</f>
        <v/>
      </c>
      <c r="AH1304" s="8" t="str">
        <f t="shared" si="62"/>
        <v/>
      </c>
    </row>
    <row r="1305" spans="31:34" x14ac:dyDescent="0.25">
      <c r="AE1305" s="8" t="str">
        <f t="shared" si="60"/>
        <v/>
      </c>
      <c r="AF1305" s="8" t="str">
        <f t="shared" si="61"/>
        <v/>
      </c>
      <c r="AG1305" s="8" t="str">
        <f>IF(TRIM($E1305)&lt;&gt;"Tax Paid","",IF(COUNTIFS(LISTS!$F$2:$F$26,$AE1305,LISTS!$G$2:$G$26,$AF1305)=0,"NOT ON LIST",""))</f>
        <v/>
      </c>
      <c r="AH1305" s="8" t="str">
        <f t="shared" si="62"/>
        <v/>
      </c>
    </row>
    <row r="1306" spans="31:34" x14ac:dyDescent="0.25">
      <c r="AE1306" s="8" t="str">
        <f t="shared" si="60"/>
        <v/>
      </c>
      <c r="AF1306" s="8" t="str">
        <f t="shared" si="61"/>
        <v/>
      </c>
      <c r="AG1306" s="8" t="str">
        <f>IF(TRIM($E1306)&lt;&gt;"Tax Paid","",IF(COUNTIFS(LISTS!$F$2:$F$26,$AE1306,LISTS!$G$2:$G$26,$AF1306)=0,"NOT ON LIST",""))</f>
        <v/>
      </c>
      <c r="AH1306" s="8" t="str">
        <f t="shared" si="62"/>
        <v/>
      </c>
    </row>
    <row r="1307" spans="31:34" x14ac:dyDescent="0.25">
      <c r="AE1307" s="8" t="str">
        <f t="shared" si="60"/>
        <v/>
      </c>
      <c r="AF1307" s="8" t="str">
        <f t="shared" si="61"/>
        <v/>
      </c>
      <c r="AG1307" s="8" t="str">
        <f>IF(TRIM($E1307)&lt;&gt;"Tax Paid","",IF(COUNTIFS(LISTS!$F$2:$F$26,$AE1307,LISTS!$G$2:$G$26,$AF1307)=0,"NOT ON LIST",""))</f>
        <v/>
      </c>
      <c r="AH1307" s="8" t="str">
        <f t="shared" si="62"/>
        <v/>
      </c>
    </row>
    <row r="1308" spans="31:34" x14ac:dyDescent="0.25">
      <c r="AE1308" s="8" t="str">
        <f t="shared" si="60"/>
        <v/>
      </c>
      <c r="AF1308" s="8" t="str">
        <f t="shared" si="61"/>
        <v/>
      </c>
      <c r="AG1308" s="8" t="str">
        <f>IF(TRIM($E1308)&lt;&gt;"Tax Paid","",IF(COUNTIFS(LISTS!$F$2:$F$26,$AE1308,LISTS!$G$2:$G$26,$AF1308)=0,"NOT ON LIST",""))</f>
        <v/>
      </c>
      <c r="AH1308" s="8" t="str">
        <f t="shared" si="62"/>
        <v/>
      </c>
    </row>
    <row r="1309" spans="31:34" x14ac:dyDescent="0.25">
      <c r="AE1309" s="8" t="str">
        <f t="shared" si="60"/>
        <v/>
      </c>
      <c r="AF1309" s="8" t="str">
        <f t="shared" si="61"/>
        <v/>
      </c>
      <c r="AG1309" s="8" t="str">
        <f>IF(TRIM($E1309)&lt;&gt;"Tax Paid","",IF(COUNTIFS(LISTS!$F$2:$F$26,$AE1309,LISTS!$G$2:$G$26,$AF1309)=0,"NOT ON LIST",""))</f>
        <v/>
      </c>
      <c r="AH1309" s="8" t="str">
        <f t="shared" si="62"/>
        <v/>
      </c>
    </row>
    <row r="1310" spans="31:34" x14ac:dyDescent="0.25">
      <c r="AE1310" s="8" t="str">
        <f t="shared" si="60"/>
        <v/>
      </c>
      <c r="AF1310" s="8" t="str">
        <f t="shared" si="61"/>
        <v/>
      </c>
      <c r="AG1310" s="8" t="str">
        <f>IF(TRIM($E1310)&lt;&gt;"Tax Paid","",IF(COUNTIFS(LISTS!$F$2:$F$26,$AE1310,LISTS!$G$2:$G$26,$AF1310)=0,"NOT ON LIST",""))</f>
        <v/>
      </c>
      <c r="AH1310" s="8" t="str">
        <f t="shared" si="62"/>
        <v/>
      </c>
    </row>
    <row r="1311" spans="31:34" x14ac:dyDescent="0.25">
      <c r="AE1311" s="8" t="str">
        <f t="shared" si="60"/>
        <v/>
      </c>
      <c r="AF1311" s="8" t="str">
        <f t="shared" si="61"/>
        <v/>
      </c>
      <c r="AG1311" s="8" t="str">
        <f>IF(TRIM($E1311)&lt;&gt;"Tax Paid","",IF(COUNTIFS(LISTS!$F$2:$F$26,$AE1311,LISTS!$G$2:$G$26,$AF1311)=0,"NOT ON LIST",""))</f>
        <v/>
      </c>
      <c r="AH1311" s="8" t="str">
        <f t="shared" si="62"/>
        <v/>
      </c>
    </row>
    <row r="1312" spans="31:34" x14ac:dyDescent="0.25">
      <c r="AE1312" s="8" t="str">
        <f t="shared" si="60"/>
        <v/>
      </c>
      <c r="AF1312" s="8" t="str">
        <f t="shared" si="61"/>
        <v/>
      </c>
      <c r="AG1312" s="8" t="str">
        <f>IF(TRIM($E1312)&lt;&gt;"Tax Paid","",IF(COUNTIFS(LISTS!$F$2:$F$26,$AE1312,LISTS!$G$2:$G$26,$AF1312)=0,"NOT ON LIST",""))</f>
        <v/>
      </c>
      <c r="AH1312" s="8" t="str">
        <f t="shared" si="62"/>
        <v/>
      </c>
    </row>
    <row r="1313" spans="31:34" x14ac:dyDescent="0.25">
      <c r="AE1313" s="8" t="str">
        <f t="shared" si="60"/>
        <v/>
      </c>
      <c r="AF1313" s="8" t="str">
        <f t="shared" si="61"/>
        <v/>
      </c>
      <c r="AG1313" s="8" t="str">
        <f>IF(TRIM($E1313)&lt;&gt;"Tax Paid","",IF(COUNTIFS(LISTS!$F$2:$F$26,$AE1313,LISTS!$G$2:$G$26,$AF1313)=0,"NOT ON LIST",""))</f>
        <v/>
      </c>
      <c r="AH1313" s="8" t="str">
        <f t="shared" si="62"/>
        <v/>
      </c>
    </row>
    <row r="1314" spans="31:34" x14ac:dyDescent="0.25">
      <c r="AE1314" s="8" t="str">
        <f t="shared" si="60"/>
        <v/>
      </c>
      <c r="AF1314" s="8" t="str">
        <f t="shared" si="61"/>
        <v/>
      </c>
      <c r="AG1314" s="8" t="str">
        <f>IF(TRIM($E1314)&lt;&gt;"Tax Paid","",IF(COUNTIFS(LISTS!$F$2:$F$26,$AE1314,LISTS!$G$2:$G$26,$AF1314)=0,"NOT ON LIST",""))</f>
        <v/>
      </c>
      <c r="AH1314" s="8" t="str">
        <f t="shared" si="62"/>
        <v/>
      </c>
    </row>
    <row r="1315" spans="31:34" x14ac:dyDescent="0.25">
      <c r="AE1315" s="8" t="str">
        <f t="shared" si="60"/>
        <v/>
      </c>
      <c r="AF1315" s="8" t="str">
        <f t="shared" si="61"/>
        <v/>
      </c>
      <c r="AG1315" s="8" t="str">
        <f>IF(TRIM($E1315)&lt;&gt;"Tax Paid","",IF(COUNTIFS(LISTS!$F$2:$F$26,$AE1315,LISTS!$G$2:$G$26,$AF1315)=0,"NOT ON LIST",""))</f>
        <v/>
      </c>
      <c r="AH1315" s="8" t="str">
        <f t="shared" si="62"/>
        <v/>
      </c>
    </row>
    <row r="1316" spans="31:34" x14ac:dyDescent="0.25">
      <c r="AE1316" s="8" t="str">
        <f t="shared" si="60"/>
        <v/>
      </c>
      <c r="AF1316" s="8" t="str">
        <f t="shared" si="61"/>
        <v/>
      </c>
      <c r="AG1316" s="8" t="str">
        <f>IF(TRIM($E1316)&lt;&gt;"Tax Paid","",IF(COUNTIFS(LISTS!$F$2:$F$26,$AE1316,LISTS!$G$2:$G$26,$AF1316)=0,"NOT ON LIST",""))</f>
        <v/>
      </c>
      <c r="AH1316" s="8" t="str">
        <f t="shared" si="62"/>
        <v/>
      </c>
    </row>
    <row r="1317" spans="31:34" x14ac:dyDescent="0.25">
      <c r="AE1317" s="8" t="str">
        <f t="shared" si="60"/>
        <v/>
      </c>
      <c r="AF1317" s="8" t="str">
        <f t="shared" si="61"/>
        <v/>
      </c>
      <c r="AG1317" s="8" t="str">
        <f>IF(TRIM($E1317)&lt;&gt;"Tax Paid","",IF(COUNTIFS(LISTS!$F$2:$F$26,$AE1317,LISTS!$G$2:$G$26,$AF1317)=0,"NOT ON LIST",""))</f>
        <v/>
      </c>
      <c r="AH1317" s="8" t="str">
        <f t="shared" si="62"/>
        <v/>
      </c>
    </row>
    <row r="1318" spans="31:34" x14ac:dyDescent="0.25">
      <c r="AE1318" s="8" t="str">
        <f t="shared" si="60"/>
        <v/>
      </c>
      <c r="AF1318" s="8" t="str">
        <f t="shared" si="61"/>
        <v/>
      </c>
      <c r="AG1318" s="8" t="str">
        <f>IF(TRIM($E1318)&lt;&gt;"Tax Paid","",IF(COUNTIFS(LISTS!$F$2:$F$26,$AE1318,LISTS!$G$2:$G$26,$AF1318)=0,"NOT ON LIST",""))</f>
        <v/>
      </c>
      <c r="AH1318" s="8" t="str">
        <f t="shared" si="62"/>
        <v/>
      </c>
    </row>
    <row r="1319" spans="31:34" x14ac:dyDescent="0.25">
      <c r="AE1319" s="8" t="str">
        <f t="shared" si="60"/>
        <v/>
      </c>
      <c r="AF1319" s="8" t="str">
        <f t="shared" si="61"/>
        <v/>
      </c>
      <c r="AG1319" s="8" t="str">
        <f>IF(TRIM($E1319)&lt;&gt;"Tax Paid","",IF(COUNTIFS(LISTS!$F$2:$F$26,$AE1319,LISTS!$G$2:$G$26,$AF1319)=0,"NOT ON LIST",""))</f>
        <v/>
      </c>
      <c r="AH1319" s="8" t="str">
        <f t="shared" si="62"/>
        <v/>
      </c>
    </row>
    <row r="1320" spans="31:34" x14ac:dyDescent="0.25">
      <c r="AE1320" s="8" t="str">
        <f t="shared" si="60"/>
        <v/>
      </c>
      <c r="AF1320" s="8" t="str">
        <f t="shared" si="61"/>
        <v/>
      </c>
      <c r="AG1320" s="8" t="str">
        <f>IF(TRIM($E1320)&lt;&gt;"Tax Paid","",IF(COUNTIFS(LISTS!$F$2:$F$26,$AE1320,LISTS!$G$2:$G$26,$AF1320)=0,"NOT ON LIST",""))</f>
        <v/>
      </c>
      <c r="AH1320" s="8" t="str">
        <f t="shared" si="62"/>
        <v/>
      </c>
    </row>
    <row r="1321" spans="31:34" x14ac:dyDescent="0.25">
      <c r="AE1321" s="8" t="str">
        <f t="shared" si="60"/>
        <v/>
      </c>
      <c r="AF1321" s="8" t="str">
        <f t="shared" si="61"/>
        <v/>
      </c>
      <c r="AG1321" s="8" t="str">
        <f>IF(TRIM($E1321)&lt;&gt;"Tax Paid","",IF(COUNTIFS(LISTS!$F$2:$F$26,$AE1321,LISTS!$G$2:$G$26,$AF1321)=0,"NOT ON LIST",""))</f>
        <v/>
      </c>
      <c r="AH1321" s="8" t="str">
        <f t="shared" si="62"/>
        <v/>
      </c>
    </row>
    <row r="1322" spans="31:34" x14ac:dyDescent="0.25">
      <c r="AE1322" s="8" t="str">
        <f t="shared" si="60"/>
        <v/>
      </c>
      <c r="AF1322" s="8" t="str">
        <f t="shared" si="61"/>
        <v/>
      </c>
      <c r="AG1322" s="8" t="str">
        <f>IF(TRIM($E1322)&lt;&gt;"Tax Paid","",IF(COUNTIFS(LISTS!$F$2:$F$26,$AE1322,LISTS!$G$2:$G$26,$AF1322)=0,"NOT ON LIST",""))</f>
        <v/>
      </c>
      <c r="AH1322" s="8" t="str">
        <f t="shared" si="62"/>
        <v/>
      </c>
    </row>
    <row r="1323" spans="31:34" x14ac:dyDescent="0.25">
      <c r="AE1323" s="8" t="str">
        <f t="shared" si="60"/>
        <v/>
      </c>
      <c r="AF1323" s="8" t="str">
        <f t="shared" si="61"/>
        <v/>
      </c>
      <c r="AG1323" s="8" t="str">
        <f>IF(TRIM($E1323)&lt;&gt;"Tax Paid","",IF(COUNTIFS(LISTS!$F$2:$F$26,$AE1323,LISTS!$G$2:$G$26,$AF1323)=0,"NOT ON LIST",""))</f>
        <v/>
      </c>
      <c r="AH1323" s="8" t="str">
        <f t="shared" si="62"/>
        <v/>
      </c>
    </row>
    <row r="1324" spans="31:34" x14ac:dyDescent="0.25">
      <c r="AE1324" s="8" t="str">
        <f t="shared" si="60"/>
        <v/>
      </c>
      <c r="AF1324" s="8" t="str">
        <f t="shared" si="61"/>
        <v/>
      </c>
      <c r="AG1324" s="8" t="str">
        <f>IF(TRIM($E1324)&lt;&gt;"Tax Paid","",IF(COUNTIFS(LISTS!$F$2:$F$26,$AE1324,LISTS!$G$2:$G$26,$AF1324)=0,"NOT ON LIST",""))</f>
        <v/>
      </c>
      <c r="AH1324" s="8" t="str">
        <f t="shared" si="62"/>
        <v/>
      </c>
    </row>
    <row r="1325" spans="31:34" x14ac:dyDescent="0.25">
      <c r="AE1325" s="8" t="str">
        <f t="shared" si="60"/>
        <v/>
      </c>
      <c r="AF1325" s="8" t="str">
        <f t="shared" si="61"/>
        <v/>
      </c>
      <c r="AG1325" s="8" t="str">
        <f>IF(TRIM($E1325)&lt;&gt;"Tax Paid","",IF(COUNTIFS(LISTS!$F$2:$F$26,$AE1325,LISTS!$G$2:$G$26,$AF1325)=0,"NOT ON LIST",""))</f>
        <v/>
      </c>
      <c r="AH1325" s="8" t="str">
        <f t="shared" si="62"/>
        <v/>
      </c>
    </row>
    <row r="1326" spans="31:34" x14ac:dyDescent="0.25">
      <c r="AE1326" s="8" t="str">
        <f t="shared" si="60"/>
        <v/>
      </c>
      <c r="AF1326" s="8" t="str">
        <f t="shared" si="61"/>
        <v/>
      </c>
      <c r="AG1326" s="8" t="str">
        <f>IF(TRIM($E1326)&lt;&gt;"Tax Paid","",IF(COUNTIFS(LISTS!$F$2:$F$26,$AE1326,LISTS!$G$2:$G$26,$AF1326)=0,"NOT ON LIST",""))</f>
        <v/>
      </c>
      <c r="AH1326" s="8" t="str">
        <f t="shared" si="62"/>
        <v/>
      </c>
    </row>
    <row r="1327" spans="31:34" x14ac:dyDescent="0.25">
      <c r="AE1327" s="8" t="str">
        <f t="shared" si="60"/>
        <v/>
      </c>
      <c r="AF1327" s="8" t="str">
        <f t="shared" si="61"/>
        <v/>
      </c>
      <c r="AG1327" s="8" t="str">
        <f>IF(TRIM($E1327)&lt;&gt;"Tax Paid","",IF(COUNTIFS(LISTS!$F$2:$F$26,$AE1327,LISTS!$G$2:$G$26,$AF1327)=0,"NOT ON LIST",""))</f>
        <v/>
      </c>
      <c r="AH1327" s="8" t="str">
        <f t="shared" si="62"/>
        <v/>
      </c>
    </row>
    <row r="1328" spans="31:34" x14ac:dyDescent="0.25">
      <c r="AE1328" s="8" t="str">
        <f t="shared" si="60"/>
        <v/>
      </c>
      <c r="AF1328" s="8" t="str">
        <f t="shared" si="61"/>
        <v/>
      </c>
      <c r="AG1328" s="8" t="str">
        <f>IF(TRIM($E1328)&lt;&gt;"Tax Paid","",IF(COUNTIFS(LISTS!$F$2:$F$26,$AE1328,LISTS!$G$2:$G$26,$AF1328)=0,"NOT ON LIST",""))</f>
        <v/>
      </c>
      <c r="AH1328" s="8" t="str">
        <f t="shared" si="62"/>
        <v/>
      </c>
    </row>
    <row r="1329" spans="31:34" x14ac:dyDescent="0.25">
      <c r="AE1329" s="8" t="str">
        <f t="shared" si="60"/>
        <v/>
      </c>
      <c r="AF1329" s="8" t="str">
        <f t="shared" si="61"/>
        <v/>
      </c>
      <c r="AG1329" s="8" t="str">
        <f>IF(TRIM($E1329)&lt;&gt;"Tax Paid","",IF(COUNTIFS(LISTS!$F$2:$F$26,$AE1329,LISTS!$G$2:$G$26,$AF1329)=0,"NOT ON LIST",""))</f>
        <v/>
      </c>
      <c r="AH1329" s="8" t="str">
        <f t="shared" si="62"/>
        <v/>
      </c>
    </row>
    <row r="1330" spans="31:34" x14ac:dyDescent="0.25">
      <c r="AE1330" s="8" t="str">
        <f t="shared" si="60"/>
        <v/>
      </c>
      <c r="AF1330" s="8" t="str">
        <f t="shared" si="61"/>
        <v/>
      </c>
      <c r="AG1330" s="8" t="str">
        <f>IF(TRIM($E1330)&lt;&gt;"Tax Paid","",IF(COUNTIFS(LISTS!$F$2:$F$26,$AE1330,LISTS!$G$2:$G$26,$AF1330)=0,"NOT ON LIST",""))</f>
        <v/>
      </c>
      <c r="AH1330" s="8" t="str">
        <f t="shared" si="62"/>
        <v/>
      </c>
    </row>
    <row r="1331" spans="31:34" x14ac:dyDescent="0.25">
      <c r="AE1331" s="8" t="str">
        <f t="shared" si="60"/>
        <v/>
      </c>
      <c r="AF1331" s="8" t="str">
        <f t="shared" si="61"/>
        <v/>
      </c>
      <c r="AG1331" s="8" t="str">
        <f>IF(TRIM($E1331)&lt;&gt;"Tax Paid","",IF(COUNTIFS(LISTS!$F$2:$F$26,$AE1331,LISTS!$G$2:$G$26,$AF1331)=0,"NOT ON LIST",""))</f>
        <v/>
      </c>
      <c r="AH1331" s="8" t="str">
        <f t="shared" si="62"/>
        <v/>
      </c>
    </row>
    <row r="1332" spans="31:34" x14ac:dyDescent="0.25">
      <c r="AE1332" s="8" t="str">
        <f t="shared" si="60"/>
        <v/>
      </c>
      <c r="AF1332" s="8" t="str">
        <f t="shared" si="61"/>
        <v/>
      </c>
      <c r="AG1332" s="8" t="str">
        <f>IF(TRIM($E1332)&lt;&gt;"Tax Paid","",IF(COUNTIFS(LISTS!$F$2:$F$26,$AE1332,LISTS!$G$2:$G$26,$AF1332)=0,"NOT ON LIST",""))</f>
        <v/>
      </c>
      <c r="AH1332" s="8" t="str">
        <f t="shared" si="62"/>
        <v/>
      </c>
    </row>
    <row r="1333" spans="31:34" x14ac:dyDescent="0.25">
      <c r="AE1333" s="8" t="str">
        <f t="shared" si="60"/>
        <v/>
      </c>
      <c r="AF1333" s="8" t="str">
        <f t="shared" si="61"/>
        <v/>
      </c>
      <c r="AG1333" s="8" t="str">
        <f>IF(TRIM($E1333)&lt;&gt;"Tax Paid","",IF(COUNTIFS(LISTS!$F$2:$F$26,$AE1333,LISTS!$G$2:$G$26,$AF1333)=0,"NOT ON LIST",""))</f>
        <v/>
      </c>
      <c r="AH1333" s="8" t="str">
        <f t="shared" si="62"/>
        <v/>
      </c>
    </row>
    <row r="1334" spans="31:34" x14ac:dyDescent="0.25">
      <c r="AE1334" s="8" t="str">
        <f t="shared" si="60"/>
        <v/>
      </c>
      <c r="AF1334" s="8" t="str">
        <f t="shared" si="61"/>
        <v/>
      </c>
      <c r="AG1334" s="8" t="str">
        <f>IF(TRIM($E1334)&lt;&gt;"Tax Paid","",IF(COUNTIFS(LISTS!$F$2:$F$26,$AE1334,LISTS!$G$2:$G$26,$AF1334)=0,"NOT ON LIST",""))</f>
        <v/>
      </c>
      <c r="AH1334" s="8" t="str">
        <f t="shared" si="62"/>
        <v/>
      </c>
    </row>
    <row r="1335" spans="31:34" x14ac:dyDescent="0.25">
      <c r="AE1335" s="8" t="str">
        <f t="shared" si="60"/>
        <v/>
      </c>
      <c r="AF1335" s="8" t="str">
        <f t="shared" si="61"/>
        <v/>
      </c>
      <c r="AG1335" s="8" t="str">
        <f>IF(TRIM($E1335)&lt;&gt;"Tax Paid","",IF(COUNTIFS(LISTS!$F$2:$F$26,$AE1335,LISTS!$G$2:$G$26,$AF1335)=0,"NOT ON LIST",""))</f>
        <v/>
      </c>
      <c r="AH1335" s="8" t="str">
        <f t="shared" si="62"/>
        <v/>
      </c>
    </row>
    <row r="1336" spans="31:34" x14ac:dyDescent="0.25">
      <c r="AE1336" s="8" t="str">
        <f t="shared" si="60"/>
        <v/>
      </c>
      <c r="AF1336" s="8" t="str">
        <f t="shared" si="61"/>
        <v/>
      </c>
      <c r="AG1336" s="8" t="str">
        <f>IF(TRIM($E1336)&lt;&gt;"Tax Paid","",IF(COUNTIFS(LISTS!$F$2:$F$26,$AE1336,LISTS!$G$2:$G$26,$AF1336)=0,"NOT ON LIST",""))</f>
        <v/>
      </c>
      <c r="AH1336" s="8" t="str">
        <f t="shared" si="62"/>
        <v/>
      </c>
    </row>
    <row r="1337" spans="31:34" x14ac:dyDescent="0.25">
      <c r="AE1337" s="8" t="str">
        <f t="shared" si="60"/>
        <v/>
      </c>
      <c r="AF1337" s="8" t="str">
        <f t="shared" si="61"/>
        <v/>
      </c>
      <c r="AG1337" s="8" t="str">
        <f>IF(TRIM($E1337)&lt;&gt;"Tax Paid","",IF(COUNTIFS(LISTS!$F$2:$F$26,$AE1337,LISTS!$G$2:$G$26,$AF1337)=0,"NOT ON LIST",""))</f>
        <v/>
      </c>
      <c r="AH1337" s="8" t="str">
        <f t="shared" si="62"/>
        <v/>
      </c>
    </row>
    <row r="1338" spans="31:34" x14ac:dyDescent="0.25">
      <c r="AE1338" s="8" t="str">
        <f t="shared" si="60"/>
        <v/>
      </c>
      <c r="AF1338" s="8" t="str">
        <f t="shared" si="61"/>
        <v/>
      </c>
      <c r="AG1338" s="8" t="str">
        <f>IF(TRIM($E1338)&lt;&gt;"Tax Paid","",IF(COUNTIFS(LISTS!$F$2:$F$26,$AE1338,LISTS!$G$2:$G$26,$AF1338)=0,"NOT ON LIST",""))</f>
        <v/>
      </c>
      <c r="AH1338" s="8" t="str">
        <f t="shared" si="62"/>
        <v/>
      </c>
    </row>
    <row r="1339" spans="31:34" x14ac:dyDescent="0.25">
      <c r="AE1339" s="8" t="str">
        <f t="shared" si="60"/>
        <v/>
      </c>
      <c r="AF1339" s="8" t="str">
        <f t="shared" si="61"/>
        <v/>
      </c>
      <c r="AG1339" s="8" t="str">
        <f>IF(TRIM($E1339)&lt;&gt;"Tax Paid","",IF(COUNTIFS(LISTS!$F$2:$F$26,$AE1339,LISTS!$G$2:$G$26,$AF1339)=0,"NOT ON LIST",""))</f>
        <v/>
      </c>
      <c r="AH1339" s="8" t="str">
        <f t="shared" si="62"/>
        <v/>
      </c>
    </row>
    <row r="1340" spans="31:34" x14ac:dyDescent="0.25">
      <c r="AE1340" s="8" t="str">
        <f t="shared" si="60"/>
        <v/>
      </c>
      <c r="AF1340" s="8" t="str">
        <f t="shared" si="61"/>
        <v/>
      </c>
      <c r="AG1340" s="8" t="str">
        <f>IF(TRIM($E1340)&lt;&gt;"Tax Paid","",IF(COUNTIFS(LISTS!$F$2:$F$26,$AE1340,LISTS!$G$2:$G$26,$AF1340)=0,"NOT ON LIST",""))</f>
        <v/>
      </c>
      <c r="AH1340" s="8" t="str">
        <f t="shared" si="62"/>
        <v/>
      </c>
    </row>
    <row r="1341" spans="31:34" x14ac:dyDescent="0.25">
      <c r="AE1341" s="8" t="str">
        <f t="shared" si="60"/>
        <v/>
      </c>
      <c r="AF1341" s="8" t="str">
        <f t="shared" si="61"/>
        <v/>
      </c>
      <c r="AG1341" s="8" t="str">
        <f>IF(TRIM($E1341)&lt;&gt;"Tax Paid","",IF(COUNTIFS(LISTS!$F$2:$F$26,$AE1341,LISTS!$G$2:$G$26,$AF1341)=0,"NOT ON LIST",""))</f>
        <v/>
      </c>
      <c r="AH1341" s="8" t="str">
        <f t="shared" si="62"/>
        <v/>
      </c>
    </row>
    <row r="1342" spans="31:34" x14ac:dyDescent="0.25">
      <c r="AE1342" s="8" t="str">
        <f t="shared" si="60"/>
        <v/>
      </c>
      <c r="AF1342" s="8" t="str">
        <f t="shared" si="61"/>
        <v/>
      </c>
      <c r="AG1342" s="8" t="str">
        <f>IF(TRIM($E1342)&lt;&gt;"Tax Paid","",IF(COUNTIFS(LISTS!$F$2:$F$26,$AE1342,LISTS!$G$2:$G$26,$AF1342)=0,"NOT ON LIST",""))</f>
        <v/>
      </c>
      <c r="AH1342" s="8" t="str">
        <f t="shared" si="62"/>
        <v/>
      </c>
    </row>
    <row r="1343" spans="31:34" x14ac:dyDescent="0.25">
      <c r="AE1343" s="8" t="str">
        <f t="shared" si="60"/>
        <v/>
      </c>
      <c r="AF1343" s="8" t="str">
        <f t="shared" si="61"/>
        <v/>
      </c>
      <c r="AG1343" s="8" t="str">
        <f>IF(TRIM($E1343)&lt;&gt;"Tax Paid","",IF(COUNTIFS(LISTS!$F$2:$F$26,$AE1343,LISTS!$G$2:$G$26,$AF1343)=0,"NOT ON LIST",""))</f>
        <v/>
      </c>
      <c r="AH1343" s="8" t="str">
        <f t="shared" si="62"/>
        <v/>
      </c>
    </row>
    <row r="1344" spans="31:34" x14ac:dyDescent="0.25">
      <c r="AE1344" s="8" t="str">
        <f t="shared" si="60"/>
        <v/>
      </c>
      <c r="AF1344" s="8" t="str">
        <f t="shared" si="61"/>
        <v/>
      </c>
      <c r="AG1344" s="8" t="str">
        <f>IF(TRIM($E1344)&lt;&gt;"Tax Paid","",IF(COUNTIFS(LISTS!$F$2:$F$26,$AE1344,LISTS!$G$2:$G$26,$AF1344)=0,"NOT ON LIST",""))</f>
        <v/>
      </c>
      <c r="AH1344" s="8" t="str">
        <f t="shared" si="62"/>
        <v/>
      </c>
    </row>
    <row r="1345" spans="31:34" x14ac:dyDescent="0.25">
      <c r="AE1345" s="8" t="str">
        <f t="shared" si="60"/>
        <v/>
      </c>
      <c r="AF1345" s="8" t="str">
        <f t="shared" si="61"/>
        <v/>
      </c>
      <c r="AG1345" s="8" t="str">
        <f>IF(TRIM($E1345)&lt;&gt;"Tax Paid","",IF(COUNTIFS(LISTS!$F$2:$F$26,$AE1345,LISTS!$G$2:$G$26,$AF1345)=0,"NOT ON LIST",""))</f>
        <v/>
      </c>
      <c r="AH1345" s="8" t="str">
        <f t="shared" si="62"/>
        <v/>
      </c>
    </row>
    <row r="1346" spans="31:34" x14ac:dyDescent="0.25">
      <c r="AE1346" s="8" t="str">
        <f t="shared" ref="AE1346:AE1409" si="63">IF(TRIM($E1346)="Tax Paid",TRIM($S1346),"")</f>
        <v/>
      </c>
      <c r="AF1346" s="8" t="str">
        <f t="shared" ref="AF1346:AF1409" si="64">IF(TRIM($E1346)="Tax Paid",ROUND($Z1346/100,5),"")</f>
        <v/>
      </c>
      <c r="AG1346" s="8" t="str">
        <f>IF(TRIM($E1346)&lt;&gt;"Tax Paid","",IF(COUNTIFS(LISTS!$F$2:$F$26,$AE1346,LISTS!$G$2:$G$26,$AF1346)=0,"NOT ON LIST",""))</f>
        <v/>
      </c>
      <c r="AH1346" s="8" t="str">
        <f t="shared" ref="AH1346:AH1409" si="65">IF($AG1346="","",IF($AE1346="","(no county)",$AE1346)&amp;" ("&amp;SUBSTITUTE(TEXT($AF1346,"0.###%"),".%","%")&amp;")")</f>
        <v/>
      </c>
    </row>
    <row r="1347" spans="31:34" x14ac:dyDescent="0.25">
      <c r="AE1347" s="8" t="str">
        <f t="shared" si="63"/>
        <v/>
      </c>
      <c r="AF1347" s="8" t="str">
        <f t="shared" si="64"/>
        <v/>
      </c>
      <c r="AG1347" s="8" t="str">
        <f>IF(TRIM($E1347)&lt;&gt;"Tax Paid","",IF(COUNTIFS(LISTS!$F$2:$F$26,$AE1347,LISTS!$G$2:$G$26,$AF1347)=0,"NOT ON LIST",""))</f>
        <v/>
      </c>
      <c r="AH1347" s="8" t="str">
        <f t="shared" si="65"/>
        <v/>
      </c>
    </row>
    <row r="1348" spans="31:34" x14ac:dyDescent="0.25">
      <c r="AE1348" s="8" t="str">
        <f t="shared" si="63"/>
        <v/>
      </c>
      <c r="AF1348" s="8" t="str">
        <f t="shared" si="64"/>
        <v/>
      </c>
      <c r="AG1348" s="8" t="str">
        <f>IF(TRIM($E1348)&lt;&gt;"Tax Paid","",IF(COUNTIFS(LISTS!$F$2:$F$26,$AE1348,LISTS!$G$2:$G$26,$AF1348)=0,"NOT ON LIST",""))</f>
        <v/>
      </c>
      <c r="AH1348" s="8" t="str">
        <f t="shared" si="65"/>
        <v/>
      </c>
    </row>
    <row r="1349" spans="31:34" x14ac:dyDescent="0.25">
      <c r="AE1349" s="8" t="str">
        <f t="shared" si="63"/>
        <v/>
      </c>
      <c r="AF1349" s="8" t="str">
        <f t="shared" si="64"/>
        <v/>
      </c>
      <c r="AG1349" s="8" t="str">
        <f>IF(TRIM($E1349)&lt;&gt;"Tax Paid","",IF(COUNTIFS(LISTS!$F$2:$F$26,$AE1349,LISTS!$G$2:$G$26,$AF1349)=0,"NOT ON LIST",""))</f>
        <v/>
      </c>
      <c r="AH1349" s="8" t="str">
        <f t="shared" si="65"/>
        <v/>
      </c>
    </row>
    <row r="1350" spans="31:34" x14ac:dyDescent="0.25">
      <c r="AE1350" s="8" t="str">
        <f t="shared" si="63"/>
        <v/>
      </c>
      <c r="AF1350" s="8" t="str">
        <f t="shared" si="64"/>
        <v/>
      </c>
      <c r="AG1350" s="8" t="str">
        <f>IF(TRIM($E1350)&lt;&gt;"Tax Paid","",IF(COUNTIFS(LISTS!$F$2:$F$26,$AE1350,LISTS!$G$2:$G$26,$AF1350)=0,"NOT ON LIST",""))</f>
        <v/>
      </c>
      <c r="AH1350" s="8" t="str">
        <f t="shared" si="65"/>
        <v/>
      </c>
    </row>
    <row r="1351" spans="31:34" x14ac:dyDescent="0.25">
      <c r="AE1351" s="8" t="str">
        <f t="shared" si="63"/>
        <v/>
      </c>
      <c r="AF1351" s="8" t="str">
        <f t="shared" si="64"/>
        <v/>
      </c>
      <c r="AG1351" s="8" t="str">
        <f>IF(TRIM($E1351)&lt;&gt;"Tax Paid","",IF(COUNTIFS(LISTS!$F$2:$F$26,$AE1351,LISTS!$G$2:$G$26,$AF1351)=0,"NOT ON LIST",""))</f>
        <v/>
      </c>
      <c r="AH1351" s="8" t="str">
        <f t="shared" si="65"/>
        <v/>
      </c>
    </row>
    <row r="1352" spans="31:34" x14ac:dyDescent="0.25">
      <c r="AE1352" s="8" t="str">
        <f t="shared" si="63"/>
        <v/>
      </c>
      <c r="AF1352" s="8" t="str">
        <f t="shared" si="64"/>
        <v/>
      </c>
      <c r="AG1352" s="8" t="str">
        <f>IF(TRIM($E1352)&lt;&gt;"Tax Paid","",IF(COUNTIFS(LISTS!$F$2:$F$26,$AE1352,LISTS!$G$2:$G$26,$AF1352)=0,"NOT ON LIST",""))</f>
        <v/>
      </c>
      <c r="AH1352" s="8" t="str">
        <f t="shared" si="65"/>
        <v/>
      </c>
    </row>
    <row r="1353" spans="31:34" x14ac:dyDescent="0.25">
      <c r="AE1353" s="8" t="str">
        <f t="shared" si="63"/>
        <v/>
      </c>
      <c r="AF1353" s="8" t="str">
        <f t="shared" si="64"/>
        <v/>
      </c>
      <c r="AG1353" s="8" t="str">
        <f>IF(TRIM($E1353)&lt;&gt;"Tax Paid","",IF(COUNTIFS(LISTS!$F$2:$F$26,$AE1353,LISTS!$G$2:$G$26,$AF1353)=0,"NOT ON LIST",""))</f>
        <v/>
      </c>
      <c r="AH1353" s="8" t="str">
        <f t="shared" si="65"/>
        <v/>
      </c>
    </row>
    <row r="1354" spans="31:34" x14ac:dyDescent="0.25">
      <c r="AE1354" s="8" t="str">
        <f t="shared" si="63"/>
        <v/>
      </c>
      <c r="AF1354" s="8" t="str">
        <f t="shared" si="64"/>
        <v/>
      </c>
      <c r="AG1354" s="8" t="str">
        <f>IF(TRIM($E1354)&lt;&gt;"Tax Paid","",IF(COUNTIFS(LISTS!$F$2:$F$26,$AE1354,LISTS!$G$2:$G$26,$AF1354)=0,"NOT ON LIST",""))</f>
        <v/>
      </c>
      <c r="AH1354" s="8" t="str">
        <f t="shared" si="65"/>
        <v/>
      </c>
    </row>
    <row r="1355" spans="31:34" x14ac:dyDescent="0.25">
      <c r="AE1355" s="8" t="str">
        <f t="shared" si="63"/>
        <v/>
      </c>
      <c r="AF1355" s="8" t="str">
        <f t="shared" si="64"/>
        <v/>
      </c>
      <c r="AG1355" s="8" t="str">
        <f>IF(TRIM($E1355)&lt;&gt;"Tax Paid","",IF(COUNTIFS(LISTS!$F$2:$F$26,$AE1355,LISTS!$G$2:$G$26,$AF1355)=0,"NOT ON LIST",""))</f>
        <v/>
      </c>
      <c r="AH1355" s="8" t="str">
        <f t="shared" si="65"/>
        <v/>
      </c>
    </row>
    <row r="1356" spans="31:34" x14ac:dyDescent="0.25">
      <c r="AE1356" s="8" t="str">
        <f t="shared" si="63"/>
        <v/>
      </c>
      <c r="AF1356" s="8" t="str">
        <f t="shared" si="64"/>
        <v/>
      </c>
      <c r="AG1356" s="8" t="str">
        <f>IF(TRIM($E1356)&lt;&gt;"Tax Paid","",IF(COUNTIFS(LISTS!$F$2:$F$26,$AE1356,LISTS!$G$2:$G$26,$AF1356)=0,"NOT ON LIST",""))</f>
        <v/>
      </c>
      <c r="AH1356" s="8" t="str">
        <f t="shared" si="65"/>
        <v/>
      </c>
    </row>
    <row r="1357" spans="31:34" x14ac:dyDescent="0.25">
      <c r="AE1357" s="8" t="str">
        <f t="shared" si="63"/>
        <v/>
      </c>
      <c r="AF1357" s="8" t="str">
        <f t="shared" si="64"/>
        <v/>
      </c>
      <c r="AG1357" s="8" t="str">
        <f>IF(TRIM($E1357)&lt;&gt;"Tax Paid","",IF(COUNTIFS(LISTS!$F$2:$F$26,$AE1357,LISTS!$G$2:$G$26,$AF1357)=0,"NOT ON LIST",""))</f>
        <v/>
      </c>
      <c r="AH1357" s="8" t="str">
        <f t="shared" si="65"/>
        <v/>
      </c>
    </row>
    <row r="1358" spans="31:34" x14ac:dyDescent="0.25">
      <c r="AE1358" s="8" t="str">
        <f t="shared" si="63"/>
        <v/>
      </c>
      <c r="AF1358" s="8" t="str">
        <f t="shared" si="64"/>
        <v/>
      </c>
      <c r="AG1358" s="8" t="str">
        <f>IF(TRIM($E1358)&lt;&gt;"Tax Paid","",IF(COUNTIFS(LISTS!$F$2:$F$26,$AE1358,LISTS!$G$2:$G$26,$AF1358)=0,"NOT ON LIST",""))</f>
        <v/>
      </c>
      <c r="AH1358" s="8" t="str">
        <f t="shared" si="65"/>
        <v/>
      </c>
    </row>
    <row r="1359" spans="31:34" x14ac:dyDescent="0.25">
      <c r="AE1359" s="8" t="str">
        <f t="shared" si="63"/>
        <v/>
      </c>
      <c r="AF1359" s="8" t="str">
        <f t="shared" si="64"/>
        <v/>
      </c>
      <c r="AG1359" s="8" t="str">
        <f>IF(TRIM($E1359)&lt;&gt;"Tax Paid","",IF(COUNTIFS(LISTS!$F$2:$F$26,$AE1359,LISTS!$G$2:$G$26,$AF1359)=0,"NOT ON LIST",""))</f>
        <v/>
      </c>
      <c r="AH1359" s="8" t="str">
        <f t="shared" si="65"/>
        <v/>
      </c>
    </row>
    <row r="1360" spans="31:34" x14ac:dyDescent="0.25">
      <c r="AE1360" s="8" t="str">
        <f t="shared" si="63"/>
        <v/>
      </c>
      <c r="AF1360" s="8" t="str">
        <f t="shared" si="64"/>
        <v/>
      </c>
      <c r="AG1360" s="8" t="str">
        <f>IF(TRIM($E1360)&lt;&gt;"Tax Paid","",IF(COUNTIFS(LISTS!$F$2:$F$26,$AE1360,LISTS!$G$2:$G$26,$AF1360)=0,"NOT ON LIST",""))</f>
        <v/>
      </c>
      <c r="AH1360" s="8" t="str">
        <f t="shared" si="65"/>
        <v/>
      </c>
    </row>
    <row r="1361" spans="31:34" x14ac:dyDescent="0.25">
      <c r="AE1361" s="8" t="str">
        <f t="shared" si="63"/>
        <v/>
      </c>
      <c r="AF1361" s="8" t="str">
        <f t="shared" si="64"/>
        <v/>
      </c>
      <c r="AG1361" s="8" t="str">
        <f>IF(TRIM($E1361)&lt;&gt;"Tax Paid","",IF(COUNTIFS(LISTS!$F$2:$F$26,$AE1361,LISTS!$G$2:$G$26,$AF1361)=0,"NOT ON LIST",""))</f>
        <v/>
      </c>
      <c r="AH1361" s="8" t="str">
        <f t="shared" si="65"/>
        <v/>
      </c>
    </row>
    <row r="1362" spans="31:34" x14ac:dyDescent="0.25">
      <c r="AE1362" s="8" t="str">
        <f t="shared" si="63"/>
        <v/>
      </c>
      <c r="AF1362" s="8" t="str">
        <f t="shared" si="64"/>
        <v/>
      </c>
      <c r="AG1362" s="8" t="str">
        <f>IF(TRIM($E1362)&lt;&gt;"Tax Paid","",IF(COUNTIFS(LISTS!$F$2:$F$26,$AE1362,LISTS!$G$2:$G$26,$AF1362)=0,"NOT ON LIST",""))</f>
        <v/>
      </c>
      <c r="AH1362" s="8" t="str">
        <f t="shared" si="65"/>
        <v/>
      </c>
    </row>
    <row r="1363" spans="31:34" x14ac:dyDescent="0.25">
      <c r="AE1363" s="8" t="str">
        <f t="shared" si="63"/>
        <v/>
      </c>
      <c r="AF1363" s="8" t="str">
        <f t="shared" si="64"/>
        <v/>
      </c>
      <c r="AG1363" s="8" t="str">
        <f>IF(TRIM($E1363)&lt;&gt;"Tax Paid","",IF(COUNTIFS(LISTS!$F$2:$F$26,$AE1363,LISTS!$G$2:$G$26,$AF1363)=0,"NOT ON LIST",""))</f>
        <v/>
      </c>
      <c r="AH1363" s="8" t="str">
        <f t="shared" si="65"/>
        <v/>
      </c>
    </row>
    <row r="1364" spans="31:34" x14ac:dyDescent="0.25">
      <c r="AE1364" s="8" t="str">
        <f t="shared" si="63"/>
        <v/>
      </c>
      <c r="AF1364" s="8" t="str">
        <f t="shared" si="64"/>
        <v/>
      </c>
      <c r="AG1364" s="8" t="str">
        <f>IF(TRIM($E1364)&lt;&gt;"Tax Paid","",IF(COUNTIFS(LISTS!$F$2:$F$26,$AE1364,LISTS!$G$2:$G$26,$AF1364)=0,"NOT ON LIST",""))</f>
        <v/>
      </c>
      <c r="AH1364" s="8" t="str">
        <f t="shared" si="65"/>
        <v/>
      </c>
    </row>
    <row r="1365" spans="31:34" x14ac:dyDescent="0.25">
      <c r="AE1365" s="8" t="str">
        <f t="shared" si="63"/>
        <v/>
      </c>
      <c r="AF1365" s="8" t="str">
        <f t="shared" si="64"/>
        <v/>
      </c>
      <c r="AG1365" s="8" t="str">
        <f>IF(TRIM($E1365)&lt;&gt;"Tax Paid","",IF(COUNTIFS(LISTS!$F$2:$F$26,$AE1365,LISTS!$G$2:$G$26,$AF1365)=0,"NOT ON LIST",""))</f>
        <v/>
      </c>
      <c r="AH1365" s="8" t="str">
        <f t="shared" si="65"/>
        <v/>
      </c>
    </row>
    <row r="1366" spans="31:34" x14ac:dyDescent="0.25">
      <c r="AE1366" s="8" t="str">
        <f t="shared" si="63"/>
        <v/>
      </c>
      <c r="AF1366" s="8" t="str">
        <f t="shared" si="64"/>
        <v/>
      </c>
      <c r="AG1366" s="8" t="str">
        <f>IF(TRIM($E1366)&lt;&gt;"Tax Paid","",IF(COUNTIFS(LISTS!$F$2:$F$26,$AE1366,LISTS!$G$2:$G$26,$AF1366)=0,"NOT ON LIST",""))</f>
        <v/>
      </c>
      <c r="AH1366" s="8" t="str">
        <f t="shared" si="65"/>
        <v/>
      </c>
    </row>
    <row r="1367" spans="31:34" x14ac:dyDescent="0.25">
      <c r="AE1367" s="8" t="str">
        <f t="shared" si="63"/>
        <v/>
      </c>
      <c r="AF1367" s="8" t="str">
        <f t="shared" si="64"/>
        <v/>
      </c>
      <c r="AG1367" s="8" t="str">
        <f>IF(TRIM($E1367)&lt;&gt;"Tax Paid","",IF(COUNTIFS(LISTS!$F$2:$F$26,$AE1367,LISTS!$G$2:$G$26,$AF1367)=0,"NOT ON LIST",""))</f>
        <v/>
      </c>
      <c r="AH1367" s="8" t="str">
        <f t="shared" si="65"/>
        <v/>
      </c>
    </row>
    <row r="1368" spans="31:34" x14ac:dyDescent="0.25">
      <c r="AE1368" s="8" t="str">
        <f t="shared" si="63"/>
        <v/>
      </c>
      <c r="AF1368" s="8" t="str">
        <f t="shared" si="64"/>
        <v/>
      </c>
      <c r="AG1368" s="8" t="str">
        <f>IF(TRIM($E1368)&lt;&gt;"Tax Paid","",IF(COUNTIFS(LISTS!$F$2:$F$26,$AE1368,LISTS!$G$2:$G$26,$AF1368)=0,"NOT ON LIST",""))</f>
        <v/>
      </c>
      <c r="AH1368" s="8" t="str">
        <f t="shared" si="65"/>
        <v/>
      </c>
    </row>
    <row r="1369" spans="31:34" x14ac:dyDescent="0.25">
      <c r="AE1369" s="8" t="str">
        <f t="shared" si="63"/>
        <v/>
      </c>
      <c r="AF1369" s="8" t="str">
        <f t="shared" si="64"/>
        <v/>
      </c>
      <c r="AG1369" s="8" t="str">
        <f>IF(TRIM($E1369)&lt;&gt;"Tax Paid","",IF(COUNTIFS(LISTS!$F$2:$F$26,$AE1369,LISTS!$G$2:$G$26,$AF1369)=0,"NOT ON LIST",""))</f>
        <v/>
      </c>
      <c r="AH1369" s="8" t="str">
        <f t="shared" si="65"/>
        <v/>
      </c>
    </row>
    <row r="1370" spans="31:34" x14ac:dyDescent="0.25">
      <c r="AE1370" s="8" t="str">
        <f t="shared" si="63"/>
        <v/>
      </c>
      <c r="AF1370" s="8" t="str">
        <f t="shared" si="64"/>
        <v/>
      </c>
      <c r="AG1370" s="8" t="str">
        <f>IF(TRIM($E1370)&lt;&gt;"Tax Paid","",IF(COUNTIFS(LISTS!$F$2:$F$26,$AE1370,LISTS!$G$2:$G$26,$AF1370)=0,"NOT ON LIST",""))</f>
        <v/>
      </c>
      <c r="AH1370" s="8" t="str">
        <f t="shared" si="65"/>
        <v/>
      </c>
    </row>
    <row r="1371" spans="31:34" x14ac:dyDescent="0.25">
      <c r="AE1371" s="8" t="str">
        <f t="shared" si="63"/>
        <v/>
      </c>
      <c r="AF1371" s="8" t="str">
        <f t="shared" si="64"/>
        <v/>
      </c>
      <c r="AG1371" s="8" t="str">
        <f>IF(TRIM($E1371)&lt;&gt;"Tax Paid","",IF(COUNTIFS(LISTS!$F$2:$F$26,$AE1371,LISTS!$G$2:$G$26,$AF1371)=0,"NOT ON LIST",""))</f>
        <v/>
      </c>
      <c r="AH1371" s="8" t="str">
        <f t="shared" si="65"/>
        <v/>
      </c>
    </row>
    <row r="1372" spans="31:34" x14ac:dyDescent="0.25">
      <c r="AE1372" s="8" t="str">
        <f t="shared" si="63"/>
        <v/>
      </c>
      <c r="AF1372" s="8" t="str">
        <f t="shared" si="64"/>
        <v/>
      </c>
      <c r="AG1372" s="8" t="str">
        <f>IF(TRIM($E1372)&lt;&gt;"Tax Paid","",IF(COUNTIFS(LISTS!$F$2:$F$26,$AE1372,LISTS!$G$2:$G$26,$AF1372)=0,"NOT ON LIST",""))</f>
        <v/>
      </c>
      <c r="AH1372" s="8" t="str">
        <f t="shared" si="65"/>
        <v/>
      </c>
    </row>
    <row r="1373" spans="31:34" x14ac:dyDescent="0.25">
      <c r="AE1373" s="8" t="str">
        <f t="shared" si="63"/>
        <v/>
      </c>
      <c r="AF1373" s="8" t="str">
        <f t="shared" si="64"/>
        <v/>
      </c>
      <c r="AG1373" s="8" t="str">
        <f>IF(TRIM($E1373)&lt;&gt;"Tax Paid","",IF(COUNTIFS(LISTS!$F$2:$F$26,$AE1373,LISTS!$G$2:$G$26,$AF1373)=0,"NOT ON LIST",""))</f>
        <v/>
      </c>
      <c r="AH1373" s="8" t="str">
        <f t="shared" si="65"/>
        <v/>
      </c>
    </row>
    <row r="1374" spans="31:34" x14ac:dyDescent="0.25">
      <c r="AE1374" s="8" t="str">
        <f t="shared" si="63"/>
        <v/>
      </c>
      <c r="AF1374" s="8" t="str">
        <f t="shared" si="64"/>
        <v/>
      </c>
      <c r="AG1374" s="8" t="str">
        <f>IF(TRIM($E1374)&lt;&gt;"Tax Paid","",IF(COUNTIFS(LISTS!$F$2:$F$26,$AE1374,LISTS!$G$2:$G$26,$AF1374)=0,"NOT ON LIST",""))</f>
        <v/>
      </c>
      <c r="AH1374" s="8" t="str">
        <f t="shared" si="65"/>
        <v/>
      </c>
    </row>
    <row r="1375" spans="31:34" x14ac:dyDescent="0.25">
      <c r="AE1375" s="8" t="str">
        <f t="shared" si="63"/>
        <v/>
      </c>
      <c r="AF1375" s="8" t="str">
        <f t="shared" si="64"/>
        <v/>
      </c>
      <c r="AG1375" s="8" t="str">
        <f>IF(TRIM($E1375)&lt;&gt;"Tax Paid","",IF(COUNTIFS(LISTS!$F$2:$F$26,$AE1375,LISTS!$G$2:$G$26,$AF1375)=0,"NOT ON LIST",""))</f>
        <v/>
      </c>
      <c r="AH1375" s="8" t="str">
        <f t="shared" si="65"/>
        <v/>
      </c>
    </row>
    <row r="1376" spans="31:34" x14ac:dyDescent="0.25">
      <c r="AE1376" s="8" t="str">
        <f t="shared" si="63"/>
        <v/>
      </c>
      <c r="AF1376" s="8" t="str">
        <f t="shared" si="64"/>
        <v/>
      </c>
      <c r="AG1376" s="8" t="str">
        <f>IF(TRIM($E1376)&lt;&gt;"Tax Paid","",IF(COUNTIFS(LISTS!$F$2:$F$26,$AE1376,LISTS!$G$2:$G$26,$AF1376)=0,"NOT ON LIST",""))</f>
        <v/>
      </c>
      <c r="AH1376" s="8" t="str">
        <f t="shared" si="65"/>
        <v/>
      </c>
    </row>
    <row r="1377" spans="31:34" x14ac:dyDescent="0.25">
      <c r="AE1377" s="8" t="str">
        <f t="shared" si="63"/>
        <v/>
      </c>
      <c r="AF1377" s="8" t="str">
        <f t="shared" si="64"/>
        <v/>
      </c>
      <c r="AG1377" s="8" t="str">
        <f>IF(TRIM($E1377)&lt;&gt;"Tax Paid","",IF(COUNTIFS(LISTS!$F$2:$F$26,$AE1377,LISTS!$G$2:$G$26,$AF1377)=0,"NOT ON LIST",""))</f>
        <v/>
      </c>
      <c r="AH1377" s="8" t="str">
        <f t="shared" si="65"/>
        <v/>
      </c>
    </row>
    <row r="1378" spans="31:34" x14ac:dyDescent="0.25">
      <c r="AE1378" s="8" t="str">
        <f t="shared" si="63"/>
        <v/>
      </c>
      <c r="AF1378" s="8" t="str">
        <f t="shared" si="64"/>
        <v/>
      </c>
      <c r="AG1378" s="8" t="str">
        <f>IF(TRIM($E1378)&lt;&gt;"Tax Paid","",IF(COUNTIFS(LISTS!$F$2:$F$26,$AE1378,LISTS!$G$2:$G$26,$AF1378)=0,"NOT ON LIST",""))</f>
        <v/>
      </c>
      <c r="AH1378" s="8" t="str">
        <f t="shared" si="65"/>
        <v/>
      </c>
    </row>
    <row r="1379" spans="31:34" x14ac:dyDescent="0.25">
      <c r="AE1379" s="8" t="str">
        <f t="shared" si="63"/>
        <v/>
      </c>
      <c r="AF1379" s="8" t="str">
        <f t="shared" si="64"/>
        <v/>
      </c>
      <c r="AG1379" s="8" t="str">
        <f>IF(TRIM($E1379)&lt;&gt;"Tax Paid","",IF(COUNTIFS(LISTS!$F$2:$F$26,$AE1379,LISTS!$G$2:$G$26,$AF1379)=0,"NOT ON LIST",""))</f>
        <v/>
      </c>
      <c r="AH1379" s="8" t="str">
        <f t="shared" si="65"/>
        <v/>
      </c>
    </row>
    <row r="1380" spans="31:34" x14ac:dyDescent="0.25">
      <c r="AE1380" s="8" t="str">
        <f t="shared" si="63"/>
        <v/>
      </c>
      <c r="AF1380" s="8" t="str">
        <f t="shared" si="64"/>
        <v/>
      </c>
      <c r="AG1380" s="8" t="str">
        <f>IF(TRIM($E1380)&lt;&gt;"Tax Paid","",IF(COUNTIFS(LISTS!$F$2:$F$26,$AE1380,LISTS!$G$2:$G$26,$AF1380)=0,"NOT ON LIST",""))</f>
        <v/>
      </c>
      <c r="AH1380" s="8" t="str">
        <f t="shared" si="65"/>
        <v/>
      </c>
    </row>
    <row r="1381" spans="31:34" x14ac:dyDescent="0.25">
      <c r="AE1381" s="8" t="str">
        <f t="shared" si="63"/>
        <v/>
      </c>
      <c r="AF1381" s="8" t="str">
        <f t="shared" si="64"/>
        <v/>
      </c>
      <c r="AG1381" s="8" t="str">
        <f>IF(TRIM($E1381)&lt;&gt;"Tax Paid","",IF(COUNTIFS(LISTS!$F$2:$F$26,$AE1381,LISTS!$G$2:$G$26,$AF1381)=0,"NOT ON LIST",""))</f>
        <v/>
      </c>
      <c r="AH1381" s="8" t="str">
        <f t="shared" si="65"/>
        <v/>
      </c>
    </row>
    <row r="1382" spans="31:34" x14ac:dyDescent="0.25">
      <c r="AE1382" s="8" t="str">
        <f t="shared" si="63"/>
        <v/>
      </c>
      <c r="AF1382" s="8" t="str">
        <f t="shared" si="64"/>
        <v/>
      </c>
      <c r="AG1382" s="8" t="str">
        <f>IF(TRIM($E1382)&lt;&gt;"Tax Paid","",IF(COUNTIFS(LISTS!$F$2:$F$26,$AE1382,LISTS!$G$2:$G$26,$AF1382)=0,"NOT ON LIST",""))</f>
        <v/>
      </c>
      <c r="AH1382" s="8" t="str">
        <f t="shared" si="65"/>
        <v/>
      </c>
    </row>
    <row r="1383" spans="31:34" x14ac:dyDescent="0.25">
      <c r="AE1383" s="8" t="str">
        <f t="shared" si="63"/>
        <v/>
      </c>
      <c r="AF1383" s="8" t="str">
        <f t="shared" si="64"/>
        <v/>
      </c>
      <c r="AG1383" s="8" t="str">
        <f>IF(TRIM($E1383)&lt;&gt;"Tax Paid","",IF(COUNTIFS(LISTS!$F$2:$F$26,$AE1383,LISTS!$G$2:$G$26,$AF1383)=0,"NOT ON LIST",""))</f>
        <v/>
      </c>
      <c r="AH1383" s="8" t="str">
        <f t="shared" si="65"/>
        <v/>
      </c>
    </row>
    <row r="1384" spans="31:34" x14ac:dyDescent="0.25">
      <c r="AE1384" s="8" t="str">
        <f t="shared" si="63"/>
        <v/>
      </c>
      <c r="AF1384" s="8" t="str">
        <f t="shared" si="64"/>
        <v/>
      </c>
      <c r="AG1384" s="8" t="str">
        <f>IF(TRIM($E1384)&lt;&gt;"Tax Paid","",IF(COUNTIFS(LISTS!$F$2:$F$26,$AE1384,LISTS!$G$2:$G$26,$AF1384)=0,"NOT ON LIST",""))</f>
        <v/>
      </c>
      <c r="AH1384" s="8" t="str">
        <f t="shared" si="65"/>
        <v/>
      </c>
    </row>
    <row r="1385" spans="31:34" x14ac:dyDescent="0.25">
      <c r="AE1385" s="8" t="str">
        <f t="shared" si="63"/>
        <v/>
      </c>
      <c r="AF1385" s="8" t="str">
        <f t="shared" si="64"/>
        <v/>
      </c>
      <c r="AG1385" s="8" t="str">
        <f>IF(TRIM($E1385)&lt;&gt;"Tax Paid","",IF(COUNTIFS(LISTS!$F$2:$F$26,$AE1385,LISTS!$G$2:$G$26,$AF1385)=0,"NOT ON LIST",""))</f>
        <v/>
      </c>
      <c r="AH1385" s="8" t="str">
        <f t="shared" si="65"/>
        <v/>
      </c>
    </row>
    <row r="1386" spans="31:34" x14ac:dyDescent="0.25">
      <c r="AE1386" s="8" t="str">
        <f t="shared" si="63"/>
        <v/>
      </c>
      <c r="AF1386" s="8" t="str">
        <f t="shared" si="64"/>
        <v/>
      </c>
      <c r="AG1386" s="8" t="str">
        <f>IF(TRIM($E1386)&lt;&gt;"Tax Paid","",IF(COUNTIFS(LISTS!$F$2:$F$26,$AE1386,LISTS!$G$2:$G$26,$AF1386)=0,"NOT ON LIST",""))</f>
        <v/>
      </c>
      <c r="AH1386" s="8" t="str">
        <f t="shared" si="65"/>
        <v/>
      </c>
    </row>
    <row r="1387" spans="31:34" x14ac:dyDescent="0.25">
      <c r="AE1387" s="8" t="str">
        <f t="shared" si="63"/>
        <v/>
      </c>
      <c r="AF1387" s="8" t="str">
        <f t="shared" si="64"/>
        <v/>
      </c>
      <c r="AG1387" s="8" t="str">
        <f>IF(TRIM($E1387)&lt;&gt;"Tax Paid","",IF(COUNTIFS(LISTS!$F$2:$F$26,$AE1387,LISTS!$G$2:$G$26,$AF1387)=0,"NOT ON LIST",""))</f>
        <v/>
      </c>
      <c r="AH1387" s="8" t="str">
        <f t="shared" si="65"/>
        <v/>
      </c>
    </row>
    <row r="1388" spans="31:34" x14ac:dyDescent="0.25">
      <c r="AE1388" s="8" t="str">
        <f t="shared" si="63"/>
        <v/>
      </c>
      <c r="AF1388" s="8" t="str">
        <f t="shared" si="64"/>
        <v/>
      </c>
      <c r="AG1388" s="8" t="str">
        <f>IF(TRIM($E1388)&lt;&gt;"Tax Paid","",IF(COUNTIFS(LISTS!$F$2:$F$26,$AE1388,LISTS!$G$2:$G$26,$AF1388)=0,"NOT ON LIST",""))</f>
        <v/>
      </c>
      <c r="AH1388" s="8" t="str">
        <f t="shared" si="65"/>
        <v/>
      </c>
    </row>
    <row r="1389" spans="31:34" x14ac:dyDescent="0.25">
      <c r="AE1389" s="8" t="str">
        <f t="shared" si="63"/>
        <v/>
      </c>
      <c r="AF1389" s="8" t="str">
        <f t="shared" si="64"/>
        <v/>
      </c>
      <c r="AG1389" s="8" t="str">
        <f>IF(TRIM($E1389)&lt;&gt;"Tax Paid","",IF(COUNTIFS(LISTS!$F$2:$F$26,$AE1389,LISTS!$G$2:$G$26,$AF1389)=0,"NOT ON LIST",""))</f>
        <v/>
      </c>
      <c r="AH1389" s="8" t="str">
        <f t="shared" si="65"/>
        <v/>
      </c>
    </row>
    <row r="1390" spans="31:34" x14ac:dyDescent="0.25">
      <c r="AE1390" s="8" t="str">
        <f t="shared" si="63"/>
        <v/>
      </c>
      <c r="AF1390" s="8" t="str">
        <f t="shared" si="64"/>
        <v/>
      </c>
      <c r="AG1390" s="8" t="str">
        <f>IF(TRIM($E1390)&lt;&gt;"Tax Paid","",IF(COUNTIFS(LISTS!$F$2:$F$26,$AE1390,LISTS!$G$2:$G$26,$AF1390)=0,"NOT ON LIST",""))</f>
        <v/>
      </c>
      <c r="AH1390" s="8" t="str">
        <f t="shared" si="65"/>
        <v/>
      </c>
    </row>
    <row r="1391" spans="31:34" x14ac:dyDescent="0.25">
      <c r="AE1391" s="8" t="str">
        <f t="shared" si="63"/>
        <v/>
      </c>
      <c r="AF1391" s="8" t="str">
        <f t="shared" si="64"/>
        <v/>
      </c>
      <c r="AG1391" s="8" t="str">
        <f>IF(TRIM($E1391)&lt;&gt;"Tax Paid","",IF(COUNTIFS(LISTS!$F$2:$F$26,$AE1391,LISTS!$G$2:$G$26,$AF1391)=0,"NOT ON LIST",""))</f>
        <v/>
      </c>
      <c r="AH1391" s="8" t="str">
        <f t="shared" si="65"/>
        <v/>
      </c>
    </row>
    <row r="1392" spans="31:34" x14ac:dyDescent="0.25">
      <c r="AE1392" s="8" t="str">
        <f t="shared" si="63"/>
        <v/>
      </c>
      <c r="AF1392" s="8" t="str">
        <f t="shared" si="64"/>
        <v/>
      </c>
      <c r="AG1392" s="8" t="str">
        <f>IF(TRIM($E1392)&lt;&gt;"Tax Paid","",IF(COUNTIFS(LISTS!$F$2:$F$26,$AE1392,LISTS!$G$2:$G$26,$AF1392)=0,"NOT ON LIST",""))</f>
        <v/>
      </c>
      <c r="AH1392" s="8" t="str">
        <f t="shared" si="65"/>
        <v/>
      </c>
    </row>
    <row r="1393" spans="31:34" x14ac:dyDescent="0.25">
      <c r="AE1393" s="8" t="str">
        <f t="shared" si="63"/>
        <v/>
      </c>
      <c r="AF1393" s="8" t="str">
        <f t="shared" si="64"/>
        <v/>
      </c>
      <c r="AG1393" s="8" t="str">
        <f>IF(TRIM($E1393)&lt;&gt;"Tax Paid","",IF(COUNTIFS(LISTS!$F$2:$F$26,$AE1393,LISTS!$G$2:$G$26,$AF1393)=0,"NOT ON LIST",""))</f>
        <v/>
      </c>
      <c r="AH1393" s="8" t="str">
        <f t="shared" si="65"/>
        <v/>
      </c>
    </row>
    <row r="1394" spans="31:34" x14ac:dyDescent="0.25">
      <c r="AE1394" s="8" t="str">
        <f t="shared" si="63"/>
        <v/>
      </c>
      <c r="AF1394" s="8" t="str">
        <f t="shared" si="64"/>
        <v/>
      </c>
      <c r="AG1394" s="8" t="str">
        <f>IF(TRIM($E1394)&lt;&gt;"Tax Paid","",IF(COUNTIFS(LISTS!$F$2:$F$26,$AE1394,LISTS!$G$2:$G$26,$AF1394)=0,"NOT ON LIST",""))</f>
        <v/>
      </c>
      <c r="AH1394" s="8" t="str">
        <f t="shared" si="65"/>
        <v/>
      </c>
    </row>
    <row r="1395" spans="31:34" x14ac:dyDescent="0.25">
      <c r="AE1395" s="8" t="str">
        <f t="shared" si="63"/>
        <v/>
      </c>
      <c r="AF1395" s="8" t="str">
        <f t="shared" si="64"/>
        <v/>
      </c>
      <c r="AG1395" s="8" t="str">
        <f>IF(TRIM($E1395)&lt;&gt;"Tax Paid","",IF(COUNTIFS(LISTS!$F$2:$F$26,$AE1395,LISTS!$G$2:$G$26,$AF1395)=0,"NOT ON LIST",""))</f>
        <v/>
      </c>
      <c r="AH1395" s="8" t="str">
        <f t="shared" si="65"/>
        <v/>
      </c>
    </row>
    <row r="1396" spans="31:34" x14ac:dyDescent="0.25">
      <c r="AE1396" s="8" t="str">
        <f t="shared" si="63"/>
        <v/>
      </c>
      <c r="AF1396" s="8" t="str">
        <f t="shared" si="64"/>
        <v/>
      </c>
      <c r="AG1396" s="8" t="str">
        <f>IF(TRIM($E1396)&lt;&gt;"Tax Paid","",IF(COUNTIFS(LISTS!$F$2:$F$26,$AE1396,LISTS!$G$2:$G$26,$AF1396)=0,"NOT ON LIST",""))</f>
        <v/>
      </c>
      <c r="AH1396" s="8" t="str">
        <f t="shared" si="65"/>
        <v/>
      </c>
    </row>
    <row r="1397" spans="31:34" x14ac:dyDescent="0.25">
      <c r="AE1397" s="8" t="str">
        <f t="shared" si="63"/>
        <v/>
      </c>
      <c r="AF1397" s="8" t="str">
        <f t="shared" si="64"/>
        <v/>
      </c>
      <c r="AG1397" s="8" t="str">
        <f>IF(TRIM($E1397)&lt;&gt;"Tax Paid","",IF(COUNTIFS(LISTS!$F$2:$F$26,$AE1397,LISTS!$G$2:$G$26,$AF1397)=0,"NOT ON LIST",""))</f>
        <v/>
      </c>
      <c r="AH1397" s="8" t="str">
        <f t="shared" si="65"/>
        <v/>
      </c>
    </row>
    <row r="1398" spans="31:34" x14ac:dyDescent="0.25">
      <c r="AE1398" s="8" t="str">
        <f t="shared" si="63"/>
        <v/>
      </c>
      <c r="AF1398" s="8" t="str">
        <f t="shared" si="64"/>
        <v/>
      </c>
      <c r="AG1398" s="8" t="str">
        <f>IF(TRIM($E1398)&lt;&gt;"Tax Paid","",IF(COUNTIFS(LISTS!$F$2:$F$26,$AE1398,LISTS!$G$2:$G$26,$AF1398)=0,"NOT ON LIST",""))</f>
        <v/>
      </c>
      <c r="AH1398" s="8" t="str">
        <f t="shared" si="65"/>
        <v/>
      </c>
    </row>
    <row r="1399" spans="31:34" x14ac:dyDescent="0.25">
      <c r="AE1399" s="8" t="str">
        <f t="shared" si="63"/>
        <v/>
      </c>
      <c r="AF1399" s="8" t="str">
        <f t="shared" si="64"/>
        <v/>
      </c>
      <c r="AG1399" s="8" t="str">
        <f>IF(TRIM($E1399)&lt;&gt;"Tax Paid","",IF(COUNTIFS(LISTS!$F$2:$F$26,$AE1399,LISTS!$G$2:$G$26,$AF1399)=0,"NOT ON LIST",""))</f>
        <v/>
      </c>
      <c r="AH1399" s="8" t="str">
        <f t="shared" si="65"/>
        <v/>
      </c>
    </row>
    <row r="1400" spans="31:34" x14ac:dyDescent="0.25">
      <c r="AE1400" s="8" t="str">
        <f t="shared" si="63"/>
        <v/>
      </c>
      <c r="AF1400" s="8" t="str">
        <f t="shared" si="64"/>
        <v/>
      </c>
      <c r="AG1400" s="8" t="str">
        <f>IF(TRIM($E1400)&lt;&gt;"Tax Paid","",IF(COUNTIFS(LISTS!$F$2:$F$26,$AE1400,LISTS!$G$2:$G$26,$AF1400)=0,"NOT ON LIST",""))</f>
        <v/>
      </c>
      <c r="AH1400" s="8" t="str">
        <f t="shared" si="65"/>
        <v/>
      </c>
    </row>
    <row r="1401" spans="31:34" x14ac:dyDescent="0.25">
      <c r="AE1401" s="8" t="str">
        <f t="shared" si="63"/>
        <v/>
      </c>
      <c r="AF1401" s="8" t="str">
        <f t="shared" si="64"/>
        <v/>
      </c>
      <c r="AG1401" s="8" t="str">
        <f>IF(TRIM($E1401)&lt;&gt;"Tax Paid","",IF(COUNTIFS(LISTS!$F$2:$F$26,$AE1401,LISTS!$G$2:$G$26,$AF1401)=0,"NOT ON LIST",""))</f>
        <v/>
      </c>
      <c r="AH1401" s="8" t="str">
        <f t="shared" si="65"/>
        <v/>
      </c>
    </row>
    <row r="1402" spans="31:34" x14ac:dyDescent="0.25">
      <c r="AE1402" s="8" t="str">
        <f t="shared" si="63"/>
        <v/>
      </c>
      <c r="AF1402" s="8" t="str">
        <f t="shared" si="64"/>
        <v/>
      </c>
      <c r="AG1402" s="8" t="str">
        <f>IF(TRIM($E1402)&lt;&gt;"Tax Paid","",IF(COUNTIFS(LISTS!$F$2:$F$26,$AE1402,LISTS!$G$2:$G$26,$AF1402)=0,"NOT ON LIST",""))</f>
        <v/>
      </c>
      <c r="AH1402" s="8" t="str">
        <f t="shared" si="65"/>
        <v/>
      </c>
    </row>
    <row r="1403" spans="31:34" x14ac:dyDescent="0.25">
      <c r="AE1403" s="8" t="str">
        <f t="shared" si="63"/>
        <v/>
      </c>
      <c r="AF1403" s="8" t="str">
        <f t="shared" si="64"/>
        <v/>
      </c>
      <c r="AG1403" s="8" t="str">
        <f>IF(TRIM($E1403)&lt;&gt;"Tax Paid","",IF(COUNTIFS(LISTS!$F$2:$F$26,$AE1403,LISTS!$G$2:$G$26,$AF1403)=0,"NOT ON LIST",""))</f>
        <v/>
      </c>
      <c r="AH1403" s="8" t="str">
        <f t="shared" si="65"/>
        <v/>
      </c>
    </row>
    <row r="1404" spans="31:34" x14ac:dyDescent="0.25">
      <c r="AE1404" s="8" t="str">
        <f t="shared" si="63"/>
        <v/>
      </c>
      <c r="AF1404" s="8" t="str">
        <f t="shared" si="64"/>
        <v/>
      </c>
      <c r="AG1404" s="8" t="str">
        <f>IF(TRIM($E1404)&lt;&gt;"Tax Paid","",IF(COUNTIFS(LISTS!$F$2:$F$26,$AE1404,LISTS!$G$2:$G$26,$AF1404)=0,"NOT ON LIST",""))</f>
        <v/>
      </c>
      <c r="AH1404" s="8" t="str">
        <f t="shared" si="65"/>
        <v/>
      </c>
    </row>
    <row r="1405" spans="31:34" x14ac:dyDescent="0.25">
      <c r="AE1405" s="8" t="str">
        <f t="shared" si="63"/>
        <v/>
      </c>
      <c r="AF1405" s="8" t="str">
        <f t="shared" si="64"/>
        <v/>
      </c>
      <c r="AG1405" s="8" t="str">
        <f>IF(TRIM($E1405)&lt;&gt;"Tax Paid","",IF(COUNTIFS(LISTS!$F$2:$F$26,$AE1405,LISTS!$G$2:$G$26,$AF1405)=0,"NOT ON LIST",""))</f>
        <v/>
      </c>
      <c r="AH1405" s="8" t="str">
        <f t="shared" si="65"/>
        <v/>
      </c>
    </row>
    <row r="1406" spans="31:34" x14ac:dyDescent="0.25">
      <c r="AE1406" s="8" t="str">
        <f t="shared" si="63"/>
        <v/>
      </c>
      <c r="AF1406" s="8" t="str">
        <f t="shared" si="64"/>
        <v/>
      </c>
      <c r="AG1406" s="8" t="str">
        <f>IF(TRIM($E1406)&lt;&gt;"Tax Paid","",IF(COUNTIFS(LISTS!$F$2:$F$26,$AE1406,LISTS!$G$2:$G$26,$AF1406)=0,"NOT ON LIST",""))</f>
        <v/>
      </c>
      <c r="AH1406" s="8" t="str">
        <f t="shared" si="65"/>
        <v/>
      </c>
    </row>
    <row r="1407" spans="31:34" x14ac:dyDescent="0.25">
      <c r="AE1407" s="8" t="str">
        <f t="shared" si="63"/>
        <v/>
      </c>
      <c r="AF1407" s="8" t="str">
        <f t="shared" si="64"/>
        <v/>
      </c>
      <c r="AG1407" s="8" t="str">
        <f>IF(TRIM($E1407)&lt;&gt;"Tax Paid","",IF(COUNTIFS(LISTS!$F$2:$F$26,$AE1407,LISTS!$G$2:$G$26,$AF1407)=0,"NOT ON LIST",""))</f>
        <v/>
      </c>
      <c r="AH1407" s="8" t="str">
        <f t="shared" si="65"/>
        <v/>
      </c>
    </row>
    <row r="1408" spans="31:34" x14ac:dyDescent="0.25">
      <c r="AE1408" s="8" t="str">
        <f t="shared" si="63"/>
        <v/>
      </c>
      <c r="AF1408" s="8" t="str">
        <f t="shared" si="64"/>
        <v/>
      </c>
      <c r="AG1408" s="8" t="str">
        <f>IF(TRIM($E1408)&lt;&gt;"Tax Paid","",IF(COUNTIFS(LISTS!$F$2:$F$26,$AE1408,LISTS!$G$2:$G$26,$AF1408)=0,"NOT ON LIST",""))</f>
        <v/>
      </c>
      <c r="AH1408" s="8" t="str">
        <f t="shared" si="65"/>
        <v/>
      </c>
    </row>
    <row r="1409" spans="31:34" x14ac:dyDescent="0.25">
      <c r="AE1409" s="8" t="str">
        <f t="shared" si="63"/>
        <v/>
      </c>
      <c r="AF1409" s="8" t="str">
        <f t="shared" si="64"/>
        <v/>
      </c>
      <c r="AG1409" s="8" t="str">
        <f>IF(TRIM($E1409)&lt;&gt;"Tax Paid","",IF(COUNTIFS(LISTS!$F$2:$F$26,$AE1409,LISTS!$G$2:$G$26,$AF1409)=0,"NOT ON LIST",""))</f>
        <v/>
      </c>
      <c r="AH1409" s="8" t="str">
        <f t="shared" si="65"/>
        <v/>
      </c>
    </row>
    <row r="1410" spans="31:34" x14ac:dyDescent="0.25">
      <c r="AE1410" s="8" t="str">
        <f t="shared" ref="AE1410:AE1473" si="66">IF(TRIM($E1410)="Tax Paid",TRIM($S1410),"")</f>
        <v/>
      </c>
      <c r="AF1410" s="8" t="str">
        <f t="shared" ref="AF1410:AF1473" si="67">IF(TRIM($E1410)="Tax Paid",ROUND($Z1410/100,5),"")</f>
        <v/>
      </c>
      <c r="AG1410" s="8" t="str">
        <f>IF(TRIM($E1410)&lt;&gt;"Tax Paid","",IF(COUNTIFS(LISTS!$F$2:$F$26,$AE1410,LISTS!$G$2:$G$26,$AF1410)=0,"NOT ON LIST",""))</f>
        <v/>
      </c>
      <c r="AH1410" s="8" t="str">
        <f t="shared" ref="AH1410:AH1473" si="68">IF($AG1410="","",IF($AE1410="","(no county)",$AE1410)&amp;" ("&amp;SUBSTITUTE(TEXT($AF1410,"0.###%"),".%","%")&amp;")")</f>
        <v/>
      </c>
    </row>
    <row r="1411" spans="31:34" x14ac:dyDescent="0.25">
      <c r="AE1411" s="8" t="str">
        <f t="shared" si="66"/>
        <v/>
      </c>
      <c r="AF1411" s="8" t="str">
        <f t="shared" si="67"/>
        <v/>
      </c>
      <c r="AG1411" s="8" t="str">
        <f>IF(TRIM($E1411)&lt;&gt;"Tax Paid","",IF(COUNTIFS(LISTS!$F$2:$F$26,$AE1411,LISTS!$G$2:$G$26,$AF1411)=0,"NOT ON LIST",""))</f>
        <v/>
      </c>
      <c r="AH1411" s="8" t="str">
        <f t="shared" si="68"/>
        <v/>
      </c>
    </row>
    <row r="1412" spans="31:34" x14ac:dyDescent="0.25">
      <c r="AE1412" s="8" t="str">
        <f t="shared" si="66"/>
        <v/>
      </c>
      <c r="AF1412" s="8" t="str">
        <f t="shared" si="67"/>
        <v/>
      </c>
      <c r="AG1412" s="8" t="str">
        <f>IF(TRIM($E1412)&lt;&gt;"Tax Paid","",IF(COUNTIFS(LISTS!$F$2:$F$26,$AE1412,LISTS!$G$2:$G$26,$AF1412)=0,"NOT ON LIST",""))</f>
        <v/>
      </c>
      <c r="AH1412" s="8" t="str">
        <f t="shared" si="68"/>
        <v/>
      </c>
    </row>
    <row r="1413" spans="31:34" x14ac:dyDescent="0.25">
      <c r="AE1413" s="8" t="str">
        <f t="shared" si="66"/>
        <v/>
      </c>
      <c r="AF1413" s="8" t="str">
        <f t="shared" si="67"/>
        <v/>
      </c>
      <c r="AG1413" s="8" t="str">
        <f>IF(TRIM($E1413)&lt;&gt;"Tax Paid","",IF(COUNTIFS(LISTS!$F$2:$F$26,$AE1413,LISTS!$G$2:$G$26,$AF1413)=0,"NOT ON LIST",""))</f>
        <v/>
      </c>
      <c r="AH1413" s="8" t="str">
        <f t="shared" si="68"/>
        <v/>
      </c>
    </row>
    <row r="1414" spans="31:34" x14ac:dyDescent="0.25">
      <c r="AE1414" s="8" t="str">
        <f t="shared" si="66"/>
        <v/>
      </c>
      <c r="AF1414" s="8" t="str">
        <f t="shared" si="67"/>
        <v/>
      </c>
      <c r="AG1414" s="8" t="str">
        <f>IF(TRIM($E1414)&lt;&gt;"Tax Paid","",IF(COUNTIFS(LISTS!$F$2:$F$26,$AE1414,LISTS!$G$2:$G$26,$AF1414)=0,"NOT ON LIST",""))</f>
        <v/>
      </c>
      <c r="AH1414" s="8" t="str">
        <f t="shared" si="68"/>
        <v/>
      </c>
    </row>
    <row r="1415" spans="31:34" x14ac:dyDescent="0.25">
      <c r="AE1415" s="8" t="str">
        <f t="shared" si="66"/>
        <v/>
      </c>
      <c r="AF1415" s="8" t="str">
        <f t="shared" si="67"/>
        <v/>
      </c>
      <c r="AG1415" s="8" t="str">
        <f>IF(TRIM($E1415)&lt;&gt;"Tax Paid","",IF(COUNTIFS(LISTS!$F$2:$F$26,$AE1415,LISTS!$G$2:$G$26,$AF1415)=0,"NOT ON LIST",""))</f>
        <v/>
      </c>
      <c r="AH1415" s="8" t="str">
        <f t="shared" si="68"/>
        <v/>
      </c>
    </row>
    <row r="1416" spans="31:34" x14ac:dyDescent="0.25">
      <c r="AE1416" s="8" t="str">
        <f t="shared" si="66"/>
        <v/>
      </c>
      <c r="AF1416" s="8" t="str">
        <f t="shared" si="67"/>
        <v/>
      </c>
      <c r="AG1416" s="8" t="str">
        <f>IF(TRIM($E1416)&lt;&gt;"Tax Paid","",IF(COUNTIFS(LISTS!$F$2:$F$26,$AE1416,LISTS!$G$2:$G$26,$AF1416)=0,"NOT ON LIST",""))</f>
        <v/>
      </c>
      <c r="AH1416" s="8" t="str">
        <f t="shared" si="68"/>
        <v/>
      </c>
    </row>
    <row r="1417" spans="31:34" x14ac:dyDescent="0.25">
      <c r="AE1417" s="8" t="str">
        <f t="shared" si="66"/>
        <v/>
      </c>
      <c r="AF1417" s="8" t="str">
        <f t="shared" si="67"/>
        <v/>
      </c>
      <c r="AG1417" s="8" t="str">
        <f>IF(TRIM($E1417)&lt;&gt;"Tax Paid","",IF(COUNTIFS(LISTS!$F$2:$F$26,$AE1417,LISTS!$G$2:$G$26,$AF1417)=0,"NOT ON LIST",""))</f>
        <v/>
      </c>
      <c r="AH1417" s="8" t="str">
        <f t="shared" si="68"/>
        <v/>
      </c>
    </row>
    <row r="1418" spans="31:34" x14ac:dyDescent="0.25">
      <c r="AE1418" s="8" t="str">
        <f t="shared" si="66"/>
        <v/>
      </c>
      <c r="AF1418" s="8" t="str">
        <f t="shared" si="67"/>
        <v/>
      </c>
      <c r="AG1418" s="8" t="str">
        <f>IF(TRIM($E1418)&lt;&gt;"Tax Paid","",IF(COUNTIFS(LISTS!$F$2:$F$26,$AE1418,LISTS!$G$2:$G$26,$AF1418)=0,"NOT ON LIST",""))</f>
        <v/>
      </c>
      <c r="AH1418" s="8" t="str">
        <f t="shared" si="68"/>
        <v/>
      </c>
    </row>
    <row r="1419" spans="31:34" x14ac:dyDescent="0.25">
      <c r="AE1419" s="8" t="str">
        <f t="shared" si="66"/>
        <v/>
      </c>
      <c r="AF1419" s="8" t="str">
        <f t="shared" si="67"/>
        <v/>
      </c>
      <c r="AG1419" s="8" t="str">
        <f>IF(TRIM($E1419)&lt;&gt;"Tax Paid","",IF(COUNTIFS(LISTS!$F$2:$F$26,$AE1419,LISTS!$G$2:$G$26,$AF1419)=0,"NOT ON LIST",""))</f>
        <v/>
      </c>
      <c r="AH1419" s="8" t="str">
        <f t="shared" si="68"/>
        <v/>
      </c>
    </row>
    <row r="1420" spans="31:34" x14ac:dyDescent="0.25">
      <c r="AE1420" s="8" t="str">
        <f t="shared" si="66"/>
        <v/>
      </c>
      <c r="AF1420" s="8" t="str">
        <f t="shared" si="67"/>
        <v/>
      </c>
      <c r="AG1420" s="8" t="str">
        <f>IF(TRIM($E1420)&lt;&gt;"Tax Paid","",IF(COUNTIFS(LISTS!$F$2:$F$26,$AE1420,LISTS!$G$2:$G$26,$AF1420)=0,"NOT ON LIST",""))</f>
        <v/>
      </c>
      <c r="AH1420" s="8" t="str">
        <f t="shared" si="68"/>
        <v/>
      </c>
    </row>
    <row r="1421" spans="31:34" x14ac:dyDescent="0.25">
      <c r="AE1421" s="8" t="str">
        <f t="shared" si="66"/>
        <v/>
      </c>
      <c r="AF1421" s="8" t="str">
        <f t="shared" si="67"/>
        <v/>
      </c>
      <c r="AG1421" s="8" t="str">
        <f>IF(TRIM($E1421)&lt;&gt;"Tax Paid","",IF(COUNTIFS(LISTS!$F$2:$F$26,$AE1421,LISTS!$G$2:$G$26,$AF1421)=0,"NOT ON LIST",""))</f>
        <v/>
      </c>
      <c r="AH1421" s="8" t="str">
        <f t="shared" si="68"/>
        <v/>
      </c>
    </row>
    <row r="1422" spans="31:34" x14ac:dyDescent="0.25">
      <c r="AE1422" s="8" t="str">
        <f t="shared" si="66"/>
        <v/>
      </c>
      <c r="AF1422" s="8" t="str">
        <f t="shared" si="67"/>
        <v/>
      </c>
      <c r="AG1422" s="8" t="str">
        <f>IF(TRIM($E1422)&lt;&gt;"Tax Paid","",IF(COUNTIFS(LISTS!$F$2:$F$26,$AE1422,LISTS!$G$2:$G$26,$AF1422)=0,"NOT ON LIST",""))</f>
        <v/>
      </c>
      <c r="AH1422" s="8" t="str">
        <f t="shared" si="68"/>
        <v/>
      </c>
    </row>
    <row r="1423" spans="31:34" x14ac:dyDescent="0.25">
      <c r="AE1423" s="8" t="str">
        <f t="shared" si="66"/>
        <v/>
      </c>
      <c r="AF1423" s="8" t="str">
        <f t="shared" si="67"/>
        <v/>
      </c>
      <c r="AG1423" s="8" t="str">
        <f>IF(TRIM($E1423)&lt;&gt;"Tax Paid","",IF(COUNTIFS(LISTS!$F$2:$F$26,$AE1423,LISTS!$G$2:$G$26,$AF1423)=0,"NOT ON LIST",""))</f>
        <v/>
      </c>
      <c r="AH1423" s="8" t="str">
        <f t="shared" si="68"/>
        <v/>
      </c>
    </row>
    <row r="1424" spans="31:34" x14ac:dyDescent="0.25">
      <c r="AE1424" s="8" t="str">
        <f t="shared" si="66"/>
        <v/>
      </c>
      <c r="AF1424" s="8" t="str">
        <f t="shared" si="67"/>
        <v/>
      </c>
      <c r="AG1424" s="8" t="str">
        <f>IF(TRIM($E1424)&lt;&gt;"Tax Paid","",IF(COUNTIFS(LISTS!$F$2:$F$26,$AE1424,LISTS!$G$2:$G$26,$AF1424)=0,"NOT ON LIST",""))</f>
        <v/>
      </c>
      <c r="AH1424" s="8" t="str">
        <f t="shared" si="68"/>
        <v/>
      </c>
    </row>
    <row r="1425" spans="31:34" x14ac:dyDescent="0.25">
      <c r="AE1425" s="8" t="str">
        <f t="shared" si="66"/>
        <v/>
      </c>
      <c r="AF1425" s="8" t="str">
        <f t="shared" si="67"/>
        <v/>
      </c>
      <c r="AG1425" s="8" t="str">
        <f>IF(TRIM($E1425)&lt;&gt;"Tax Paid","",IF(COUNTIFS(LISTS!$F$2:$F$26,$AE1425,LISTS!$G$2:$G$26,$AF1425)=0,"NOT ON LIST",""))</f>
        <v/>
      </c>
      <c r="AH1425" s="8" t="str">
        <f t="shared" si="68"/>
        <v/>
      </c>
    </row>
    <row r="1426" spans="31:34" x14ac:dyDescent="0.25">
      <c r="AE1426" s="8" t="str">
        <f t="shared" si="66"/>
        <v/>
      </c>
      <c r="AF1426" s="8" t="str">
        <f t="shared" si="67"/>
        <v/>
      </c>
      <c r="AG1426" s="8" t="str">
        <f>IF(TRIM($E1426)&lt;&gt;"Tax Paid","",IF(COUNTIFS(LISTS!$F$2:$F$26,$AE1426,LISTS!$G$2:$G$26,$AF1426)=0,"NOT ON LIST",""))</f>
        <v/>
      </c>
      <c r="AH1426" s="8" t="str">
        <f t="shared" si="68"/>
        <v/>
      </c>
    </row>
    <row r="1427" spans="31:34" x14ac:dyDescent="0.25">
      <c r="AE1427" s="8" t="str">
        <f t="shared" si="66"/>
        <v/>
      </c>
      <c r="AF1427" s="8" t="str">
        <f t="shared" si="67"/>
        <v/>
      </c>
      <c r="AG1427" s="8" t="str">
        <f>IF(TRIM($E1427)&lt;&gt;"Tax Paid","",IF(COUNTIFS(LISTS!$F$2:$F$26,$AE1427,LISTS!$G$2:$G$26,$AF1427)=0,"NOT ON LIST",""))</f>
        <v/>
      </c>
      <c r="AH1427" s="8" t="str">
        <f t="shared" si="68"/>
        <v/>
      </c>
    </row>
    <row r="1428" spans="31:34" x14ac:dyDescent="0.25">
      <c r="AE1428" s="8" t="str">
        <f t="shared" si="66"/>
        <v/>
      </c>
      <c r="AF1428" s="8" t="str">
        <f t="shared" si="67"/>
        <v/>
      </c>
      <c r="AG1428" s="8" t="str">
        <f>IF(TRIM($E1428)&lt;&gt;"Tax Paid","",IF(COUNTIFS(LISTS!$F$2:$F$26,$AE1428,LISTS!$G$2:$G$26,$AF1428)=0,"NOT ON LIST",""))</f>
        <v/>
      </c>
      <c r="AH1428" s="8" t="str">
        <f t="shared" si="68"/>
        <v/>
      </c>
    </row>
    <row r="1429" spans="31:34" x14ac:dyDescent="0.25">
      <c r="AE1429" s="8" t="str">
        <f t="shared" si="66"/>
        <v/>
      </c>
      <c r="AF1429" s="8" t="str">
        <f t="shared" si="67"/>
        <v/>
      </c>
      <c r="AG1429" s="8" t="str">
        <f>IF(TRIM($E1429)&lt;&gt;"Tax Paid","",IF(COUNTIFS(LISTS!$F$2:$F$26,$AE1429,LISTS!$G$2:$G$26,$AF1429)=0,"NOT ON LIST",""))</f>
        <v/>
      </c>
      <c r="AH1429" s="8" t="str">
        <f t="shared" si="68"/>
        <v/>
      </c>
    </row>
    <row r="1430" spans="31:34" x14ac:dyDescent="0.25">
      <c r="AE1430" s="8" t="str">
        <f t="shared" si="66"/>
        <v/>
      </c>
      <c r="AF1430" s="8" t="str">
        <f t="shared" si="67"/>
        <v/>
      </c>
      <c r="AG1430" s="8" t="str">
        <f>IF(TRIM($E1430)&lt;&gt;"Tax Paid","",IF(COUNTIFS(LISTS!$F$2:$F$26,$AE1430,LISTS!$G$2:$G$26,$AF1430)=0,"NOT ON LIST",""))</f>
        <v/>
      </c>
      <c r="AH1430" s="8" t="str">
        <f t="shared" si="68"/>
        <v/>
      </c>
    </row>
    <row r="1431" spans="31:34" x14ac:dyDescent="0.25">
      <c r="AE1431" s="8" t="str">
        <f t="shared" si="66"/>
        <v/>
      </c>
      <c r="AF1431" s="8" t="str">
        <f t="shared" si="67"/>
        <v/>
      </c>
      <c r="AG1431" s="8" t="str">
        <f>IF(TRIM($E1431)&lt;&gt;"Tax Paid","",IF(COUNTIFS(LISTS!$F$2:$F$26,$AE1431,LISTS!$G$2:$G$26,$AF1431)=0,"NOT ON LIST",""))</f>
        <v/>
      </c>
      <c r="AH1431" s="8" t="str">
        <f t="shared" si="68"/>
        <v/>
      </c>
    </row>
    <row r="1432" spans="31:34" x14ac:dyDescent="0.25">
      <c r="AE1432" s="8" t="str">
        <f t="shared" si="66"/>
        <v/>
      </c>
      <c r="AF1432" s="8" t="str">
        <f t="shared" si="67"/>
        <v/>
      </c>
      <c r="AG1432" s="8" t="str">
        <f>IF(TRIM($E1432)&lt;&gt;"Tax Paid","",IF(COUNTIFS(LISTS!$F$2:$F$26,$AE1432,LISTS!$G$2:$G$26,$AF1432)=0,"NOT ON LIST",""))</f>
        <v/>
      </c>
      <c r="AH1432" s="8" t="str">
        <f t="shared" si="68"/>
        <v/>
      </c>
    </row>
    <row r="1433" spans="31:34" x14ac:dyDescent="0.25">
      <c r="AE1433" s="8" t="str">
        <f t="shared" si="66"/>
        <v/>
      </c>
      <c r="AF1433" s="8" t="str">
        <f t="shared" si="67"/>
        <v/>
      </c>
      <c r="AG1433" s="8" t="str">
        <f>IF(TRIM($E1433)&lt;&gt;"Tax Paid","",IF(COUNTIFS(LISTS!$F$2:$F$26,$AE1433,LISTS!$G$2:$G$26,$AF1433)=0,"NOT ON LIST",""))</f>
        <v/>
      </c>
      <c r="AH1433" s="8" t="str">
        <f t="shared" si="68"/>
        <v/>
      </c>
    </row>
    <row r="1434" spans="31:34" x14ac:dyDescent="0.25">
      <c r="AE1434" s="8" t="str">
        <f t="shared" si="66"/>
        <v/>
      </c>
      <c r="AF1434" s="8" t="str">
        <f t="shared" si="67"/>
        <v/>
      </c>
      <c r="AG1434" s="8" t="str">
        <f>IF(TRIM($E1434)&lt;&gt;"Tax Paid","",IF(COUNTIFS(LISTS!$F$2:$F$26,$AE1434,LISTS!$G$2:$G$26,$AF1434)=0,"NOT ON LIST",""))</f>
        <v/>
      </c>
      <c r="AH1434" s="8" t="str">
        <f t="shared" si="68"/>
        <v/>
      </c>
    </row>
    <row r="1435" spans="31:34" x14ac:dyDescent="0.25">
      <c r="AE1435" s="8" t="str">
        <f t="shared" si="66"/>
        <v/>
      </c>
      <c r="AF1435" s="8" t="str">
        <f t="shared" si="67"/>
        <v/>
      </c>
      <c r="AG1435" s="8" t="str">
        <f>IF(TRIM($E1435)&lt;&gt;"Tax Paid","",IF(COUNTIFS(LISTS!$F$2:$F$26,$AE1435,LISTS!$G$2:$G$26,$AF1435)=0,"NOT ON LIST",""))</f>
        <v/>
      </c>
      <c r="AH1435" s="8" t="str">
        <f t="shared" si="68"/>
        <v/>
      </c>
    </row>
    <row r="1436" spans="31:34" x14ac:dyDescent="0.25">
      <c r="AE1436" s="8" t="str">
        <f t="shared" si="66"/>
        <v/>
      </c>
      <c r="AF1436" s="8" t="str">
        <f t="shared" si="67"/>
        <v/>
      </c>
      <c r="AG1436" s="8" t="str">
        <f>IF(TRIM($E1436)&lt;&gt;"Tax Paid","",IF(COUNTIFS(LISTS!$F$2:$F$26,$AE1436,LISTS!$G$2:$G$26,$AF1436)=0,"NOT ON LIST",""))</f>
        <v/>
      </c>
      <c r="AH1436" s="8" t="str">
        <f t="shared" si="68"/>
        <v/>
      </c>
    </row>
    <row r="1437" spans="31:34" x14ac:dyDescent="0.25">
      <c r="AE1437" s="8" t="str">
        <f t="shared" si="66"/>
        <v/>
      </c>
      <c r="AF1437" s="8" t="str">
        <f t="shared" si="67"/>
        <v/>
      </c>
      <c r="AG1437" s="8" t="str">
        <f>IF(TRIM($E1437)&lt;&gt;"Tax Paid","",IF(COUNTIFS(LISTS!$F$2:$F$26,$AE1437,LISTS!$G$2:$G$26,$AF1437)=0,"NOT ON LIST",""))</f>
        <v/>
      </c>
      <c r="AH1437" s="8" t="str">
        <f t="shared" si="68"/>
        <v/>
      </c>
    </row>
    <row r="1438" spans="31:34" x14ac:dyDescent="0.25">
      <c r="AE1438" s="8" t="str">
        <f t="shared" si="66"/>
        <v/>
      </c>
      <c r="AF1438" s="8" t="str">
        <f t="shared" si="67"/>
        <v/>
      </c>
      <c r="AG1438" s="8" t="str">
        <f>IF(TRIM($E1438)&lt;&gt;"Tax Paid","",IF(COUNTIFS(LISTS!$F$2:$F$26,$AE1438,LISTS!$G$2:$G$26,$AF1438)=0,"NOT ON LIST",""))</f>
        <v/>
      </c>
      <c r="AH1438" s="8" t="str">
        <f t="shared" si="68"/>
        <v/>
      </c>
    </row>
    <row r="1439" spans="31:34" x14ac:dyDescent="0.25">
      <c r="AE1439" s="8" t="str">
        <f t="shared" si="66"/>
        <v/>
      </c>
      <c r="AF1439" s="8" t="str">
        <f t="shared" si="67"/>
        <v/>
      </c>
      <c r="AG1439" s="8" t="str">
        <f>IF(TRIM($E1439)&lt;&gt;"Tax Paid","",IF(COUNTIFS(LISTS!$F$2:$F$26,$AE1439,LISTS!$G$2:$G$26,$AF1439)=0,"NOT ON LIST",""))</f>
        <v/>
      </c>
      <c r="AH1439" s="8" t="str">
        <f t="shared" si="68"/>
        <v/>
      </c>
    </row>
    <row r="1440" spans="31:34" x14ac:dyDescent="0.25">
      <c r="AE1440" s="8" t="str">
        <f t="shared" si="66"/>
        <v/>
      </c>
      <c r="AF1440" s="8" t="str">
        <f t="shared" si="67"/>
        <v/>
      </c>
      <c r="AG1440" s="8" t="str">
        <f>IF(TRIM($E1440)&lt;&gt;"Tax Paid","",IF(COUNTIFS(LISTS!$F$2:$F$26,$AE1440,LISTS!$G$2:$G$26,$AF1440)=0,"NOT ON LIST",""))</f>
        <v/>
      </c>
      <c r="AH1440" s="8" t="str">
        <f t="shared" si="68"/>
        <v/>
      </c>
    </row>
    <row r="1441" spans="31:34" x14ac:dyDescent="0.25">
      <c r="AE1441" s="8" t="str">
        <f t="shared" si="66"/>
        <v/>
      </c>
      <c r="AF1441" s="8" t="str">
        <f t="shared" si="67"/>
        <v/>
      </c>
      <c r="AG1441" s="8" t="str">
        <f>IF(TRIM($E1441)&lt;&gt;"Tax Paid","",IF(COUNTIFS(LISTS!$F$2:$F$26,$AE1441,LISTS!$G$2:$G$26,$AF1441)=0,"NOT ON LIST",""))</f>
        <v/>
      </c>
      <c r="AH1441" s="8" t="str">
        <f t="shared" si="68"/>
        <v/>
      </c>
    </row>
    <row r="1442" spans="31:34" x14ac:dyDescent="0.25">
      <c r="AE1442" s="8" t="str">
        <f t="shared" si="66"/>
        <v/>
      </c>
      <c r="AF1442" s="8" t="str">
        <f t="shared" si="67"/>
        <v/>
      </c>
      <c r="AG1442" s="8" t="str">
        <f>IF(TRIM($E1442)&lt;&gt;"Tax Paid","",IF(COUNTIFS(LISTS!$F$2:$F$26,$AE1442,LISTS!$G$2:$G$26,$AF1442)=0,"NOT ON LIST",""))</f>
        <v/>
      </c>
      <c r="AH1442" s="8" t="str">
        <f t="shared" si="68"/>
        <v/>
      </c>
    </row>
    <row r="1443" spans="31:34" x14ac:dyDescent="0.25">
      <c r="AE1443" s="8" t="str">
        <f t="shared" si="66"/>
        <v/>
      </c>
      <c r="AF1443" s="8" t="str">
        <f t="shared" si="67"/>
        <v/>
      </c>
      <c r="AG1443" s="8" t="str">
        <f>IF(TRIM($E1443)&lt;&gt;"Tax Paid","",IF(COUNTIFS(LISTS!$F$2:$F$26,$AE1443,LISTS!$G$2:$G$26,$AF1443)=0,"NOT ON LIST",""))</f>
        <v/>
      </c>
      <c r="AH1443" s="8" t="str">
        <f t="shared" si="68"/>
        <v/>
      </c>
    </row>
    <row r="1444" spans="31:34" x14ac:dyDescent="0.25">
      <c r="AE1444" s="8" t="str">
        <f t="shared" si="66"/>
        <v/>
      </c>
      <c r="AF1444" s="8" t="str">
        <f t="shared" si="67"/>
        <v/>
      </c>
      <c r="AG1444" s="8" t="str">
        <f>IF(TRIM($E1444)&lt;&gt;"Tax Paid","",IF(COUNTIFS(LISTS!$F$2:$F$26,$AE1444,LISTS!$G$2:$G$26,$AF1444)=0,"NOT ON LIST",""))</f>
        <v/>
      </c>
      <c r="AH1444" s="8" t="str">
        <f t="shared" si="68"/>
        <v/>
      </c>
    </row>
    <row r="1445" spans="31:34" x14ac:dyDescent="0.25">
      <c r="AE1445" s="8" t="str">
        <f t="shared" si="66"/>
        <v/>
      </c>
      <c r="AF1445" s="8" t="str">
        <f t="shared" si="67"/>
        <v/>
      </c>
      <c r="AG1445" s="8" t="str">
        <f>IF(TRIM($E1445)&lt;&gt;"Tax Paid","",IF(COUNTIFS(LISTS!$F$2:$F$26,$AE1445,LISTS!$G$2:$G$26,$AF1445)=0,"NOT ON LIST",""))</f>
        <v/>
      </c>
      <c r="AH1445" s="8" t="str">
        <f t="shared" si="68"/>
        <v/>
      </c>
    </row>
    <row r="1446" spans="31:34" x14ac:dyDescent="0.25">
      <c r="AE1446" s="8" t="str">
        <f t="shared" si="66"/>
        <v/>
      </c>
      <c r="AF1446" s="8" t="str">
        <f t="shared" si="67"/>
        <v/>
      </c>
      <c r="AG1446" s="8" t="str">
        <f>IF(TRIM($E1446)&lt;&gt;"Tax Paid","",IF(COUNTIFS(LISTS!$F$2:$F$26,$AE1446,LISTS!$G$2:$G$26,$AF1446)=0,"NOT ON LIST",""))</f>
        <v/>
      </c>
      <c r="AH1446" s="8" t="str">
        <f t="shared" si="68"/>
        <v/>
      </c>
    </row>
    <row r="1447" spans="31:34" x14ac:dyDescent="0.25">
      <c r="AE1447" s="8" t="str">
        <f t="shared" si="66"/>
        <v/>
      </c>
      <c r="AF1447" s="8" t="str">
        <f t="shared" si="67"/>
        <v/>
      </c>
      <c r="AG1447" s="8" t="str">
        <f>IF(TRIM($E1447)&lt;&gt;"Tax Paid","",IF(COUNTIFS(LISTS!$F$2:$F$26,$AE1447,LISTS!$G$2:$G$26,$AF1447)=0,"NOT ON LIST",""))</f>
        <v/>
      </c>
      <c r="AH1447" s="8" t="str">
        <f t="shared" si="68"/>
        <v/>
      </c>
    </row>
    <row r="1448" spans="31:34" x14ac:dyDescent="0.25">
      <c r="AE1448" s="8" t="str">
        <f t="shared" si="66"/>
        <v/>
      </c>
      <c r="AF1448" s="8" t="str">
        <f t="shared" si="67"/>
        <v/>
      </c>
      <c r="AG1448" s="8" t="str">
        <f>IF(TRIM($E1448)&lt;&gt;"Tax Paid","",IF(COUNTIFS(LISTS!$F$2:$F$26,$AE1448,LISTS!$G$2:$G$26,$AF1448)=0,"NOT ON LIST",""))</f>
        <v/>
      </c>
      <c r="AH1448" s="8" t="str">
        <f t="shared" si="68"/>
        <v/>
      </c>
    </row>
    <row r="1449" spans="31:34" x14ac:dyDescent="0.25">
      <c r="AE1449" s="8" t="str">
        <f t="shared" si="66"/>
        <v/>
      </c>
      <c r="AF1449" s="8" t="str">
        <f t="shared" si="67"/>
        <v/>
      </c>
      <c r="AG1449" s="8" t="str">
        <f>IF(TRIM($E1449)&lt;&gt;"Tax Paid","",IF(COUNTIFS(LISTS!$F$2:$F$26,$AE1449,LISTS!$G$2:$G$26,$AF1449)=0,"NOT ON LIST",""))</f>
        <v/>
      </c>
      <c r="AH1449" s="8" t="str">
        <f t="shared" si="68"/>
        <v/>
      </c>
    </row>
    <row r="1450" spans="31:34" x14ac:dyDescent="0.25">
      <c r="AE1450" s="8" t="str">
        <f t="shared" si="66"/>
        <v/>
      </c>
      <c r="AF1450" s="8" t="str">
        <f t="shared" si="67"/>
        <v/>
      </c>
      <c r="AG1450" s="8" t="str">
        <f>IF(TRIM($E1450)&lt;&gt;"Tax Paid","",IF(COUNTIFS(LISTS!$F$2:$F$26,$AE1450,LISTS!$G$2:$G$26,$AF1450)=0,"NOT ON LIST",""))</f>
        <v/>
      </c>
      <c r="AH1450" s="8" t="str">
        <f t="shared" si="68"/>
        <v/>
      </c>
    </row>
    <row r="1451" spans="31:34" x14ac:dyDescent="0.25">
      <c r="AE1451" s="8" t="str">
        <f t="shared" si="66"/>
        <v/>
      </c>
      <c r="AF1451" s="8" t="str">
        <f t="shared" si="67"/>
        <v/>
      </c>
      <c r="AG1451" s="8" t="str">
        <f>IF(TRIM($E1451)&lt;&gt;"Tax Paid","",IF(COUNTIFS(LISTS!$F$2:$F$26,$AE1451,LISTS!$G$2:$G$26,$AF1451)=0,"NOT ON LIST",""))</f>
        <v/>
      </c>
      <c r="AH1451" s="8" t="str">
        <f t="shared" si="68"/>
        <v/>
      </c>
    </row>
    <row r="1452" spans="31:34" x14ac:dyDescent="0.25">
      <c r="AE1452" s="8" t="str">
        <f t="shared" si="66"/>
        <v/>
      </c>
      <c r="AF1452" s="8" t="str">
        <f t="shared" si="67"/>
        <v/>
      </c>
      <c r="AG1452" s="8" t="str">
        <f>IF(TRIM($E1452)&lt;&gt;"Tax Paid","",IF(COUNTIFS(LISTS!$F$2:$F$26,$AE1452,LISTS!$G$2:$G$26,$AF1452)=0,"NOT ON LIST",""))</f>
        <v/>
      </c>
      <c r="AH1452" s="8" t="str">
        <f t="shared" si="68"/>
        <v/>
      </c>
    </row>
    <row r="1453" spans="31:34" x14ac:dyDescent="0.25">
      <c r="AE1453" s="8" t="str">
        <f t="shared" si="66"/>
        <v/>
      </c>
      <c r="AF1453" s="8" t="str">
        <f t="shared" si="67"/>
        <v/>
      </c>
      <c r="AG1453" s="8" t="str">
        <f>IF(TRIM($E1453)&lt;&gt;"Tax Paid","",IF(COUNTIFS(LISTS!$F$2:$F$26,$AE1453,LISTS!$G$2:$G$26,$AF1453)=0,"NOT ON LIST",""))</f>
        <v/>
      </c>
      <c r="AH1453" s="8" t="str">
        <f t="shared" si="68"/>
        <v/>
      </c>
    </row>
    <row r="1454" spans="31:34" x14ac:dyDescent="0.25">
      <c r="AE1454" s="8" t="str">
        <f t="shared" si="66"/>
        <v/>
      </c>
      <c r="AF1454" s="8" t="str">
        <f t="shared" si="67"/>
        <v/>
      </c>
      <c r="AG1454" s="8" t="str">
        <f>IF(TRIM($E1454)&lt;&gt;"Tax Paid","",IF(COUNTIFS(LISTS!$F$2:$F$26,$AE1454,LISTS!$G$2:$G$26,$AF1454)=0,"NOT ON LIST",""))</f>
        <v/>
      </c>
      <c r="AH1454" s="8" t="str">
        <f t="shared" si="68"/>
        <v/>
      </c>
    </row>
    <row r="1455" spans="31:34" x14ac:dyDescent="0.25">
      <c r="AE1455" s="8" t="str">
        <f t="shared" si="66"/>
        <v/>
      </c>
      <c r="AF1455" s="8" t="str">
        <f t="shared" si="67"/>
        <v/>
      </c>
      <c r="AG1455" s="8" t="str">
        <f>IF(TRIM($E1455)&lt;&gt;"Tax Paid","",IF(COUNTIFS(LISTS!$F$2:$F$26,$AE1455,LISTS!$G$2:$G$26,$AF1455)=0,"NOT ON LIST",""))</f>
        <v/>
      </c>
      <c r="AH1455" s="8" t="str">
        <f t="shared" si="68"/>
        <v/>
      </c>
    </row>
    <row r="1456" spans="31:34" x14ac:dyDescent="0.25">
      <c r="AE1456" s="8" t="str">
        <f t="shared" si="66"/>
        <v/>
      </c>
      <c r="AF1456" s="8" t="str">
        <f t="shared" si="67"/>
        <v/>
      </c>
      <c r="AG1456" s="8" t="str">
        <f>IF(TRIM($E1456)&lt;&gt;"Tax Paid","",IF(COUNTIFS(LISTS!$F$2:$F$26,$AE1456,LISTS!$G$2:$G$26,$AF1456)=0,"NOT ON LIST",""))</f>
        <v/>
      </c>
      <c r="AH1456" s="8" t="str">
        <f t="shared" si="68"/>
        <v/>
      </c>
    </row>
    <row r="1457" spans="31:34" x14ac:dyDescent="0.25">
      <c r="AE1457" s="8" t="str">
        <f t="shared" si="66"/>
        <v/>
      </c>
      <c r="AF1457" s="8" t="str">
        <f t="shared" si="67"/>
        <v/>
      </c>
      <c r="AG1457" s="8" t="str">
        <f>IF(TRIM($E1457)&lt;&gt;"Tax Paid","",IF(COUNTIFS(LISTS!$F$2:$F$26,$AE1457,LISTS!$G$2:$G$26,$AF1457)=0,"NOT ON LIST",""))</f>
        <v/>
      </c>
      <c r="AH1457" s="8" t="str">
        <f t="shared" si="68"/>
        <v/>
      </c>
    </row>
    <row r="1458" spans="31:34" x14ac:dyDescent="0.25">
      <c r="AE1458" s="8" t="str">
        <f t="shared" si="66"/>
        <v/>
      </c>
      <c r="AF1458" s="8" t="str">
        <f t="shared" si="67"/>
        <v/>
      </c>
      <c r="AG1458" s="8" t="str">
        <f>IF(TRIM($E1458)&lt;&gt;"Tax Paid","",IF(COUNTIFS(LISTS!$F$2:$F$26,$AE1458,LISTS!$G$2:$G$26,$AF1458)=0,"NOT ON LIST",""))</f>
        <v/>
      </c>
      <c r="AH1458" s="8" t="str">
        <f t="shared" si="68"/>
        <v/>
      </c>
    </row>
    <row r="1459" spans="31:34" x14ac:dyDescent="0.25">
      <c r="AE1459" s="8" t="str">
        <f t="shared" si="66"/>
        <v/>
      </c>
      <c r="AF1459" s="8" t="str">
        <f t="shared" si="67"/>
        <v/>
      </c>
      <c r="AG1459" s="8" t="str">
        <f>IF(TRIM($E1459)&lt;&gt;"Tax Paid","",IF(COUNTIFS(LISTS!$F$2:$F$26,$AE1459,LISTS!$G$2:$G$26,$AF1459)=0,"NOT ON LIST",""))</f>
        <v/>
      </c>
      <c r="AH1459" s="8" t="str">
        <f t="shared" si="68"/>
        <v/>
      </c>
    </row>
    <row r="1460" spans="31:34" x14ac:dyDescent="0.25">
      <c r="AE1460" s="8" t="str">
        <f t="shared" si="66"/>
        <v/>
      </c>
      <c r="AF1460" s="8" t="str">
        <f t="shared" si="67"/>
        <v/>
      </c>
      <c r="AG1460" s="8" t="str">
        <f>IF(TRIM($E1460)&lt;&gt;"Tax Paid","",IF(COUNTIFS(LISTS!$F$2:$F$26,$AE1460,LISTS!$G$2:$G$26,$AF1460)=0,"NOT ON LIST",""))</f>
        <v/>
      </c>
      <c r="AH1460" s="8" t="str">
        <f t="shared" si="68"/>
        <v/>
      </c>
    </row>
    <row r="1461" spans="31:34" x14ac:dyDescent="0.25">
      <c r="AE1461" s="8" t="str">
        <f t="shared" si="66"/>
        <v/>
      </c>
      <c r="AF1461" s="8" t="str">
        <f t="shared" si="67"/>
        <v/>
      </c>
      <c r="AG1461" s="8" t="str">
        <f>IF(TRIM($E1461)&lt;&gt;"Tax Paid","",IF(COUNTIFS(LISTS!$F$2:$F$26,$AE1461,LISTS!$G$2:$G$26,$AF1461)=0,"NOT ON LIST",""))</f>
        <v/>
      </c>
      <c r="AH1461" s="8" t="str">
        <f t="shared" si="68"/>
        <v/>
      </c>
    </row>
    <row r="1462" spans="31:34" x14ac:dyDescent="0.25">
      <c r="AE1462" s="8" t="str">
        <f t="shared" si="66"/>
        <v/>
      </c>
      <c r="AF1462" s="8" t="str">
        <f t="shared" si="67"/>
        <v/>
      </c>
      <c r="AG1462" s="8" t="str">
        <f>IF(TRIM($E1462)&lt;&gt;"Tax Paid","",IF(COUNTIFS(LISTS!$F$2:$F$26,$AE1462,LISTS!$G$2:$G$26,$AF1462)=0,"NOT ON LIST",""))</f>
        <v/>
      </c>
      <c r="AH1462" s="8" t="str">
        <f t="shared" si="68"/>
        <v/>
      </c>
    </row>
    <row r="1463" spans="31:34" x14ac:dyDescent="0.25">
      <c r="AE1463" s="8" t="str">
        <f t="shared" si="66"/>
        <v/>
      </c>
      <c r="AF1463" s="8" t="str">
        <f t="shared" si="67"/>
        <v/>
      </c>
      <c r="AG1463" s="8" t="str">
        <f>IF(TRIM($E1463)&lt;&gt;"Tax Paid","",IF(COUNTIFS(LISTS!$F$2:$F$26,$AE1463,LISTS!$G$2:$G$26,$AF1463)=0,"NOT ON LIST",""))</f>
        <v/>
      </c>
      <c r="AH1463" s="8" t="str">
        <f t="shared" si="68"/>
        <v/>
      </c>
    </row>
    <row r="1464" spans="31:34" x14ac:dyDescent="0.25">
      <c r="AE1464" s="8" t="str">
        <f t="shared" si="66"/>
        <v/>
      </c>
      <c r="AF1464" s="8" t="str">
        <f t="shared" si="67"/>
        <v/>
      </c>
      <c r="AG1464" s="8" t="str">
        <f>IF(TRIM($E1464)&lt;&gt;"Tax Paid","",IF(COUNTIFS(LISTS!$F$2:$F$26,$AE1464,LISTS!$G$2:$G$26,$AF1464)=0,"NOT ON LIST",""))</f>
        <v/>
      </c>
      <c r="AH1464" s="8" t="str">
        <f t="shared" si="68"/>
        <v/>
      </c>
    </row>
    <row r="1465" spans="31:34" x14ac:dyDescent="0.25">
      <c r="AE1465" s="8" t="str">
        <f t="shared" si="66"/>
        <v/>
      </c>
      <c r="AF1465" s="8" t="str">
        <f t="shared" si="67"/>
        <v/>
      </c>
      <c r="AG1465" s="8" t="str">
        <f>IF(TRIM($E1465)&lt;&gt;"Tax Paid","",IF(COUNTIFS(LISTS!$F$2:$F$26,$AE1465,LISTS!$G$2:$G$26,$AF1465)=0,"NOT ON LIST",""))</f>
        <v/>
      </c>
      <c r="AH1465" s="8" t="str">
        <f t="shared" si="68"/>
        <v/>
      </c>
    </row>
    <row r="1466" spans="31:34" x14ac:dyDescent="0.25">
      <c r="AE1466" s="8" t="str">
        <f t="shared" si="66"/>
        <v/>
      </c>
      <c r="AF1466" s="8" t="str">
        <f t="shared" si="67"/>
        <v/>
      </c>
      <c r="AG1466" s="8" t="str">
        <f>IF(TRIM($E1466)&lt;&gt;"Tax Paid","",IF(COUNTIFS(LISTS!$F$2:$F$26,$AE1466,LISTS!$G$2:$G$26,$AF1466)=0,"NOT ON LIST",""))</f>
        <v/>
      </c>
      <c r="AH1466" s="8" t="str">
        <f t="shared" si="68"/>
        <v/>
      </c>
    </row>
    <row r="1467" spans="31:34" x14ac:dyDescent="0.25">
      <c r="AE1467" s="8" t="str">
        <f t="shared" si="66"/>
        <v/>
      </c>
      <c r="AF1467" s="8" t="str">
        <f t="shared" si="67"/>
        <v/>
      </c>
      <c r="AG1467" s="8" t="str">
        <f>IF(TRIM($E1467)&lt;&gt;"Tax Paid","",IF(COUNTIFS(LISTS!$F$2:$F$26,$AE1467,LISTS!$G$2:$G$26,$AF1467)=0,"NOT ON LIST",""))</f>
        <v/>
      </c>
      <c r="AH1467" s="8" t="str">
        <f t="shared" si="68"/>
        <v/>
      </c>
    </row>
    <row r="1468" spans="31:34" x14ac:dyDescent="0.25">
      <c r="AE1468" s="8" t="str">
        <f t="shared" si="66"/>
        <v/>
      </c>
      <c r="AF1468" s="8" t="str">
        <f t="shared" si="67"/>
        <v/>
      </c>
      <c r="AG1468" s="8" t="str">
        <f>IF(TRIM($E1468)&lt;&gt;"Tax Paid","",IF(COUNTIFS(LISTS!$F$2:$F$26,$AE1468,LISTS!$G$2:$G$26,$AF1468)=0,"NOT ON LIST",""))</f>
        <v/>
      </c>
      <c r="AH1468" s="8" t="str">
        <f t="shared" si="68"/>
        <v/>
      </c>
    </row>
    <row r="1469" spans="31:34" x14ac:dyDescent="0.25">
      <c r="AE1469" s="8" t="str">
        <f t="shared" si="66"/>
        <v/>
      </c>
      <c r="AF1469" s="8" t="str">
        <f t="shared" si="67"/>
        <v/>
      </c>
      <c r="AG1469" s="8" t="str">
        <f>IF(TRIM($E1469)&lt;&gt;"Tax Paid","",IF(COUNTIFS(LISTS!$F$2:$F$26,$AE1469,LISTS!$G$2:$G$26,$AF1469)=0,"NOT ON LIST",""))</f>
        <v/>
      </c>
      <c r="AH1469" s="8" t="str">
        <f t="shared" si="68"/>
        <v/>
      </c>
    </row>
    <row r="1470" spans="31:34" x14ac:dyDescent="0.25">
      <c r="AE1470" s="8" t="str">
        <f t="shared" si="66"/>
        <v/>
      </c>
      <c r="AF1470" s="8" t="str">
        <f t="shared" si="67"/>
        <v/>
      </c>
      <c r="AG1470" s="8" t="str">
        <f>IF(TRIM($E1470)&lt;&gt;"Tax Paid","",IF(COUNTIFS(LISTS!$F$2:$F$26,$AE1470,LISTS!$G$2:$G$26,$AF1470)=0,"NOT ON LIST",""))</f>
        <v/>
      </c>
      <c r="AH1470" s="8" t="str">
        <f t="shared" si="68"/>
        <v/>
      </c>
    </row>
    <row r="1471" spans="31:34" x14ac:dyDescent="0.25">
      <c r="AE1471" s="8" t="str">
        <f t="shared" si="66"/>
        <v/>
      </c>
      <c r="AF1471" s="8" t="str">
        <f t="shared" si="67"/>
        <v/>
      </c>
      <c r="AG1471" s="8" t="str">
        <f>IF(TRIM($E1471)&lt;&gt;"Tax Paid","",IF(COUNTIFS(LISTS!$F$2:$F$26,$AE1471,LISTS!$G$2:$G$26,$AF1471)=0,"NOT ON LIST",""))</f>
        <v/>
      </c>
      <c r="AH1471" s="8" t="str">
        <f t="shared" si="68"/>
        <v/>
      </c>
    </row>
    <row r="1472" spans="31:34" x14ac:dyDescent="0.25">
      <c r="AE1472" s="8" t="str">
        <f t="shared" si="66"/>
        <v/>
      </c>
      <c r="AF1472" s="8" t="str">
        <f t="shared" si="67"/>
        <v/>
      </c>
      <c r="AG1472" s="8" t="str">
        <f>IF(TRIM($E1472)&lt;&gt;"Tax Paid","",IF(COUNTIFS(LISTS!$F$2:$F$26,$AE1472,LISTS!$G$2:$G$26,$AF1472)=0,"NOT ON LIST",""))</f>
        <v/>
      </c>
      <c r="AH1472" s="8" t="str">
        <f t="shared" si="68"/>
        <v/>
      </c>
    </row>
    <row r="1473" spans="31:34" x14ac:dyDescent="0.25">
      <c r="AE1473" s="8" t="str">
        <f t="shared" si="66"/>
        <v/>
      </c>
      <c r="AF1473" s="8" t="str">
        <f t="shared" si="67"/>
        <v/>
      </c>
      <c r="AG1473" s="8" t="str">
        <f>IF(TRIM($E1473)&lt;&gt;"Tax Paid","",IF(COUNTIFS(LISTS!$F$2:$F$26,$AE1473,LISTS!$G$2:$G$26,$AF1473)=0,"NOT ON LIST",""))</f>
        <v/>
      </c>
      <c r="AH1473" s="8" t="str">
        <f t="shared" si="68"/>
        <v/>
      </c>
    </row>
    <row r="1474" spans="31:34" x14ac:dyDescent="0.25">
      <c r="AE1474" s="8" t="str">
        <f t="shared" ref="AE1474:AE1500" si="69">IF(TRIM($E1474)="Tax Paid",TRIM($S1474),"")</f>
        <v/>
      </c>
      <c r="AF1474" s="8" t="str">
        <f t="shared" ref="AF1474:AF1500" si="70">IF(TRIM($E1474)="Tax Paid",ROUND($Z1474/100,5),"")</f>
        <v/>
      </c>
      <c r="AG1474" s="8" t="str">
        <f>IF(TRIM($E1474)&lt;&gt;"Tax Paid","",IF(COUNTIFS(LISTS!$F$2:$F$26,$AE1474,LISTS!$G$2:$G$26,$AF1474)=0,"NOT ON LIST",""))</f>
        <v/>
      </c>
      <c r="AH1474" s="8" t="str">
        <f t="shared" ref="AH1474:AH1500" si="71">IF($AG1474="","",IF($AE1474="","(no county)",$AE1474)&amp;" ("&amp;SUBSTITUTE(TEXT($AF1474,"0.###%"),".%","%")&amp;")")</f>
        <v/>
      </c>
    </row>
    <row r="1475" spans="31:34" x14ac:dyDescent="0.25">
      <c r="AE1475" s="8" t="str">
        <f t="shared" si="69"/>
        <v/>
      </c>
      <c r="AF1475" s="8" t="str">
        <f t="shared" si="70"/>
        <v/>
      </c>
      <c r="AG1475" s="8" t="str">
        <f>IF(TRIM($E1475)&lt;&gt;"Tax Paid","",IF(COUNTIFS(LISTS!$F$2:$F$26,$AE1475,LISTS!$G$2:$G$26,$AF1475)=0,"NOT ON LIST",""))</f>
        <v/>
      </c>
      <c r="AH1475" s="8" t="str">
        <f t="shared" si="71"/>
        <v/>
      </c>
    </row>
    <row r="1476" spans="31:34" x14ac:dyDescent="0.25">
      <c r="AE1476" s="8" t="str">
        <f t="shared" si="69"/>
        <v/>
      </c>
      <c r="AF1476" s="8" t="str">
        <f t="shared" si="70"/>
        <v/>
      </c>
      <c r="AG1476" s="8" t="str">
        <f>IF(TRIM($E1476)&lt;&gt;"Tax Paid","",IF(COUNTIFS(LISTS!$F$2:$F$26,$AE1476,LISTS!$G$2:$G$26,$AF1476)=0,"NOT ON LIST",""))</f>
        <v/>
      </c>
      <c r="AH1476" s="8" t="str">
        <f t="shared" si="71"/>
        <v/>
      </c>
    </row>
    <row r="1477" spans="31:34" x14ac:dyDescent="0.25">
      <c r="AE1477" s="8" t="str">
        <f t="shared" si="69"/>
        <v/>
      </c>
      <c r="AF1477" s="8" t="str">
        <f t="shared" si="70"/>
        <v/>
      </c>
      <c r="AG1477" s="8" t="str">
        <f>IF(TRIM($E1477)&lt;&gt;"Tax Paid","",IF(COUNTIFS(LISTS!$F$2:$F$26,$AE1477,LISTS!$G$2:$G$26,$AF1477)=0,"NOT ON LIST",""))</f>
        <v/>
      </c>
      <c r="AH1477" s="8" t="str">
        <f t="shared" si="71"/>
        <v/>
      </c>
    </row>
    <row r="1478" spans="31:34" x14ac:dyDescent="0.25">
      <c r="AE1478" s="8" t="str">
        <f t="shared" si="69"/>
        <v/>
      </c>
      <c r="AF1478" s="8" t="str">
        <f t="shared" si="70"/>
        <v/>
      </c>
      <c r="AG1478" s="8" t="str">
        <f>IF(TRIM($E1478)&lt;&gt;"Tax Paid","",IF(COUNTIFS(LISTS!$F$2:$F$26,$AE1478,LISTS!$G$2:$G$26,$AF1478)=0,"NOT ON LIST",""))</f>
        <v/>
      </c>
      <c r="AH1478" s="8" t="str">
        <f t="shared" si="71"/>
        <v/>
      </c>
    </row>
    <row r="1479" spans="31:34" x14ac:dyDescent="0.25">
      <c r="AE1479" s="8" t="str">
        <f t="shared" si="69"/>
        <v/>
      </c>
      <c r="AF1479" s="8" t="str">
        <f t="shared" si="70"/>
        <v/>
      </c>
      <c r="AG1479" s="8" t="str">
        <f>IF(TRIM($E1479)&lt;&gt;"Tax Paid","",IF(COUNTIFS(LISTS!$F$2:$F$26,$AE1479,LISTS!$G$2:$G$26,$AF1479)=0,"NOT ON LIST",""))</f>
        <v/>
      </c>
      <c r="AH1479" s="8" t="str">
        <f t="shared" si="71"/>
        <v/>
      </c>
    </row>
    <row r="1480" spans="31:34" x14ac:dyDescent="0.25">
      <c r="AE1480" s="8" t="str">
        <f t="shared" si="69"/>
        <v/>
      </c>
      <c r="AF1480" s="8" t="str">
        <f t="shared" si="70"/>
        <v/>
      </c>
      <c r="AG1480" s="8" t="str">
        <f>IF(TRIM($E1480)&lt;&gt;"Tax Paid","",IF(COUNTIFS(LISTS!$F$2:$F$26,$AE1480,LISTS!$G$2:$G$26,$AF1480)=0,"NOT ON LIST",""))</f>
        <v/>
      </c>
      <c r="AH1480" s="8" t="str">
        <f t="shared" si="71"/>
        <v/>
      </c>
    </row>
    <row r="1481" spans="31:34" x14ac:dyDescent="0.25">
      <c r="AE1481" s="8" t="str">
        <f t="shared" si="69"/>
        <v/>
      </c>
      <c r="AF1481" s="8" t="str">
        <f t="shared" si="70"/>
        <v/>
      </c>
      <c r="AG1481" s="8" t="str">
        <f>IF(TRIM($E1481)&lt;&gt;"Tax Paid","",IF(COUNTIFS(LISTS!$F$2:$F$26,$AE1481,LISTS!$G$2:$G$26,$AF1481)=0,"NOT ON LIST",""))</f>
        <v/>
      </c>
      <c r="AH1481" s="8" t="str">
        <f t="shared" si="71"/>
        <v/>
      </c>
    </row>
    <row r="1482" spans="31:34" x14ac:dyDescent="0.25">
      <c r="AE1482" s="8" t="str">
        <f t="shared" si="69"/>
        <v/>
      </c>
      <c r="AF1482" s="8" t="str">
        <f t="shared" si="70"/>
        <v/>
      </c>
      <c r="AG1482" s="8" t="str">
        <f>IF(TRIM($E1482)&lt;&gt;"Tax Paid","",IF(COUNTIFS(LISTS!$F$2:$F$26,$AE1482,LISTS!$G$2:$G$26,$AF1482)=0,"NOT ON LIST",""))</f>
        <v/>
      </c>
      <c r="AH1482" s="8" t="str">
        <f t="shared" si="71"/>
        <v/>
      </c>
    </row>
    <row r="1483" spans="31:34" x14ac:dyDescent="0.25">
      <c r="AE1483" s="8" t="str">
        <f t="shared" si="69"/>
        <v/>
      </c>
      <c r="AF1483" s="8" t="str">
        <f t="shared" si="70"/>
        <v/>
      </c>
      <c r="AG1483" s="8" t="str">
        <f>IF(TRIM($E1483)&lt;&gt;"Tax Paid","",IF(COUNTIFS(LISTS!$F$2:$F$26,$AE1483,LISTS!$G$2:$G$26,$AF1483)=0,"NOT ON LIST",""))</f>
        <v/>
      </c>
      <c r="AH1483" s="8" t="str">
        <f t="shared" si="71"/>
        <v/>
      </c>
    </row>
    <row r="1484" spans="31:34" x14ac:dyDescent="0.25">
      <c r="AE1484" s="8" t="str">
        <f t="shared" si="69"/>
        <v/>
      </c>
      <c r="AF1484" s="8" t="str">
        <f t="shared" si="70"/>
        <v/>
      </c>
      <c r="AG1484" s="8" t="str">
        <f>IF(TRIM($E1484)&lt;&gt;"Tax Paid","",IF(COUNTIFS(LISTS!$F$2:$F$26,$AE1484,LISTS!$G$2:$G$26,$AF1484)=0,"NOT ON LIST",""))</f>
        <v/>
      </c>
      <c r="AH1484" s="8" t="str">
        <f t="shared" si="71"/>
        <v/>
      </c>
    </row>
    <row r="1485" spans="31:34" x14ac:dyDescent="0.25">
      <c r="AE1485" s="8" t="str">
        <f t="shared" si="69"/>
        <v/>
      </c>
      <c r="AF1485" s="8" t="str">
        <f t="shared" si="70"/>
        <v/>
      </c>
      <c r="AG1485" s="8" t="str">
        <f>IF(TRIM($E1485)&lt;&gt;"Tax Paid","",IF(COUNTIFS(LISTS!$F$2:$F$26,$AE1485,LISTS!$G$2:$G$26,$AF1485)=0,"NOT ON LIST",""))</f>
        <v/>
      </c>
      <c r="AH1485" s="8" t="str">
        <f t="shared" si="71"/>
        <v/>
      </c>
    </row>
    <row r="1486" spans="31:34" x14ac:dyDescent="0.25">
      <c r="AE1486" s="8" t="str">
        <f t="shared" si="69"/>
        <v/>
      </c>
      <c r="AF1486" s="8" t="str">
        <f t="shared" si="70"/>
        <v/>
      </c>
      <c r="AG1486" s="8" t="str">
        <f>IF(TRIM($E1486)&lt;&gt;"Tax Paid","",IF(COUNTIFS(LISTS!$F$2:$F$26,$AE1486,LISTS!$G$2:$G$26,$AF1486)=0,"NOT ON LIST",""))</f>
        <v/>
      </c>
      <c r="AH1486" s="8" t="str">
        <f t="shared" si="71"/>
        <v/>
      </c>
    </row>
    <row r="1487" spans="31:34" x14ac:dyDescent="0.25">
      <c r="AE1487" s="8" t="str">
        <f t="shared" si="69"/>
        <v/>
      </c>
      <c r="AF1487" s="8" t="str">
        <f t="shared" si="70"/>
        <v/>
      </c>
      <c r="AG1487" s="8" t="str">
        <f>IF(TRIM($E1487)&lt;&gt;"Tax Paid","",IF(COUNTIFS(LISTS!$F$2:$F$26,$AE1487,LISTS!$G$2:$G$26,$AF1487)=0,"NOT ON LIST",""))</f>
        <v/>
      </c>
      <c r="AH1487" s="8" t="str">
        <f t="shared" si="71"/>
        <v/>
      </c>
    </row>
    <row r="1488" spans="31:34" x14ac:dyDescent="0.25">
      <c r="AE1488" s="8" t="str">
        <f t="shared" si="69"/>
        <v/>
      </c>
      <c r="AF1488" s="8" t="str">
        <f t="shared" si="70"/>
        <v/>
      </c>
      <c r="AG1488" s="8" t="str">
        <f>IF(TRIM($E1488)&lt;&gt;"Tax Paid","",IF(COUNTIFS(LISTS!$F$2:$F$26,$AE1488,LISTS!$G$2:$G$26,$AF1488)=0,"NOT ON LIST",""))</f>
        <v/>
      </c>
      <c r="AH1488" s="8" t="str">
        <f t="shared" si="71"/>
        <v/>
      </c>
    </row>
    <row r="1489" spans="31:34" x14ac:dyDescent="0.25">
      <c r="AE1489" s="8" t="str">
        <f t="shared" si="69"/>
        <v/>
      </c>
      <c r="AF1489" s="8" t="str">
        <f t="shared" si="70"/>
        <v/>
      </c>
      <c r="AG1489" s="8" t="str">
        <f>IF(TRIM($E1489)&lt;&gt;"Tax Paid","",IF(COUNTIFS(LISTS!$F$2:$F$26,$AE1489,LISTS!$G$2:$G$26,$AF1489)=0,"NOT ON LIST",""))</f>
        <v/>
      </c>
      <c r="AH1489" s="8" t="str">
        <f t="shared" si="71"/>
        <v/>
      </c>
    </row>
    <row r="1490" spans="31:34" x14ac:dyDescent="0.25">
      <c r="AE1490" s="8" t="str">
        <f t="shared" si="69"/>
        <v/>
      </c>
      <c r="AF1490" s="8" t="str">
        <f t="shared" si="70"/>
        <v/>
      </c>
      <c r="AG1490" s="8" t="str">
        <f>IF(TRIM($E1490)&lt;&gt;"Tax Paid","",IF(COUNTIFS(LISTS!$F$2:$F$26,$AE1490,LISTS!$G$2:$G$26,$AF1490)=0,"NOT ON LIST",""))</f>
        <v/>
      </c>
      <c r="AH1490" s="8" t="str">
        <f t="shared" si="71"/>
        <v/>
      </c>
    </row>
    <row r="1491" spans="31:34" x14ac:dyDescent="0.25">
      <c r="AE1491" s="8" t="str">
        <f t="shared" si="69"/>
        <v/>
      </c>
      <c r="AF1491" s="8" t="str">
        <f t="shared" si="70"/>
        <v/>
      </c>
      <c r="AG1491" s="8" t="str">
        <f>IF(TRIM($E1491)&lt;&gt;"Tax Paid","",IF(COUNTIFS(LISTS!$F$2:$F$26,$AE1491,LISTS!$G$2:$G$26,$AF1491)=0,"NOT ON LIST",""))</f>
        <v/>
      </c>
      <c r="AH1491" s="8" t="str">
        <f t="shared" si="71"/>
        <v/>
      </c>
    </row>
    <row r="1492" spans="31:34" x14ac:dyDescent="0.25">
      <c r="AE1492" s="8" t="str">
        <f t="shared" si="69"/>
        <v/>
      </c>
      <c r="AF1492" s="8" t="str">
        <f t="shared" si="70"/>
        <v/>
      </c>
      <c r="AG1492" s="8" t="str">
        <f>IF(TRIM($E1492)&lt;&gt;"Tax Paid","",IF(COUNTIFS(LISTS!$F$2:$F$26,$AE1492,LISTS!$G$2:$G$26,$AF1492)=0,"NOT ON LIST",""))</f>
        <v/>
      </c>
      <c r="AH1492" s="8" t="str">
        <f t="shared" si="71"/>
        <v/>
      </c>
    </row>
    <row r="1493" spans="31:34" x14ac:dyDescent="0.25">
      <c r="AE1493" s="8" t="str">
        <f t="shared" si="69"/>
        <v/>
      </c>
      <c r="AF1493" s="8" t="str">
        <f t="shared" si="70"/>
        <v/>
      </c>
      <c r="AG1493" s="8" t="str">
        <f>IF(TRIM($E1493)&lt;&gt;"Tax Paid","",IF(COUNTIFS(LISTS!$F$2:$F$26,$AE1493,LISTS!$G$2:$G$26,$AF1493)=0,"NOT ON LIST",""))</f>
        <v/>
      </c>
      <c r="AH1493" s="8" t="str">
        <f t="shared" si="71"/>
        <v/>
      </c>
    </row>
    <row r="1494" spans="31:34" x14ac:dyDescent="0.25">
      <c r="AE1494" s="8" t="str">
        <f t="shared" si="69"/>
        <v/>
      </c>
      <c r="AF1494" s="8" t="str">
        <f t="shared" si="70"/>
        <v/>
      </c>
      <c r="AG1494" s="8" t="str">
        <f>IF(TRIM($E1494)&lt;&gt;"Tax Paid","",IF(COUNTIFS(LISTS!$F$2:$F$26,$AE1494,LISTS!$G$2:$G$26,$AF1494)=0,"NOT ON LIST",""))</f>
        <v/>
      </c>
      <c r="AH1494" s="8" t="str">
        <f t="shared" si="71"/>
        <v/>
      </c>
    </row>
    <row r="1495" spans="31:34" x14ac:dyDescent="0.25">
      <c r="AE1495" s="8" t="str">
        <f t="shared" si="69"/>
        <v/>
      </c>
      <c r="AF1495" s="8" t="str">
        <f t="shared" si="70"/>
        <v/>
      </c>
      <c r="AG1495" s="8" t="str">
        <f>IF(TRIM($E1495)&lt;&gt;"Tax Paid","",IF(COUNTIFS(LISTS!$F$2:$F$26,$AE1495,LISTS!$G$2:$G$26,$AF1495)=0,"NOT ON LIST",""))</f>
        <v/>
      </c>
      <c r="AH1495" s="8" t="str">
        <f t="shared" si="71"/>
        <v/>
      </c>
    </row>
    <row r="1496" spans="31:34" x14ac:dyDescent="0.25">
      <c r="AE1496" s="8" t="str">
        <f t="shared" si="69"/>
        <v/>
      </c>
      <c r="AF1496" s="8" t="str">
        <f t="shared" si="70"/>
        <v/>
      </c>
      <c r="AG1496" s="8" t="str">
        <f>IF(TRIM($E1496)&lt;&gt;"Tax Paid","",IF(COUNTIFS(LISTS!$F$2:$F$26,$AE1496,LISTS!$G$2:$G$26,$AF1496)=0,"NOT ON LIST",""))</f>
        <v/>
      </c>
      <c r="AH1496" s="8" t="str">
        <f t="shared" si="71"/>
        <v/>
      </c>
    </row>
    <row r="1497" spans="31:34" x14ac:dyDescent="0.25">
      <c r="AE1497" s="8" t="str">
        <f t="shared" si="69"/>
        <v/>
      </c>
      <c r="AF1497" s="8" t="str">
        <f t="shared" si="70"/>
        <v/>
      </c>
      <c r="AG1497" s="8" t="str">
        <f>IF(TRIM($E1497)&lt;&gt;"Tax Paid","",IF(COUNTIFS(LISTS!$F$2:$F$26,$AE1497,LISTS!$G$2:$G$26,$AF1497)=0,"NOT ON LIST",""))</f>
        <v/>
      </c>
      <c r="AH1497" s="8" t="str">
        <f t="shared" si="71"/>
        <v/>
      </c>
    </row>
    <row r="1498" spans="31:34" x14ac:dyDescent="0.25">
      <c r="AE1498" s="8" t="str">
        <f t="shared" si="69"/>
        <v/>
      </c>
      <c r="AF1498" s="8" t="str">
        <f t="shared" si="70"/>
        <v/>
      </c>
      <c r="AG1498" s="8" t="str">
        <f>IF(TRIM($E1498)&lt;&gt;"Tax Paid","",IF(COUNTIFS(LISTS!$F$2:$F$26,$AE1498,LISTS!$G$2:$G$26,$AF1498)=0,"NOT ON LIST",""))</f>
        <v/>
      </c>
      <c r="AH1498" s="8" t="str">
        <f t="shared" si="71"/>
        <v/>
      </c>
    </row>
    <row r="1499" spans="31:34" x14ac:dyDescent="0.25">
      <c r="AE1499" s="8" t="str">
        <f t="shared" si="69"/>
        <v/>
      </c>
      <c r="AF1499" s="8" t="str">
        <f t="shared" si="70"/>
        <v/>
      </c>
      <c r="AG1499" s="8" t="str">
        <f>IF(TRIM($E1499)&lt;&gt;"Tax Paid","",IF(COUNTIFS(LISTS!$F$2:$F$26,$AE1499,LISTS!$G$2:$G$26,$AF1499)=0,"NOT ON LIST",""))</f>
        <v/>
      </c>
      <c r="AH1499" s="8" t="str">
        <f t="shared" si="71"/>
        <v/>
      </c>
    </row>
    <row r="1500" spans="31:34" x14ac:dyDescent="0.25">
      <c r="AE1500" s="8" t="str">
        <f t="shared" si="69"/>
        <v/>
      </c>
      <c r="AF1500" s="8" t="str">
        <f t="shared" si="70"/>
        <v/>
      </c>
      <c r="AG1500" s="8" t="str">
        <f>IF(TRIM($E1500)&lt;&gt;"Tax Paid","",IF(COUNTIFS(LISTS!$F$2:$F$26,$AE1500,LISTS!$G$2:$G$26,$AF1500)=0,"NOT ON LIST",""))</f>
        <v/>
      </c>
      <c r="AH1500" s="8" t="str">
        <f t="shared" si="71"/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AU3000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47" max="47" width="18" hidden="1" customWidth="1" outlineLevel="1"/>
  </cols>
  <sheetData>
    <row r="1" spans="1:47" x14ac:dyDescent="0.25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  <c r="H1" s="7" t="s">
        <v>87</v>
      </c>
      <c r="I1" s="7" t="s">
        <v>88</v>
      </c>
      <c r="J1" s="7" t="s">
        <v>89</v>
      </c>
      <c r="K1" s="7" t="s">
        <v>90</v>
      </c>
      <c r="L1" s="7" t="s">
        <v>91</v>
      </c>
      <c r="M1" s="7" t="s">
        <v>92</v>
      </c>
      <c r="N1" s="7" t="s">
        <v>93</v>
      </c>
      <c r="O1" s="7" t="s">
        <v>94</v>
      </c>
      <c r="P1" s="7" t="s">
        <v>95</v>
      </c>
      <c r="Q1" s="7" t="s">
        <v>96</v>
      </c>
      <c r="R1" s="7" t="s">
        <v>97</v>
      </c>
      <c r="S1" s="7" t="s">
        <v>98</v>
      </c>
      <c r="T1" s="7" t="s">
        <v>99</v>
      </c>
      <c r="U1" s="7" t="s">
        <v>100</v>
      </c>
      <c r="V1" s="7" t="s">
        <v>101</v>
      </c>
      <c r="W1" s="7" t="s">
        <v>102</v>
      </c>
      <c r="X1" s="7" t="s">
        <v>103</v>
      </c>
      <c r="Y1" s="7" t="s">
        <v>104</v>
      </c>
      <c r="Z1" s="7" t="s">
        <v>105</v>
      </c>
      <c r="AA1" s="7" t="s">
        <v>106</v>
      </c>
      <c r="AB1" s="7" t="s">
        <v>107</v>
      </c>
      <c r="AC1" s="7" t="s">
        <v>108</v>
      </c>
      <c r="AD1" s="7" t="s">
        <v>109</v>
      </c>
      <c r="AE1" s="7" t="s">
        <v>110</v>
      </c>
      <c r="AF1" s="7" t="s">
        <v>111</v>
      </c>
      <c r="AG1" s="7" t="s">
        <v>112</v>
      </c>
      <c r="AH1" s="7" t="s">
        <v>113</v>
      </c>
      <c r="AI1" s="7" t="s">
        <v>114</v>
      </c>
      <c r="AJ1" s="7" t="s">
        <v>115</v>
      </c>
      <c r="AK1" s="7" t="s">
        <v>116</v>
      </c>
      <c r="AL1" s="7" t="s">
        <v>117</v>
      </c>
      <c r="AM1" s="7" t="s">
        <v>118</v>
      </c>
      <c r="AN1" s="7" t="s">
        <v>119</v>
      </c>
      <c r="AO1" s="7" t="s">
        <v>120</v>
      </c>
      <c r="AP1" s="7" t="s">
        <v>121</v>
      </c>
      <c r="AQ1" s="7" t="s">
        <v>122</v>
      </c>
      <c r="AR1" s="7" t="s">
        <v>123</v>
      </c>
      <c r="AS1" s="7" t="s">
        <v>124</v>
      </c>
      <c r="AU1" s="7" t="s">
        <v>125</v>
      </c>
    </row>
    <row r="2" spans="1:47" x14ac:dyDescent="0.25">
      <c r="AU2" s="8" t="str">
        <f>IF(TRIM($G2)="","",IF(COUNTIF(LISTS!$I$2:$I$16,TRIM($G2))&gt;0,"COUNTED",IF(COUNTIF(LISTS!$J$2:$J$16,TRIM($G2))&gt;0,"LEFT OUT","NEW")))</f>
        <v/>
      </c>
    </row>
    <row r="3" spans="1:47" x14ac:dyDescent="0.25">
      <c r="AU3" s="8" t="str">
        <f>IF(TRIM($G3)="","",IF(COUNTIF(LISTS!$I$2:$I$16,TRIM($G3))&gt;0,"COUNTED",IF(COUNTIF(LISTS!$J$2:$J$16,TRIM($G3))&gt;0,"LEFT OUT","NEW")))</f>
        <v/>
      </c>
    </row>
    <row r="4" spans="1:47" x14ac:dyDescent="0.25">
      <c r="AU4" s="8" t="str">
        <f>IF(TRIM($G4)="","",IF(COUNTIF(LISTS!$I$2:$I$16,TRIM($G4))&gt;0,"COUNTED",IF(COUNTIF(LISTS!$J$2:$J$16,TRIM($G4))&gt;0,"LEFT OUT","NEW")))</f>
        <v/>
      </c>
    </row>
    <row r="5" spans="1:47" x14ac:dyDescent="0.25">
      <c r="AU5" s="8" t="str">
        <f>IF(TRIM($G5)="","",IF(COUNTIF(LISTS!$I$2:$I$16,TRIM($G5))&gt;0,"COUNTED",IF(COUNTIF(LISTS!$J$2:$J$16,TRIM($G5))&gt;0,"LEFT OUT","NEW")))</f>
        <v/>
      </c>
    </row>
    <row r="6" spans="1:47" x14ac:dyDescent="0.25">
      <c r="AU6" s="8" t="str">
        <f>IF(TRIM($G6)="","",IF(COUNTIF(LISTS!$I$2:$I$16,TRIM($G6))&gt;0,"COUNTED",IF(COUNTIF(LISTS!$J$2:$J$16,TRIM($G6))&gt;0,"LEFT OUT","NEW")))</f>
        <v/>
      </c>
    </row>
    <row r="7" spans="1:47" x14ac:dyDescent="0.25">
      <c r="AU7" s="8" t="str">
        <f>IF(TRIM($G7)="","",IF(COUNTIF(LISTS!$I$2:$I$16,TRIM($G7))&gt;0,"COUNTED",IF(COUNTIF(LISTS!$J$2:$J$16,TRIM($G7))&gt;0,"LEFT OUT","NEW")))</f>
        <v/>
      </c>
    </row>
    <row r="8" spans="1:47" x14ac:dyDescent="0.25">
      <c r="AU8" s="8" t="str">
        <f>IF(TRIM($G8)="","",IF(COUNTIF(LISTS!$I$2:$I$16,TRIM($G8))&gt;0,"COUNTED",IF(COUNTIF(LISTS!$J$2:$J$16,TRIM($G8))&gt;0,"LEFT OUT","NEW")))</f>
        <v/>
      </c>
    </row>
    <row r="9" spans="1:47" x14ac:dyDescent="0.25">
      <c r="AU9" s="8" t="str">
        <f>IF(TRIM($G9)="","",IF(COUNTIF(LISTS!$I$2:$I$16,TRIM($G9))&gt;0,"COUNTED",IF(COUNTIF(LISTS!$J$2:$J$16,TRIM($G9))&gt;0,"LEFT OUT","NEW")))</f>
        <v/>
      </c>
    </row>
    <row r="10" spans="1:47" x14ac:dyDescent="0.25">
      <c r="AU10" s="8" t="str">
        <f>IF(TRIM($G10)="","",IF(COUNTIF(LISTS!$I$2:$I$16,TRIM($G10))&gt;0,"COUNTED",IF(COUNTIF(LISTS!$J$2:$J$16,TRIM($G10))&gt;0,"LEFT OUT","NEW")))</f>
        <v/>
      </c>
    </row>
    <row r="11" spans="1:47" x14ac:dyDescent="0.25">
      <c r="AU11" s="8" t="str">
        <f>IF(TRIM($G11)="","",IF(COUNTIF(LISTS!$I$2:$I$16,TRIM($G11))&gt;0,"COUNTED",IF(COUNTIF(LISTS!$J$2:$J$16,TRIM($G11))&gt;0,"LEFT OUT","NEW")))</f>
        <v/>
      </c>
    </row>
    <row r="12" spans="1:47" x14ac:dyDescent="0.25">
      <c r="AU12" s="8" t="str">
        <f>IF(TRIM($G12)="","",IF(COUNTIF(LISTS!$I$2:$I$16,TRIM($G12))&gt;0,"COUNTED",IF(COUNTIF(LISTS!$J$2:$J$16,TRIM($G12))&gt;0,"LEFT OUT","NEW")))</f>
        <v/>
      </c>
    </row>
    <row r="13" spans="1:47" x14ac:dyDescent="0.25">
      <c r="AU13" s="8" t="str">
        <f>IF(TRIM($G13)="","",IF(COUNTIF(LISTS!$I$2:$I$16,TRIM($G13))&gt;0,"COUNTED",IF(COUNTIF(LISTS!$J$2:$J$16,TRIM($G13))&gt;0,"LEFT OUT","NEW")))</f>
        <v/>
      </c>
    </row>
    <row r="14" spans="1:47" x14ac:dyDescent="0.25">
      <c r="AU14" s="8" t="str">
        <f>IF(TRIM($G14)="","",IF(COUNTIF(LISTS!$I$2:$I$16,TRIM($G14))&gt;0,"COUNTED",IF(COUNTIF(LISTS!$J$2:$J$16,TRIM($G14))&gt;0,"LEFT OUT","NEW")))</f>
        <v/>
      </c>
    </row>
    <row r="15" spans="1:47" x14ac:dyDescent="0.25">
      <c r="AU15" s="8" t="str">
        <f>IF(TRIM($G15)="","",IF(COUNTIF(LISTS!$I$2:$I$16,TRIM($G15))&gt;0,"COUNTED",IF(COUNTIF(LISTS!$J$2:$J$16,TRIM($G15))&gt;0,"LEFT OUT","NEW")))</f>
        <v/>
      </c>
    </row>
    <row r="16" spans="1:47" x14ac:dyDescent="0.25">
      <c r="AU16" s="8" t="str">
        <f>IF(TRIM($G16)="","",IF(COUNTIF(LISTS!$I$2:$I$16,TRIM($G16))&gt;0,"COUNTED",IF(COUNTIF(LISTS!$J$2:$J$16,TRIM($G16))&gt;0,"LEFT OUT","NEW")))</f>
        <v/>
      </c>
    </row>
    <row r="17" spans="47:47" x14ac:dyDescent="0.25">
      <c r="AU17" s="8" t="str">
        <f>IF(TRIM($G17)="","",IF(COUNTIF(LISTS!$I$2:$I$16,TRIM($G17))&gt;0,"COUNTED",IF(COUNTIF(LISTS!$J$2:$J$16,TRIM($G17))&gt;0,"LEFT OUT","NEW")))</f>
        <v/>
      </c>
    </row>
    <row r="18" spans="47:47" x14ac:dyDescent="0.25">
      <c r="AU18" s="8" t="str">
        <f>IF(TRIM($G18)="","",IF(COUNTIF(LISTS!$I$2:$I$16,TRIM($G18))&gt;0,"COUNTED",IF(COUNTIF(LISTS!$J$2:$J$16,TRIM($G18))&gt;0,"LEFT OUT","NEW")))</f>
        <v/>
      </c>
    </row>
    <row r="19" spans="47:47" x14ac:dyDescent="0.25">
      <c r="AU19" s="8" t="str">
        <f>IF(TRIM($G19)="","",IF(COUNTIF(LISTS!$I$2:$I$16,TRIM($G19))&gt;0,"COUNTED",IF(COUNTIF(LISTS!$J$2:$J$16,TRIM($G19))&gt;0,"LEFT OUT","NEW")))</f>
        <v/>
      </c>
    </row>
    <row r="20" spans="47:47" x14ac:dyDescent="0.25">
      <c r="AU20" s="8" t="str">
        <f>IF(TRIM($G20)="","",IF(COUNTIF(LISTS!$I$2:$I$16,TRIM($G20))&gt;0,"COUNTED",IF(COUNTIF(LISTS!$J$2:$J$16,TRIM($G20))&gt;0,"LEFT OUT","NEW")))</f>
        <v/>
      </c>
    </row>
    <row r="21" spans="47:47" x14ac:dyDescent="0.25">
      <c r="AU21" s="8" t="str">
        <f>IF(TRIM($G21)="","",IF(COUNTIF(LISTS!$I$2:$I$16,TRIM($G21))&gt;0,"COUNTED",IF(COUNTIF(LISTS!$J$2:$J$16,TRIM($G21))&gt;0,"LEFT OUT","NEW")))</f>
        <v/>
      </c>
    </row>
    <row r="22" spans="47:47" x14ac:dyDescent="0.25">
      <c r="AU22" s="8" t="str">
        <f>IF(TRIM($G22)="","",IF(COUNTIF(LISTS!$I$2:$I$16,TRIM($G22))&gt;0,"COUNTED",IF(COUNTIF(LISTS!$J$2:$J$16,TRIM($G22))&gt;0,"LEFT OUT","NEW")))</f>
        <v/>
      </c>
    </row>
    <row r="23" spans="47:47" x14ac:dyDescent="0.25">
      <c r="AU23" s="8" t="str">
        <f>IF(TRIM($G23)="","",IF(COUNTIF(LISTS!$I$2:$I$16,TRIM($G23))&gt;0,"COUNTED",IF(COUNTIF(LISTS!$J$2:$J$16,TRIM($G23))&gt;0,"LEFT OUT","NEW")))</f>
        <v/>
      </c>
    </row>
    <row r="24" spans="47:47" x14ac:dyDescent="0.25">
      <c r="AU24" s="8" t="str">
        <f>IF(TRIM($G24)="","",IF(COUNTIF(LISTS!$I$2:$I$16,TRIM($G24))&gt;0,"COUNTED",IF(COUNTIF(LISTS!$J$2:$J$16,TRIM($G24))&gt;0,"LEFT OUT","NEW")))</f>
        <v/>
      </c>
    </row>
    <row r="25" spans="47:47" x14ac:dyDescent="0.25">
      <c r="AU25" s="8" t="str">
        <f>IF(TRIM($G25)="","",IF(COUNTIF(LISTS!$I$2:$I$16,TRIM($G25))&gt;0,"COUNTED",IF(COUNTIF(LISTS!$J$2:$J$16,TRIM($G25))&gt;0,"LEFT OUT","NEW")))</f>
        <v/>
      </c>
    </row>
    <row r="26" spans="47:47" x14ac:dyDescent="0.25">
      <c r="AU26" s="8" t="str">
        <f>IF(TRIM($G26)="","",IF(COUNTIF(LISTS!$I$2:$I$16,TRIM($G26))&gt;0,"COUNTED",IF(COUNTIF(LISTS!$J$2:$J$16,TRIM($G26))&gt;0,"LEFT OUT","NEW")))</f>
        <v/>
      </c>
    </row>
    <row r="27" spans="47:47" x14ac:dyDescent="0.25">
      <c r="AU27" s="8" t="str">
        <f>IF(TRIM($G27)="","",IF(COUNTIF(LISTS!$I$2:$I$16,TRIM($G27))&gt;0,"COUNTED",IF(COUNTIF(LISTS!$J$2:$J$16,TRIM($G27))&gt;0,"LEFT OUT","NEW")))</f>
        <v/>
      </c>
    </row>
    <row r="28" spans="47:47" x14ac:dyDescent="0.25">
      <c r="AU28" s="8" t="str">
        <f>IF(TRIM($G28)="","",IF(COUNTIF(LISTS!$I$2:$I$16,TRIM($G28))&gt;0,"COUNTED",IF(COUNTIF(LISTS!$J$2:$J$16,TRIM($G28))&gt;0,"LEFT OUT","NEW")))</f>
        <v/>
      </c>
    </row>
    <row r="29" spans="47:47" x14ac:dyDescent="0.25">
      <c r="AU29" s="8" t="str">
        <f>IF(TRIM($G29)="","",IF(COUNTIF(LISTS!$I$2:$I$16,TRIM($G29))&gt;0,"COUNTED",IF(COUNTIF(LISTS!$J$2:$J$16,TRIM($G29))&gt;0,"LEFT OUT","NEW")))</f>
        <v/>
      </c>
    </row>
    <row r="30" spans="47:47" x14ac:dyDescent="0.25">
      <c r="AU30" s="8" t="str">
        <f>IF(TRIM($G30)="","",IF(COUNTIF(LISTS!$I$2:$I$16,TRIM($G30))&gt;0,"COUNTED",IF(COUNTIF(LISTS!$J$2:$J$16,TRIM($G30))&gt;0,"LEFT OUT","NEW")))</f>
        <v/>
      </c>
    </row>
    <row r="31" spans="47:47" x14ac:dyDescent="0.25">
      <c r="AU31" s="8" t="str">
        <f>IF(TRIM($G31)="","",IF(COUNTIF(LISTS!$I$2:$I$16,TRIM($G31))&gt;0,"COUNTED",IF(COUNTIF(LISTS!$J$2:$J$16,TRIM($G31))&gt;0,"LEFT OUT","NEW")))</f>
        <v/>
      </c>
    </row>
    <row r="32" spans="47:47" x14ac:dyDescent="0.25">
      <c r="AU32" s="8" t="str">
        <f>IF(TRIM($G32)="","",IF(COUNTIF(LISTS!$I$2:$I$16,TRIM($G32))&gt;0,"COUNTED",IF(COUNTIF(LISTS!$J$2:$J$16,TRIM($G32))&gt;0,"LEFT OUT","NEW")))</f>
        <v/>
      </c>
    </row>
    <row r="33" spans="47:47" x14ac:dyDescent="0.25">
      <c r="AU33" s="8" t="str">
        <f>IF(TRIM($G33)="","",IF(COUNTIF(LISTS!$I$2:$I$16,TRIM($G33))&gt;0,"COUNTED",IF(COUNTIF(LISTS!$J$2:$J$16,TRIM($G33))&gt;0,"LEFT OUT","NEW")))</f>
        <v/>
      </c>
    </row>
    <row r="34" spans="47:47" x14ac:dyDescent="0.25">
      <c r="AU34" s="8" t="str">
        <f>IF(TRIM($G34)="","",IF(COUNTIF(LISTS!$I$2:$I$16,TRIM($G34))&gt;0,"COUNTED",IF(COUNTIF(LISTS!$J$2:$J$16,TRIM($G34))&gt;0,"LEFT OUT","NEW")))</f>
        <v/>
      </c>
    </row>
    <row r="35" spans="47:47" x14ac:dyDescent="0.25">
      <c r="AU35" s="8" t="str">
        <f>IF(TRIM($G35)="","",IF(COUNTIF(LISTS!$I$2:$I$16,TRIM($G35))&gt;0,"COUNTED",IF(COUNTIF(LISTS!$J$2:$J$16,TRIM($G35))&gt;0,"LEFT OUT","NEW")))</f>
        <v/>
      </c>
    </row>
    <row r="36" spans="47:47" x14ac:dyDescent="0.25">
      <c r="AU36" s="8" t="str">
        <f>IF(TRIM($G36)="","",IF(COUNTIF(LISTS!$I$2:$I$16,TRIM($G36))&gt;0,"COUNTED",IF(COUNTIF(LISTS!$J$2:$J$16,TRIM($G36))&gt;0,"LEFT OUT","NEW")))</f>
        <v/>
      </c>
    </row>
    <row r="37" spans="47:47" x14ac:dyDescent="0.25">
      <c r="AU37" s="8" t="str">
        <f>IF(TRIM($G37)="","",IF(COUNTIF(LISTS!$I$2:$I$16,TRIM($G37))&gt;0,"COUNTED",IF(COUNTIF(LISTS!$J$2:$J$16,TRIM($G37))&gt;0,"LEFT OUT","NEW")))</f>
        <v/>
      </c>
    </row>
    <row r="38" spans="47:47" x14ac:dyDescent="0.25">
      <c r="AU38" s="8" t="str">
        <f>IF(TRIM($G38)="","",IF(COUNTIF(LISTS!$I$2:$I$16,TRIM($G38))&gt;0,"COUNTED",IF(COUNTIF(LISTS!$J$2:$J$16,TRIM($G38))&gt;0,"LEFT OUT","NEW")))</f>
        <v/>
      </c>
    </row>
    <row r="39" spans="47:47" x14ac:dyDescent="0.25">
      <c r="AU39" s="8" t="str">
        <f>IF(TRIM($G39)="","",IF(COUNTIF(LISTS!$I$2:$I$16,TRIM($G39))&gt;0,"COUNTED",IF(COUNTIF(LISTS!$J$2:$J$16,TRIM($G39))&gt;0,"LEFT OUT","NEW")))</f>
        <v/>
      </c>
    </row>
    <row r="40" spans="47:47" x14ac:dyDescent="0.25">
      <c r="AU40" s="8" t="str">
        <f>IF(TRIM($G40)="","",IF(COUNTIF(LISTS!$I$2:$I$16,TRIM($G40))&gt;0,"COUNTED",IF(COUNTIF(LISTS!$J$2:$J$16,TRIM($G40))&gt;0,"LEFT OUT","NEW")))</f>
        <v/>
      </c>
    </row>
    <row r="41" spans="47:47" x14ac:dyDescent="0.25">
      <c r="AU41" s="8" t="str">
        <f>IF(TRIM($G41)="","",IF(COUNTIF(LISTS!$I$2:$I$16,TRIM($G41))&gt;0,"COUNTED",IF(COUNTIF(LISTS!$J$2:$J$16,TRIM($G41))&gt;0,"LEFT OUT","NEW")))</f>
        <v/>
      </c>
    </row>
    <row r="42" spans="47:47" x14ac:dyDescent="0.25">
      <c r="AU42" s="8" t="str">
        <f>IF(TRIM($G42)="","",IF(COUNTIF(LISTS!$I$2:$I$16,TRIM($G42))&gt;0,"COUNTED",IF(COUNTIF(LISTS!$J$2:$J$16,TRIM($G42))&gt;0,"LEFT OUT","NEW")))</f>
        <v/>
      </c>
    </row>
    <row r="43" spans="47:47" x14ac:dyDescent="0.25">
      <c r="AU43" s="8" t="str">
        <f>IF(TRIM($G43)="","",IF(COUNTIF(LISTS!$I$2:$I$16,TRIM($G43))&gt;0,"COUNTED",IF(COUNTIF(LISTS!$J$2:$J$16,TRIM($G43))&gt;0,"LEFT OUT","NEW")))</f>
        <v/>
      </c>
    </row>
    <row r="44" spans="47:47" x14ac:dyDescent="0.25">
      <c r="AU44" s="8" t="str">
        <f>IF(TRIM($G44)="","",IF(COUNTIF(LISTS!$I$2:$I$16,TRIM($G44))&gt;0,"COUNTED",IF(COUNTIF(LISTS!$J$2:$J$16,TRIM($G44))&gt;0,"LEFT OUT","NEW")))</f>
        <v/>
      </c>
    </row>
    <row r="45" spans="47:47" x14ac:dyDescent="0.25">
      <c r="AU45" s="8" t="str">
        <f>IF(TRIM($G45)="","",IF(COUNTIF(LISTS!$I$2:$I$16,TRIM($G45))&gt;0,"COUNTED",IF(COUNTIF(LISTS!$J$2:$J$16,TRIM($G45))&gt;0,"LEFT OUT","NEW")))</f>
        <v/>
      </c>
    </row>
    <row r="46" spans="47:47" x14ac:dyDescent="0.25">
      <c r="AU46" s="8" t="str">
        <f>IF(TRIM($G46)="","",IF(COUNTIF(LISTS!$I$2:$I$16,TRIM($G46))&gt;0,"COUNTED",IF(COUNTIF(LISTS!$J$2:$J$16,TRIM($G46))&gt;0,"LEFT OUT","NEW")))</f>
        <v/>
      </c>
    </row>
    <row r="47" spans="47:47" x14ac:dyDescent="0.25">
      <c r="AU47" s="8" t="str">
        <f>IF(TRIM($G47)="","",IF(COUNTIF(LISTS!$I$2:$I$16,TRIM($G47))&gt;0,"COUNTED",IF(COUNTIF(LISTS!$J$2:$J$16,TRIM($G47))&gt;0,"LEFT OUT","NEW")))</f>
        <v/>
      </c>
    </row>
    <row r="48" spans="47:47" x14ac:dyDescent="0.25">
      <c r="AU48" s="8" t="str">
        <f>IF(TRIM($G48)="","",IF(COUNTIF(LISTS!$I$2:$I$16,TRIM($G48))&gt;0,"COUNTED",IF(COUNTIF(LISTS!$J$2:$J$16,TRIM($G48))&gt;0,"LEFT OUT","NEW")))</f>
        <v/>
      </c>
    </row>
    <row r="49" spans="47:47" x14ac:dyDescent="0.25">
      <c r="AU49" s="8" t="str">
        <f>IF(TRIM($G49)="","",IF(COUNTIF(LISTS!$I$2:$I$16,TRIM($G49))&gt;0,"COUNTED",IF(COUNTIF(LISTS!$J$2:$J$16,TRIM($G49))&gt;0,"LEFT OUT","NEW")))</f>
        <v/>
      </c>
    </row>
    <row r="50" spans="47:47" x14ac:dyDescent="0.25">
      <c r="AU50" s="8" t="str">
        <f>IF(TRIM($G50)="","",IF(COUNTIF(LISTS!$I$2:$I$16,TRIM($G50))&gt;0,"COUNTED",IF(COUNTIF(LISTS!$J$2:$J$16,TRIM($G50))&gt;0,"LEFT OUT","NEW")))</f>
        <v/>
      </c>
    </row>
    <row r="51" spans="47:47" x14ac:dyDescent="0.25">
      <c r="AU51" s="8" t="str">
        <f>IF(TRIM($G51)="","",IF(COUNTIF(LISTS!$I$2:$I$16,TRIM($G51))&gt;0,"COUNTED",IF(COUNTIF(LISTS!$J$2:$J$16,TRIM($G51))&gt;0,"LEFT OUT","NEW")))</f>
        <v/>
      </c>
    </row>
    <row r="52" spans="47:47" x14ac:dyDescent="0.25">
      <c r="AU52" s="8" t="str">
        <f>IF(TRIM($G52)="","",IF(COUNTIF(LISTS!$I$2:$I$16,TRIM($G52))&gt;0,"COUNTED",IF(COUNTIF(LISTS!$J$2:$J$16,TRIM($G52))&gt;0,"LEFT OUT","NEW")))</f>
        <v/>
      </c>
    </row>
    <row r="53" spans="47:47" x14ac:dyDescent="0.25">
      <c r="AU53" s="8" t="str">
        <f>IF(TRIM($G53)="","",IF(COUNTIF(LISTS!$I$2:$I$16,TRIM($G53))&gt;0,"COUNTED",IF(COUNTIF(LISTS!$J$2:$J$16,TRIM($G53))&gt;0,"LEFT OUT","NEW")))</f>
        <v/>
      </c>
    </row>
    <row r="54" spans="47:47" x14ac:dyDescent="0.25">
      <c r="AU54" s="8" t="str">
        <f>IF(TRIM($G54)="","",IF(COUNTIF(LISTS!$I$2:$I$16,TRIM($G54))&gt;0,"COUNTED",IF(COUNTIF(LISTS!$J$2:$J$16,TRIM($G54))&gt;0,"LEFT OUT","NEW")))</f>
        <v/>
      </c>
    </row>
    <row r="55" spans="47:47" x14ac:dyDescent="0.25">
      <c r="AU55" s="8" t="str">
        <f>IF(TRIM($G55)="","",IF(COUNTIF(LISTS!$I$2:$I$16,TRIM($G55))&gt;0,"COUNTED",IF(COUNTIF(LISTS!$J$2:$J$16,TRIM($G55))&gt;0,"LEFT OUT","NEW")))</f>
        <v/>
      </c>
    </row>
    <row r="56" spans="47:47" x14ac:dyDescent="0.25">
      <c r="AU56" s="8" t="str">
        <f>IF(TRIM($G56)="","",IF(COUNTIF(LISTS!$I$2:$I$16,TRIM($G56))&gt;0,"COUNTED",IF(COUNTIF(LISTS!$J$2:$J$16,TRIM($G56))&gt;0,"LEFT OUT","NEW")))</f>
        <v/>
      </c>
    </row>
    <row r="57" spans="47:47" x14ac:dyDescent="0.25">
      <c r="AU57" s="8" t="str">
        <f>IF(TRIM($G57)="","",IF(COUNTIF(LISTS!$I$2:$I$16,TRIM($G57))&gt;0,"COUNTED",IF(COUNTIF(LISTS!$J$2:$J$16,TRIM($G57))&gt;0,"LEFT OUT","NEW")))</f>
        <v/>
      </c>
    </row>
    <row r="58" spans="47:47" x14ac:dyDescent="0.25">
      <c r="AU58" s="8" t="str">
        <f>IF(TRIM($G58)="","",IF(COUNTIF(LISTS!$I$2:$I$16,TRIM($G58))&gt;0,"COUNTED",IF(COUNTIF(LISTS!$J$2:$J$16,TRIM($G58))&gt;0,"LEFT OUT","NEW")))</f>
        <v/>
      </c>
    </row>
    <row r="59" spans="47:47" x14ac:dyDescent="0.25">
      <c r="AU59" s="8" t="str">
        <f>IF(TRIM($G59)="","",IF(COUNTIF(LISTS!$I$2:$I$16,TRIM($G59))&gt;0,"COUNTED",IF(COUNTIF(LISTS!$J$2:$J$16,TRIM($G59))&gt;0,"LEFT OUT","NEW")))</f>
        <v/>
      </c>
    </row>
    <row r="60" spans="47:47" x14ac:dyDescent="0.25">
      <c r="AU60" s="8" t="str">
        <f>IF(TRIM($G60)="","",IF(COUNTIF(LISTS!$I$2:$I$16,TRIM($G60))&gt;0,"COUNTED",IF(COUNTIF(LISTS!$J$2:$J$16,TRIM($G60))&gt;0,"LEFT OUT","NEW")))</f>
        <v/>
      </c>
    </row>
    <row r="61" spans="47:47" x14ac:dyDescent="0.25">
      <c r="AU61" s="8" t="str">
        <f>IF(TRIM($G61)="","",IF(COUNTIF(LISTS!$I$2:$I$16,TRIM($G61))&gt;0,"COUNTED",IF(COUNTIF(LISTS!$J$2:$J$16,TRIM($G61))&gt;0,"LEFT OUT","NEW")))</f>
        <v/>
      </c>
    </row>
    <row r="62" spans="47:47" x14ac:dyDescent="0.25">
      <c r="AU62" s="8" t="str">
        <f>IF(TRIM($G62)="","",IF(COUNTIF(LISTS!$I$2:$I$16,TRIM($G62))&gt;0,"COUNTED",IF(COUNTIF(LISTS!$J$2:$J$16,TRIM($G62))&gt;0,"LEFT OUT","NEW")))</f>
        <v/>
      </c>
    </row>
    <row r="63" spans="47:47" x14ac:dyDescent="0.25">
      <c r="AU63" s="8" t="str">
        <f>IF(TRIM($G63)="","",IF(COUNTIF(LISTS!$I$2:$I$16,TRIM($G63))&gt;0,"COUNTED",IF(COUNTIF(LISTS!$J$2:$J$16,TRIM($G63))&gt;0,"LEFT OUT","NEW")))</f>
        <v/>
      </c>
    </row>
    <row r="64" spans="47:47" x14ac:dyDescent="0.25">
      <c r="AU64" s="8" t="str">
        <f>IF(TRIM($G64)="","",IF(COUNTIF(LISTS!$I$2:$I$16,TRIM($G64))&gt;0,"COUNTED",IF(COUNTIF(LISTS!$J$2:$J$16,TRIM($G64))&gt;0,"LEFT OUT","NEW")))</f>
        <v/>
      </c>
    </row>
    <row r="65" spans="47:47" x14ac:dyDescent="0.25">
      <c r="AU65" s="8" t="str">
        <f>IF(TRIM($G65)="","",IF(COUNTIF(LISTS!$I$2:$I$16,TRIM($G65))&gt;0,"COUNTED",IF(COUNTIF(LISTS!$J$2:$J$16,TRIM($G65))&gt;0,"LEFT OUT","NEW")))</f>
        <v/>
      </c>
    </row>
    <row r="66" spans="47:47" x14ac:dyDescent="0.25">
      <c r="AU66" s="8" t="str">
        <f>IF(TRIM($G66)="","",IF(COUNTIF(LISTS!$I$2:$I$16,TRIM($G66))&gt;0,"COUNTED",IF(COUNTIF(LISTS!$J$2:$J$16,TRIM($G66))&gt;0,"LEFT OUT","NEW")))</f>
        <v/>
      </c>
    </row>
    <row r="67" spans="47:47" x14ac:dyDescent="0.25">
      <c r="AU67" s="8" t="str">
        <f>IF(TRIM($G67)="","",IF(COUNTIF(LISTS!$I$2:$I$16,TRIM($G67))&gt;0,"COUNTED",IF(COUNTIF(LISTS!$J$2:$J$16,TRIM($G67))&gt;0,"LEFT OUT","NEW")))</f>
        <v/>
      </c>
    </row>
    <row r="68" spans="47:47" x14ac:dyDescent="0.25">
      <c r="AU68" s="8" t="str">
        <f>IF(TRIM($G68)="","",IF(COUNTIF(LISTS!$I$2:$I$16,TRIM($G68))&gt;0,"COUNTED",IF(COUNTIF(LISTS!$J$2:$J$16,TRIM($G68))&gt;0,"LEFT OUT","NEW")))</f>
        <v/>
      </c>
    </row>
    <row r="69" spans="47:47" x14ac:dyDescent="0.25">
      <c r="AU69" s="8" t="str">
        <f>IF(TRIM($G69)="","",IF(COUNTIF(LISTS!$I$2:$I$16,TRIM($G69))&gt;0,"COUNTED",IF(COUNTIF(LISTS!$J$2:$J$16,TRIM($G69))&gt;0,"LEFT OUT","NEW")))</f>
        <v/>
      </c>
    </row>
    <row r="70" spans="47:47" x14ac:dyDescent="0.25">
      <c r="AU70" s="8" t="str">
        <f>IF(TRIM($G70)="","",IF(COUNTIF(LISTS!$I$2:$I$16,TRIM($G70))&gt;0,"COUNTED",IF(COUNTIF(LISTS!$J$2:$J$16,TRIM($G70))&gt;0,"LEFT OUT","NEW")))</f>
        <v/>
      </c>
    </row>
    <row r="71" spans="47:47" x14ac:dyDescent="0.25">
      <c r="AU71" s="8" t="str">
        <f>IF(TRIM($G71)="","",IF(COUNTIF(LISTS!$I$2:$I$16,TRIM($G71))&gt;0,"COUNTED",IF(COUNTIF(LISTS!$J$2:$J$16,TRIM($G71))&gt;0,"LEFT OUT","NEW")))</f>
        <v/>
      </c>
    </row>
    <row r="72" spans="47:47" x14ac:dyDescent="0.25">
      <c r="AU72" s="8" t="str">
        <f>IF(TRIM($G72)="","",IF(COUNTIF(LISTS!$I$2:$I$16,TRIM($G72))&gt;0,"COUNTED",IF(COUNTIF(LISTS!$J$2:$J$16,TRIM($G72))&gt;0,"LEFT OUT","NEW")))</f>
        <v/>
      </c>
    </row>
    <row r="73" spans="47:47" x14ac:dyDescent="0.25">
      <c r="AU73" s="8" t="str">
        <f>IF(TRIM($G73)="","",IF(COUNTIF(LISTS!$I$2:$I$16,TRIM($G73))&gt;0,"COUNTED",IF(COUNTIF(LISTS!$J$2:$J$16,TRIM($G73))&gt;0,"LEFT OUT","NEW")))</f>
        <v/>
      </c>
    </row>
    <row r="74" spans="47:47" x14ac:dyDescent="0.25">
      <c r="AU74" s="8" t="str">
        <f>IF(TRIM($G74)="","",IF(COUNTIF(LISTS!$I$2:$I$16,TRIM($G74))&gt;0,"COUNTED",IF(COUNTIF(LISTS!$J$2:$J$16,TRIM($G74))&gt;0,"LEFT OUT","NEW")))</f>
        <v/>
      </c>
    </row>
    <row r="75" spans="47:47" x14ac:dyDescent="0.25">
      <c r="AU75" s="8" t="str">
        <f>IF(TRIM($G75)="","",IF(COUNTIF(LISTS!$I$2:$I$16,TRIM($G75))&gt;0,"COUNTED",IF(COUNTIF(LISTS!$J$2:$J$16,TRIM($G75))&gt;0,"LEFT OUT","NEW")))</f>
        <v/>
      </c>
    </row>
    <row r="76" spans="47:47" x14ac:dyDescent="0.25">
      <c r="AU76" s="8" t="str">
        <f>IF(TRIM($G76)="","",IF(COUNTIF(LISTS!$I$2:$I$16,TRIM($G76))&gt;0,"COUNTED",IF(COUNTIF(LISTS!$J$2:$J$16,TRIM($G76))&gt;0,"LEFT OUT","NEW")))</f>
        <v/>
      </c>
    </row>
    <row r="77" spans="47:47" x14ac:dyDescent="0.25">
      <c r="AU77" s="8" t="str">
        <f>IF(TRIM($G77)="","",IF(COUNTIF(LISTS!$I$2:$I$16,TRIM($G77))&gt;0,"COUNTED",IF(COUNTIF(LISTS!$J$2:$J$16,TRIM($G77))&gt;0,"LEFT OUT","NEW")))</f>
        <v/>
      </c>
    </row>
    <row r="78" spans="47:47" x14ac:dyDescent="0.25">
      <c r="AU78" s="8" t="str">
        <f>IF(TRIM($G78)="","",IF(COUNTIF(LISTS!$I$2:$I$16,TRIM($G78))&gt;0,"COUNTED",IF(COUNTIF(LISTS!$J$2:$J$16,TRIM($G78))&gt;0,"LEFT OUT","NEW")))</f>
        <v/>
      </c>
    </row>
    <row r="79" spans="47:47" x14ac:dyDescent="0.25">
      <c r="AU79" s="8" t="str">
        <f>IF(TRIM($G79)="","",IF(COUNTIF(LISTS!$I$2:$I$16,TRIM($G79))&gt;0,"COUNTED",IF(COUNTIF(LISTS!$J$2:$J$16,TRIM($G79))&gt;0,"LEFT OUT","NEW")))</f>
        <v/>
      </c>
    </row>
    <row r="80" spans="47:47" x14ac:dyDescent="0.25">
      <c r="AU80" s="8" t="str">
        <f>IF(TRIM($G80)="","",IF(COUNTIF(LISTS!$I$2:$I$16,TRIM($G80))&gt;0,"COUNTED",IF(COUNTIF(LISTS!$J$2:$J$16,TRIM($G80))&gt;0,"LEFT OUT","NEW")))</f>
        <v/>
      </c>
    </row>
    <row r="81" spans="47:47" x14ac:dyDescent="0.25">
      <c r="AU81" s="8" t="str">
        <f>IF(TRIM($G81)="","",IF(COUNTIF(LISTS!$I$2:$I$16,TRIM($G81))&gt;0,"COUNTED",IF(COUNTIF(LISTS!$J$2:$J$16,TRIM($G81))&gt;0,"LEFT OUT","NEW")))</f>
        <v/>
      </c>
    </row>
    <row r="82" spans="47:47" x14ac:dyDescent="0.25">
      <c r="AU82" s="8" t="str">
        <f>IF(TRIM($G82)="","",IF(COUNTIF(LISTS!$I$2:$I$16,TRIM($G82))&gt;0,"COUNTED",IF(COUNTIF(LISTS!$J$2:$J$16,TRIM($G82))&gt;0,"LEFT OUT","NEW")))</f>
        <v/>
      </c>
    </row>
    <row r="83" spans="47:47" x14ac:dyDescent="0.25">
      <c r="AU83" s="8" t="str">
        <f>IF(TRIM($G83)="","",IF(COUNTIF(LISTS!$I$2:$I$16,TRIM($G83))&gt;0,"COUNTED",IF(COUNTIF(LISTS!$J$2:$J$16,TRIM($G83))&gt;0,"LEFT OUT","NEW")))</f>
        <v/>
      </c>
    </row>
    <row r="84" spans="47:47" x14ac:dyDescent="0.25">
      <c r="AU84" s="8" t="str">
        <f>IF(TRIM($G84)="","",IF(COUNTIF(LISTS!$I$2:$I$16,TRIM($G84))&gt;0,"COUNTED",IF(COUNTIF(LISTS!$J$2:$J$16,TRIM($G84))&gt;0,"LEFT OUT","NEW")))</f>
        <v/>
      </c>
    </row>
    <row r="85" spans="47:47" x14ac:dyDescent="0.25">
      <c r="AU85" s="8" t="str">
        <f>IF(TRIM($G85)="","",IF(COUNTIF(LISTS!$I$2:$I$16,TRIM($G85))&gt;0,"COUNTED",IF(COUNTIF(LISTS!$J$2:$J$16,TRIM($G85))&gt;0,"LEFT OUT","NEW")))</f>
        <v/>
      </c>
    </row>
    <row r="86" spans="47:47" x14ac:dyDescent="0.25">
      <c r="AU86" s="8" t="str">
        <f>IF(TRIM($G86)="","",IF(COUNTIF(LISTS!$I$2:$I$16,TRIM($G86))&gt;0,"COUNTED",IF(COUNTIF(LISTS!$J$2:$J$16,TRIM($G86))&gt;0,"LEFT OUT","NEW")))</f>
        <v/>
      </c>
    </row>
    <row r="87" spans="47:47" x14ac:dyDescent="0.25">
      <c r="AU87" s="8" t="str">
        <f>IF(TRIM($G87)="","",IF(COUNTIF(LISTS!$I$2:$I$16,TRIM($G87))&gt;0,"COUNTED",IF(COUNTIF(LISTS!$J$2:$J$16,TRIM($G87))&gt;0,"LEFT OUT","NEW")))</f>
        <v/>
      </c>
    </row>
    <row r="88" spans="47:47" x14ac:dyDescent="0.25">
      <c r="AU88" s="8" t="str">
        <f>IF(TRIM($G88)="","",IF(COUNTIF(LISTS!$I$2:$I$16,TRIM($G88))&gt;0,"COUNTED",IF(COUNTIF(LISTS!$J$2:$J$16,TRIM($G88))&gt;0,"LEFT OUT","NEW")))</f>
        <v/>
      </c>
    </row>
    <row r="89" spans="47:47" x14ac:dyDescent="0.25">
      <c r="AU89" s="8" t="str">
        <f>IF(TRIM($G89)="","",IF(COUNTIF(LISTS!$I$2:$I$16,TRIM($G89))&gt;0,"COUNTED",IF(COUNTIF(LISTS!$J$2:$J$16,TRIM($G89))&gt;0,"LEFT OUT","NEW")))</f>
        <v/>
      </c>
    </row>
    <row r="90" spans="47:47" x14ac:dyDescent="0.25">
      <c r="AU90" s="8" t="str">
        <f>IF(TRIM($G90)="","",IF(COUNTIF(LISTS!$I$2:$I$16,TRIM($G90))&gt;0,"COUNTED",IF(COUNTIF(LISTS!$J$2:$J$16,TRIM($G90))&gt;0,"LEFT OUT","NEW")))</f>
        <v/>
      </c>
    </row>
    <row r="91" spans="47:47" x14ac:dyDescent="0.25">
      <c r="AU91" s="8" t="str">
        <f>IF(TRIM($G91)="","",IF(COUNTIF(LISTS!$I$2:$I$16,TRIM($G91))&gt;0,"COUNTED",IF(COUNTIF(LISTS!$J$2:$J$16,TRIM($G91))&gt;0,"LEFT OUT","NEW")))</f>
        <v/>
      </c>
    </row>
    <row r="92" spans="47:47" x14ac:dyDescent="0.25">
      <c r="AU92" s="8" t="str">
        <f>IF(TRIM($G92)="","",IF(COUNTIF(LISTS!$I$2:$I$16,TRIM($G92))&gt;0,"COUNTED",IF(COUNTIF(LISTS!$J$2:$J$16,TRIM($G92))&gt;0,"LEFT OUT","NEW")))</f>
        <v/>
      </c>
    </row>
    <row r="93" spans="47:47" x14ac:dyDescent="0.25">
      <c r="AU93" s="8" t="str">
        <f>IF(TRIM($G93)="","",IF(COUNTIF(LISTS!$I$2:$I$16,TRIM($G93))&gt;0,"COUNTED",IF(COUNTIF(LISTS!$J$2:$J$16,TRIM($G93))&gt;0,"LEFT OUT","NEW")))</f>
        <v/>
      </c>
    </row>
    <row r="94" spans="47:47" x14ac:dyDescent="0.25">
      <c r="AU94" s="8" t="str">
        <f>IF(TRIM($G94)="","",IF(COUNTIF(LISTS!$I$2:$I$16,TRIM($G94))&gt;0,"COUNTED",IF(COUNTIF(LISTS!$J$2:$J$16,TRIM($G94))&gt;0,"LEFT OUT","NEW")))</f>
        <v/>
      </c>
    </row>
    <row r="95" spans="47:47" x14ac:dyDescent="0.25">
      <c r="AU95" s="8" t="str">
        <f>IF(TRIM($G95)="","",IF(COUNTIF(LISTS!$I$2:$I$16,TRIM($G95))&gt;0,"COUNTED",IF(COUNTIF(LISTS!$J$2:$J$16,TRIM($G95))&gt;0,"LEFT OUT","NEW")))</f>
        <v/>
      </c>
    </row>
    <row r="96" spans="47:47" x14ac:dyDescent="0.25">
      <c r="AU96" s="8" t="str">
        <f>IF(TRIM($G96)="","",IF(COUNTIF(LISTS!$I$2:$I$16,TRIM($G96))&gt;0,"COUNTED",IF(COUNTIF(LISTS!$J$2:$J$16,TRIM($G96))&gt;0,"LEFT OUT","NEW")))</f>
        <v/>
      </c>
    </row>
    <row r="97" spans="47:47" x14ac:dyDescent="0.25">
      <c r="AU97" s="8" t="str">
        <f>IF(TRIM($G97)="","",IF(COUNTIF(LISTS!$I$2:$I$16,TRIM($G97))&gt;0,"COUNTED",IF(COUNTIF(LISTS!$J$2:$J$16,TRIM($G97))&gt;0,"LEFT OUT","NEW")))</f>
        <v/>
      </c>
    </row>
    <row r="98" spans="47:47" x14ac:dyDescent="0.25">
      <c r="AU98" s="8" t="str">
        <f>IF(TRIM($G98)="","",IF(COUNTIF(LISTS!$I$2:$I$16,TRIM($G98))&gt;0,"COUNTED",IF(COUNTIF(LISTS!$J$2:$J$16,TRIM($G98))&gt;0,"LEFT OUT","NEW")))</f>
        <v/>
      </c>
    </row>
    <row r="99" spans="47:47" x14ac:dyDescent="0.25">
      <c r="AU99" s="8" t="str">
        <f>IF(TRIM($G99)="","",IF(COUNTIF(LISTS!$I$2:$I$16,TRIM($G99))&gt;0,"COUNTED",IF(COUNTIF(LISTS!$J$2:$J$16,TRIM($G99))&gt;0,"LEFT OUT","NEW")))</f>
        <v/>
      </c>
    </row>
    <row r="100" spans="47:47" x14ac:dyDescent="0.25">
      <c r="AU100" s="8" t="str">
        <f>IF(TRIM($G100)="","",IF(COUNTIF(LISTS!$I$2:$I$16,TRIM($G100))&gt;0,"COUNTED",IF(COUNTIF(LISTS!$J$2:$J$16,TRIM($G100))&gt;0,"LEFT OUT","NEW")))</f>
        <v/>
      </c>
    </row>
    <row r="101" spans="47:47" x14ac:dyDescent="0.25">
      <c r="AU101" s="8" t="str">
        <f>IF(TRIM($G101)="","",IF(COUNTIF(LISTS!$I$2:$I$16,TRIM($G101))&gt;0,"COUNTED",IF(COUNTIF(LISTS!$J$2:$J$16,TRIM($G101))&gt;0,"LEFT OUT","NEW")))</f>
        <v/>
      </c>
    </row>
    <row r="102" spans="47:47" x14ac:dyDescent="0.25">
      <c r="AU102" s="8" t="str">
        <f>IF(TRIM($G102)="","",IF(COUNTIF(LISTS!$I$2:$I$16,TRIM($G102))&gt;0,"COUNTED",IF(COUNTIF(LISTS!$J$2:$J$16,TRIM($G102))&gt;0,"LEFT OUT","NEW")))</f>
        <v/>
      </c>
    </row>
    <row r="103" spans="47:47" x14ac:dyDescent="0.25">
      <c r="AU103" s="8" t="str">
        <f>IF(TRIM($G103)="","",IF(COUNTIF(LISTS!$I$2:$I$16,TRIM($G103))&gt;0,"COUNTED",IF(COUNTIF(LISTS!$J$2:$J$16,TRIM($G103))&gt;0,"LEFT OUT","NEW")))</f>
        <v/>
      </c>
    </row>
    <row r="104" spans="47:47" x14ac:dyDescent="0.25">
      <c r="AU104" s="8" t="str">
        <f>IF(TRIM($G104)="","",IF(COUNTIF(LISTS!$I$2:$I$16,TRIM($G104))&gt;0,"COUNTED",IF(COUNTIF(LISTS!$J$2:$J$16,TRIM($G104))&gt;0,"LEFT OUT","NEW")))</f>
        <v/>
      </c>
    </row>
    <row r="105" spans="47:47" x14ac:dyDescent="0.25">
      <c r="AU105" s="8" t="str">
        <f>IF(TRIM($G105)="","",IF(COUNTIF(LISTS!$I$2:$I$16,TRIM($G105))&gt;0,"COUNTED",IF(COUNTIF(LISTS!$J$2:$J$16,TRIM($G105))&gt;0,"LEFT OUT","NEW")))</f>
        <v/>
      </c>
    </row>
    <row r="106" spans="47:47" x14ac:dyDescent="0.25">
      <c r="AU106" s="8" t="str">
        <f>IF(TRIM($G106)="","",IF(COUNTIF(LISTS!$I$2:$I$16,TRIM($G106))&gt;0,"COUNTED",IF(COUNTIF(LISTS!$J$2:$J$16,TRIM($G106))&gt;0,"LEFT OUT","NEW")))</f>
        <v/>
      </c>
    </row>
    <row r="107" spans="47:47" x14ac:dyDescent="0.25">
      <c r="AU107" s="8" t="str">
        <f>IF(TRIM($G107)="","",IF(COUNTIF(LISTS!$I$2:$I$16,TRIM($G107))&gt;0,"COUNTED",IF(COUNTIF(LISTS!$J$2:$J$16,TRIM($G107))&gt;0,"LEFT OUT","NEW")))</f>
        <v/>
      </c>
    </row>
    <row r="108" spans="47:47" x14ac:dyDescent="0.25">
      <c r="AU108" s="8" t="str">
        <f>IF(TRIM($G108)="","",IF(COUNTIF(LISTS!$I$2:$I$16,TRIM($G108))&gt;0,"COUNTED",IF(COUNTIF(LISTS!$J$2:$J$16,TRIM($G108))&gt;0,"LEFT OUT","NEW")))</f>
        <v/>
      </c>
    </row>
    <row r="109" spans="47:47" x14ac:dyDescent="0.25">
      <c r="AU109" s="8" t="str">
        <f>IF(TRIM($G109)="","",IF(COUNTIF(LISTS!$I$2:$I$16,TRIM($G109))&gt;0,"COUNTED",IF(COUNTIF(LISTS!$J$2:$J$16,TRIM($G109))&gt;0,"LEFT OUT","NEW")))</f>
        <v/>
      </c>
    </row>
    <row r="110" spans="47:47" x14ac:dyDescent="0.25">
      <c r="AU110" s="8" t="str">
        <f>IF(TRIM($G110)="","",IF(COUNTIF(LISTS!$I$2:$I$16,TRIM($G110))&gt;0,"COUNTED",IF(COUNTIF(LISTS!$J$2:$J$16,TRIM($G110))&gt;0,"LEFT OUT","NEW")))</f>
        <v/>
      </c>
    </row>
    <row r="111" spans="47:47" x14ac:dyDescent="0.25">
      <c r="AU111" s="8" t="str">
        <f>IF(TRIM($G111)="","",IF(COUNTIF(LISTS!$I$2:$I$16,TRIM($G111))&gt;0,"COUNTED",IF(COUNTIF(LISTS!$J$2:$J$16,TRIM($G111))&gt;0,"LEFT OUT","NEW")))</f>
        <v/>
      </c>
    </row>
    <row r="112" spans="47:47" x14ac:dyDescent="0.25">
      <c r="AU112" s="8" t="str">
        <f>IF(TRIM($G112)="","",IF(COUNTIF(LISTS!$I$2:$I$16,TRIM($G112))&gt;0,"COUNTED",IF(COUNTIF(LISTS!$J$2:$J$16,TRIM($G112))&gt;0,"LEFT OUT","NEW")))</f>
        <v/>
      </c>
    </row>
    <row r="113" spans="47:47" x14ac:dyDescent="0.25">
      <c r="AU113" s="8" t="str">
        <f>IF(TRIM($G113)="","",IF(COUNTIF(LISTS!$I$2:$I$16,TRIM($G113))&gt;0,"COUNTED",IF(COUNTIF(LISTS!$J$2:$J$16,TRIM($G113))&gt;0,"LEFT OUT","NEW")))</f>
        <v/>
      </c>
    </row>
    <row r="114" spans="47:47" x14ac:dyDescent="0.25">
      <c r="AU114" s="8" t="str">
        <f>IF(TRIM($G114)="","",IF(COUNTIF(LISTS!$I$2:$I$16,TRIM($G114))&gt;0,"COUNTED",IF(COUNTIF(LISTS!$J$2:$J$16,TRIM($G114))&gt;0,"LEFT OUT","NEW")))</f>
        <v/>
      </c>
    </row>
    <row r="115" spans="47:47" x14ac:dyDescent="0.25">
      <c r="AU115" s="8" t="str">
        <f>IF(TRIM($G115)="","",IF(COUNTIF(LISTS!$I$2:$I$16,TRIM($G115))&gt;0,"COUNTED",IF(COUNTIF(LISTS!$J$2:$J$16,TRIM($G115))&gt;0,"LEFT OUT","NEW")))</f>
        <v/>
      </c>
    </row>
    <row r="116" spans="47:47" x14ac:dyDescent="0.25">
      <c r="AU116" s="8" t="str">
        <f>IF(TRIM($G116)="","",IF(COUNTIF(LISTS!$I$2:$I$16,TRIM($G116))&gt;0,"COUNTED",IF(COUNTIF(LISTS!$J$2:$J$16,TRIM($G116))&gt;0,"LEFT OUT","NEW")))</f>
        <v/>
      </c>
    </row>
    <row r="117" spans="47:47" x14ac:dyDescent="0.25">
      <c r="AU117" s="8" t="str">
        <f>IF(TRIM($G117)="","",IF(COUNTIF(LISTS!$I$2:$I$16,TRIM($G117))&gt;0,"COUNTED",IF(COUNTIF(LISTS!$J$2:$J$16,TRIM($G117))&gt;0,"LEFT OUT","NEW")))</f>
        <v/>
      </c>
    </row>
    <row r="118" spans="47:47" x14ac:dyDescent="0.25">
      <c r="AU118" s="8" t="str">
        <f>IF(TRIM($G118)="","",IF(COUNTIF(LISTS!$I$2:$I$16,TRIM($G118))&gt;0,"COUNTED",IF(COUNTIF(LISTS!$J$2:$J$16,TRIM($G118))&gt;0,"LEFT OUT","NEW")))</f>
        <v/>
      </c>
    </row>
    <row r="119" spans="47:47" x14ac:dyDescent="0.25">
      <c r="AU119" s="8" t="str">
        <f>IF(TRIM($G119)="","",IF(COUNTIF(LISTS!$I$2:$I$16,TRIM($G119))&gt;0,"COUNTED",IF(COUNTIF(LISTS!$J$2:$J$16,TRIM($G119))&gt;0,"LEFT OUT","NEW")))</f>
        <v/>
      </c>
    </row>
    <row r="120" spans="47:47" x14ac:dyDescent="0.25">
      <c r="AU120" s="8" t="str">
        <f>IF(TRIM($G120)="","",IF(COUNTIF(LISTS!$I$2:$I$16,TRIM($G120))&gt;0,"COUNTED",IF(COUNTIF(LISTS!$J$2:$J$16,TRIM($G120))&gt;0,"LEFT OUT","NEW")))</f>
        <v/>
      </c>
    </row>
    <row r="121" spans="47:47" x14ac:dyDescent="0.25">
      <c r="AU121" s="8" t="str">
        <f>IF(TRIM($G121)="","",IF(COUNTIF(LISTS!$I$2:$I$16,TRIM($G121))&gt;0,"COUNTED",IF(COUNTIF(LISTS!$J$2:$J$16,TRIM($G121))&gt;0,"LEFT OUT","NEW")))</f>
        <v/>
      </c>
    </row>
    <row r="122" spans="47:47" x14ac:dyDescent="0.25">
      <c r="AU122" s="8" t="str">
        <f>IF(TRIM($G122)="","",IF(COUNTIF(LISTS!$I$2:$I$16,TRIM($G122))&gt;0,"COUNTED",IF(COUNTIF(LISTS!$J$2:$J$16,TRIM($G122))&gt;0,"LEFT OUT","NEW")))</f>
        <v/>
      </c>
    </row>
    <row r="123" spans="47:47" x14ac:dyDescent="0.25">
      <c r="AU123" s="8" t="str">
        <f>IF(TRIM($G123)="","",IF(COUNTIF(LISTS!$I$2:$I$16,TRIM($G123))&gt;0,"COUNTED",IF(COUNTIF(LISTS!$J$2:$J$16,TRIM($G123))&gt;0,"LEFT OUT","NEW")))</f>
        <v/>
      </c>
    </row>
    <row r="124" spans="47:47" x14ac:dyDescent="0.25">
      <c r="AU124" s="8" t="str">
        <f>IF(TRIM($G124)="","",IF(COUNTIF(LISTS!$I$2:$I$16,TRIM($G124))&gt;0,"COUNTED",IF(COUNTIF(LISTS!$J$2:$J$16,TRIM($G124))&gt;0,"LEFT OUT","NEW")))</f>
        <v/>
      </c>
    </row>
    <row r="125" spans="47:47" x14ac:dyDescent="0.25">
      <c r="AU125" s="8" t="str">
        <f>IF(TRIM($G125)="","",IF(COUNTIF(LISTS!$I$2:$I$16,TRIM($G125))&gt;0,"COUNTED",IF(COUNTIF(LISTS!$J$2:$J$16,TRIM($G125))&gt;0,"LEFT OUT","NEW")))</f>
        <v/>
      </c>
    </row>
    <row r="126" spans="47:47" x14ac:dyDescent="0.25">
      <c r="AU126" s="8" t="str">
        <f>IF(TRIM($G126)="","",IF(COUNTIF(LISTS!$I$2:$I$16,TRIM($G126))&gt;0,"COUNTED",IF(COUNTIF(LISTS!$J$2:$J$16,TRIM($G126))&gt;0,"LEFT OUT","NEW")))</f>
        <v/>
      </c>
    </row>
    <row r="127" spans="47:47" x14ac:dyDescent="0.25">
      <c r="AU127" s="8" t="str">
        <f>IF(TRIM($G127)="","",IF(COUNTIF(LISTS!$I$2:$I$16,TRIM($G127))&gt;0,"COUNTED",IF(COUNTIF(LISTS!$J$2:$J$16,TRIM($G127))&gt;0,"LEFT OUT","NEW")))</f>
        <v/>
      </c>
    </row>
    <row r="128" spans="47:47" x14ac:dyDescent="0.25">
      <c r="AU128" s="8" t="str">
        <f>IF(TRIM($G128)="","",IF(COUNTIF(LISTS!$I$2:$I$16,TRIM($G128))&gt;0,"COUNTED",IF(COUNTIF(LISTS!$J$2:$J$16,TRIM($G128))&gt;0,"LEFT OUT","NEW")))</f>
        <v/>
      </c>
    </row>
    <row r="129" spans="47:47" x14ac:dyDescent="0.25">
      <c r="AU129" s="8" t="str">
        <f>IF(TRIM($G129)="","",IF(COUNTIF(LISTS!$I$2:$I$16,TRIM($G129))&gt;0,"COUNTED",IF(COUNTIF(LISTS!$J$2:$J$16,TRIM($G129))&gt;0,"LEFT OUT","NEW")))</f>
        <v/>
      </c>
    </row>
    <row r="130" spans="47:47" x14ac:dyDescent="0.25">
      <c r="AU130" s="8" t="str">
        <f>IF(TRIM($G130)="","",IF(COUNTIF(LISTS!$I$2:$I$16,TRIM($G130))&gt;0,"COUNTED",IF(COUNTIF(LISTS!$J$2:$J$16,TRIM($G130))&gt;0,"LEFT OUT","NEW")))</f>
        <v/>
      </c>
    </row>
    <row r="131" spans="47:47" x14ac:dyDescent="0.25">
      <c r="AU131" s="8" t="str">
        <f>IF(TRIM($G131)="","",IF(COUNTIF(LISTS!$I$2:$I$16,TRIM($G131))&gt;0,"COUNTED",IF(COUNTIF(LISTS!$J$2:$J$16,TRIM($G131))&gt;0,"LEFT OUT","NEW")))</f>
        <v/>
      </c>
    </row>
    <row r="132" spans="47:47" x14ac:dyDescent="0.25">
      <c r="AU132" s="8" t="str">
        <f>IF(TRIM($G132)="","",IF(COUNTIF(LISTS!$I$2:$I$16,TRIM($G132))&gt;0,"COUNTED",IF(COUNTIF(LISTS!$J$2:$J$16,TRIM($G132))&gt;0,"LEFT OUT","NEW")))</f>
        <v/>
      </c>
    </row>
    <row r="133" spans="47:47" x14ac:dyDescent="0.25">
      <c r="AU133" s="8" t="str">
        <f>IF(TRIM($G133)="","",IF(COUNTIF(LISTS!$I$2:$I$16,TRIM($G133))&gt;0,"COUNTED",IF(COUNTIF(LISTS!$J$2:$J$16,TRIM($G133))&gt;0,"LEFT OUT","NEW")))</f>
        <v/>
      </c>
    </row>
    <row r="134" spans="47:47" x14ac:dyDescent="0.25">
      <c r="AU134" s="8" t="str">
        <f>IF(TRIM($G134)="","",IF(COUNTIF(LISTS!$I$2:$I$16,TRIM($G134))&gt;0,"COUNTED",IF(COUNTIF(LISTS!$J$2:$J$16,TRIM($G134))&gt;0,"LEFT OUT","NEW")))</f>
        <v/>
      </c>
    </row>
    <row r="135" spans="47:47" x14ac:dyDescent="0.25">
      <c r="AU135" s="8" t="str">
        <f>IF(TRIM($G135)="","",IF(COUNTIF(LISTS!$I$2:$I$16,TRIM($G135))&gt;0,"COUNTED",IF(COUNTIF(LISTS!$J$2:$J$16,TRIM($G135))&gt;0,"LEFT OUT","NEW")))</f>
        <v/>
      </c>
    </row>
    <row r="136" spans="47:47" x14ac:dyDescent="0.25">
      <c r="AU136" s="8" t="str">
        <f>IF(TRIM($G136)="","",IF(COUNTIF(LISTS!$I$2:$I$16,TRIM($G136))&gt;0,"COUNTED",IF(COUNTIF(LISTS!$J$2:$J$16,TRIM($G136))&gt;0,"LEFT OUT","NEW")))</f>
        <v/>
      </c>
    </row>
    <row r="137" spans="47:47" x14ac:dyDescent="0.25">
      <c r="AU137" s="8" t="str">
        <f>IF(TRIM($G137)="","",IF(COUNTIF(LISTS!$I$2:$I$16,TRIM($G137))&gt;0,"COUNTED",IF(COUNTIF(LISTS!$J$2:$J$16,TRIM($G137))&gt;0,"LEFT OUT","NEW")))</f>
        <v/>
      </c>
    </row>
    <row r="138" spans="47:47" x14ac:dyDescent="0.25">
      <c r="AU138" s="8" t="str">
        <f>IF(TRIM($G138)="","",IF(COUNTIF(LISTS!$I$2:$I$16,TRIM($G138))&gt;0,"COUNTED",IF(COUNTIF(LISTS!$J$2:$J$16,TRIM($G138))&gt;0,"LEFT OUT","NEW")))</f>
        <v/>
      </c>
    </row>
    <row r="139" spans="47:47" x14ac:dyDescent="0.25">
      <c r="AU139" s="8" t="str">
        <f>IF(TRIM($G139)="","",IF(COUNTIF(LISTS!$I$2:$I$16,TRIM($G139))&gt;0,"COUNTED",IF(COUNTIF(LISTS!$J$2:$J$16,TRIM($G139))&gt;0,"LEFT OUT","NEW")))</f>
        <v/>
      </c>
    </row>
    <row r="140" spans="47:47" x14ac:dyDescent="0.25">
      <c r="AU140" s="8" t="str">
        <f>IF(TRIM($G140)="","",IF(COUNTIF(LISTS!$I$2:$I$16,TRIM($G140))&gt;0,"COUNTED",IF(COUNTIF(LISTS!$J$2:$J$16,TRIM($G140))&gt;0,"LEFT OUT","NEW")))</f>
        <v/>
      </c>
    </row>
    <row r="141" spans="47:47" x14ac:dyDescent="0.25">
      <c r="AU141" s="8" t="str">
        <f>IF(TRIM($G141)="","",IF(COUNTIF(LISTS!$I$2:$I$16,TRIM($G141))&gt;0,"COUNTED",IF(COUNTIF(LISTS!$J$2:$J$16,TRIM($G141))&gt;0,"LEFT OUT","NEW")))</f>
        <v/>
      </c>
    </row>
    <row r="142" spans="47:47" x14ac:dyDescent="0.25">
      <c r="AU142" s="8" t="str">
        <f>IF(TRIM($G142)="","",IF(COUNTIF(LISTS!$I$2:$I$16,TRIM($G142))&gt;0,"COUNTED",IF(COUNTIF(LISTS!$J$2:$J$16,TRIM($G142))&gt;0,"LEFT OUT","NEW")))</f>
        <v/>
      </c>
    </row>
    <row r="143" spans="47:47" x14ac:dyDescent="0.25">
      <c r="AU143" s="8" t="str">
        <f>IF(TRIM($G143)="","",IF(COUNTIF(LISTS!$I$2:$I$16,TRIM($G143))&gt;0,"COUNTED",IF(COUNTIF(LISTS!$J$2:$J$16,TRIM($G143))&gt;0,"LEFT OUT","NEW")))</f>
        <v/>
      </c>
    </row>
    <row r="144" spans="47:47" x14ac:dyDescent="0.25">
      <c r="AU144" s="8" t="str">
        <f>IF(TRIM($G144)="","",IF(COUNTIF(LISTS!$I$2:$I$16,TRIM($G144))&gt;0,"COUNTED",IF(COUNTIF(LISTS!$J$2:$J$16,TRIM($G144))&gt;0,"LEFT OUT","NEW")))</f>
        <v/>
      </c>
    </row>
    <row r="145" spans="47:47" x14ac:dyDescent="0.25">
      <c r="AU145" s="8" t="str">
        <f>IF(TRIM($G145)="","",IF(COUNTIF(LISTS!$I$2:$I$16,TRIM($G145))&gt;0,"COUNTED",IF(COUNTIF(LISTS!$J$2:$J$16,TRIM($G145))&gt;0,"LEFT OUT","NEW")))</f>
        <v/>
      </c>
    </row>
    <row r="146" spans="47:47" x14ac:dyDescent="0.25">
      <c r="AU146" s="8" t="str">
        <f>IF(TRIM($G146)="","",IF(COUNTIF(LISTS!$I$2:$I$16,TRIM($G146))&gt;0,"COUNTED",IF(COUNTIF(LISTS!$J$2:$J$16,TRIM($G146))&gt;0,"LEFT OUT","NEW")))</f>
        <v/>
      </c>
    </row>
    <row r="147" spans="47:47" x14ac:dyDescent="0.25">
      <c r="AU147" s="8" t="str">
        <f>IF(TRIM($G147)="","",IF(COUNTIF(LISTS!$I$2:$I$16,TRIM($G147))&gt;0,"COUNTED",IF(COUNTIF(LISTS!$J$2:$J$16,TRIM($G147))&gt;0,"LEFT OUT","NEW")))</f>
        <v/>
      </c>
    </row>
    <row r="148" spans="47:47" x14ac:dyDescent="0.25">
      <c r="AU148" s="8" t="str">
        <f>IF(TRIM($G148)="","",IF(COUNTIF(LISTS!$I$2:$I$16,TRIM($G148))&gt;0,"COUNTED",IF(COUNTIF(LISTS!$J$2:$J$16,TRIM($G148))&gt;0,"LEFT OUT","NEW")))</f>
        <v/>
      </c>
    </row>
    <row r="149" spans="47:47" x14ac:dyDescent="0.25">
      <c r="AU149" s="8" t="str">
        <f>IF(TRIM($G149)="","",IF(COUNTIF(LISTS!$I$2:$I$16,TRIM($G149))&gt;0,"COUNTED",IF(COUNTIF(LISTS!$J$2:$J$16,TRIM($G149))&gt;0,"LEFT OUT","NEW")))</f>
        <v/>
      </c>
    </row>
    <row r="150" spans="47:47" x14ac:dyDescent="0.25">
      <c r="AU150" s="8" t="str">
        <f>IF(TRIM($G150)="","",IF(COUNTIF(LISTS!$I$2:$I$16,TRIM($G150))&gt;0,"COUNTED",IF(COUNTIF(LISTS!$J$2:$J$16,TRIM($G150))&gt;0,"LEFT OUT","NEW")))</f>
        <v/>
      </c>
    </row>
    <row r="151" spans="47:47" x14ac:dyDescent="0.25">
      <c r="AU151" s="8" t="str">
        <f>IF(TRIM($G151)="","",IF(COUNTIF(LISTS!$I$2:$I$16,TRIM($G151))&gt;0,"COUNTED",IF(COUNTIF(LISTS!$J$2:$J$16,TRIM($G151))&gt;0,"LEFT OUT","NEW")))</f>
        <v/>
      </c>
    </row>
    <row r="152" spans="47:47" x14ac:dyDescent="0.25">
      <c r="AU152" s="8" t="str">
        <f>IF(TRIM($G152)="","",IF(COUNTIF(LISTS!$I$2:$I$16,TRIM($G152))&gt;0,"COUNTED",IF(COUNTIF(LISTS!$J$2:$J$16,TRIM($G152))&gt;0,"LEFT OUT","NEW")))</f>
        <v/>
      </c>
    </row>
    <row r="153" spans="47:47" x14ac:dyDescent="0.25">
      <c r="AU153" s="8" t="str">
        <f>IF(TRIM($G153)="","",IF(COUNTIF(LISTS!$I$2:$I$16,TRIM($G153))&gt;0,"COUNTED",IF(COUNTIF(LISTS!$J$2:$J$16,TRIM($G153))&gt;0,"LEFT OUT","NEW")))</f>
        <v/>
      </c>
    </row>
    <row r="154" spans="47:47" x14ac:dyDescent="0.25">
      <c r="AU154" s="8" t="str">
        <f>IF(TRIM($G154)="","",IF(COUNTIF(LISTS!$I$2:$I$16,TRIM($G154))&gt;0,"COUNTED",IF(COUNTIF(LISTS!$J$2:$J$16,TRIM($G154))&gt;0,"LEFT OUT","NEW")))</f>
        <v/>
      </c>
    </row>
    <row r="155" spans="47:47" x14ac:dyDescent="0.25">
      <c r="AU155" s="8" t="str">
        <f>IF(TRIM($G155)="","",IF(COUNTIF(LISTS!$I$2:$I$16,TRIM($G155))&gt;0,"COUNTED",IF(COUNTIF(LISTS!$J$2:$J$16,TRIM($G155))&gt;0,"LEFT OUT","NEW")))</f>
        <v/>
      </c>
    </row>
    <row r="156" spans="47:47" x14ac:dyDescent="0.25">
      <c r="AU156" s="8" t="str">
        <f>IF(TRIM($G156)="","",IF(COUNTIF(LISTS!$I$2:$I$16,TRIM($G156))&gt;0,"COUNTED",IF(COUNTIF(LISTS!$J$2:$J$16,TRIM($G156))&gt;0,"LEFT OUT","NEW")))</f>
        <v/>
      </c>
    </row>
    <row r="157" spans="47:47" x14ac:dyDescent="0.25">
      <c r="AU157" s="8" t="str">
        <f>IF(TRIM($G157)="","",IF(COUNTIF(LISTS!$I$2:$I$16,TRIM($G157))&gt;0,"COUNTED",IF(COUNTIF(LISTS!$J$2:$J$16,TRIM($G157))&gt;0,"LEFT OUT","NEW")))</f>
        <v/>
      </c>
    </row>
    <row r="158" spans="47:47" x14ac:dyDescent="0.25">
      <c r="AU158" s="8" t="str">
        <f>IF(TRIM($G158)="","",IF(COUNTIF(LISTS!$I$2:$I$16,TRIM($G158))&gt;0,"COUNTED",IF(COUNTIF(LISTS!$J$2:$J$16,TRIM($G158))&gt;0,"LEFT OUT","NEW")))</f>
        <v/>
      </c>
    </row>
    <row r="159" spans="47:47" x14ac:dyDescent="0.25">
      <c r="AU159" s="8" t="str">
        <f>IF(TRIM($G159)="","",IF(COUNTIF(LISTS!$I$2:$I$16,TRIM($G159))&gt;0,"COUNTED",IF(COUNTIF(LISTS!$J$2:$J$16,TRIM($G159))&gt;0,"LEFT OUT","NEW")))</f>
        <v/>
      </c>
    </row>
    <row r="160" spans="47:47" x14ac:dyDescent="0.25">
      <c r="AU160" s="8" t="str">
        <f>IF(TRIM($G160)="","",IF(COUNTIF(LISTS!$I$2:$I$16,TRIM($G160))&gt;0,"COUNTED",IF(COUNTIF(LISTS!$J$2:$J$16,TRIM($G160))&gt;0,"LEFT OUT","NEW")))</f>
        <v/>
      </c>
    </row>
    <row r="161" spans="47:47" x14ac:dyDescent="0.25">
      <c r="AU161" s="8" t="str">
        <f>IF(TRIM($G161)="","",IF(COUNTIF(LISTS!$I$2:$I$16,TRIM($G161))&gt;0,"COUNTED",IF(COUNTIF(LISTS!$J$2:$J$16,TRIM($G161))&gt;0,"LEFT OUT","NEW")))</f>
        <v/>
      </c>
    </row>
    <row r="162" spans="47:47" x14ac:dyDescent="0.25">
      <c r="AU162" s="8" t="str">
        <f>IF(TRIM($G162)="","",IF(COUNTIF(LISTS!$I$2:$I$16,TRIM($G162))&gt;0,"COUNTED",IF(COUNTIF(LISTS!$J$2:$J$16,TRIM($G162))&gt;0,"LEFT OUT","NEW")))</f>
        <v/>
      </c>
    </row>
    <row r="163" spans="47:47" x14ac:dyDescent="0.25">
      <c r="AU163" s="8" t="str">
        <f>IF(TRIM($G163)="","",IF(COUNTIF(LISTS!$I$2:$I$16,TRIM($G163))&gt;0,"COUNTED",IF(COUNTIF(LISTS!$J$2:$J$16,TRIM($G163))&gt;0,"LEFT OUT","NEW")))</f>
        <v/>
      </c>
    </row>
    <row r="164" spans="47:47" x14ac:dyDescent="0.25">
      <c r="AU164" s="8" t="str">
        <f>IF(TRIM($G164)="","",IF(COUNTIF(LISTS!$I$2:$I$16,TRIM($G164))&gt;0,"COUNTED",IF(COUNTIF(LISTS!$J$2:$J$16,TRIM($G164))&gt;0,"LEFT OUT","NEW")))</f>
        <v/>
      </c>
    </row>
    <row r="165" spans="47:47" x14ac:dyDescent="0.25">
      <c r="AU165" s="8" t="str">
        <f>IF(TRIM($G165)="","",IF(COUNTIF(LISTS!$I$2:$I$16,TRIM($G165))&gt;0,"COUNTED",IF(COUNTIF(LISTS!$J$2:$J$16,TRIM($G165))&gt;0,"LEFT OUT","NEW")))</f>
        <v/>
      </c>
    </row>
    <row r="166" spans="47:47" x14ac:dyDescent="0.25">
      <c r="AU166" s="8" t="str">
        <f>IF(TRIM($G166)="","",IF(COUNTIF(LISTS!$I$2:$I$16,TRIM($G166))&gt;0,"COUNTED",IF(COUNTIF(LISTS!$J$2:$J$16,TRIM($G166))&gt;0,"LEFT OUT","NEW")))</f>
        <v/>
      </c>
    </row>
    <row r="167" spans="47:47" x14ac:dyDescent="0.25">
      <c r="AU167" s="8" t="str">
        <f>IF(TRIM($G167)="","",IF(COUNTIF(LISTS!$I$2:$I$16,TRIM($G167))&gt;0,"COUNTED",IF(COUNTIF(LISTS!$J$2:$J$16,TRIM($G167))&gt;0,"LEFT OUT","NEW")))</f>
        <v/>
      </c>
    </row>
    <row r="168" spans="47:47" x14ac:dyDescent="0.25">
      <c r="AU168" s="8" t="str">
        <f>IF(TRIM($G168)="","",IF(COUNTIF(LISTS!$I$2:$I$16,TRIM($G168))&gt;0,"COUNTED",IF(COUNTIF(LISTS!$J$2:$J$16,TRIM($G168))&gt;0,"LEFT OUT","NEW")))</f>
        <v/>
      </c>
    </row>
    <row r="169" spans="47:47" x14ac:dyDescent="0.25">
      <c r="AU169" s="8" t="str">
        <f>IF(TRIM($G169)="","",IF(COUNTIF(LISTS!$I$2:$I$16,TRIM($G169))&gt;0,"COUNTED",IF(COUNTIF(LISTS!$J$2:$J$16,TRIM($G169))&gt;0,"LEFT OUT","NEW")))</f>
        <v/>
      </c>
    </row>
    <row r="170" spans="47:47" x14ac:dyDescent="0.25">
      <c r="AU170" s="8" t="str">
        <f>IF(TRIM($G170)="","",IF(COUNTIF(LISTS!$I$2:$I$16,TRIM($G170))&gt;0,"COUNTED",IF(COUNTIF(LISTS!$J$2:$J$16,TRIM($G170))&gt;0,"LEFT OUT","NEW")))</f>
        <v/>
      </c>
    </row>
    <row r="171" spans="47:47" x14ac:dyDescent="0.25">
      <c r="AU171" s="8" t="str">
        <f>IF(TRIM($G171)="","",IF(COUNTIF(LISTS!$I$2:$I$16,TRIM($G171))&gt;0,"COUNTED",IF(COUNTIF(LISTS!$J$2:$J$16,TRIM($G171))&gt;0,"LEFT OUT","NEW")))</f>
        <v/>
      </c>
    </row>
    <row r="172" spans="47:47" x14ac:dyDescent="0.25">
      <c r="AU172" s="8" t="str">
        <f>IF(TRIM($G172)="","",IF(COUNTIF(LISTS!$I$2:$I$16,TRIM($G172))&gt;0,"COUNTED",IF(COUNTIF(LISTS!$J$2:$J$16,TRIM($G172))&gt;0,"LEFT OUT","NEW")))</f>
        <v/>
      </c>
    </row>
    <row r="173" spans="47:47" x14ac:dyDescent="0.25">
      <c r="AU173" s="8" t="str">
        <f>IF(TRIM($G173)="","",IF(COUNTIF(LISTS!$I$2:$I$16,TRIM($G173))&gt;0,"COUNTED",IF(COUNTIF(LISTS!$J$2:$J$16,TRIM($G173))&gt;0,"LEFT OUT","NEW")))</f>
        <v/>
      </c>
    </row>
    <row r="174" spans="47:47" x14ac:dyDescent="0.25">
      <c r="AU174" s="8" t="str">
        <f>IF(TRIM($G174)="","",IF(COUNTIF(LISTS!$I$2:$I$16,TRIM($G174))&gt;0,"COUNTED",IF(COUNTIF(LISTS!$J$2:$J$16,TRIM($G174))&gt;0,"LEFT OUT","NEW")))</f>
        <v/>
      </c>
    </row>
    <row r="175" spans="47:47" x14ac:dyDescent="0.25">
      <c r="AU175" s="8" t="str">
        <f>IF(TRIM($G175)="","",IF(COUNTIF(LISTS!$I$2:$I$16,TRIM($G175))&gt;0,"COUNTED",IF(COUNTIF(LISTS!$J$2:$J$16,TRIM($G175))&gt;0,"LEFT OUT","NEW")))</f>
        <v/>
      </c>
    </row>
    <row r="176" spans="47:47" x14ac:dyDescent="0.25">
      <c r="AU176" s="8" t="str">
        <f>IF(TRIM($G176)="","",IF(COUNTIF(LISTS!$I$2:$I$16,TRIM($G176))&gt;0,"COUNTED",IF(COUNTIF(LISTS!$J$2:$J$16,TRIM($G176))&gt;0,"LEFT OUT","NEW")))</f>
        <v/>
      </c>
    </row>
    <row r="177" spans="47:47" x14ac:dyDescent="0.25">
      <c r="AU177" s="8" t="str">
        <f>IF(TRIM($G177)="","",IF(COUNTIF(LISTS!$I$2:$I$16,TRIM($G177))&gt;0,"COUNTED",IF(COUNTIF(LISTS!$J$2:$J$16,TRIM($G177))&gt;0,"LEFT OUT","NEW")))</f>
        <v/>
      </c>
    </row>
    <row r="178" spans="47:47" x14ac:dyDescent="0.25">
      <c r="AU178" s="8" t="str">
        <f>IF(TRIM($G178)="","",IF(COUNTIF(LISTS!$I$2:$I$16,TRIM($G178))&gt;0,"COUNTED",IF(COUNTIF(LISTS!$J$2:$J$16,TRIM($G178))&gt;0,"LEFT OUT","NEW")))</f>
        <v/>
      </c>
    </row>
    <row r="179" spans="47:47" x14ac:dyDescent="0.25">
      <c r="AU179" s="8" t="str">
        <f>IF(TRIM($G179)="","",IF(COUNTIF(LISTS!$I$2:$I$16,TRIM($G179))&gt;0,"COUNTED",IF(COUNTIF(LISTS!$J$2:$J$16,TRIM($G179))&gt;0,"LEFT OUT","NEW")))</f>
        <v/>
      </c>
    </row>
    <row r="180" spans="47:47" x14ac:dyDescent="0.25">
      <c r="AU180" s="8" t="str">
        <f>IF(TRIM($G180)="","",IF(COUNTIF(LISTS!$I$2:$I$16,TRIM($G180))&gt;0,"COUNTED",IF(COUNTIF(LISTS!$J$2:$J$16,TRIM($G180))&gt;0,"LEFT OUT","NEW")))</f>
        <v/>
      </c>
    </row>
    <row r="181" spans="47:47" x14ac:dyDescent="0.25">
      <c r="AU181" s="8" t="str">
        <f>IF(TRIM($G181)="","",IF(COUNTIF(LISTS!$I$2:$I$16,TRIM($G181))&gt;0,"COUNTED",IF(COUNTIF(LISTS!$J$2:$J$16,TRIM($G181))&gt;0,"LEFT OUT","NEW")))</f>
        <v/>
      </c>
    </row>
    <row r="182" spans="47:47" x14ac:dyDescent="0.25">
      <c r="AU182" s="8" t="str">
        <f>IF(TRIM($G182)="","",IF(COUNTIF(LISTS!$I$2:$I$16,TRIM($G182))&gt;0,"COUNTED",IF(COUNTIF(LISTS!$J$2:$J$16,TRIM($G182))&gt;0,"LEFT OUT","NEW")))</f>
        <v/>
      </c>
    </row>
    <row r="183" spans="47:47" x14ac:dyDescent="0.25">
      <c r="AU183" s="8" t="str">
        <f>IF(TRIM($G183)="","",IF(COUNTIF(LISTS!$I$2:$I$16,TRIM($G183))&gt;0,"COUNTED",IF(COUNTIF(LISTS!$J$2:$J$16,TRIM($G183))&gt;0,"LEFT OUT","NEW")))</f>
        <v/>
      </c>
    </row>
    <row r="184" spans="47:47" x14ac:dyDescent="0.25">
      <c r="AU184" s="8" t="str">
        <f>IF(TRIM($G184)="","",IF(COUNTIF(LISTS!$I$2:$I$16,TRIM($G184))&gt;0,"COUNTED",IF(COUNTIF(LISTS!$J$2:$J$16,TRIM($G184))&gt;0,"LEFT OUT","NEW")))</f>
        <v/>
      </c>
    </row>
    <row r="185" spans="47:47" x14ac:dyDescent="0.25">
      <c r="AU185" s="8" t="str">
        <f>IF(TRIM($G185)="","",IF(COUNTIF(LISTS!$I$2:$I$16,TRIM($G185))&gt;0,"COUNTED",IF(COUNTIF(LISTS!$J$2:$J$16,TRIM($G185))&gt;0,"LEFT OUT","NEW")))</f>
        <v/>
      </c>
    </row>
    <row r="186" spans="47:47" x14ac:dyDescent="0.25">
      <c r="AU186" s="8" t="str">
        <f>IF(TRIM($G186)="","",IF(COUNTIF(LISTS!$I$2:$I$16,TRIM($G186))&gt;0,"COUNTED",IF(COUNTIF(LISTS!$J$2:$J$16,TRIM($G186))&gt;0,"LEFT OUT","NEW")))</f>
        <v/>
      </c>
    </row>
    <row r="187" spans="47:47" x14ac:dyDescent="0.25">
      <c r="AU187" s="8" t="str">
        <f>IF(TRIM($G187)="","",IF(COUNTIF(LISTS!$I$2:$I$16,TRIM($G187))&gt;0,"COUNTED",IF(COUNTIF(LISTS!$J$2:$J$16,TRIM($G187))&gt;0,"LEFT OUT","NEW")))</f>
        <v/>
      </c>
    </row>
    <row r="188" spans="47:47" x14ac:dyDescent="0.25">
      <c r="AU188" s="8" t="str">
        <f>IF(TRIM($G188)="","",IF(COUNTIF(LISTS!$I$2:$I$16,TRIM($G188))&gt;0,"COUNTED",IF(COUNTIF(LISTS!$J$2:$J$16,TRIM($G188))&gt;0,"LEFT OUT","NEW")))</f>
        <v/>
      </c>
    </row>
    <row r="189" spans="47:47" x14ac:dyDescent="0.25">
      <c r="AU189" s="8" t="str">
        <f>IF(TRIM($G189)="","",IF(COUNTIF(LISTS!$I$2:$I$16,TRIM($G189))&gt;0,"COUNTED",IF(COUNTIF(LISTS!$J$2:$J$16,TRIM($G189))&gt;0,"LEFT OUT","NEW")))</f>
        <v/>
      </c>
    </row>
    <row r="190" spans="47:47" x14ac:dyDescent="0.25">
      <c r="AU190" s="8" t="str">
        <f>IF(TRIM($G190)="","",IF(COUNTIF(LISTS!$I$2:$I$16,TRIM($G190))&gt;0,"COUNTED",IF(COUNTIF(LISTS!$J$2:$J$16,TRIM($G190))&gt;0,"LEFT OUT","NEW")))</f>
        <v/>
      </c>
    </row>
    <row r="191" spans="47:47" x14ac:dyDescent="0.25">
      <c r="AU191" s="8" t="str">
        <f>IF(TRIM($G191)="","",IF(COUNTIF(LISTS!$I$2:$I$16,TRIM($G191))&gt;0,"COUNTED",IF(COUNTIF(LISTS!$J$2:$J$16,TRIM($G191))&gt;0,"LEFT OUT","NEW")))</f>
        <v/>
      </c>
    </row>
    <row r="192" spans="47:47" x14ac:dyDescent="0.25">
      <c r="AU192" s="8" t="str">
        <f>IF(TRIM($G192)="","",IF(COUNTIF(LISTS!$I$2:$I$16,TRIM($G192))&gt;0,"COUNTED",IF(COUNTIF(LISTS!$J$2:$J$16,TRIM($G192))&gt;0,"LEFT OUT","NEW")))</f>
        <v/>
      </c>
    </row>
    <row r="193" spans="47:47" x14ac:dyDescent="0.25">
      <c r="AU193" s="8" t="str">
        <f>IF(TRIM($G193)="","",IF(COUNTIF(LISTS!$I$2:$I$16,TRIM($G193))&gt;0,"COUNTED",IF(COUNTIF(LISTS!$J$2:$J$16,TRIM($G193))&gt;0,"LEFT OUT","NEW")))</f>
        <v/>
      </c>
    </row>
    <row r="194" spans="47:47" x14ac:dyDescent="0.25">
      <c r="AU194" s="8" t="str">
        <f>IF(TRIM($G194)="","",IF(COUNTIF(LISTS!$I$2:$I$16,TRIM($G194))&gt;0,"COUNTED",IF(COUNTIF(LISTS!$J$2:$J$16,TRIM($G194))&gt;0,"LEFT OUT","NEW")))</f>
        <v/>
      </c>
    </row>
    <row r="195" spans="47:47" x14ac:dyDescent="0.25">
      <c r="AU195" s="8" t="str">
        <f>IF(TRIM($G195)="","",IF(COUNTIF(LISTS!$I$2:$I$16,TRIM($G195))&gt;0,"COUNTED",IF(COUNTIF(LISTS!$J$2:$J$16,TRIM($G195))&gt;0,"LEFT OUT","NEW")))</f>
        <v/>
      </c>
    </row>
    <row r="196" spans="47:47" x14ac:dyDescent="0.25">
      <c r="AU196" s="8" t="str">
        <f>IF(TRIM($G196)="","",IF(COUNTIF(LISTS!$I$2:$I$16,TRIM($G196))&gt;0,"COUNTED",IF(COUNTIF(LISTS!$J$2:$J$16,TRIM($G196))&gt;0,"LEFT OUT","NEW")))</f>
        <v/>
      </c>
    </row>
    <row r="197" spans="47:47" x14ac:dyDescent="0.25">
      <c r="AU197" s="8" t="str">
        <f>IF(TRIM($G197)="","",IF(COUNTIF(LISTS!$I$2:$I$16,TRIM($G197))&gt;0,"COUNTED",IF(COUNTIF(LISTS!$J$2:$J$16,TRIM($G197))&gt;0,"LEFT OUT","NEW")))</f>
        <v/>
      </c>
    </row>
    <row r="198" spans="47:47" x14ac:dyDescent="0.25">
      <c r="AU198" s="8" t="str">
        <f>IF(TRIM($G198)="","",IF(COUNTIF(LISTS!$I$2:$I$16,TRIM($G198))&gt;0,"COUNTED",IF(COUNTIF(LISTS!$J$2:$J$16,TRIM($G198))&gt;0,"LEFT OUT","NEW")))</f>
        <v/>
      </c>
    </row>
    <row r="199" spans="47:47" x14ac:dyDescent="0.25">
      <c r="AU199" s="8" t="str">
        <f>IF(TRIM($G199)="","",IF(COUNTIF(LISTS!$I$2:$I$16,TRIM($G199))&gt;0,"COUNTED",IF(COUNTIF(LISTS!$J$2:$J$16,TRIM($G199))&gt;0,"LEFT OUT","NEW")))</f>
        <v/>
      </c>
    </row>
    <row r="200" spans="47:47" x14ac:dyDescent="0.25">
      <c r="AU200" s="8" t="str">
        <f>IF(TRIM($G200)="","",IF(COUNTIF(LISTS!$I$2:$I$16,TRIM($G200))&gt;0,"COUNTED",IF(COUNTIF(LISTS!$J$2:$J$16,TRIM($G200))&gt;0,"LEFT OUT","NEW")))</f>
        <v/>
      </c>
    </row>
    <row r="201" spans="47:47" x14ac:dyDescent="0.25">
      <c r="AU201" s="8" t="str">
        <f>IF(TRIM($G201)="","",IF(COUNTIF(LISTS!$I$2:$I$16,TRIM($G201))&gt;0,"COUNTED",IF(COUNTIF(LISTS!$J$2:$J$16,TRIM($G201))&gt;0,"LEFT OUT","NEW")))</f>
        <v/>
      </c>
    </row>
    <row r="202" spans="47:47" x14ac:dyDescent="0.25">
      <c r="AU202" s="8" t="str">
        <f>IF(TRIM($G202)="","",IF(COUNTIF(LISTS!$I$2:$I$16,TRIM($G202))&gt;0,"COUNTED",IF(COUNTIF(LISTS!$J$2:$J$16,TRIM($G202))&gt;0,"LEFT OUT","NEW")))</f>
        <v/>
      </c>
    </row>
    <row r="203" spans="47:47" x14ac:dyDescent="0.25">
      <c r="AU203" s="8" t="str">
        <f>IF(TRIM($G203)="","",IF(COUNTIF(LISTS!$I$2:$I$16,TRIM($G203))&gt;0,"COUNTED",IF(COUNTIF(LISTS!$J$2:$J$16,TRIM($G203))&gt;0,"LEFT OUT","NEW")))</f>
        <v/>
      </c>
    </row>
    <row r="204" spans="47:47" x14ac:dyDescent="0.25">
      <c r="AU204" s="8" t="str">
        <f>IF(TRIM($G204)="","",IF(COUNTIF(LISTS!$I$2:$I$16,TRIM($G204))&gt;0,"COUNTED",IF(COUNTIF(LISTS!$J$2:$J$16,TRIM($G204))&gt;0,"LEFT OUT","NEW")))</f>
        <v/>
      </c>
    </row>
    <row r="205" spans="47:47" x14ac:dyDescent="0.25">
      <c r="AU205" s="8" t="str">
        <f>IF(TRIM($G205)="","",IF(COUNTIF(LISTS!$I$2:$I$16,TRIM($G205))&gt;0,"COUNTED",IF(COUNTIF(LISTS!$J$2:$J$16,TRIM($G205))&gt;0,"LEFT OUT","NEW")))</f>
        <v/>
      </c>
    </row>
    <row r="206" spans="47:47" x14ac:dyDescent="0.25">
      <c r="AU206" s="8" t="str">
        <f>IF(TRIM($G206)="","",IF(COUNTIF(LISTS!$I$2:$I$16,TRIM($G206))&gt;0,"COUNTED",IF(COUNTIF(LISTS!$J$2:$J$16,TRIM($G206))&gt;0,"LEFT OUT","NEW")))</f>
        <v/>
      </c>
    </row>
    <row r="207" spans="47:47" x14ac:dyDescent="0.25">
      <c r="AU207" s="8" t="str">
        <f>IF(TRIM($G207)="","",IF(COUNTIF(LISTS!$I$2:$I$16,TRIM($G207))&gt;0,"COUNTED",IF(COUNTIF(LISTS!$J$2:$J$16,TRIM($G207))&gt;0,"LEFT OUT","NEW")))</f>
        <v/>
      </c>
    </row>
    <row r="208" spans="47:47" x14ac:dyDescent="0.25">
      <c r="AU208" s="8" t="str">
        <f>IF(TRIM($G208)="","",IF(COUNTIF(LISTS!$I$2:$I$16,TRIM($G208))&gt;0,"COUNTED",IF(COUNTIF(LISTS!$J$2:$J$16,TRIM($G208))&gt;0,"LEFT OUT","NEW")))</f>
        <v/>
      </c>
    </row>
    <row r="209" spans="47:47" x14ac:dyDescent="0.25">
      <c r="AU209" s="8" t="str">
        <f>IF(TRIM($G209)="","",IF(COUNTIF(LISTS!$I$2:$I$16,TRIM($G209))&gt;0,"COUNTED",IF(COUNTIF(LISTS!$J$2:$J$16,TRIM($G209))&gt;0,"LEFT OUT","NEW")))</f>
        <v/>
      </c>
    </row>
    <row r="210" spans="47:47" x14ac:dyDescent="0.25">
      <c r="AU210" s="8" t="str">
        <f>IF(TRIM($G210)="","",IF(COUNTIF(LISTS!$I$2:$I$16,TRIM($G210))&gt;0,"COUNTED",IF(COUNTIF(LISTS!$J$2:$J$16,TRIM($G210))&gt;0,"LEFT OUT","NEW")))</f>
        <v/>
      </c>
    </row>
    <row r="211" spans="47:47" x14ac:dyDescent="0.25">
      <c r="AU211" s="8" t="str">
        <f>IF(TRIM($G211)="","",IF(COUNTIF(LISTS!$I$2:$I$16,TRIM($G211))&gt;0,"COUNTED",IF(COUNTIF(LISTS!$J$2:$J$16,TRIM($G211))&gt;0,"LEFT OUT","NEW")))</f>
        <v/>
      </c>
    </row>
    <row r="212" spans="47:47" x14ac:dyDescent="0.25">
      <c r="AU212" s="8" t="str">
        <f>IF(TRIM($G212)="","",IF(COUNTIF(LISTS!$I$2:$I$16,TRIM($G212))&gt;0,"COUNTED",IF(COUNTIF(LISTS!$J$2:$J$16,TRIM($G212))&gt;0,"LEFT OUT","NEW")))</f>
        <v/>
      </c>
    </row>
    <row r="213" spans="47:47" x14ac:dyDescent="0.25">
      <c r="AU213" s="8" t="str">
        <f>IF(TRIM($G213)="","",IF(COUNTIF(LISTS!$I$2:$I$16,TRIM($G213))&gt;0,"COUNTED",IF(COUNTIF(LISTS!$J$2:$J$16,TRIM($G213))&gt;0,"LEFT OUT","NEW")))</f>
        <v/>
      </c>
    </row>
    <row r="214" spans="47:47" x14ac:dyDescent="0.25">
      <c r="AU214" s="8" t="str">
        <f>IF(TRIM($G214)="","",IF(COUNTIF(LISTS!$I$2:$I$16,TRIM($G214))&gt;0,"COUNTED",IF(COUNTIF(LISTS!$J$2:$J$16,TRIM($G214))&gt;0,"LEFT OUT","NEW")))</f>
        <v/>
      </c>
    </row>
    <row r="215" spans="47:47" x14ac:dyDescent="0.25">
      <c r="AU215" s="8" t="str">
        <f>IF(TRIM($G215)="","",IF(COUNTIF(LISTS!$I$2:$I$16,TRIM($G215))&gt;0,"COUNTED",IF(COUNTIF(LISTS!$J$2:$J$16,TRIM($G215))&gt;0,"LEFT OUT","NEW")))</f>
        <v/>
      </c>
    </row>
    <row r="216" spans="47:47" x14ac:dyDescent="0.25">
      <c r="AU216" s="8" t="str">
        <f>IF(TRIM($G216)="","",IF(COUNTIF(LISTS!$I$2:$I$16,TRIM($G216))&gt;0,"COUNTED",IF(COUNTIF(LISTS!$J$2:$J$16,TRIM($G216))&gt;0,"LEFT OUT","NEW")))</f>
        <v/>
      </c>
    </row>
    <row r="217" spans="47:47" x14ac:dyDescent="0.25">
      <c r="AU217" s="8" t="str">
        <f>IF(TRIM($G217)="","",IF(COUNTIF(LISTS!$I$2:$I$16,TRIM($G217))&gt;0,"COUNTED",IF(COUNTIF(LISTS!$J$2:$J$16,TRIM($G217))&gt;0,"LEFT OUT","NEW")))</f>
        <v/>
      </c>
    </row>
    <row r="218" spans="47:47" x14ac:dyDescent="0.25">
      <c r="AU218" s="8" t="str">
        <f>IF(TRIM($G218)="","",IF(COUNTIF(LISTS!$I$2:$I$16,TRIM($G218))&gt;0,"COUNTED",IF(COUNTIF(LISTS!$J$2:$J$16,TRIM($G218))&gt;0,"LEFT OUT","NEW")))</f>
        <v/>
      </c>
    </row>
    <row r="219" spans="47:47" x14ac:dyDescent="0.25">
      <c r="AU219" s="8" t="str">
        <f>IF(TRIM($G219)="","",IF(COUNTIF(LISTS!$I$2:$I$16,TRIM($G219))&gt;0,"COUNTED",IF(COUNTIF(LISTS!$J$2:$J$16,TRIM($G219))&gt;0,"LEFT OUT","NEW")))</f>
        <v/>
      </c>
    </row>
    <row r="220" spans="47:47" x14ac:dyDescent="0.25">
      <c r="AU220" s="8" t="str">
        <f>IF(TRIM($G220)="","",IF(COUNTIF(LISTS!$I$2:$I$16,TRIM($G220))&gt;0,"COUNTED",IF(COUNTIF(LISTS!$J$2:$J$16,TRIM($G220))&gt;0,"LEFT OUT","NEW")))</f>
        <v/>
      </c>
    </row>
    <row r="221" spans="47:47" x14ac:dyDescent="0.25">
      <c r="AU221" s="8" t="str">
        <f>IF(TRIM($G221)="","",IF(COUNTIF(LISTS!$I$2:$I$16,TRIM($G221))&gt;0,"COUNTED",IF(COUNTIF(LISTS!$J$2:$J$16,TRIM($G221))&gt;0,"LEFT OUT","NEW")))</f>
        <v/>
      </c>
    </row>
    <row r="222" spans="47:47" x14ac:dyDescent="0.25">
      <c r="AU222" s="8" t="str">
        <f>IF(TRIM($G222)="","",IF(COUNTIF(LISTS!$I$2:$I$16,TRIM($G222))&gt;0,"COUNTED",IF(COUNTIF(LISTS!$J$2:$J$16,TRIM($G222))&gt;0,"LEFT OUT","NEW")))</f>
        <v/>
      </c>
    </row>
    <row r="223" spans="47:47" x14ac:dyDescent="0.25">
      <c r="AU223" s="8" t="str">
        <f>IF(TRIM($G223)="","",IF(COUNTIF(LISTS!$I$2:$I$16,TRIM($G223))&gt;0,"COUNTED",IF(COUNTIF(LISTS!$J$2:$J$16,TRIM($G223))&gt;0,"LEFT OUT","NEW")))</f>
        <v/>
      </c>
    </row>
    <row r="224" spans="47:47" x14ac:dyDescent="0.25">
      <c r="AU224" s="8" t="str">
        <f>IF(TRIM($G224)="","",IF(COUNTIF(LISTS!$I$2:$I$16,TRIM($G224))&gt;0,"COUNTED",IF(COUNTIF(LISTS!$J$2:$J$16,TRIM($G224))&gt;0,"LEFT OUT","NEW")))</f>
        <v/>
      </c>
    </row>
    <row r="225" spans="47:47" x14ac:dyDescent="0.25">
      <c r="AU225" s="8" t="str">
        <f>IF(TRIM($G225)="","",IF(COUNTIF(LISTS!$I$2:$I$16,TRIM($G225))&gt;0,"COUNTED",IF(COUNTIF(LISTS!$J$2:$J$16,TRIM($G225))&gt;0,"LEFT OUT","NEW")))</f>
        <v/>
      </c>
    </row>
    <row r="226" spans="47:47" x14ac:dyDescent="0.25">
      <c r="AU226" s="8" t="str">
        <f>IF(TRIM($G226)="","",IF(COUNTIF(LISTS!$I$2:$I$16,TRIM($G226))&gt;0,"COUNTED",IF(COUNTIF(LISTS!$J$2:$J$16,TRIM($G226))&gt;0,"LEFT OUT","NEW")))</f>
        <v/>
      </c>
    </row>
    <row r="227" spans="47:47" x14ac:dyDescent="0.25">
      <c r="AU227" s="8" t="str">
        <f>IF(TRIM($G227)="","",IF(COUNTIF(LISTS!$I$2:$I$16,TRIM($G227))&gt;0,"COUNTED",IF(COUNTIF(LISTS!$J$2:$J$16,TRIM($G227))&gt;0,"LEFT OUT","NEW")))</f>
        <v/>
      </c>
    </row>
    <row r="228" spans="47:47" x14ac:dyDescent="0.25">
      <c r="AU228" s="8" t="str">
        <f>IF(TRIM($G228)="","",IF(COUNTIF(LISTS!$I$2:$I$16,TRIM($G228))&gt;0,"COUNTED",IF(COUNTIF(LISTS!$J$2:$J$16,TRIM($G228))&gt;0,"LEFT OUT","NEW")))</f>
        <v/>
      </c>
    </row>
    <row r="229" spans="47:47" x14ac:dyDescent="0.25">
      <c r="AU229" s="8" t="str">
        <f>IF(TRIM($G229)="","",IF(COUNTIF(LISTS!$I$2:$I$16,TRIM($G229))&gt;0,"COUNTED",IF(COUNTIF(LISTS!$J$2:$J$16,TRIM($G229))&gt;0,"LEFT OUT","NEW")))</f>
        <v/>
      </c>
    </row>
    <row r="230" spans="47:47" x14ac:dyDescent="0.25">
      <c r="AU230" s="8" t="str">
        <f>IF(TRIM($G230)="","",IF(COUNTIF(LISTS!$I$2:$I$16,TRIM($G230))&gt;0,"COUNTED",IF(COUNTIF(LISTS!$J$2:$J$16,TRIM($G230))&gt;0,"LEFT OUT","NEW")))</f>
        <v/>
      </c>
    </row>
    <row r="231" spans="47:47" x14ac:dyDescent="0.25">
      <c r="AU231" s="8" t="str">
        <f>IF(TRIM($G231)="","",IF(COUNTIF(LISTS!$I$2:$I$16,TRIM($G231))&gt;0,"COUNTED",IF(COUNTIF(LISTS!$J$2:$J$16,TRIM($G231))&gt;0,"LEFT OUT","NEW")))</f>
        <v/>
      </c>
    </row>
    <row r="232" spans="47:47" x14ac:dyDescent="0.25">
      <c r="AU232" s="8" t="str">
        <f>IF(TRIM($G232)="","",IF(COUNTIF(LISTS!$I$2:$I$16,TRIM($G232))&gt;0,"COUNTED",IF(COUNTIF(LISTS!$J$2:$J$16,TRIM($G232))&gt;0,"LEFT OUT","NEW")))</f>
        <v/>
      </c>
    </row>
    <row r="233" spans="47:47" x14ac:dyDescent="0.25">
      <c r="AU233" s="8" t="str">
        <f>IF(TRIM($G233)="","",IF(COUNTIF(LISTS!$I$2:$I$16,TRIM($G233))&gt;0,"COUNTED",IF(COUNTIF(LISTS!$J$2:$J$16,TRIM($G233))&gt;0,"LEFT OUT","NEW")))</f>
        <v/>
      </c>
    </row>
    <row r="234" spans="47:47" x14ac:dyDescent="0.25">
      <c r="AU234" s="8" t="str">
        <f>IF(TRIM($G234)="","",IF(COUNTIF(LISTS!$I$2:$I$16,TRIM($G234))&gt;0,"COUNTED",IF(COUNTIF(LISTS!$J$2:$J$16,TRIM($G234))&gt;0,"LEFT OUT","NEW")))</f>
        <v/>
      </c>
    </row>
    <row r="235" spans="47:47" x14ac:dyDescent="0.25">
      <c r="AU235" s="8" t="str">
        <f>IF(TRIM($G235)="","",IF(COUNTIF(LISTS!$I$2:$I$16,TRIM($G235))&gt;0,"COUNTED",IF(COUNTIF(LISTS!$J$2:$J$16,TRIM($G235))&gt;0,"LEFT OUT","NEW")))</f>
        <v/>
      </c>
    </row>
    <row r="236" spans="47:47" x14ac:dyDescent="0.25">
      <c r="AU236" s="8" t="str">
        <f>IF(TRIM($G236)="","",IF(COUNTIF(LISTS!$I$2:$I$16,TRIM($G236))&gt;0,"COUNTED",IF(COUNTIF(LISTS!$J$2:$J$16,TRIM($G236))&gt;0,"LEFT OUT","NEW")))</f>
        <v/>
      </c>
    </row>
    <row r="237" spans="47:47" x14ac:dyDescent="0.25">
      <c r="AU237" s="8" t="str">
        <f>IF(TRIM($G237)="","",IF(COUNTIF(LISTS!$I$2:$I$16,TRIM($G237))&gt;0,"COUNTED",IF(COUNTIF(LISTS!$J$2:$J$16,TRIM($G237))&gt;0,"LEFT OUT","NEW")))</f>
        <v/>
      </c>
    </row>
    <row r="238" spans="47:47" x14ac:dyDescent="0.25">
      <c r="AU238" s="8" t="str">
        <f>IF(TRIM($G238)="","",IF(COUNTIF(LISTS!$I$2:$I$16,TRIM($G238))&gt;0,"COUNTED",IF(COUNTIF(LISTS!$J$2:$J$16,TRIM($G238))&gt;0,"LEFT OUT","NEW")))</f>
        <v/>
      </c>
    </row>
    <row r="239" spans="47:47" x14ac:dyDescent="0.25">
      <c r="AU239" s="8" t="str">
        <f>IF(TRIM($G239)="","",IF(COUNTIF(LISTS!$I$2:$I$16,TRIM($G239))&gt;0,"COUNTED",IF(COUNTIF(LISTS!$J$2:$J$16,TRIM($G239))&gt;0,"LEFT OUT","NEW")))</f>
        <v/>
      </c>
    </row>
    <row r="240" spans="47:47" x14ac:dyDescent="0.25">
      <c r="AU240" s="8" t="str">
        <f>IF(TRIM($G240)="","",IF(COUNTIF(LISTS!$I$2:$I$16,TRIM($G240))&gt;0,"COUNTED",IF(COUNTIF(LISTS!$J$2:$J$16,TRIM($G240))&gt;0,"LEFT OUT","NEW")))</f>
        <v/>
      </c>
    </row>
    <row r="241" spans="47:47" x14ac:dyDescent="0.25">
      <c r="AU241" s="8" t="str">
        <f>IF(TRIM($G241)="","",IF(COUNTIF(LISTS!$I$2:$I$16,TRIM($G241))&gt;0,"COUNTED",IF(COUNTIF(LISTS!$J$2:$J$16,TRIM($G241))&gt;0,"LEFT OUT","NEW")))</f>
        <v/>
      </c>
    </row>
    <row r="242" spans="47:47" x14ac:dyDescent="0.25">
      <c r="AU242" s="8" t="str">
        <f>IF(TRIM($G242)="","",IF(COUNTIF(LISTS!$I$2:$I$16,TRIM($G242))&gt;0,"COUNTED",IF(COUNTIF(LISTS!$J$2:$J$16,TRIM($G242))&gt;0,"LEFT OUT","NEW")))</f>
        <v/>
      </c>
    </row>
    <row r="243" spans="47:47" x14ac:dyDescent="0.25">
      <c r="AU243" s="8" t="str">
        <f>IF(TRIM($G243)="","",IF(COUNTIF(LISTS!$I$2:$I$16,TRIM($G243))&gt;0,"COUNTED",IF(COUNTIF(LISTS!$J$2:$J$16,TRIM($G243))&gt;0,"LEFT OUT","NEW")))</f>
        <v/>
      </c>
    </row>
    <row r="244" spans="47:47" x14ac:dyDescent="0.25">
      <c r="AU244" s="8" t="str">
        <f>IF(TRIM($G244)="","",IF(COUNTIF(LISTS!$I$2:$I$16,TRIM($G244))&gt;0,"COUNTED",IF(COUNTIF(LISTS!$J$2:$J$16,TRIM($G244))&gt;0,"LEFT OUT","NEW")))</f>
        <v/>
      </c>
    </row>
    <row r="245" spans="47:47" x14ac:dyDescent="0.25">
      <c r="AU245" s="8" t="str">
        <f>IF(TRIM($G245)="","",IF(COUNTIF(LISTS!$I$2:$I$16,TRIM($G245))&gt;0,"COUNTED",IF(COUNTIF(LISTS!$J$2:$J$16,TRIM($G245))&gt;0,"LEFT OUT","NEW")))</f>
        <v/>
      </c>
    </row>
    <row r="246" spans="47:47" x14ac:dyDescent="0.25">
      <c r="AU246" s="8" t="str">
        <f>IF(TRIM($G246)="","",IF(COUNTIF(LISTS!$I$2:$I$16,TRIM($G246))&gt;0,"COUNTED",IF(COUNTIF(LISTS!$J$2:$J$16,TRIM($G246))&gt;0,"LEFT OUT","NEW")))</f>
        <v/>
      </c>
    </row>
    <row r="247" spans="47:47" x14ac:dyDescent="0.25">
      <c r="AU247" s="8" t="str">
        <f>IF(TRIM($G247)="","",IF(COUNTIF(LISTS!$I$2:$I$16,TRIM($G247))&gt;0,"COUNTED",IF(COUNTIF(LISTS!$J$2:$J$16,TRIM($G247))&gt;0,"LEFT OUT","NEW")))</f>
        <v/>
      </c>
    </row>
    <row r="248" spans="47:47" x14ac:dyDescent="0.25">
      <c r="AU248" s="8" t="str">
        <f>IF(TRIM($G248)="","",IF(COUNTIF(LISTS!$I$2:$I$16,TRIM($G248))&gt;0,"COUNTED",IF(COUNTIF(LISTS!$J$2:$J$16,TRIM($G248))&gt;0,"LEFT OUT","NEW")))</f>
        <v/>
      </c>
    </row>
    <row r="249" spans="47:47" x14ac:dyDescent="0.25">
      <c r="AU249" s="8" t="str">
        <f>IF(TRIM($G249)="","",IF(COUNTIF(LISTS!$I$2:$I$16,TRIM($G249))&gt;0,"COUNTED",IF(COUNTIF(LISTS!$J$2:$J$16,TRIM($G249))&gt;0,"LEFT OUT","NEW")))</f>
        <v/>
      </c>
    </row>
    <row r="250" spans="47:47" x14ac:dyDescent="0.25">
      <c r="AU250" s="8" t="str">
        <f>IF(TRIM($G250)="","",IF(COUNTIF(LISTS!$I$2:$I$16,TRIM($G250))&gt;0,"COUNTED",IF(COUNTIF(LISTS!$J$2:$J$16,TRIM($G250))&gt;0,"LEFT OUT","NEW")))</f>
        <v/>
      </c>
    </row>
    <row r="251" spans="47:47" x14ac:dyDescent="0.25">
      <c r="AU251" s="8" t="str">
        <f>IF(TRIM($G251)="","",IF(COUNTIF(LISTS!$I$2:$I$16,TRIM($G251))&gt;0,"COUNTED",IF(COUNTIF(LISTS!$J$2:$J$16,TRIM($G251))&gt;0,"LEFT OUT","NEW")))</f>
        <v/>
      </c>
    </row>
    <row r="252" spans="47:47" x14ac:dyDescent="0.25">
      <c r="AU252" s="8" t="str">
        <f>IF(TRIM($G252)="","",IF(COUNTIF(LISTS!$I$2:$I$16,TRIM($G252))&gt;0,"COUNTED",IF(COUNTIF(LISTS!$J$2:$J$16,TRIM($G252))&gt;0,"LEFT OUT","NEW")))</f>
        <v/>
      </c>
    </row>
    <row r="253" spans="47:47" x14ac:dyDescent="0.25">
      <c r="AU253" s="8" t="str">
        <f>IF(TRIM($G253)="","",IF(COUNTIF(LISTS!$I$2:$I$16,TRIM($G253))&gt;0,"COUNTED",IF(COUNTIF(LISTS!$J$2:$J$16,TRIM($G253))&gt;0,"LEFT OUT","NEW")))</f>
        <v/>
      </c>
    </row>
    <row r="254" spans="47:47" x14ac:dyDescent="0.25">
      <c r="AU254" s="8" t="str">
        <f>IF(TRIM($G254)="","",IF(COUNTIF(LISTS!$I$2:$I$16,TRIM($G254))&gt;0,"COUNTED",IF(COUNTIF(LISTS!$J$2:$J$16,TRIM($G254))&gt;0,"LEFT OUT","NEW")))</f>
        <v/>
      </c>
    </row>
    <row r="255" spans="47:47" x14ac:dyDescent="0.25">
      <c r="AU255" s="8" t="str">
        <f>IF(TRIM($G255)="","",IF(COUNTIF(LISTS!$I$2:$I$16,TRIM($G255))&gt;0,"COUNTED",IF(COUNTIF(LISTS!$J$2:$J$16,TRIM($G255))&gt;0,"LEFT OUT","NEW")))</f>
        <v/>
      </c>
    </row>
    <row r="256" spans="47:47" x14ac:dyDescent="0.25">
      <c r="AU256" s="8" t="str">
        <f>IF(TRIM($G256)="","",IF(COUNTIF(LISTS!$I$2:$I$16,TRIM($G256))&gt;0,"COUNTED",IF(COUNTIF(LISTS!$J$2:$J$16,TRIM($G256))&gt;0,"LEFT OUT","NEW")))</f>
        <v/>
      </c>
    </row>
    <row r="257" spans="47:47" x14ac:dyDescent="0.25">
      <c r="AU257" s="8" t="str">
        <f>IF(TRIM($G257)="","",IF(COUNTIF(LISTS!$I$2:$I$16,TRIM($G257))&gt;0,"COUNTED",IF(COUNTIF(LISTS!$J$2:$J$16,TRIM($G257))&gt;0,"LEFT OUT","NEW")))</f>
        <v/>
      </c>
    </row>
    <row r="258" spans="47:47" x14ac:dyDescent="0.25">
      <c r="AU258" s="8" t="str">
        <f>IF(TRIM($G258)="","",IF(COUNTIF(LISTS!$I$2:$I$16,TRIM($G258))&gt;0,"COUNTED",IF(COUNTIF(LISTS!$J$2:$J$16,TRIM($G258))&gt;0,"LEFT OUT","NEW")))</f>
        <v/>
      </c>
    </row>
    <row r="259" spans="47:47" x14ac:dyDescent="0.25">
      <c r="AU259" s="8" t="str">
        <f>IF(TRIM($G259)="","",IF(COUNTIF(LISTS!$I$2:$I$16,TRIM($G259))&gt;0,"COUNTED",IF(COUNTIF(LISTS!$J$2:$J$16,TRIM($G259))&gt;0,"LEFT OUT","NEW")))</f>
        <v/>
      </c>
    </row>
    <row r="260" spans="47:47" x14ac:dyDescent="0.25">
      <c r="AU260" s="8" t="str">
        <f>IF(TRIM($G260)="","",IF(COUNTIF(LISTS!$I$2:$I$16,TRIM($G260))&gt;0,"COUNTED",IF(COUNTIF(LISTS!$J$2:$J$16,TRIM($G260))&gt;0,"LEFT OUT","NEW")))</f>
        <v/>
      </c>
    </row>
    <row r="261" spans="47:47" x14ac:dyDescent="0.25">
      <c r="AU261" s="8" t="str">
        <f>IF(TRIM($G261)="","",IF(COUNTIF(LISTS!$I$2:$I$16,TRIM($G261))&gt;0,"COUNTED",IF(COUNTIF(LISTS!$J$2:$J$16,TRIM($G261))&gt;0,"LEFT OUT","NEW")))</f>
        <v/>
      </c>
    </row>
    <row r="262" spans="47:47" x14ac:dyDescent="0.25">
      <c r="AU262" s="8" t="str">
        <f>IF(TRIM($G262)="","",IF(COUNTIF(LISTS!$I$2:$I$16,TRIM($G262))&gt;0,"COUNTED",IF(COUNTIF(LISTS!$J$2:$J$16,TRIM($G262))&gt;0,"LEFT OUT","NEW")))</f>
        <v/>
      </c>
    </row>
    <row r="263" spans="47:47" x14ac:dyDescent="0.25">
      <c r="AU263" s="8" t="str">
        <f>IF(TRIM($G263)="","",IF(COUNTIF(LISTS!$I$2:$I$16,TRIM($G263))&gt;0,"COUNTED",IF(COUNTIF(LISTS!$J$2:$J$16,TRIM($G263))&gt;0,"LEFT OUT","NEW")))</f>
        <v/>
      </c>
    </row>
    <row r="264" spans="47:47" x14ac:dyDescent="0.25">
      <c r="AU264" s="8" t="str">
        <f>IF(TRIM($G264)="","",IF(COUNTIF(LISTS!$I$2:$I$16,TRIM($G264))&gt;0,"COUNTED",IF(COUNTIF(LISTS!$J$2:$J$16,TRIM($G264))&gt;0,"LEFT OUT","NEW")))</f>
        <v/>
      </c>
    </row>
    <row r="265" spans="47:47" x14ac:dyDescent="0.25">
      <c r="AU265" s="8" t="str">
        <f>IF(TRIM($G265)="","",IF(COUNTIF(LISTS!$I$2:$I$16,TRIM($G265))&gt;0,"COUNTED",IF(COUNTIF(LISTS!$J$2:$J$16,TRIM($G265))&gt;0,"LEFT OUT","NEW")))</f>
        <v/>
      </c>
    </row>
    <row r="266" spans="47:47" x14ac:dyDescent="0.25">
      <c r="AU266" s="8" t="str">
        <f>IF(TRIM($G266)="","",IF(COUNTIF(LISTS!$I$2:$I$16,TRIM($G266))&gt;0,"COUNTED",IF(COUNTIF(LISTS!$J$2:$J$16,TRIM($G266))&gt;0,"LEFT OUT","NEW")))</f>
        <v/>
      </c>
    </row>
    <row r="267" spans="47:47" x14ac:dyDescent="0.25">
      <c r="AU267" s="8" t="str">
        <f>IF(TRIM($G267)="","",IF(COUNTIF(LISTS!$I$2:$I$16,TRIM($G267))&gt;0,"COUNTED",IF(COUNTIF(LISTS!$J$2:$J$16,TRIM($G267))&gt;0,"LEFT OUT","NEW")))</f>
        <v/>
      </c>
    </row>
    <row r="268" spans="47:47" x14ac:dyDescent="0.25">
      <c r="AU268" s="8" t="str">
        <f>IF(TRIM($G268)="","",IF(COUNTIF(LISTS!$I$2:$I$16,TRIM($G268))&gt;0,"COUNTED",IF(COUNTIF(LISTS!$J$2:$J$16,TRIM($G268))&gt;0,"LEFT OUT","NEW")))</f>
        <v/>
      </c>
    </row>
    <row r="269" spans="47:47" x14ac:dyDescent="0.25">
      <c r="AU269" s="8" t="str">
        <f>IF(TRIM($G269)="","",IF(COUNTIF(LISTS!$I$2:$I$16,TRIM($G269))&gt;0,"COUNTED",IF(COUNTIF(LISTS!$J$2:$J$16,TRIM($G269))&gt;0,"LEFT OUT","NEW")))</f>
        <v/>
      </c>
    </row>
    <row r="270" spans="47:47" x14ac:dyDescent="0.25">
      <c r="AU270" s="8" t="str">
        <f>IF(TRIM($G270)="","",IF(COUNTIF(LISTS!$I$2:$I$16,TRIM($G270))&gt;0,"COUNTED",IF(COUNTIF(LISTS!$J$2:$J$16,TRIM($G270))&gt;0,"LEFT OUT","NEW")))</f>
        <v/>
      </c>
    </row>
    <row r="271" spans="47:47" x14ac:dyDescent="0.25">
      <c r="AU271" s="8" t="str">
        <f>IF(TRIM($G271)="","",IF(COUNTIF(LISTS!$I$2:$I$16,TRIM($G271))&gt;0,"COUNTED",IF(COUNTIF(LISTS!$J$2:$J$16,TRIM($G271))&gt;0,"LEFT OUT","NEW")))</f>
        <v/>
      </c>
    </row>
    <row r="272" spans="47:47" x14ac:dyDescent="0.25">
      <c r="AU272" s="8" t="str">
        <f>IF(TRIM($G272)="","",IF(COUNTIF(LISTS!$I$2:$I$16,TRIM($G272))&gt;0,"COUNTED",IF(COUNTIF(LISTS!$J$2:$J$16,TRIM($G272))&gt;0,"LEFT OUT","NEW")))</f>
        <v/>
      </c>
    </row>
    <row r="273" spans="47:47" x14ac:dyDescent="0.25">
      <c r="AU273" s="8" t="str">
        <f>IF(TRIM($G273)="","",IF(COUNTIF(LISTS!$I$2:$I$16,TRIM($G273))&gt;0,"COUNTED",IF(COUNTIF(LISTS!$J$2:$J$16,TRIM($G273))&gt;0,"LEFT OUT","NEW")))</f>
        <v/>
      </c>
    </row>
    <row r="274" spans="47:47" x14ac:dyDescent="0.25">
      <c r="AU274" s="8" t="str">
        <f>IF(TRIM($G274)="","",IF(COUNTIF(LISTS!$I$2:$I$16,TRIM($G274))&gt;0,"COUNTED",IF(COUNTIF(LISTS!$J$2:$J$16,TRIM($G274))&gt;0,"LEFT OUT","NEW")))</f>
        <v/>
      </c>
    </row>
    <row r="275" spans="47:47" x14ac:dyDescent="0.25">
      <c r="AU275" s="8" t="str">
        <f>IF(TRIM($G275)="","",IF(COUNTIF(LISTS!$I$2:$I$16,TRIM($G275))&gt;0,"COUNTED",IF(COUNTIF(LISTS!$J$2:$J$16,TRIM($G275))&gt;0,"LEFT OUT","NEW")))</f>
        <v/>
      </c>
    </row>
    <row r="276" spans="47:47" x14ac:dyDescent="0.25">
      <c r="AU276" s="8" t="str">
        <f>IF(TRIM($G276)="","",IF(COUNTIF(LISTS!$I$2:$I$16,TRIM($G276))&gt;0,"COUNTED",IF(COUNTIF(LISTS!$J$2:$J$16,TRIM($G276))&gt;0,"LEFT OUT","NEW")))</f>
        <v/>
      </c>
    </row>
    <row r="277" spans="47:47" x14ac:dyDescent="0.25">
      <c r="AU277" s="8" t="str">
        <f>IF(TRIM($G277)="","",IF(COUNTIF(LISTS!$I$2:$I$16,TRIM($G277))&gt;0,"COUNTED",IF(COUNTIF(LISTS!$J$2:$J$16,TRIM($G277))&gt;0,"LEFT OUT","NEW")))</f>
        <v/>
      </c>
    </row>
    <row r="278" spans="47:47" x14ac:dyDescent="0.25">
      <c r="AU278" s="8" t="str">
        <f>IF(TRIM($G278)="","",IF(COUNTIF(LISTS!$I$2:$I$16,TRIM($G278))&gt;0,"COUNTED",IF(COUNTIF(LISTS!$J$2:$J$16,TRIM($G278))&gt;0,"LEFT OUT","NEW")))</f>
        <v/>
      </c>
    </row>
    <row r="279" spans="47:47" x14ac:dyDescent="0.25">
      <c r="AU279" s="8" t="str">
        <f>IF(TRIM($G279)="","",IF(COUNTIF(LISTS!$I$2:$I$16,TRIM($G279))&gt;0,"COUNTED",IF(COUNTIF(LISTS!$J$2:$J$16,TRIM($G279))&gt;0,"LEFT OUT","NEW")))</f>
        <v/>
      </c>
    </row>
    <row r="280" spans="47:47" x14ac:dyDescent="0.25">
      <c r="AU280" s="8" t="str">
        <f>IF(TRIM($G280)="","",IF(COUNTIF(LISTS!$I$2:$I$16,TRIM($G280))&gt;0,"COUNTED",IF(COUNTIF(LISTS!$J$2:$J$16,TRIM($G280))&gt;0,"LEFT OUT","NEW")))</f>
        <v/>
      </c>
    </row>
    <row r="281" spans="47:47" x14ac:dyDescent="0.25">
      <c r="AU281" s="8" t="str">
        <f>IF(TRIM($G281)="","",IF(COUNTIF(LISTS!$I$2:$I$16,TRIM($G281))&gt;0,"COUNTED",IF(COUNTIF(LISTS!$J$2:$J$16,TRIM($G281))&gt;0,"LEFT OUT","NEW")))</f>
        <v/>
      </c>
    </row>
    <row r="282" spans="47:47" x14ac:dyDescent="0.25">
      <c r="AU282" s="8" t="str">
        <f>IF(TRIM($G282)="","",IF(COUNTIF(LISTS!$I$2:$I$16,TRIM($G282))&gt;0,"COUNTED",IF(COUNTIF(LISTS!$J$2:$J$16,TRIM($G282))&gt;0,"LEFT OUT","NEW")))</f>
        <v/>
      </c>
    </row>
    <row r="283" spans="47:47" x14ac:dyDescent="0.25">
      <c r="AU283" s="8" t="str">
        <f>IF(TRIM($G283)="","",IF(COUNTIF(LISTS!$I$2:$I$16,TRIM($G283))&gt;0,"COUNTED",IF(COUNTIF(LISTS!$J$2:$J$16,TRIM($G283))&gt;0,"LEFT OUT","NEW")))</f>
        <v/>
      </c>
    </row>
    <row r="284" spans="47:47" x14ac:dyDescent="0.25">
      <c r="AU284" s="8" t="str">
        <f>IF(TRIM($G284)="","",IF(COUNTIF(LISTS!$I$2:$I$16,TRIM($G284))&gt;0,"COUNTED",IF(COUNTIF(LISTS!$J$2:$J$16,TRIM($G284))&gt;0,"LEFT OUT","NEW")))</f>
        <v/>
      </c>
    </row>
    <row r="285" spans="47:47" x14ac:dyDescent="0.25">
      <c r="AU285" s="8" t="str">
        <f>IF(TRIM($G285)="","",IF(COUNTIF(LISTS!$I$2:$I$16,TRIM($G285))&gt;0,"COUNTED",IF(COUNTIF(LISTS!$J$2:$J$16,TRIM($G285))&gt;0,"LEFT OUT","NEW")))</f>
        <v/>
      </c>
    </row>
    <row r="286" spans="47:47" x14ac:dyDescent="0.25">
      <c r="AU286" s="8" t="str">
        <f>IF(TRIM($G286)="","",IF(COUNTIF(LISTS!$I$2:$I$16,TRIM($G286))&gt;0,"COUNTED",IF(COUNTIF(LISTS!$J$2:$J$16,TRIM($G286))&gt;0,"LEFT OUT","NEW")))</f>
        <v/>
      </c>
    </row>
    <row r="287" spans="47:47" x14ac:dyDescent="0.25">
      <c r="AU287" s="8" t="str">
        <f>IF(TRIM($G287)="","",IF(COUNTIF(LISTS!$I$2:$I$16,TRIM($G287))&gt;0,"COUNTED",IF(COUNTIF(LISTS!$J$2:$J$16,TRIM($G287))&gt;0,"LEFT OUT","NEW")))</f>
        <v/>
      </c>
    </row>
    <row r="288" spans="47:47" x14ac:dyDescent="0.25">
      <c r="AU288" s="8" t="str">
        <f>IF(TRIM($G288)="","",IF(COUNTIF(LISTS!$I$2:$I$16,TRIM($G288))&gt;0,"COUNTED",IF(COUNTIF(LISTS!$J$2:$J$16,TRIM($G288))&gt;0,"LEFT OUT","NEW")))</f>
        <v/>
      </c>
    </row>
    <row r="289" spans="47:47" x14ac:dyDescent="0.25">
      <c r="AU289" s="8" t="str">
        <f>IF(TRIM($G289)="","",IF(COUNTIF(LISTS!$I$2:$I$16,TRIM($G289))&gt;0,"COUNTED",IF(COUNTIF(LISTS!$J$2:$J$16,TRIM($G289))&gt;0,"LEFT OUT","NEW")))</f>
        <v/>
      </c>
    </row>
    <row r="290" spans="47:47" x14ac:dyDescent="0.25">
      <c r="AU290" s="8" t="str">
        <f>IF(TRIM($G290)="","",IF(COUNTIF(LISTS!$I$2:$I$16,TRIM($G290))&gt;0,"COUNTED",IF(COUNTIF(LISTS!$J$2:$J$16,TRIM($G290))&gt;0,"LEFT OUT","NEW")))</f>
        <v/>
      </c>
    </row>
    <row r="291" spans="47:47" x14ac:dyDescent="0.25">
      <c r="AU291" s="8" t="str">
        <f>IF(TRIM($G291)="","",IF(COUNTIF(LISTS!$I$2:$I$16,TRIM($G291))&gt;0,"COUNTED",IF(COUNTIF(LISTS!$J$2:$J$16,TRIM($G291))&gt;0,"LEFT OUT","NEW")))</f>
        <v/>
      </c>
    </row>
    <row r="292" spans="47:47" x14ac:dyDescent="0.25">
      <c r="AU292" s="8" t="str">
        <f>IF(TRIM($G292)="","",IF(COUNTIF(LISTS!$I$2:$I$16,TRIM($G292))&gt;0,"COUNTED",IF(COUNTIF(LISTS!$J$2:$J$16,TRIM($G292))&gt;0,"LEFT OUT","NEW")))</f>
        <v/>
      </c>
    </row>
    <row r="293" spans="47:47" x14ac:dyDescent="0.25">
      <c r="AU293" s="8" t="str">
        <f>IF(TRIM($G293)="","",IF(COUNTIF(LISTS!$I$2:$I$16,TRIM($G293))&gt;0,"COUNTED",IF(COUNTIF(LISTS!$J$2:$J$16,TRIM($G293))&gt;0,"LEFT OUT","NEW")))</f>
        <v/>
      </c>
    </row>
    <row r="294" spans="47:47" x14ac:dyDescent="0.25">
      <c r="AU294" s="8" t="str">
        <f>IF(TRIM($G294)="","",IF(COUNTIF(LISTS!$I$2:$I$16,TRIM($G294))&gt;0,"COUNTED",IF(COUNTIF(LISTS!$J$2:$J$16,TRIM($G294))&gt;0,"LEFT OUT","NEW")))</f>
        <v/>
      </c>
    </row>
    <row r="295" spans="47:47" x14ac:dyDescent="0.25">
      <c r="AU295" s="8" t="str">
        <f>IF(TRIM($G295)="","",IF(COUNTIF(LISTS!$I$2:$I$16,TRIM($G295))&gt;0,"COUNTED",IF(COUNTIF(LISTS!$J$2:$J$16,TRIM($G295))&gt;0,"LEFT OUT","NEW")))</f>
        <v/>
      </c>
    </row>
    <row r="296" spans="47:47" x14ac:dyDescent="0.25">
      <c r="AU296" s="8" t="str">
        <f>IF(TRIM($G296)="","",IF(COUNTIF(LISTS!$I$2:$I$16,TRIM($G296))&gt;0,"COUNTED",IF(COUNTIF(LISTS!$J$2:$J$16,TRIM($G296))&gt;0,"LEFT OUT","NEW")))</f>
        <v/>
      </c>
    </row>
    <row r="297" spans="47:47" x14ac:dyDescent="0.25">
      <c r="AU297" s="8" t="str">
        <f>IF(TRIM($G297)="","",IF(COUNTIF(LISTS!$I$2:$I$16,TRIM($G297))&gt;0,"COUNTED",IF(COUNTIF(LISTS!$J$2:$J$16,TRIM($G297))&gt;0,"LEFT OUT","NEW")))</f>
        <v/>
      </c>
    </row>
    <row r="298" spans="47:47" x14ac:dyDescent="0.25">
      <c r="AU298" s="8" t="str">
        <f>IF(TRIM($G298)="","",IF(COUNTIF(LISTS!$I$2:$I$16,TRIM($G298))&gt;0,"COUNTED",IF(COUNTIF(LISTS!$J$2:$J$16,TRIM($G298))&gt;0,"LEFT OUT","NEW")))</f>
        <v/>
      </c>
    </row>
    <row r="299" spans="47:47" x14ac:dyDescent="0.25">
      <c r="AU299" s="8" t="str">
        <f>IF(TRIM($G299)="","",IF(COUNTIF(LISTS!$I$2:$I$16,TRIM($G299))&gt;0,"COUNTED",IF(COUNTIF(LISTS!$J$2:$J$16,TRIM($G299))&gt;0,"LEFT OUT","NEW")))</f>
        <v/>
      </c>
    </row>
    <row r="300" spans="47:47" x14ac:dyDescent="0.25">
      <c r="AU300" s="8" t="str">
        <f>IF(TRIM($G300)="","",IF(COUNTIF(LISTS!$I$2:$I$16,TRIM($G300))&gt;0,"COUNTED",IF(COUNTIF(LISTS!$J$2:$J$16,TRIM($G300))&gt;0,"LEFT OUT","NEW")))</f>
        <v/>
      </c>
    </row>
    <row r="301" spans="47:47" x14ac:dyDescent="0.25">
      <c r="AU301" s="8" t="str">
        <f>IF(TRIM($G301)="","",IF(COUNTIF(LISTS!$I$2:$I$16,TRIM($G301))&gt;0,"COUNTED",IF(COUNTIF(LISTS!$J$2:$J$16,TRIM($G301))&gt;0,"LEFT OUT","NEW")))</f>
        <v/>
      </c>
    </row>
    <row r="302" spans="47:47" x14ac:dyDescent="0.25">
      <c r="AU302" s="8" t="str">
        <f>IF(TRIM($G302)="","",IF(COUNTIF(LISTS!$I$2:$I$16,TRIM($G302))&gt;0,"COUNTED",IF(COUNTIF(LISTS!$J$2:$J$16,TRIM($G302))&gt;0,"LEFT OUT","NEW")))</f>
        <v/>
      </c>
    </row>
    <row r="303" spans="47:47" x14ac:dyDescent="0.25">
      <c r="AU303" s="8" t="str">
        <f>IF(TRIM($G303)="","",IF(COUNTIF(LISTS!$I$2:$I$16,TRIM($G303))&gt;0,"COUNTED",IF(COUNTIF(LISTS!$J$2:$J$16,TRIM($G303))&gt;0,"LEFT OUT","NEW")))</f>
        <v/>
      </c>
    </row>
    <row r="304" spans="47:47" x14ac:dyDescent="0.25">
      <c r="AU304" s="8" t="str">
        <f>IF(TRIM($G304)="","",IF(COUNTIF(LISTS!$I$2:$I$16,TRIM($G304))&gt;0,"COUNTED",IF(COUNTIF(LISTS!$J$2:$J$16,TRIM($G304))&gt;0,"LEFT OUT","NEW")))</f>
        <v/>
      </c>
    </row>
    <row r="305" spans="47:47" x14ac:dyDescent="0.25">
      <c r="AU305" s="8" t="str">
        <f>IF(TRIM($G305)="","",IF(COUNTIF(LISTS!$I$2:$I$16,TRIM($G305))&gt;0,"COUNTED",IF(COUNTIF(LISTS!$J$2:$J$16,TRIM($G305))&gt;0,"LEFT OUT","NEW")))</f>
        <v/>
      </c>
    </row>
    <row r="306" spans="47:47" x14ac:dyDescent="0.25">
      <c r="AU306" s="8" t="str">
        <f>IF(TRIM($G306)="","",IF(COUNTIF(LISTS!$I$2:$I$16,TRIM($G306))&gt;0,"COUNTED",IF(COUNTIF(LISTS!$J$2:$J$16,TRIM($G306))&gt;0,"LEFT OUT","NEW")))</f>
        <v/>
      </c>
    </row>
    <row r="307" spans="47:47" x14ac:dyDescent="0.25">
      <c r="AU307" s="8" t="str">
        <f>IF(TRIM($G307)="","",IF(COUNTIF(LISTS!$I$2:$I$16,TRIM($G307))&gt;0,"COUNTED",IF(COUNTIF(LISTS!$J$2:$J$16,TRIM($G307))&gt;0,"LEFT OUT","NEW")))</f>
        <v/>
      </c>
    </row>
    <row r="308" spans="47:47" x14ac:dyDescent="0.25">
      <c r="AU308" s="8" t="str">
        <f>IF(TRIM($G308)="","",IF(COUNTIF(LISTS!$I$2:$I$16,TRIM($G308))&gt;0,"COUNTED",IF(COUNTIF(LISTS!$J$2:$J$16,TRIM($G308))&gt;0,"LEFT OUT","NEW")))</f>
        <v/>
      </c>
    </row>
    <row r="309" spans="47:47" x14ac:dyDescent="0.25">
      <c r="AU309" s="8" t="str">
        <f>IF(TRIM($G309)="","",IF(COUNTIF(LISTS!$I$2:$I$16,TRIM($G309))&gt;0,"COUNTED",IF(COUNTIF(LISTS!$J$2:$J$16,TRIM($G309))&gt;0,"LEFT OUT","NEW")))</f>
        <v/>
      </c>
    </row>
    <row r="310" spans="47:47" x14ac:dyDescent="0.25">
      <c r="AU310" s="8" t="str">
        <f>IF(TRIM($G310)="","",IF(COUNTIF(LISTS!$I$2:$I$16,TRIM($G310))&gt;0,"COUNTED",IF(COUNTIF(LISTS!$J$2:$J$16,TRIM($G310))&gt;0,"LEFT OUT","NEW")))</f>
        <v/>
      </c>
    </row>
    <row r="311" spans="47:47" x14ac:dyDescent="0.25">
      <c r="AU311" s="8" t="str">
        <f>IF(TRIM($G311)="","",IF(COUNTIF(LISTS!$I$2:$I$16,TRIM($G311))&gt;0,"COUNTED",IF(COUNTIF(LISTS!$J$2:$J$16,TRIM($G311))&gt;0,"LEFT OUT","NEW")))</f>
        <v/>
      </c>
    </row>
    <row r="312" spans="47:47" x14ac:dyDescent="0.25">
      <c r="AU312" s="8" t="str">
        <f>IF(TRIM($G312)="","",IF(COUNTIF(LISTS!$I$2:$I$16,TRIM($G312))&gt;0,"COUNTED",IF(COUNTIF(LISTS!$J$2:$J$16,TRIM($G312))&gt;0,"LEFT OUT","NEW")))</f>
        <v/>
      </c>
    </row>
    <row r="313" spans="47:47" x14ac:dyDescent="0.25">
      <c r="AU313" s="8" t="str">
        <f>IF(TRIM($G313)="","",IF(COUNTIF(LISTS!$I$2:$I$16,TRIM($G313))&gt;0,"COUNTED",IF(COUNTIF(LISTS!$J$2:$J$16,TRIM($G313))&gt;0,"LEFT OUT","NEW")))</f>
        <v/>
      </c>
    </row>
    <row r="314" spans="47:47" x14ac:dyDescent="0.25">
      <c r="AU314" s="8" t="str">
        <f>IF(TRIM($G314)="","",IF(COUNTIF(LISTS!$I$2:$I$16,TRIM($G314))&gt;0,"COUNTED",IF(COUNTIF(LISTS!$J$2:$J$16,TRIM($G314))&gt;0,"LEFT OUT","NEW")))</f>
        <v/>
      </c>
    </row>
    <row r="315" spans="47:47" x14ac:dyDescent="0.25">
      <c r="AU315" s="8" t="str">
        <f>IF(TRIM($G315)="","",IF(COUNTIF(LISTS!$I$2:$I$16,TRIM($G315))&gt;0,"COUNTED",IF(COUNTIF(LISTS!$J$2:$J$16,TRIM($G315))&gt;0,"LEFT OUT","NEW")))</f>
        <v/>
      </c>
    </row>
    <row r="316" spans="47:47" x14ac:dyDescent="0.25">
      <c r="AU316" s="8" t="str">
        <f>IF(TRIM($G316)="","",IF(COUNTIF(LISTS!$I$2:$I$16,TRIM($G316))&gt;0,"COUNTED",IF(COUNTIF(LISTS!$J$2:$J$16,TRIM($G316))&gt;0,"LEFT OUT","NEW")))</f>
        <v/>
      </c>
    </row>
    <row r="317" spans="47:47" x14ac:dyDescent="0.25">
      <c r="AU317" s="8" t="str">
        <f>IF(TRIM($G317)="","",IF(COUNTIF(LISTS!$I$2:$I$16,TRIM($G317))&gt;0,"COUNTED",IF(COUNTIF(LISTS!$J$2:$J$16,TRIM($G317))&gt;0,"LEFT OUT","NEW")))</f>
        <v/>
      </c>
    </row>
    <row r="318" spans="47:47" x14ac:dyDescent="0.25">
      <c r="AU318" s="8" t="str">
        <f>IF(TRIM($G318)="","",IF(COUNTIF(LISTS!$I$2:$I$16,TRIM($G318))&gt;0,"COUNTED",IF(COUNTIF(LISTS!$J$2:$J$16,TRIM($G318))&gt;0,"LEFT OUT","NEW")))</f>
        <v/>
      </c>
    </row>
    <row r="319" spans="47:47" x14ac:dyDescent="0.25">
      <c r="AU319" s="8" t="str">
        <f>IF(TRIM($G319)="","",IF(COUNTIF(LISTS!$I$2:$I$16,TRIM($G319))&gt;0,"COUNTED",IF(COUNTIF(LISTS!$J$2:$J$16,TRIM($G319))&gt;0,"LEFT OUT","NEW")))</f>
        <v/>
      </c>
    </row>
    <row r="320" spans="47:47" x14ac:dyDescent="0.25">
      <c r="AU320" s="8" t="str">
        <f>IF(TRIM($G320)="","",IF(COUNTIF(LISTS!$I$2:$I$16,TRIM($G320))&gt;0,"COUNTED",IF(COUNTIF(LISTS!$J$2:$J$16,TRIM($G320))&gt;0,"LEFT OUT","NEW")))</f>
        <v/>
      </c>
    </row>
    <row r="321" spans="47:47" x14ac:dyDescent="0.25">
      <c r="AU321" s="8" t="str">
        <f>IF(TRIM($G321)="","",IF(COUNTIF(LISTS!$I$2:$I$16,TRIM($G321))&gt;0,"COUNTED",IF(COUNTIF(LISTS!$J$2:$J$16,TRIM($G321))&gt;0,"LEFT OUT","NEW")))</f>
        <v/>
      </c>
    </row>
    <row r="322" spans="47:47" x14ac:dyDescent="0.25">
      <c r="AU322" s="8" t="str">
        <f>IF(TRIM($G322)="","",IF(COUNTIF(LISTS!$I$2:$I$16,TRIM($G322))&gt;0,"COUNTED",IF(COUNTIF(LISTS!$J$2:$J$16,TRIM($G322))&gt;0,"LEFT OUT","NEW")))</f>
        <v/>
      </c>
    </row>
    <row r="323" spans="47:47" x14ac:dyDescent="0.25">
      <c r="AU323" s="8" t="str">
        <f>IF(TRIM($G323)="","",IF(COUNTIF(LISTS!$I$2:$I$16,TRIM($G323))&gt;0,"COUNTED",IF(COUNTIF(LISTS!$J$2:$J$16,TRIM($G323))&gt;0,"LEFT OUT","NEW")))</f>
        <v/>
      </c>
    </row>
    <row r="324" spans="47:47" x14ac:dyDescent="0.25">
      <c r="AU324" s="8" t="str">
        <f>IF(TRIM($G324)="","",IF(COUNTIF(LISTS!$I$2:$I$16,TRIM($G324))&gt;0,"COUNTED",IF(COUNTIF(LISTS!$J$2:$J$16,TRIM($G324))&gt;0,"LEFT OUT","NEW")))</f>
        <v/>
      </c>
    </row>
    <row r="325" spans="47:47" x14ac:dyDescent="0.25">
      <c r="AU325" s="8" t="str">
        <f>IF(TRIM($G325)="","",IF(COUNTIF(LISTS!$I$2:$I$16,TRIM($G325))&gt;0,"COUNTED",IF(COUNTIF(LISTS!$J$2:$J$16,TRIM($G325))&gt;0,"LEFT OUT","NEW")))</f>
        <v/>
      </c>
    </row>
    <row r="326" spans="47:47" x14ac:dyDescent="0.25">
      <c r="AU326" s="8" t="str">
        <f>IF(TRIM($G326)="","",IF(COUNTIF(LISTS!$I$2:$I$16,TRIM($G326))&gt;0,"COUNTED",IF(COUNTIF(LISTS!$J$2:$J$16,TRIM($G326))&gt;0,"LEFT OUT","NEW")))</f>
        <v/>
      </c>
    </row>
    <row r="327" spans="47:47" x14ac:dyDescent="0.25">
      <c r="AU327" s="8" t="str">
        <f>IF(TRIM($G327)="","",IF(COUNTIF(LISTS!$I$2:$I$16,TRIM($G327))&gt;0,"COUNTED",IF(COUNTIF(LISTS!$J$2:$J$16,TRIM($G327))&gt;0,"LEFT OUT","NEW")))</f>
        <v/>
      </c>
    </row>
    <row r="328" spans="47:47" x14ac:dyDescent="0.25">
      <c r="AU328" s="8" t="str">
        <f>IF(TRIM($G328)="","",IF(COUNTIF(LISTS!$I$2:$I$16,TRIM($G328))&gt;0,"COUNTED",IF(COUNTIF(LISTS!$J$2:$J$16,TRIM($G328))&gt;0,"LEFT OUT","NEW")))</f>
        <v/>
      </c>
    </row>
    <row r="329" spans="47:47" x14ac:dyDescent="0.25">
      <c r="AU329" s="8" t="str">
        <f>IF(TRIM($G329)="","",IF(COUNTIF(LISTS!$I$2:$I$16,TRIM($G329))&gt;0,"COUNTED",IF(COUNTIF(LISTS!$J$2:$J$16,TRIM($G329))&gt;0,"LEFT OUT","NEW")))</f>
        <v/>
      </c>
    </row>
    <row r="330" spans="47:47" x14ac:dyDescent="0.25">
      <c r="AU330" s="8" t="str">
        <f>IF(TRIM($G330)="","",IF(COUNTIF(LISTS!$I$2:$I$16,TRIM($G330))&gt;0,"COUNTED",IF(COUNTIF(LISTS!$J$2:$J$16,TRIM($G330))&gt;0,"LEFT OUT","NEW")))</f>
        <v/>
      </c>
    </row>
    <row r="331" spans="47:47" x14ac:dyDescent="0.25">
      <c r="AU331" s="8" t="str">
        <f>IF(TRIM($G331)="","",IF(COUNTIF(LISTS!$I$2:$I$16,TRIM($G331))&gt;0,"COUNTED",IF(COUNTIF(LISTS!$J$2:$J$16,TRIM($G331))&gt;0,"LEFT OUT","NEW")))</f>
        <v/>
      </c>
    </row>
    <row r="332" spans="47:47" x14ac:dyDescent="0.25">
      <c r="AU332" s="8" t="str">
        <f>IF(TRIM($G332)="","",IF(COUNTIF(LISTS!$I$2:$I$16,TRIM($G332))&gt;0,"COUNTED",IF(COUNTIF(LISTS!$J$2:$J$16,TRIM($G332))&gt;0,"LEFT OUT","NEW")))</f>
        <v/>
      </c>
    </row>
    <row r="333" spans="47:47" x14ac:dyDescent="0.25">
      <c r="AU333" s="8" t="str">
        <f>IF(TRIM($G333)="","",IF(COUNTIF(LISTS!$I$2:$I$16,TRIM($G333))&gt;0,"COUNTED",IF(COUNTIF(LISTS!$J$2:$J$16,TRIM($G333))&gt;0,"LEFT OUT","NEW")))</f>
        <v/>
      </c>
    </row>
    <row r="334" spans="47:47" x14ac:dyDescent="0.25">
      <c r="AU334" s="8" t="str">
        <f>IF(TRIM($G334)="","",IF(COUNTIF(LISTS!$I$2:$I$16,TRIM($G334))&gt;0,"COUNTED",IF(COUNTIF(LISTS!$J$2:$J$16,TRIM($G334))&gt;0,"LEFT OUT","NEW")))</f>
        <v/>
      </c>
    </row>
    <row r="335" spans="47:47" x14ac:dyDescent="0.25">
      <c r="AU335" s="8" t="str">
        <f>IF(TRIM($G335)="","",IF(COUNTIF(LISTS!$I$2:$I$16,TRIM($G335))&gt;0,"COUNTED",IF(COUNTIF(LISTS!$J$2:$J$16,TRIM($G335))&gt;0,"LEFT OUT","NEW")))</f>
        <v/>
      </c>
    </row>
    <row r="336" spans="47:47" x14ac:dyDescent="0.25">
      <c r="AU336" s="8" t="str">
        <f>IF(TRIM($G336)="","",IF(COUNTIF(LISTS!$I$2:$I$16,TRIM($G336))&gt;0,"COUNTED",IF(COUNTIF(LISTS!$J$2:$J$16,TRIM($G336))&gt;0,"LEFT OUT","NEW")))</f>
        <v/>
      </c>
    </row>
    <row r="337" spans="47:47" x14ac:dyDescent="0.25">
      <c r="AU337" s="8" t="str">
        <f>IF(TRIM($G337)="","",IF(COUNTIF(LISTS!$I$2:$I$16,TRIM($G337))&gt;0,"COUNTED",IF(COUNTIF(LISTS!$J$2:$J$16,TRIM($G337))&gt;0,"LEFT OUT","NEW")))</f>
        <v/>
      </c>
    </row>
    <row r="338" spans="47:47" x14ac:dyDescent="0.25">
      <c r="AU338" s="8" t="str">
        <f>IF(TRIM($G338)="","",IF(COUNTIF(LISTS!$I$2:$I$16,TRIM($G338))&gt;0,"COUNTED",IF(COUNTIF(LISTS!$J$2:$J$16,TRIM($G338))&gt;0,"LEFT OUT","NEW")))</f>
        <v/>
      </c>
    </row>
    <row r="339" spans="47:47" x14ac:dyDescent="0.25">
      <c r="AU339" s="8" t="str">
        <f>IF(TRIM($G339)="","",IF(COUNTIF(LISTS!$I$2:$I$16,TRIM($G339))&gt;0,"COUNTED",IF(COUNTIF(LISTS!$J$2:$J$16,TRIM($G339))&gt;0,"LEFT OUT","NEW")))</f>
        <v/>
      </c>
    </row>
    <row r="340" spans="47:47" x14ac:dyDescent="0.25">
      <c r="AU340" s="8" t="str">
        <f>IF(TRIM($G340)="","",IF(COUNTIF(LISTS!$I$2:$I$16,TRIM($G340))&gt;0,"COUNTED",IF(COUNTIF(LISTS!$J$2:$J$16,TRIM($G340))&gt;0,"LEFT OUT","NEW")))</f>
        <v/>
      </c>
    </row>
    <row r="341" spans="47:47" x14ac:dyDescent="0.25">
      <c r="AU341" s="8" t="str">
        <f>IF(TRIM($G341)="","",IF(COUNTIF(LISTS!$I$2:$I$16,TRIM($G341))&gt;0,"COUNTED",IF(COUNTIF(LISTS!$J$2:$J$16,TRIM($G341))&gt;0,"LEFT OUT","NEW")))</f>
        <v/>
      </c>
    </row>
    <row r="342" spans="47:47" x14ac:dyDescent="0.25">
      <c r="AU342" s="8" t="str">
        <f>IF(TRIM($G342)="","",IF(COUNTIF(LISTS!$I$2:$I$16,TRIM($G342))&gt;0,"COUNTED",IF(COUNTIF(LISTS!$J$2:$J$16,TRIM($G342))&gt;0,"LEFT OUT","NEW")))</f>
        <v/>
      </c>
    </row>
    <row r="343" spans="47:47" x14ac:dyDescent="0.25">
      <c r="AU343" s="8" t="str">
        <f>IF(TRIM($G343)="","",IF(COUNTIF(LISTS!$I$2:$I$16,TRIM($G343))&gt;0,"COUNTED",IF(COUNTIF(LISTS!$J$2:$J$16,TRIM($G343))&gt;0,"LEFT OUT","NEW")))</f>
        <v/>
      </c>
    </row>
    <row r="344" spans="47:47" x14ac:dyDescent="0.25">
      <c r="AU344" s="8" t="str">
        <f>IF(TRIM($G344)="","",IF(COUNTIF(LISTS!$I$2:$I$16,TRIM($G344))&gt;0,"COUNTED",IF(COUNTIF(LISTS!$J$2:$J$16,TRIM($G344))&gt;0,"LEFT OUT","NEW")))</f>
        <v/>
      </c>
    </row>
    <row r="345" spans="47:47" x14ac:dyDescent="0.25">
      <c r="AU345" s="8" t="str">
        <f>IF(TRIM($G345)="","",IF(COUNTIF(LISTS!$I$2:$I$16,TRIM($G345))&gt;0,"COUNTED",IF(COUNTIF(LISTS!$J$2:$J$16,TRIM($G345))&gt;0,"LEFT OUT","NEW")))</f>
        <v/>
      </c>
    </row>
    <row r="346" spans="47:47" x14ac:dyDescent="0.25">
      <c r="AU346" s="8" t="str">
        <f>IF(TRIM($G346)="","",IF(COUNTIF(LISTS!$I$2:$I$16,TRIM($G346))&gt;0,"COUNTED",IF(COUNTIF(LISTS!$J$2:$J$16,TRIM($G346))&gt;0,"LEFT OUT","NEW")))</f>
        <v/>
      </c>
    </row>
    <row r="347" spans="47:47" x14ac:dyDescent="0.25">
      <c r="AU347" s="8" t="str">
        <f>IF(TRIM($G347)="","",IF(COUNTIF(LISTS!$I$2:$I$16,TRIM($G347))&gt;0,"COUNTED",IF(COUNTIF(LISTS!$J$2:$J$16,TRIM($G347))&gt;0,"LEFT OUT","NEW")))</f>
        <v/>
      </c>
    </row>
    <row r="348" spans="47:47" x14ac:dyDescent="0.25">
      <c r="AU348" s="8" t="str">
        <f>IF(TRIM($G348)="","",IF(COUNTIF(LISTS!$I$2:$I$16,TRIM($G348))&gt;0,"COUNTED",IF(COUNTIF(LISTS!$J$2:$J$16,TRIM($G348))&gt;0,"LEFT OUT","NEW")))</f>
        <v/>
      </c>
    </row>
    <row r="349" spans="47:47" x14ac:dyDescent="0.25">
      <c r="AU349" s="8" t="str">
        <f>IF(TRIM($G349)="","",IF(COUNTIF(LISTS!$I$2:$I$16,TRIM($G349))&gt;0,"COUNTED",IF(COUNTIF(LISTS!$J$2:$J$16,TRIM($G349))&gt;0,"LEFT OUT","NEW")))</f>
        <v/>
      </c>
    </row>
    <row r="350" spans="47:47" x14ac:dyDescent="0.25">
      <c r="AU350" s="8" t="str">
        <f>IF(TRIM($G350)="","",IF(COUNTIF(LISTS!$I$2:$I$16,TRIM($G350))&gt;0,"COUNTED",IF(COUNTIF(LISTS!$J$2:$J$16,TRIM($G350))&gt;0,"LEFT OUT","NEW")))</f>
        <v/>
      </c>
    </row>
    <row r="351" spans="47:47" x14ac:dyDescent="0.25">
      <c r="AU351" s="8" t="str">
        <f>IF(TRIM($G351)="","",IF(COUNTIF(LISTS!$I$2:$I$16,TRIM($G351))&gt;0,"COUNTED",IF(COUNTIF(LISTS!$J$2:$J$16,TRIM($G351))&gt;0,"LEFT OUT","NEW")))</f>
        <v/>
      </c>
    </row>
    <row r="352" spans="47:47" x14ac:dyDescent="0.25">
      <c r="AU352" s="8" t="str">
        <f>IF(TRIM($G352)="","",IF(COUNTIF(LISTS!$I$2:$I$16,TRIM($G352))&gt;0,"COUNTED",IF(COUNTIF(LISTS!$J$2:$J$16,TRIM($G352))&gt;0,"LEFT OUT","NEW")))</f>
        <v/>
      </c>
    </row>
    <row r="353" spans="47:47" x14ac:dyDescent="0.25">
      <c r="AU353" s="8" t="str">
        <f>IF(TRIM($G353)="","",IF(COUNTIF(LISTS!$I$2:$I$16,TRIM($G353))&gt;0,"COUNTED",IF(COUNTIF(LISTS!$J$2:$J$16,TRIM($G353))&gt;0,"LEFT OUT","NEW")))</f>
        <v/>
      </c>
    </row>
    <row r="354" spans="47:47" x14ac:dyDescent="0.25">
      <c r="AU354" s="8" t="str">
        <f>IF(TRIM($G354)="","",IF(COUNTIF(LISTS!$I$2:$I$16,TRIM($G354))&gt;0,"COUNTED",IF(COUNTIF(LISTS!$J$2:$J$16,TRIM($G354))&gt;0,"LEFT OUT","NEW")))</f>
        <v/>
      </c>
    </row>
    <row r="355" spans="47:47" x14ac:dyDescent="0.25">
      <c r="AU355" s="8" t="str">
        <f>IF(TRIM($G355)="","",IF(COUNTIF(LISTS!$I$2:$I$16,TRIM($G355))&gt;0,"COUNTED",IF(COUNTIF(LISTS!$J$2:$J$16,TRIM($G355))&gt;0,"LEFT OUT","NEW")))</f>
        <v/>
      </c>
    </row>
    <row r="356" spans="47:47" x14ac:dyDescent="0.25">
      <c r="AU356" s="8" t="str">
        <f>IF(TRIM($G356)="","",IF(COUNTIF(LISTS!$I$2:$I$16,TRIM($G356))&gt;0,"COUNTED",IF(COUNTIF(LISTS!$J$2:$J$16,TRIM($G356))&gt;0,"LEFT OUT","NEW")))</f>
        <v/>
      </c>
    </row>
    <row r="357" spans="47:47" x14ac:dyDescent="0.25">
      <c r="AU357" s="8" t="str">
        <f>IF(TRIM($G357)="","",IF(COUNTIF(LISTS!$I$2:$I$16,TRIM($G357))&gt;0,"COUNTED",IF(COUNTIF(LISTS!$J$2:$J$16,TRIM($G357))&gt;0,"LEFT OUT","NEW")))</f>
        <v/>
      </c>
    </row>
    <row r="358" spans="47:47" x14ac:dyDescent="0.25">
      <c r="AU358" s="8" t="str">
        <f>IF(TRIM($G358)="","",IF(COUNTIF(LISTS!$I$2:$I$16,TRIM($G358))&gt;0,"COUNTED",IF(COUNTIF(LISTS!$J$2:$J$16,TRIM($G358))&gt;0,"LEFT OUT","NEW")))</f>
        <v/>
      </c>
    </row>
    <row r="359" spans="47:47" x14ac:dyDescent="0.25">
      <c r="AU359" s="8" t="str">
        <f>IF(TRIM($G359)="","",IF(COUNTIF(LISTS!$I$2:$I$16,TRIM($G359))&gt;0,"COUNTED",IF(COUNTIF(LISTS!$J$2:$J$16,TRIM($G359))&gt;0,"LEFT OUT","NEW")))</f>
        <v/>
      </c>
    </row>
    <row r="360" spans="47:47" x14ac:dyDescent="0.25">
      <c r="AU360" s="8" t="str">
        <f>IF(TRIM($G360)="","",IF(COUNTIF(LISTS!$I$2:$I$16,TRIM($G360))&gt;0,"COUNTED",IF(COUNTIF(LISTS!$J$2:$J$16,TRIM($G360))&gt;0,"LEFT OUT","NEW")))</f>
        <v/>
      </c>
    </row>
    <row r="361" spans="47:47" x14ac:dyDescent="0.25">
      <c r="AU361" s="8" t="str">
        <f>IF(TRIM($G361)="","",IF(COUNTIF(LISTS!$I$2:$I$16,TRIM($G361))&gt;0,"COUNTED",IF(COUNTIF(LISTS!$J$2:$J$16,TRIM($G361))&gt;0,"LEFT OUT","NEW")))</f>
        <v/>
      </c>
    </row>
    <row r="362" spans="47:47" x14ac:dyDescent="0.25">
      <c r="AU362" s="8" t="str">
        <f>IF(TRIM($G362)="","",IF(COUNTIF(LISTS!$I$2:$I$16,TRIM($G362))&gt;0,"COUNTED",IF(COUNTIF(LISTS!$J$2:$J$16,TRIM($G362))&gt;0,"LEFT OUT","NEW")))</f>
        <v/>
      </c>
    </row>
    <row r="363" spans="47:47" x14ac:dyDescent="0.25">
      <c r="AU363" s="8" t="str">
        <f>IF(TRIM($G363)="","",IF(COUNTIF(LISTS!$I$2:$I$16,TRIM($G363))&gt;0,"COUNTED",IF(COUNTIF(LISTS!$J$2:$J$16,TRIM($G363))&gt;0,"LEFT OUT","NEW")))</f>
        <v/>
      </c>
    </row>
    <row r="364" spans="47:47" x14ac:dyDescent="0.25">
      <c r="AU364" s="8" t="str">
        <f>IF(TRIM($G364)="","",IF(COUNTIF(LISTS!$I$2:$I$16,TRIM($G364))&gt;0,"COUNTED",IF(COUNTIF(LISTS!$J$2:$J$16,TRIM($G364))&gt;0,"LEFT OUT","NEW")))</f>
        <v/>
      </c>
    </row>
    <row r="365" spans="47:47" x14ac:dyDescent="0.25">
      <c r="AU365" s="8" t="str">
        <f>IF(TRIM($G365)="","",IF(COUNTIF(LISTS!$I$2:$I$16,TRIM($G365))&gt;0,"COUNTED",IF(COUNTIF(LISTS!$J$2:$J$16,TRIM($G365))&gt;0,"LEFT OUT","NEW")))</f>
        <v/>
      </c>
    </row>
    <row r="366" spans="47:47" x14ac:dyDescent="0.25">
      <c r="AU366" s="8" t="str">
        <f>IF(TRIM($G366)="","",IF(COUNTIF(LISTS!$I$2:$I$16,TRIM($G366))&gt;0,"COUNTED",IF(COUNTIF(LISTS!$J$2:$J$16,TRIM($G366))&gt;0,"LEFT OUT","NEW")))</f>
        <v/>
      </c>
    </row>
    <row r="367" spans="47:47" x14ac:dyDescent="0.25">
      <c r="AU367" s="8" t="str">
        <f>IF(TRIM($G367)="","",IF(COUNTIF(LISTS!$I$2:$I$16,TRIM($G367))&gt;0,"COUNTED",IF(COUNTIF(LISTS!$J$2:$J$16,TRIM($G367))&gt;0,"LEFT OUT","NEW")))</f>
        <v/>
      </c>
    </row>
    <row r="368" spans="47:47" x14ac:dyDescent="0.25">
      <c r="AU368" s="8" t="str">
        <f>IF(TRIM($G368)="","",IF(COUNTIF(LISTS!$I$2:$I$16,TRIM($G368))&gt;0,"COUNTED",IF(COUNTIF(LISTS!$J$2:$J$16,TRIM($G368))&gt;0,"LEFT OUT","NEW")))</f>
        <v/>
      </c>
    </row>
    <row r="369" spans="47:47" x14ac:dyDescent="0.25">
      <c r="AU369" s="8" t="str">
        <f>IF(TRIM($G369)="","",IF(COUNTIF(LISTS!$I$2:$I$16,TRIM($G369))&gt;0,"COUNTED",IF(COUNTIF(LISTS!$J$2:$J$16,TRIM($G369))&gt;0,"LEFT OUT","NEW")))</f>
        <v/>
      </c>
    </row>
    <row r="370" spans="47:47" x14ac:dyDescent="0.25">
      <c r="AU370" s="8" t="str">
        <f>IF(TRIM($G370)="","",IF(COUNTIF(LISTS!$I$2:$I$16,TRIM($G370))&gt;0,"COUNTED",IF(COUNTIF(LISTS!$J$2:$J$16,TRIM($G370))&gt;0,"LEFT OUT","NEW")))</f>
        <v/>
      </c>
    </row>
    <row r="371" spans="47:47" x14ac:dyDescent="0.25">
      <c r="AU371" s="8" t="str">
        <f>IF(TRIM($G371)="","",IF(COUNTIF(LISTS!$I$2:$I$16,TRIM($G371))&gt;0,"COUNTED",IF(COUNTIF(LISTS!$J$2:$J$16,TRIM($G371))&gt;0,"LEFT OUT","NEW")))</f>
        <v/>
      </c>
    </row>
    <row r="372" spans="47:47" x14ac:dyDescent="0.25">
      <c r="AU372" s="8" t="str">
        <f>IF(TRIM($G372)="","",IF(COUNTIF(LISTS!$I$2:$I$16,TRIM($G372))&gt;0,"COUNTED",IF(COUNTIF(LISTS!$J$2:$J$16,TRIM($G372))&gt;0,"LEFT OUT","NEW")))</f>
        <v/>
      </c>
    </row>
    <row r="373" spans="47:47" x14ac:dyDescent="0.25">
      <c r="AU373" s="8" t="str">
        <f>IF(TRIM($G373)="","",IF(COUNTIF(LISTS!$I$2:$I$16,TRIM($G373))&gt;0,"COUNTED",IF(COUNTIF(LISTS!$J$2:$J$16,TRIM($G373))&gt;0,"LEFT OUT","NEW")))</f>
        <v/>
      </c>
    </row>
    <row r="374" spans="47:47" x14ac:dyDescent="0.25">
      <c r="AU374" s="8" t="str">
        <f>IF(TRIM($G374)="","",IF(COUNTIF(LISTS!$I$2:$I$16,TRIM($G374))&gt;0,"COUNTED",IF(COUNTIF(LISTS!$J$2:$J$16,TRIM($G374))&gt;0,"LEFT OUT","NEW")))</f>
        <v/>
      </c>
    </row>
    <row r="375" spans="47:47" x14ac:dyDescent="0.25">
      <c r="AU375" s="8" t="str">
        <f>IF(TRIM($G375)="","",IF(COUNTIF(LISTS!$I$2:$I$16,TRIM($G375))&gt;0,"COUNTED",IF(COUNTIF(LISTS!$J$2:$J$16,TRIM($G375))&gt;0,"LEFT OUT","NEW")))</f>
        <v/>
      </c>
    </row>
    <row r="376" spans="47:47" x14ac:dyDescent="0.25">
      <c r="AU376" s="8" t="str">
        <f>IF(TRIM($G376)="","",IF(COUNTIF(LISTS!$I$2:$I$16,TRIM($G376))&gt;0,"COUNTED",IF(COUNTIF(LISTS!$J$2:$J$16,TRIM($G376))&gt;0,"LEFT OUT","NEW")))</f>
        <v/>
      </c>
    </row>
    <row r="377" spans="47:47" x14ac:dyDescent="0.25">
      <c r="AU377" s="8" t="str">
        <f>IF(TRIM($G377)="","",IF(COUNTIF(LISTS!$I$2:$I$16,TRIM($G377))&gt;0,"COUNTED",IF(COUNTIF(LISTS!$J$2:$J$16,TRIM($G377))&gt;0,"LEFT OUT","NEW")))</f>
        <v/>
      </c>
    </row>
    <row r="378" spans="47:47" x14ac:dyDescent="0.25">
      <c r="AU378" s="8" t="str">
        <f>IF(TRIM($G378)="","",IF(COUNTIF(LISTS!$I$2:$I$16,TRIM($G378))&gt;0,"COUNTED",IF(COUNTIF(LISTS!$J$2:$J$16,TRIM($G378))&gt;0,"LEFT OUT","NEW")))</f>
        <v/>
      </c>
    </row>
    <row r="379" spans="47:47" x14ac:dyDescent="0.25">
      <c r="AU379" s="8" t="str">
        <f>IF(TRIM($G379)="","",IF(COUNTIF(LISTS!$I$2:$I$16,TRIM($G379))&gt;0,"COUNTED",IF(COUNTIF(LISTS!$J$2:$J$16,TRIM($G379))&gt;0,"LEFT OUT","NEW")))</f>
        <v/>
      </c>
    </row>
    <row r="380" spans="47:47" x14ac:dyDescent="0.25">
      <c r="AU380" s="8" t="str">
        <f>IF(TRIM($G380)="","",IF(COUNTIF(LISTS!$I$2:$I$16,TRIM($G380))&gt;0,"COUNTED",IF(COUNTIF(LISTS!$J$2:$J$16,TRIM($G380))&gt;0,"LEFT OUT","NEW")))</f>
        <v/>
      </c>
    </row>
    <row r="381" spans="47:47" x14ac:dyDescent="0.25">
      <c r="AU381" s="8" t="str">
        <f>IF(TRIM($G381)="","",IF(COUNTIF(LISTS!$I$2:$I$16,TRIM($G381))&gt;0,"COUNTED",IF(COUNTIF(LISTS!$J$2:$J$16,TRIM($G381))&gt;0,"LEFT OUT","NEW")))</f>
        <v/>
      </c>
    </row>
    <row r="382" spans="47:47" x14ac:dyDescent="0.25">
      <c r="AU382" s="8" t="str">
        <f>IF(TRIM($G382)="","",IF(COUNTIF(LISTS!$I$2:$I$16,TRIM($G382))&gt;0,"COUNTED",IF(COUNTIF(LISTS!$J$2:$J$16,TRIM($G382))&gt;0,"LEFT OUT","NEW")))</f>
        <v/>
      </c>
    </row>
    <row r="383" spans="47:47" x14ac:dyDescent="0.25">
      <c r="AU383" s="8" t="str">
        <f>IF(TRIM($G383)="","",IF(COUNTIF(LISTS!$I$2:$I$16,TRIM($G383))&gt;0,"COUNTED",IF(COUNTIF(LISTS!$J$2:$J$16,TRIM($G383))&gt;0,"LEFT OUT","NEW")))</f>
        <v/>
      </c>
    </row>
    <row r="384" spans="47:47" x14ac:dyDescent="0.25">
      <c r="AU384" s="8" t="str">
        <f>IF(TRIM($G384)="","",IF(COUNTIF(LISTS!$I$2:$I$16,TRIM($G384))&gt;0,"COUNTED",IF(COUNTIF(LISTS!$J$2:$J$16,TRIM($G384))&gt;0,"LEFT OUT","NEW")))</f>
        <v/>
      </c>
    </row>
    <row r="385" spans="47:47" x14ac:dyDescent="0.25">
      <c r="AU385" s="8" t="str">
        <f>IF(TRIM($G385)="","",IF(COUNTIF(LISTS!$I$2:$I$16,TRIM($G385))&gt;0,"COUNTED",IF(COUNTIF(LISTS!$J$2:$J$16,TRIM($G385))&gt;0,"LEFT OUT","NEW")))</f>
        <v/>
      </c>
    </row>
    <row r="386" spans="47:47" x14ac:dyDescent="0.25">
      <c r="AU386" s="8" t="str">
        <f>IF(TRIM($G386)="","",IF(COUNTIF(LISTS!$I$2:$I$16,TRIM($G386))&gt;0,"COUNTED",IF(COUNTIF(LISTS!$J$2:$J$16,TRIM($G386))&gt;0,"LEFT OUT","NEW")))</f>
        <v/>
      </c>
    </row>
    <row r="387" spans="47:47" x14ac:dyDescent="0.25">
      <c r="AU387" s="8" t="str">
        <f>IF(TRIM($G387)="","",IF(COUNTIF(LISTS!$I$2:$I$16,TRIM($G387))&gt;0,"COUNTED",IF(COUNTIF(LISTS!$J$2:$J$16,TRIM($G387))&gt;0,"LEFT OUT","NEW")))</f>
        <v/>
      </c>
    </row>
    <row r="388" spans="47:47" x14ac:dyDescent="0.25">
      <c r="AU388" s="8" t="str">
        <f>IF(TRIM($G388)="","",IF(COUNTIF(LISTS!$I$2:$I$16,TRIM($G388))&gt;0,"COUNTED",IF(COUNTIF(LISTS!$J$2:$J$16,TRIM($G388))&gt;0,"LEFT OUT","NEW")))</f>
        <v/>
      </c>
    </row>
    <row r="389" spans="47:47" x14ac:dyDescent="0.25">
      <c r="AU389" s="8" t="str">
        <f>IF(TRIM($G389)="","",IF(COUNTIF(LISTS!$I$2:$I$16,TRIM($G389))&gt;0,"COUNTED",IF(COUNTIF(LISTS!$J$2:$J$16,TRIM($G389))&gt;0,"LEFT OUT","NEW")))</f>
        <v/>
      </c>
    </row>
    <row r="390" spans="47:47" x14ac:dyDescent="0.25">
      <c r="AU390" s="8" t="str">
        <f>IF(TRIM($G390)="","",IF(COUNTIF(LISTS!$I$2:$I$16,TRIM($G390))&gt;0,"COUNTED",IF(COUNTIF(LISTS!$J$2:$J$16,TRIM($G390))&gt;0,"LEFT OUT","NEW")))</f>
        <v/>
      </c>
    </row>
    <row r="391" spans="47:47" x14ac:dyDescent="0.25">
      <c r="AU391" s="8" t="str">
        <f>IF(TRIM($G391)="","",IF(COUNTIF(LISTS!$I$2:$I$16,TRIM($G391))&gt;0,"COUNTED",IF(COUNTIF(LISTS!$J$2:$J$16,TRIM($G391))&gt;0,"LEFT OUT","NEW")))</f>
        <v/>
      </c>
    </row>
    <row r="392" spans="47:47" x14ac:dyDescent="0.25">
      <c r="AU392" s="8" t="str">
        <f>IF(TRIM($G392)="","",IF(COUNTIF(LISTS!$I$2:$I$16,TRIM($G392))&gt;0,"COUNTED",IF(COUNTIF(LISTS!$J$2:$J$16,TRIM($G392))&gt;0,"LEFT OUT","NEW")))</f>
        <v/>
      </c>
    </row>
    <row r="393" spans="47:47" x14ac:dyDescent="0.25">
      <c r="AU393" s="8" t="str">
        <f>IF(TRIM($G393)="","",IF(COUNTIF(LISTS!$I$2:$I$16,TRIM($G393))&gt;0,"COUNTED",IF(COUNTIF(LISTS!$J$2:$J$16,TRIM($G393))&gt;0,"LEFT OUT","NEW")))</f>
        <v/>
      </c>
    </row>
    <row r="394" spans="47:47" x14ac:dyDescent="0.25">
      <c r="AU394" s="8" t="str">
        <f>IF(TRIM($G394)="","",IF(COUNTIF(LISTS!$I$2:$I$16,TRIM($G394))&gt;0,"COUNTED",IF(COUNTIF(LISTS!$J$2:$J$16,TRIM($G394))&gt;0,"LEFT OUT","NEW")))</f>
        <v/>
      </c>
    </row>
    <row r="395" spans="47:47" x14ac:dyDescent="0.25">
      <c r="AU395" s="8" t="str">
        <f>IF(TRIM($G395)="","",IF(COUNTIF(LISTS!$I$2:$I$16,TRIM($G395))&gt;0,"COUNTED",IF(COUNTIF(LISTS!$J$2:$J$16,TRIM($G395))&gt;0,"LEFT OUT","NEW")))</f>
        <v/>
      </c>
    </row>
    <row r="396" spans="47:47" x14ac:dyDescent="0.25">
      <c r="AU396" s="8" t="str">
        <f>IF(TRIM($G396)="","",IF(COUNTIF(LISTS!$I$2:$I$16,TRIM($G396))&gt;0,"COUNTED",IF(COUNTIF(LISTS!$J$2:$J$16,TRIM($G396))&gt;0,"LEFT OUT","NEW")))</f>
        <v/>
      </c>
    </row>
    <row r="397" spans="47:47" x14ac:dyDescent="0.25">
      <c r="AU397" s="8" t="str">
        <f>IF(TRIM($G397)="","",IF(COUNTIF(LISTS!$I$2:$I$16,TRIM($G397))&gt;0,"COUNTED",IF(COUNTIF(LISTS!$J$2:$J$16,TRIM($G397))&gt;0,"LEFT OUT","NEW")))</f>
        <v/>
      </c>
    </row>
    <row r="398" spans="47:47" x14ac:dyDescent="0.25">
      <c r="AU398" s="8" t="str">
        <f>IF(TRIM($G398)="","",IF(COUNTIF(LISTS!$I$2:$I$16,TRIM($G398))&gt;0,"COUNTED",IF(COUNTIF(LISTS!$J$2:$J$16,TRIM($G398))&gt;0,"LEFT OUT","NEW")))</f>
        <v/>
      </c>
    </row>
    <row r="399" spans="47:47" x14ac:dyDescent="0.25">
      <c r="AU399" s="8" t="str">
        <f>IF(TRIM($G399)="","",IF(COUNTIF(LISTS!$I$2:$I$16,TRIM($G399))&gt;0,"COUNTED",IF(COUNTIF(LISTS!$J$2:$J$16,TRIM($G399))&gt;0,"LEFT OUT","NEW")))</f>
        <v/>
      </c>
    </row>
    <row r="400" spans="47:47" x14ac:dyDescent="0.25">
      <c r="AU400" s="8" t="str">
        <f>IF(TRIM($G400)="","",IF(COUNTIF(LISTS!$I$2:$I$16,TRIM($G400))&gt;0,"COUNTED",IF(COUNTIF(LISTS!$J$2:$J$16,TRIM($G400))&gt;0,"LEFT OUT","NEW")))</f>
        <v/>
      </c>
    </row>
    <row r="401" spans="47:47" x14ac:dyDescent="0.25">
      <c r="AU401" s="8" t="str">
        <f>IF(TRIM($G401)="","",IF(COUNTIF(LISTS!$I$2:$I$16,TRIM($G401))&gt;0,"COUNTED",IF(COUNTIF(LISTS!$J$2:$J$16,TRIM($G401))&gt;0,"LEFT OUT","NEW")))</f>
        <v/>
      </c>
    </row>
    <row r="402" spans="47:47" x14ac:dyDescent="0.25">
      <c r="AU402" s="8" t="str">
        <f>IF(TRIM($G402)="","",IF(COUNTIF(LISTS!$I$2:$I$16,TRIM($G402))&gt;0,"COUNTED",IF(COUNTIF(LISTS!$J$2:$J$16,TRIM($G402))&gt;0,"LEFT OUT","NEW")))</f>
        <v/>
      </c>
    </row>
    <row r="403" spans="47:47" x14ac:dyDescent="0.25">
      <c r="AU403" s="8" t="str">
        <f>IF(TRIM($G403)="","",IF(COUNTIF(LISTS!$I$2:$I$16,TRIM($G403))&gt;0,"COUNTED",IF(COUNTIF(LISTS!$J$2:$J$16,TRIM($G403))&gt;0,"LEFT OUT","NEW")))</f>
        <v/>
      </c>
    </row>
    <row r="404" spans="47:47" x14ac:dyDescent="0.25">
      <c r="AU404" s="8" t="str">
        <f>IF(TRIM($G404)="","",IF(COUNTIF(LISTS!$I$2:$I$16,TRIM($G404))&gt;0,"COUNTED",IF(COUNTIF(LISTS!$J$2:$J$16,TRIM($G404))&gt;0,"LEFT OUT","NEW")))</f>
        <v/>
      </c>
    </row>
    <row r="405" spans="47:47" x14ac:dyDescent="0.25">
      <c r="AU405" s="8" t="str">
        <f>IF(TRIM($G405)="","",IF(COUNTIF(LISTS!$I$2:$I$16,TRIM($G405))&gt;0,"COUNTED",IF(COUNTIF(LISTS!$J$2:$J$16,TRIM($G405))&gt;0,"LEFT OUT","NEW")))</f>
        <v/>
      </c>
    </row>
    <row r="406" spans="47:47" x14ac:dyDescent="0.25">
      <c r="AU406" s="8" t="str">
        <f>IF(TRIM($G406)="","",IF(COUNTIF(LISTS!$I$2:$I$16,TRIM($G406))&gt;0,"COUNTED",IF(COUNTIF(LISTS!$J$2:$J$16,TRIM($G406))&gt;0,"LEFT OUT","NEW")))</f>
        <v/>
      </c>
    </row>
    <row r="407" spans="47:47" x14ac:dyDescent="0.25">
      <c r="AU407" s="8" t="str">
        <f>IF(TRIM($G407)="","",IF(COUNTIF(LISTS!$I$2:$I$16,TRIM($G407))&gt;0,"COUNTED",IF(COUNTIF(LISTS!$J$2:$J$16,TRIM($G407))&gt;0,"LEFT OUT","NEW")))</f>
        <v/>
      </c>
    </row>
    <row r="408" spans="47:47" x14ac:dyDescent="0.25">
      <c r="AU408" s="8" t="str">
        <f>IF(TRIM($G408)="","",IF(COUNTIF(LISTS!$I$2:$I$16,TRIM($G408))&gt;0,"COUNTED",IF(COUNTIF(LISTS!$J$2:$J$16,TRIM($G408))&gt;0,"LEFT OUT","NEW")))</f>
        <v/>
      </c>
    </row>
    <row r="409" spans="47:47" x14ac:dyDescent="0.25">
      <c r="AU409" s="8" t="str">
        <f>IF(TRIM($G409)="","",IF(COUNTIF(LISTS!$I$2:$I$16,TRIM($G409))&gt;0,"COUNTED",IF(COUNTIF(LISTS!$J$2:$J$16,TRIM($G409))&gt;0,"LEFT OUT","NEW")))</f>
        <v/>
      </c>
    </row>
    <row r="410" spans="47:47" x14ac:dyDescent="0.25">
      <c r="AU410" s="8" t="str">
        <f>IF(TRIM($G410)="","",IF(COUNTIF(LISTS!$I$2:$I$16,TRIM($G410))&gt;0,"COUNTED",IF(COUNTIF(LISTS!$J$2:$J$16,TRIM($G410))&gt;0,"LEFT OUT","NEW")))</f>
        <v/>
      </c>
    </row>
    <row r="411" spans="47:47" x14ac:dyDescent="0.25">
      <c r="AU411" s="8" t="str">
        <f>IF(TRIM($G411)="","",IF(COUNTIF(LISTS!$I$2:$I$16,TRIM($G411))&gt;0,"COUNTED",IF(COUNTIF(LISTS!$J$2:$J$16,TRIM($G411))&gt;0,"LEFT OUT","NEW")))</f>
        <v/>
      </c>
    </row>
    <row r="412" spans="47:47" x14ac:dyDescent="0.25">
      <c r="AU412" s="8" t="str">
        <f>IF(TRIM($G412)="","",IF(COUNTIF(LISTS!$I$2:$I$16,TRIM($G412))&gt;0,"COUNTED",IF(COUNTIF(LISTS!$J$2:$J$16,TRIM($G412))&gt;0,"LEFT OUT","NEW")))</f>
        <v/>
      </c>
    </row>
    <row r="413" spans="47:47" x14ac:dyDescent="0.25">
      <c r="AU413" s="8" t="str">
        <f>IF(TRIM($G413)="","",IF(COUNTIF(LISTS!$I$2:$I$16,TRIM($G413))&gt;0,"COUNTED",IF(COUNTIF(LISTS!$J$2:$J$16,TRIM($G413))&gt;0,"LEFT OUT","NEW")))</f>
        <v/>
      </c>
    </row>
    <row r="414" spans="47:47" x14ac:dyDescent="0.25">
      <c r="AU414" s="8" t="str">
        <f>IF(TRIM($G414)="","",IF(COUNTIF(LISTS!$I$2:$I$16,TRIM($G414))&gt;0,"COUNTED",IF(COUNTIF(LISTS!$J$2:$J$16,TRIM($G414))&gt;0,"LEFT OUT","NEW")))</f>
        <v/>
      </c>
    </row>
    <row r="415" spans="47:47" x14ac:dyDescent="0.25">
      <c r="AU415" s="8" t="str">
        <f>IF(TRIM($G415)="","",IF(COUNTIF(LISTS!$I$2:$I$16,TRIM($G415))&gt;0,"COUNTED",IF(COUNTIF(LISTS!$J$2:$J$16,TRIM($G415))&gt;0,"LEFT OUT","NEW")))</f>
        <v/>
      </c>
    </row>
    <row r="416" spans="47:47" x14ac:dyDescent="0.25">
      <c r="AU416" s="8" t="str">
        <f>IF(TRIM($G416)="","",IF(COUNTIF(LISTS!$I$2:$I$16,TRIM($G416))&gt;0,"COUNTED",IF(COUNTIF(LISTS!$J$2:$J$16,TRIM($G416))&gt;0,"LEFT OUT","NEW")))</f>
        <v/>
      </c>
    </row>
    <row r="417" spans="47:47" x14ac:dyDescent="0.25">
      <c r="AU417" s="8" t="str">
        <f>IF(TRIM($G417)="","",IF(COUNTIF(LISTS!$I$2:$I$16,TRIM($G417))&gt;0,"COUNTED",IF(COUNTIF(LISTS!$J$2:$J$16,TRIM($G417))&gt;0,"LEFT OUT","NEW")))</f>
        <v/>
      </c>
    </row>
    <row r="418" spans="47:47" x14ac:dyDescent="0.25">
      <c r="AU418" s="8" t="str">
        <f>IF(TRIM($G418)="","",IF(COUNTIF(LISTS!$I$2:$I$16,TRIM($G418))&gt;0,"COUNTED",IF(COUNTIF(LISTS!$J$2:$J$16,TRIM($G418))&gt;0,"LEFT OUT","NEW")))</f>
        <v/>
      </c>
    </row>
    <row r="419" spans="47:47" x14ac:dyDescent="0.25">
      <c r="AU419" s="8" t="str">
        <f>IF(TRIM($G419)="","",IF(COUNTIF(LISTS!$I$2:$I$16,TRIM($G419))&gt;0,"COUNTED",IF(COUNTIF(LISTS!$J$2:$J$16,TRIM($G419))&gt;0,"LEFT OUT","NEW")))</f>
        <v/>
      </c>
    </row>
    <row r="420" spans="47:47" x14ac:dyDescent="0.25">
      <c r="AU420" s="8" t="str">
        <f>IF(TRIM($G420)="","",IF(COUNTIF(LISTS!$I$2:$I$16,TRIM($G420))&gt;0,"COUNTED",IF(COUNTIF(LISTS!$J$2:$J$16,TRIM($G420))&gt;0,"LEFT OUT","NEW")))</f>
        <v/>
      </c>
    </row>
    <row r="421" spans="47:47" x14ac:dyDescent="0.25">
      <c r="AU421" s="8" t="str">
        <f>IF(TRIM($G421)="","",IF(COUNTIF(LISTS!$I$2:$I$16,TRIM($G421))&gt;0,"COUNTED",IF(COUNTIF(LISTS!$J$2:$J$16,TRIM($G421))&gt;0,"LEFT OUT","NEW")))</f>
        <v/>
      </c>
    </row>
    <row r="422" spans="47:47" x14ac:dyDescent="0.25">
      <c r="AU422" s="8" t="str">
        <f>IF(TRIM($G422)="","",IF(COUNTIF(LISTS!$I$2:$I$16,TRIM($G422))&gt;0,"COUNTED",IF(COUNTIF(LISTS!$J$2:$J$16,TRIM($G422))&gt;0,"LEFT OUT","NEW")))</f>
        <v/>
      </c>
    </row>
    <row r="423" spans="47:47" x14ac:dyDescent="0.25">
      <c r="AU423" s="8" t="str">
        <f>IF(TRIM($G423)="","",IF(COUNTIF(LISTS!$I$2:$I$16,TRIM($G423))&gt;0,"COUNTED",IF(COUNTIF(LISTS!$J$2:$J$16,TRIM($G423))&gt;0,"LEFT OUT","NEW")))</f>
        <v/>
      </c>
    </row>
    <row r="424" spans="47:47" x14ac:dyDescent="0.25">
      <c r="AU424" s="8" t="str">
        <f>IF(TRIM($G424)="","",IF(COUNTIF(LISTS!$I$2:$I$16,TRIM($G424))&gt;0,"COUNTED",IF(COUNTIF(LISTS!$J$2:$J$16,TRIM($G424))&gt;0,"LEFT OUT","NEW")))</f>
        <v/>
      </c>
    </row>
    <row r="425" spans="47:47" x14ac:dyDescent="0.25">
      <c r="AU425" s="8" t="str">
        <f>IF(TRIM($G425)="","",IF(COUNTIF(LISTS!$I$2:$I$16,TRIM($G425))&gt;0,"COUNTED",IF(COUNTIF(LISTS!$J$2:$J$16,TRIM($G425))&gt;0,"LEFT OUT","NEW")))</f>
        <v/>
      </c>
    </row>
    <row r="426" spans="47:47" x14ac:dyDescent="0.25">
      <c r="AU426" s="8" t="str">
        <f>IF(TRIM($G426)="","",IF(COUNTIF(LISTS!$I$2:$I$16,TRIM($G426))&gt;0,"COUNTED",IF(COUNTIF(LISTS!$J$2:$J$16,TRIM($G426))&gt;0,"LEFT OUT","NEW")))</f>
        <v/>
      </c>
    </row>
    <row r="427" spans="47:47" x14ac:dyDescent="0.25">
      <c r="AU427" s="8" t="str">
        <f>IF(TRIM($G427)="","",IF(COUNTIF(LISTS!$I$2:$I$16,TRIM($G427))&gt;0,"COUNTED",IF(COUNTIF(LISTS!$J$2:$J$16,TRIM($G427))&gt;0,"LEFT OUT","NEW")))</f>
        <v/>
      </c>
    </row>
    <row r="428" spans="47:47" x14ac:dyDescent="0.25">
      <c r="AU428" s="8" t="str">
        <f>IF(TRIM($G428)="","",IF(COUNTIF(LISTS!$I$2:$I$16,TRIM($G428))&gt;0,"COUNTED",IF(COUNTIF(LISTS!$J$2:$J$16,TRIM($G428))&gt;0,"LEFT OUT","NEW")))</f>
        <v/>
      </c>
    </row>
    <row r="429" spans="47:47" x14ac:dyDescent="0.25">
      <c r="AU429" s="8" t="str">
        <f>IF(TRIM($G429)="","",IF(COUNTIF(LISTS!$I$2:$I$16,TRIM($G429))&gt;0,"COUNTED",IF(COUNTIF(LISTS!$J$2:$J$16,TRIM($G429))&gt;0,"LEFT OUT","NEW")))</f>
        <v/>
      </c>
    </row>
    <row r="430" spans="47:47" x14ac:dyDescent="0.25">
      <c r="AU430" s="8" t="str">
        <f>IF(TRIM($G430)="","",IF(COUNTIF(LISTS!$I$2:$I$16,TRIM($G430))&gt;0,"COUNTED",IF(COUNTIF(LISTS!$J$2:$J$16,TRIM($G430))&gt;0,"LEFT OUT","NEW")))</f>
        <v/>
      </c>
    </row>
    <row r="431" spans="47:47" x14ac:dyDescent="0.25">
      <c r="AU431" s="8" t="str">
        <f>IF(TRIM($G431)="","",IF(COUNTIF(LISTS!$I$2:$I$16,TRIM($G431))&gt;0,"COUNTED",IF(COUNTIF(LISTS!$J$2:$J$16,TRIM($G431))&gt;0,"LEFT OUT","NEW")))</f>
        <v/>
      </c>
    </row>
    <row r="432" spans="47:47" x14ac:dyDescent="0.25">
      <c r="AU432" s="8" t="str">
        <f>IF(TRIM($G432)="","",IF(COUNTIF(LISTS!$I$2:$I$16,TRIM($G432))&gt;0,"COUNTED",IF(COUNTIF(LISTS!$J$2:$J$16,TRIM($G432))&gt;0,"LEFT OUT","NEW")))</f>
        <v/>
      </c>
    </row>
    <row r="433" spans="47:47" x14ac:dyDescent="0.25">
      <c r="AU433" s="8" t="str">
        <f>IF(TRIM($G433)="","",IF(COUNTIF(LISTS!$I$2:$I$16,TRIM($G433))&gt;0,"COUNTED",IF(COUNTIF(LISTS!$J$2:$J$16,TRIM($G433))&gt;0,"LEFT OUT","NEW")))</f>
        <v/>
      </c>
    </row>
    <row r="434" spans="47:47" x14ac:dyDescent="0.25">
      <c r="AU434" s="8" t="str">
        <f>IF(TRIM($G434)="","",IF(COUNTIF(LISTS!$I$2:$I$16,TRIM($G434))&gt;0,"COUNTED",IF(COUNTIF(LISTS!$J$2:$J$16,TRIM($G434))&gt;0,"LEFT OUT","NEW")))</f>
        <v/>
      </c>
    </row>
    <row r="435" spans="47:47" x14ac:dyDescent="0.25">
      <c r="AU435" s="8" t="str">
        <f>IF(TRIM($G435)="","",IF(COUNTIF(LISTS!$I$2:$I$16,TRIM($G435))&gt;0,"COUNTED",IF(COUNTIF(LISTS!$J$2:$J$16,TRIM($G435))&gt;0,"LEFT OUT","NEW")))</f>
        <v/>
      </c>
    </row>
    <row r="436" spans="47:47" x14ac:dyDescent="0.25">
      <c r="AU436" s="8" t="str">
        <f>IF(TRIM($G436)="","",IF(COUNTIF(LISTS!$I$2:$I$16,TRIM($G436))&gt;0,"COUNTED",IF(COUNTIF(LISTS!$J$2:$J$16,TRIM($G436))&gt;0,"LEFT OUT","NEW")))</f>
        <v/>
      </c>
    </row>
    <row r="437" spans="47:47" x14ac:dyDescent="0.25">
      <c r="AU437" s="8" t="str">
        <f>IF(TRIM($G437)="","",IF(COUNTIF(LISTS!$I$2:$I$16,TRIM($G437))&gt;0,"COUNTED",IF(COUNTIF(LISTS!$J$2:$J$16,TRIM($G437))&gt;0,"LEFT OUT","NEW")))</f>
        <v/>
      </c>
    </row>
    <row r="438" spans="47:47" x14ac:dyDescent="0.25">
      <c r="AU438" s="8" t="str">
        <f>IF(TRIM($G438)="","",IF(COUNTIF(LISTS!$I$2:$I$16,TRIM($G438))&gt;0,"COUNTED",IF(COUNTIF(LISTS!$J$2:$J$16,TRIM($G438))&gt;0,"LEFT OUT","NEW")))</f>
        <v/>
      </c>
    </row>
    <row r="439" spans="47:47" x14ac:dyDescent="0.25">
      <c r="AU439" s="8" t="str">
        <f>IF(TRIM($G439)="","",IF(COUNTIF(LISTS!$I$2:$I$16,TRIM($G439))&gt;0,"COUNTED",IF(COUNTIF(LISTS!$J$2:$J$16,TRIM($G439))&gt;0,"LEFT OUT","NEW")))</f>
        <v/>
      </c>
    </row>
    <row r="440" spans="47:47" x14ac:dyDescent="0.25">
      <c r="AU440" s="8" t="str">
        <f>IF(TRIM($G440)="","",IF(COUNTIF(LISTS!$I$2:$I$16,TRIM($G440))&gt;0,"COUNTED",IF(COUNTIF(LISTS!$J$2:$J$16,TRIM($G440))&gt;0,"LEFT OUT","NEW")))</f>
        <v/>
      </c>
    </row>
    <row r="441" spans="47:47" x14ac:dyDescent="0.25">
      <c r="AU441" s="8" t="str">
        <f>IF(TRIM($G441)="","",IF(COUNTIF(LISTS!$I$2:$I$16,TRIM($G441))&gt;0,"COUNTED",IF(COUNTIF(LISTS!$J$2:$J$16,TRIM($G441))&gt;0,"LEFT OUT","NEW")))</f>
        <v/>
      </c>
    </row>
    <row r="442" spans="47:47" x14ac:dyDescent="0.25">
      <c r="AU442" s="8" t="str">
        <f>IF(TRIM($G442)="","",IF(COUNTIF(LISTS!$I$2:$I$16,TRIM($G442))&gt;0,"COUNTED",IF(COUNTIF(LISTS!$J$2:$J$16,TRIM($G442))&gt;0,"LEFT OUT","NEW")))</f>
        <v/>
      </c>
    </row>
    <row r="443" spans="47:47" x14ac:dyDescent="0.25">
      <c r="AU443" s="8" t="str">
        <f>IF(TRIM($G443)="","",IF(COUNTIF(LISTS!$I$2:$I$16,TRIM($G443))&gt;0,"COUNTED",IF(COUNTIF(LISTS!$J$2:$J$16,TRIM($G443))&gt;0,"LEFT OUT","NEW")))</f>
        <v/>
      </c>
    </row>
    <row r="444" spans="47:47" x14ac:dyDescent="0.25">
      <c r="AU444" s="8" t="str">
        <f>IF(TRIM($G444)="","",IF(COUNTIF(LISTS!$I$2:$I$16,TRIM($G444))&gt;0,"COUNTED",IF(COUNTIF(LISTS!$J$2:$J$16,TRIM($G444))&gt;0,"LEFT OUT","NEW")))</f>
        <v/>
      </c>
    </row>
    <row r="445" spans="47:47" x14ac:dyDescent="0.25">
      <c r="AU445" s="8" t="str">
        <f>IF(TRIM($G445)="","",IF(COUNTIF(LISTS!$I$2:$I$16,TRIM($G445))&gt;0,"COUNTED",IF(COUNTIF(LISTS!$J$2:$J$16,TRIM($G445))&gt;0,"LEFT OUT","NEW")))</f>
        <v/>
      </c>
    </row>
    <row r="446" spans="47:47" x14ac:dyDescent="0.25">
      <c r="AU446" s="8" t="str">
        <f>IF(TRIM($G446)="","",IF(COUNTIF(LISTS!$I$2:$I$16,TRIM($G446))&gt;0,"COUNTED",IF(COUNTIF(LISTS!$J$2:$J$16,TRIM($G446))&gt;0,"LEFT OUT","NEW")))</f>
        <v/>
      </c>
    </row>
    <row r="447" spans="47:47" x14ac:dyDescent="0.25">
      <c r="AU447" s="8" t="str">
        <f>IF(TRIM($G447)="","",IF(COUNTIF(LISTS!$I$2:$I$16,TRIM($G447))&gt;0,"COUNTED",IF(COUNTIF(LISTS!$J$2:$J$16,TRIM($G447))&gt;0,"LEFT OUT","NEW")))</f>
        <v/>
      </c>
    </row>
    <row r="448" spans="47:47" x14ac:dyDescent="0.25">
      <c r="AU448" s="8" t="str">
        <f>IF(TRIM($G448)="","",IF(COUNTIF(LISTS!$I$2:$I$16,TRIM($G448))&gt;0,"COUNTED",IF(COUNTIF(LISTS!$J$2:$J$16,TRIM($G448))&gt;0,"LEFT OUT","NEW")))</f>
        <v/>
      </c>
    </row>
    <row r="449" spans="47:47" x14ac:dyDescent="0.25">
      <c r="AU449" s="8" t="str">
        <f>IF(TRIM($G449)="","",IF(COUNTIF(LISTS!$I$2:$I$16,TRIM($G449))&gt;0,"COUNTED",IF(COUNTIF(LISTS!$J$2:$J$16,TRIM($G449))&gt;0,"LEFT OUT","NEW")))</f>
        <v/>
      </c>
    </row>
    <row r="450" spans="47:47" x14ac:dyDescent="0.25">
      <c r="AU450" s="8" t="str">
        <f>IF(TRIM($G450)="","",IF(COUNTIF(LISTS!$I$2:$I$16,TRIM($G450))&gt;0,"COUNTED",IF(COUNTIF(LISTS!$J$2:$J$16,TRIM($G450))&gt;0,"LEFT OUT","NEW")))</f>
        <v/>
      </c>
    </row>
    <row r="451" spans="47:47" x14ac:dyDescent="0.25">
      <c r="AU451" s="8" t="str">
        <f>IF(TRIM($G451)="","",IF(COUNTIF(LISTS!$I$2:$I$16,TRIM($G451))&gt;0,"COUNTED",IF(COUNTIF(LISTS!$J$2:$J$16,TRIM($G451))&gt;0,"LEFT OUT","NEW")))</f>
        <v/>
      </c>
    </row>
    <row r="452" spans="47:47" x14ac:dyDescent="0.25">
      <c r="AU452" s="8" t="str">
        <f>IF(TRIM($G452)="","",IF(COUNTIF(LISTS!$I$2:$I$16,TRIM($G452))&gt;0,"COUNTED",IF(COUNTIF(LISTS!$J$2:$J$16,TRIM($G452))&gt;0,"LEFT OUT","NEW")))</f>
        <v/>
      </c>
    </row>
    <row r="453" spans="47:47" x14ac:dyDescent="0.25">
      <c r="AU453" s="8" t="str">
        <f>IF(TRIM($G453)="","",IF(COUNTIF(LISTS!$I$2:$I$16,TRIM($G453))&gt;0,"COUNTED",IF(COUNTIF(LISTS!$J$2:$J$16,TRIM($G453))&gt;0,"LEFT OUT","NEW")))</f>
        <v/>
      </c>
    </row>
    <row r="454" spans="47:47" x14ac:dyDescent="0.25">
      <c r="AU454" s="8" t="str">
        <f>IF(TRIM($G454)="","",IF(COUNTIF(LISTS!$I$2:$I$16,TRIM($G454))&gt;0,"COUNTED",IF(COUNTIF(LISTS!$J$2:$J$16,TRIM($G454))&gt;0,"LEFT OUT","NEW")))</f>
        <v/>
      </c>
    </row>
    <row r="455" spans="47:47" x14ac:dyDescent="0.25">
      <c r="AU455" s="8" t="str">
        <f>IF(TRIM($G455)="","",IF(COUNTIF(LISTS!$I$2:$I$16,TRIM($G455))&gt;0,"COUNTED",IF(COUNTIF(LISTS!$J$2:$J$16,TRIM($G455))&gt;0,"LEFT OUT","NEW")))</f>
        <v/>
      </c>
    </row>
    <row r="456" spans="47:47" x14ac:dyDescent="0.25">
      <c r="AU456" s="8" t="str">
        <f>IF(TRIM($G456)="","",IF(COUNTIF(LISTS!$I$2:$I$16,TRIM($G456))&gt;0,"COUNTED",IF(COUNTIF(LISTS!$J$2:$J$16,TRIM($G456))&gt;0,"LEFT OUT","NEW")))</f>
        <v/>
      </c>
    </row>
    <row r="457" spans="47:47" x14ac:dyDescent="0.25">
      <c r="AU457" s="8" t="str">
        <f>IF(TRIM($G457)="","",IF(COUNTIF(LISTS!$I$2:$I$16,TRIM($G457))&gt;0,"COUNTED",IF(COUNTIF(LISTS!$J$2:$J$16,TRIM($G457))&gt;0,"LEFT OUT","NEW")))</f>
        <v/>
      </c>
    </row>
    <row r="458" spans="47:47" x14ac:dyDescent="0.25">
      <c r="AU458" s="8" t="str">
        <f>IF(TRIM($G458)="","",IF(COUNTIF(LISTS!$I$2:$I$16,TRIM($G458))&gt;0,"COUNTED",IF(COUNTIF(LISTS!$J$2:$J$16,TRIM($G458))&gt;0,"LEFT OUT","NEW")))</f>
        <v/>
      </c>
    </row>
    <row r="459" spans="47:47" x14ac:dyDescent="0.25">
      <c r="AU459" s="8" t="str">
        <f>IF(TRIM($G459)="","",IF(COUNTIF(LISTS!$I$2:$I$16,TRIM($G459))&gt;0,"COUNTED",IF(COUNTIF(LISTS!$J$2:$J$16,TRIM($G459))&gt;0,"LEFT OUT","NEW")))</f>
        <v/>
      </c>
    </row>
    <row r="460" spans="47:47" x14ac:dyDescent="0.25">
      <c r="AU460" s="8" t="str">
        <f>IF(TRIM($G460)="","",IF(COUNTIF(LISTS!$I$2:$I$16,TRIM($G460))&gt;0,"COUNTED",IF(COUNTIF(LISTS!$J$2:$J$16,TRIM($G460))&gt;0,"LEFT OUT","NEW")))</f>
        <v/>
      </c>
    </row>
    <row r="461" spans="47:47" x14ac:dyDescent="0.25">
      <c r="AU461" s="8" t="str">
        <f>IF(TRIM($G461)="","",IF(COUNTIF(LISTS!$I$2:$I$16,TRIM($G461))&gt;0,"COUNTED",IF(COUNTIF(LISTS!$J$2:$J$16,TRIM($G461))&gt;0,"LEFT OUT","NEW")))</f>
        <v/>
      </c>
    </row>
    <row r="462" spans="47:47" x14ac:dyDescent="0.25">
      <c r="AU462" s="8" t="str">
        <f>IF(TRIM($G462)="","",IF(COUNTIF(LISTS!$I$2:$I$16,TRIM($G462))&gt;0,"COUNTED",IF(COUNTIF(LISTS!$J$2:$J$16,TRIM($G462))&gt;0,"LEFT OUT","NEW")))</f>
        <v/>
      </c>
    </row>
    <row r="463" spans="47:47" x14ac:dyDescent="0.25">
      <c r="AU463" s="8" t="str">
        <f>IF(TRIM($G463)="","",IF(COUNTIF(LISTS!$I$2:$I$16,TRIM($G463))&gt;0,"COUNTED",IF(COUNTIF(LISTS!$J$2:$J$16,TRIM($G463))&gt;0,"LEFT OUT","NEW")))</f>
        <v/>
      </c>
    </row>
    <row r="464" spans="47:47" x14ac:dyDescent="0.25">
      <c r="AU464" s="8" t="str">
        <f>IF(TRIM($G464)="","",IF(COUNTIF(LISTS!$I$2:$I$16,TRIM($G464))&gt;0,"COUNTED",IF(COUNTIF(LISTS!$J$2:$J$16,TRIM($G464))&gt;0,"LEFT OUT","NEW")))</f>
        <v/>
      </c>
    </row>
    <row r="465" spans="47:47" x14ac:dyDescent="0.25">
      <c r="AU465" s="8" t="str">
        <f>IF(TRIM($G465)="","",IF(COUNTIF(LISTS!$I$2:$I$16,TRIM($G465))&gt;0,"COUNTED",IF(COUNTIF(LISTS!$J$2:$J$16,TRIM($G465))&gt;0,"LEFT OUT","NEW")))</f>
        <v/>
      </c>
    </row>
    <row r="466" spans="47:47" x14ac:dyDescent="0.25">
      <c r="AU466" s="8" t="str">
        <f>IF(TRIM($G466)="","",IF(COUNTIF(LISTS!$I$2:$I$16,TRIM($G466))&gt;0,"COUNTED",IF(COUNTIF(LISTS!$J$2:$J$16,TRIM($G466))&gt;0,"LEFT OUT","NEW")))</f>
        <v/>
      </c>
    </row>
    <row r="467" spans="47:47" x14ac:dyDescent="0.25">
      <c r="AU467" s="8" t="str">
        <f>IF(TRIM($G467)="","",IF(COUNTIF(LISTS!$I$2:$I$16,TRIM($G467))&gt;0,"COUNTED",IF(COUNTIF(LISTS!$J$2:$J$16,TRIM($G467))&gt;0,"LEFT OUT","NEW")))</f>
        <v/>
      </c>
    </row>
    <row r="468" spans="47:47" x14ac:dyDescent="0.25">
      <c r="AU468" s="8" t="str">
        <f>IF(TRIM($G468)="","",IF(COUNTIF(LISTS!$I$2:$I$16,TRIM($G468))&gt;0,"COUNTED",IF(COUNTIF(LISTS!$J$2:$J$16,TRIM($G468))&gt;0,"LEFT OUT","NEW")))</f>
        <v/>
      </c>
    </row>
    <row r="469" spans="47:47" x14ac:dyDescent="0.25">
      <c r="AU469" s="8" t="str">
        <f>IF(TRIM($G469)="","",IF(COUNTIF(LISTS!$I$2:$I$16,TRIM($G469))&gt;0,"COUNTED",IF(COUNTIF(LISTS!$J$2:$J$16,TRIM($G469))&gt;0,"LEFT OUT","NEW")))</f>
        <v/>
      </c>
    </row>
    <row r="470" spans="47:47" x14ac:dyDescent="0.25">
      <c r="AU470" s="8" t="str">
        <f>IF(TRIM($G470)="","",IF(COUNTIF(LISTS!$I$2:$I$16,TRIM($G470))&gt;0,"COUNTED",IF(COUNTIF(LISTS!$J$2:$J$16,TRIM($G470))&gt;0,"LEFT OUT","NEW")))</f>
        <v/>
      </c>
    </row>
    <row r="471" spans="47:47" x14ac:dyDescent="0.25">
      <c r="AU471" s="8" t="str">
        <f>IF(TRIM($G471)="","",IF(COUNTIF(LISTS!$I$2:$I$16,TRIM($G471))&gt;0,"COUNTED",IF(COUNTIF(LISTS!$J$2:$J$16,TRIM($G471))&gt;0,"LEFT OUT","NEW")))</f>
        <v/>
      </c>
    </row>
    <row r="472" spans="47:47" x14ac:dyDescent="0.25">
      <c r="AU472" s="8" t="str">
        <f>IF(TRIM($G472)="","",IF(COUNTIF(LISTS!$I$2:$I$16,TRIM($G472))&gt;0,"COUNTED",IF(COUNTIF(LISTS!$J$2:$J$16,TRIM($G472))&gt;0,"LEFT OUT","NEW")))</f>
        <v/>
      </c>
    </row>
    <row r="473" spans="47:47" x14ac:dyDescent="0.25">
      <c r="AU473" s="8" t="str">
        <f>IF(TRIM($G473)="","",IF(COUNTIF(LISTS!$I$2:$I$16,TRIM($G473))&gt;0,"COUNTED",IF(COUNTIF(LISTS!$J$2:$J$16,TRIM($G473))&gt;0,"LEFT OUT","NEW")))</f>
        <v/>
      </c>
    </row>
    <row r="474" spans="47:47" x14ac:dyDescent="0.25">
      <c r="AU474" s="8" t="str">
        <f>IF(TRIM($G474)="","",IF(COUNTIF(LISTS!$I$2:$I$16,TRIM($G474))&gt;0,"COUNTED",IF(COUNTIF(LISTS!$J$2:$J$16,TRIM($G474))&gt;0,"LEFT OUT","NEW")))</f>
        <v/>
      </c>
    </row>
    <row r="475" spans="47:47" x14ac:dyDescent="0.25">
      <c r="AU475" s="8" t="str">
        <f>IF(TRIM($G475)="","",IF(COUNTIF(LISTS!$I$2:$I$16,TRIM($G475))&gt;0,"COUNTED",IF(COUNTIF(LISTS!$J$2:$J$16,TRIM($G475))&gt;0,"LEFT OUT","NEW")))</f>
        <v/>
      </c>
    </row>
    <row r="476" spans="47:47" x14ac:dyDescent="0.25">
      <c r="AU476" s="8" t="str">
        <f>IF(TRIM($G476)="","",IF(COUNTIF(LISTS!$I$2:$I$16,TRIM($G476))&gt;0,"COUNTED",IF(COUNTIF(LISTS!$J$2:$J$16,TRIM($G476))&gt;0,"LEFT OUT","NEW")))</f>
        <v/>
      </c>
    </row>
    <row r="477" spans="47:47" x14ac:dyDescent="0.25">
      <c r="AU477" s="8" t="str">
        <f>IF(TRIM($G477)="","",IF(COUNTIF(LISTS!$I$2:$I$16,TRIM($G477))&gt;0,"COUNTED",IF(COUNTIF(LISTS!$J$2:$J$16,TRIM($G477))&gt;0,"LEFT OUT","NEW")))</f>
        <v/>
      </c>
    </row>
    <row r="478" spans="47:47" x14ac:dyDescent="0.25">
      <c r="AU478" s="8" t="str">
        <f>IF(TRIM($G478)="","",IF(COUNTIF(LISTS!$I$2:$I$16,TRIM($G478))&gt;0,"COUNTED",IF(COUNTIF(LISTS!$J$2:$J$16,TRIM($G478))&gt;0,"LEFT OUT","NEW")))</f>
        <v/>
      </c>
    </row>
    <row r="479" spans="47:47" x14ac:dyDescent="0.25">
      <c r="AU479" s="8" t="str">
        <f>IF(TRIM($G479)="","",IF(COUNTIF(LISTS!$I$2:$I$16,TRIM($G479))&gt;0,"COUNTED",IF(COUNTIF(LISTS!$J$2:$J$16,TRIM($G479))&gt;0,"LEFT OUT","NEW")))</f>
        <v/>
      </c>
    </row>
    <row r="480" spans="47:47" x14ac:dyDescent="0.25">
      <c r="AU480" s="8" t="str">
        <f>IF(TRIM($G480)="","",IF(COUNTIF(LISTS!$I$2:$I$16,TRIM($G480))&gt;0,"COUNTED",IF(COUNTIF(LISTS!$J$2:$J$16,TRIM($G480))&gt;0,"LEFT OUT","NEW")))</f>
        <v/>
      </c>
    </row>
    <row r="481" spans="47:47" x14ac:dyDescent="0.25">
      <c r="AU481" s="8" t="str">
        <f>IF(TRIM($G481)="","",IF(COUNTIF(LISTS!$I$2:$I$16,TRIM($G481))&gt;0,"COUNTED",IF(COUNTIF(LISTS!$J$2:$J$16,TRIM($G481))&gt;0,"LEFT OUT","NEW")))</f>
        <v/>
      </c>
    </row>
    <row r="482" spans="47:47" x14ac:dyDescent="0.25">
      <c r="AU482" s="8" t="str">
        <f>IF(TRIM($G482)="","",IF(COUNTIF(LISTS!$I$2:$I$16,TRIM($G482))&gt;0,"COUNTED",IF(COUNTIF(LISTS!$J$2:$J$16,TRIM($G482))&gt;0,"LEFT OUT","NEW")))</f>
        <v/>
      </c>
    </row>
    <row r="483" spans="47:47" x14ac:dyDescent="0.25">
      <c r="AU483" s="8" t="str">
        <f>IF(TRIM($G483)="","",IF(COUNTIF(LISTS!$I$2:$I$16,TRIM($G483))&gt;0,"COUNTED",IF(COUNTIF(LISTS!$J$2:$J$16,TRIM($G483))&gt;0,"LEFT OUT","NEW")))</f>
        <v/>
      </c>
    </row>
    <row r="484" spans="47:47" x14ac:dyDescent="0.25">
      <c r="AU484" s="8" t="str">
        <f>IF(TRIM($G484)="","",IF(COUNTIF(LISTS!$I$2:$I$16,TRIM($G484))&gt;0,"COUNTED",IF(COUNTIF(LISTS!$J$2:$J$16,TRIM($G484))&gt;0,"LEFT OUT","NEW")))</f>
        <v/>
      </c>
    </row>
    <row r="485" spans="47:47" x14ac:dyDescent="0.25">
      <c r="AU485" s="8" t="str">
        <f>IF(TRIM($G485)="","",IF(COUNTIF(LISTS!$I$2:$I$16,TRIM($G485))&gt;0,"COUNTED",IF(COUNTIF(LISTS!$J$2:$J$16,TRIM($G485))&gt;0,"LEFT OUT","NEW")))</f>
        <v/>
      </c>
    </row>
    <row r="486" spans="47:47" x14ac:dyDescent="0.25">
      <c r="AU486" s="8" t="str">
        <f>IF(TRIM($G486)="","",IF(COUNTIF(LISTS!$I$2:$I$16,TRIM($G486))&gt;0,"COUNTED",IF(COUNTIF(LISTS!$J$2:$J$16,TRIM($G486))&gt;0,"LEFT OUT","NEW")))</f>
        <v/>
      </c>
    </row>
    <row r="487" spans="47:47" x14ac:dyDescent="0.25">
      <c r="AU487" s="8" t="str">
        <f>IF(TRIM($G487)="","",IF(COUNTIF(LISTS!$I$2:$I$16,TRIM($G487))&gt;0,"COUNTED",IF(COUNTIF(LISTS!$J$2:$J$16,TRIM($G487))&gt;0,"LEFT OUT","NEW")))</f>
        <v/>
      </c>
    </row>
    <row r="488" spans="47:47" x14ac:dyDescent="0.25">
      <c r="AU488" s="8" t="str">
        <f>IF(TRIM($G488)="","",IF(COUNTIF(LISTS!$I$2:$I$16,TRIM($G488))&gt;0,"COUNTED",IF(COUNTIF(LISTS!$J$2:$J$16,TRIM($G488))&gt;0,"LEFT OUT","NEW")))</f>
        <v/>
      </c>
    </row>
    <row r="489" spans="47:47" x14ac:dyDescent="0.25">
      <c r="AU489" s="8" t="str">
        <f>IF(TRIM($G489)="","",IF(COUNTIF(LISTS!$I$2:$I$16,TRIM($G489))&gt;0,"COUNTED",IF(COUNTIF(LISTS!$J$2:$J$16,TRIM($G489))&gt;0,"LEFT OUT","NEW")))</f>
        <v/>
      </c>
    </row>
    <row r="490" spans="47:47" x14ac:dyDescent="0.25">
      <c r="AU490" s="8" t="str">
        <f>IF(TRIM($G490)="","",IF(COUNTIF(LISTS!$I$2:$I$16,TRIM($G490))&gt;0,"COUNTED",IF(COUNTIF(LISTS!$J$2:$J$16,TRIM($G490))&gt;0,"LEFT OUT","NEW")))</f>
        <v/>
      </c>
    </row>
    <row r="491" spans="47:47" x14ac:dyDescent="0.25">
      <c r="AU491" s="8" t="str">
        <f>IF(TRIM($G491)="","",IF(COUNTIF(LISTS!$I$2:$I$16,TRIM($G491))&gt;0,"COUNTED",IF(COUNTIF(LISTS!$J$2:$J$16,TRIM($G491))&gt;0,"LEFT OUT","NEW")))</f>
        <v/>
      </c>
    </row>
    <row r="492" spans="47:47" x14ac:dyDescent="0.25">
      <c r="AU492" s="8" t="str">
        <f>IF(TRIM($G492)="","",IF(COUNTIF(LISTS!$I$2:$I$16,TRIM($G492))&gt;0,"COUNTED",IF(COUNTIF(LISTS!$J$2:$J$16,TRIM($G492))&gt;0,"LEFT OUT","NEW")))</f>
        <v/>
      </c>
    </row>
    <row r="493" spans="47:47" x14ac:dyDescent="0.25">
      <c r="AU493" s="8" t="str">
        <f>IF(TRIM($G493)="","",IF(COUNTIF(LISTS!$I$2:$I$16,TRIM($G493))&gt;0,"COUNTED",IF(COUNTIF(LISTS!$J$2:$J$16,TRIM($G493))&gt;0,"LEFT OUT","NEW")))</f>
        <v/>
      </c>
    </row>
    <row r="494" spans="47:47" x14ac:dyDescent="0.25">
      <c r="AU494" s="8" t="str">
        <f>IF(TRIM($G494)="","",IF(COUNTIF(LISTS!$I$2:$I$16,TRIM($G494))&gt;0,"COUNTED",IF(COUNTIF(LISTS!$J$2:$J$16,TRIM($G494))&gt;0,"LEFT OUT","NEW")))</f>
        <v/>
      </c>
    </row>
    <row r="495" spans="47:47" x14ac:dyDescent="0.25">
      <c r="AU495" s="8" t="str">
        <f>IF(TRIM($G495)="","",IF(COUNTIF(LISTS!$I$2:$I$16,TRIM($G495))&gt;0,"COUNTED",IF(COUNTIF(LISTS!$J$2:$J$16,TRIM($G495))&gt;0,"LEFT OUT","NEW")))</f>
        <v/>
      </c>
    </row>
    <row r="496" spans="47:47" x14ac:dyDescent="0.25">
      <c r="AU496" s="8" t="str">
        <f>IF(TRIM($G496)="","",IF(COUNTIF(LISTS!$I$2:$I$16,TRIM($G496))&gt;0,"COUNTED",IF(COUNTIF(LISTS!$J$2:$J$16,TRIM($G496))&gt;0,"LEFT OUT","NEW")))</f>
        <v/>
      </c>
    </row>
    <row r="497" spans="47:47" x14ac:dyDescent="0.25">
      <c r="AU497" s="8" t="str">
        <f>IF(TRIM($G497)="","",IF(COUNTIF(LISTS!$I$2:$I$16,TRIM($G497))&gt;0,"COUNTED",IF(COUNTIF(LISTS!$J$2:$J$16,TRIM($G497))&gt;0,"LEFT OUT","NEW")))</f>
        <v/>
      </c>
    </row>
    <row r="498" spans="47:47" x14ac:dyDescent="0.25">
      <c r="AU498" s="8" t="str">
        <f>IF(TRIM($G498)="","",IF(COUNTIF(LISTS!$I$2:$I$16,TRIM($G498))&gt;0,"COUNTED",IF(COUNTIF(LISTS!$J$2:$J$16,TRIM($G498))&gt;0,"LEFT OUT","NEW")))</f>
        <v/>
      </c>
    </row>
    <row r="499" spans="47:47" x14ac:dyDescent="0.25">
      <c r="AU499" s="8" t="str">
        <f>IF(TRIM($G499)="","",IF(COUNTIF(LISTS!$I$2:$I$16,TRIM($G499))&gt;0,"COUNTED",IF(COUNTIF(LISTS!$J$2:$J$16,TRIM($G499))&gt;0,"LEFT OUT","NEW")))</f>
        <v/>
      </c>
    </row>
    <row r="500" spans="47:47" x14ac:dyDescent="0.25">
      <c r="AU500" s="8" t="str">
        <f>IF(TRIM($G500)="","",IF(COUNTIF(LISTS!$I$2:$I$16,TRIM($G500))&gt;0,"COUNTED",IF(COUNTIF(LISTS!$J$2:$J$16,TRIM($G500))&gt;0,"LEFT OUT","NEW")))</f>
        <v/>
      </c>
    </row>
    <row r="501" spans="47:47" x14ac:dyDescent="0.25">
      <c r="AU501" s="8" t="str">
        <f>IF(TRIM($G501)="","",IF(COUNTIF(LISTS!$I$2:$I$16,TRIM($G501))&gt;0,"COUNTED",IF(COUNTIF(LISTS!$J$2:$J$16,TRIM($G501))&gt;0,"LEFT OUT","NEW")))</f>
        <v/>
      </c>
    </row>
    <row r="502" spans="47:47" x14ac:dyDescent="0.25">
      <c r="AU502" s="8" t="str">
        <f>IF(TRIM($G502)="","",IF(COUNTIF(LISTS!$I$2:$I$16,TRIM($G502))&gt;0,"COUNTED",IF(COUNTIF(LISTS!$J$2:$J$16,TRIM($G502))&gt;0,"LEFT OUT","NEW")))</f>
        <v/>
      </c>
    </row>
    <row r="503" spans="47:47" x14ac:dyDescent="0.25">
      <c r="AU503" s="8" t="str">
        <f>IF(TRIM($G503)="","",IF(COUNTIF(LISTS!$I$2:$I$16,TRIM($G503))&gt;0,"COUNTED",IF(COUNTIF(LISTS!$J$2:$J$16,TRIM($G503))&gt;0,"LEFT OUT","NEW")))</f>
        <v/>
      </c>
    </row>
    <row r="504" spans="47:47" x14ac:dyDescent="0.25">
      <c r="AU504" s="8" t="str">
        <f>IF(TRIM($G504)="","",IF(COUNTIF(LISTS!$I$2:$I$16,TRIM($G504))&gt;0,"COUNTED",IF(COUNTIF(LISTS!$J$2:$J$16,TRIM($G504))&gt;0,"LEFT OUT","NEW")))</f>
        <v/>
      </c>
    </row>
    <row r="505" spans="47:47" x14ac:dyDescent="0.25">
      <c r="AU505" s="8" t="str">
        <f>IF(TRIM($G505)="","",IF(COUNTIF(LISTS!$I$2:$I$16,TRIM($G505))&gt;0,"COUNTED",IF(COUNTIF(LISTS!$J$2:$J$16,TRIM($G505))&gt;0,"LEFT OUT","NEW")))</f>
        <v/>
      </c>
    </row>
    <row r="506" spans="47:47" x14ac:dyDescent="0.25">
      <c r="AU506" s="8" t="str">
        <f>IF(TRIM($G506)="","",IF(COUNTIF(LISTS!$I$2:$I$16,TRIM($G506))&gt;0,"COUNTED",IF(COUNTIF(LISTS!$J$2:$J$16,TRIM($G506))&gt;0,"LEFT OUT","NEW")))</f>
        <v/>
      </c>
    </row>
    <row r="507" spans="47:47" x14ac:dyDescent="0.25">
      <c r="AU507" s="8" t="str">
        <f>IF(TRIM($G507)="","",IF(COUNTIF(LISTS!$I$2:$I$16,TRIM($G507))&gt;0,"COUNTED",IF(COUNTIF(LISTS!$J$2:$J$16,TRIM($G507))&gt;0,"LEFT OUT","NEW")))</f>
        <v/>
      </c>
    </row>
    <row r="508" spans="47:47" x14ac:dyDescent="0.25">
      <c r="AU508" s="8" t="str">
        <f>IF(TRIM($G508)="","",IF(COUNTIF(LISTS!$I$2:$I$16,TRIM($G508))&gt;0,"COUNTED",IF(COUNTIF(LISTS!$J$2:$J$16,TRIM($G508))&gt;0,"LEFT OUT","NEW")))</f>
        <v/>
      </c>
    </row>
    <row r="509" spans="47:47" x14ac:dyDescent="0.25">
      <c r="AU509" s="8" t="str">
        <f>IF(TRIM($G509)="","",IF(COUNTIF(LISTS!$I$2:$I$16,TRIM($G509))&gt;0,"COUNTED",IF(COUNTIF(LISTS!$J$2:$J$16,TRIM($G509))&gt;0,"LEFT OUT","NEW")))</f>
        <v/>
      </c>
    </row>
    <row r="510" spans="47:47" x14ac:dyDescent="0.25">
      <c r="AU510" s="8" t="str">
        <f>IF(TRIM($G510)="","",IF(COUNTIF(LISTS!$I$2:$I$16,TRIM($G510))&gt;0,"COUNTED",IF(COUNTIF(LISTS!$J$2:$J$16,TRIM($G510))&gt;0,"LEFT OUT","NEW")))</f>
        <v/>
      </c>
    </row>
    <row r="511" spans="47:47" x14ac:dyDescent="0.25">
      <c r="AU511" s="8" t="str">
        <f>IF(TRIM($G511)="","",IF(COUNTIF(LISTS!$I$2:$I$16,TRIM($G511))&gt;0,"COUNTED",IF(COUNTIF(LISTS!$J$2:$J$16,TRIM($G511))&gt;0,"LEFT OUT","NEW")))</f>
        <v/>
      </c>
    </row>
    <row r="512" spans="47:47" x14ac:dyDescent="0.25">
      <c r="AU512" s="8" t="str">
        <f>IF(TRIM($G512)="","",IF(COUNTIF(LISTS!$I$2:$I$16,TRIM($G512))&gt;0,"COUNTED",IF(COUNTIF(LISTS!$J$2:$J$16,TRIM($G512))&gt;0,"LEFT OUT","NEW")))</f>
        <v/>
      </c>
    </row>
    <row r="513" spans="47:47" x14ac:dyDescent="0.25">
      <c r="AU513" s="8" t="str">
        <f>IF(TRIM($G513)="","",IF(COUNTIF(LISTS!$I$2:$I$16,TRIM($G513))&gt;0,"COUNTED",IF(COUNTIF(LISTS!$J$2:$J$16,TRIM($G513))&gt;0,"LEFT OUT","NEW")))</f>
        <v/>
      </c>
    </row>
    <row r="514" spans="47:47" x14ac:dyDescent="0.25">
      <c r="AU514" s="8" t="str">
        <f>IF(TRIM($G514)="","",IF(COUNTIF(LISTS!$I$2:$I$16,TRIM($G514))&gt;0,"COUNTED",IF(COUNTIF(LISTS!$J$2:$J$16,TRIM($G514))&gt;0,"LEFT OUT","NEW")))</f>
        <v/>
      </c>
    </row>
    <row r="515" spans="47:47" x14ac:dyDescent="0.25">
      <c r="AU515" s="8" t="str">
        <f>IF(TRIM($G515)="","",IF(COUNTIF(LISTS!$I$2:$I$16,TRIM($G515))&gt;0,"COUNTED",IF(COUNTIF(LISTS!$J$2:$J$16,TRIM($G515))&gt;0,"LEFT OUT","NEW")))</f>
        <v/>
      </c>
    </row>
    <row r="516" spans="47:47" x14ac:dyDescent="0.25">
      <c r="AU516" s="8" t="str">
        <f>IF(TRIM($G516)="","",IF(COUNTIF(LISTS!$I$2:$I$16,TRIM($G516))&gt;0,"COUNTED",IF(COUNTIF(LISTS!$J$2:$J$16,TRIM($G516))&gt;0,"LEFT OUT","NEW")))</f>
        <v/>
      </c>
    </row>
    <row r="517" spans="47:47" x14ac:dyDescent="0.25">
      <c r="AU517" s="8" t="str">
        <f>IF(TRIM($G517)="","",IF(COUNTIF(LISTS!$I$2:$I$16,TRIM($G517))&gt;0,"COUNTED",IF(COUNTIF(LISTS!$J$2:$J$16,TRIM($G517))&gt;0,"LEFT OUT","NEW")))</f>
        <v/>
      </c>
    </row>
    <row r="518" spans="47:47" x14ac:dyDescent="0.25">
      <c r="AU518" s="8" t="str">
        <f>IF(TRIM($G518)="","",IF(COUNTIF(LISTS!$I$2:$I$16,TRIM($G518))&gt;0,"COUNTED",IF(COUNTIF(LISTS!$J$2:$J$16,TRIM($G518))&gt;0,"LEFT OUT","NEW")))</f>
        <v/>
      </c>
    </row>
    <row r="519" spans="47:47" x14ac:dyDescent="0.25">
      <c r="AU519" s="8" t="str">
        <f>IF(TRIM($G519)="","",IF(COUNTIF(LISTS!$I$2:$I$16,TRIM($G519))&gt;0,"COUNTED",IF(COUNTIF(LISTS!$J$2:$J$16,TRIM($G519))&gt;0,"LEFT OUT","NEW")))</f>
        <v/>
      </c>
    </row>
    <row r="520" spans="47:47" x14ac:dyDescent="0.25">
      <c r="AU520" s="8" t="str">
        <f>IF(TRIM($G520)="","",IF(COUNTIF(LISTS!$I$2:$I$16,TRIM($G520))&gt;0,"COUNTED",IF(COUNTIF(LISTS!$J$2:$J$16,TRIM($G520))&gt;0,"LEFT OUT","NEW")))</f>
        <v/>
      </c>
    </row>
    <row r="521" spans="47:47" x14ac:dyDescent="0.25">
      <c r="AU521" s="8" t="str">
        <f>IF(TRIM($G521)="","",IF(COUNTIF(LISTS!$I$2:$I$16,TRIM($G521))&gt;0,"COUNTED",IF(COUNTIF(LISTS!$J$2:$J$16,TRIM($G521))&gt;0,"LEFT OUT","NEW")))</f>
        <v/>
      </c>
    </row>
    <row r="522" spans="47:47" x14ac:dyDescent="0.25">
      <c r="AU522" s="8" t="str">
        <f>IF(TRIM($G522)="","",IF(COUNTIF(LISTS!$I$2:$I$16,TRIM($G522))&gt;0,"COUNTED",IF(COUNTIF(LISTS!$J$2:$J$16,TRIM($G522))&gt;0,"LEFT OUT","NEW")))</f>
        <v/>
      </c>
    </row>
    <row r="523" spans="47:47" x14ac:dyDescent="0.25">
      <c r="AU523" s="8" t="str">
        <f>IF(TRIM($G523)="","",IF(COUNTIF(LISTS!$I$2:$I$16,TRIM($G523))&gt;0,"COUNTED",IF(COUNTIF(LISTS!$J$2:$J$16,TRIM($G523))&gt;0,"LEFT OUT","NEW")))</f>
        <v/>
      </c>
    </row>
    <row r="524" spans="47:47" x14ac:dyDescent="0.25">
      <c r="AU524" s="8" t="str">
        <f>IF(TRIM($G524)="","",IF(COUNTIF(LISTS!$I$2:$I$16,TRIM($G524))&gt;0,"COUNTED",IF(COUNTIF(LISTS!$J$2:$J$16,TRIM($G524))&gt;0,"LEFT OUT","NEW")))</f>
        <v/>
      </c>
    </row>
    <row r="525" spans="47:47" x14ac:dyDescent="0.25">
      <c r="AU525" s="8" t="str">
        <f>IF(TRIM($G525)="","",IF(COUNTIF(LISTS!$I$2:$I$16,TRIM($G525))&gt;0,"COUNTED",IF(COUNTIF(LISTS!$J$2:$J$16,TRIM($G525))&gt;0,"LEFT OUT","NEW")))</f>
        <v/>
      </c>
    </row>
    <row r="526" spans="47:47" x14ac:dyDescent="0.25">
      <c r="AU526" s="8" t="str">
        <f>IF(TRIM($G526)="","",IF(COUNTIF(LISTS!$I$2:$I$16,TRIM($G526))&gt;0,"COUNTED",IF(COUNTIF(LISTS!$J$2:$J$16,TRIM($G526))&gt;0,"LEFT OUT","NEW")))</f>
        <v/>
      </c>
    </row>
    <row r="527" spans="47:47" x14ac:dyDescent="0.25">
      <c r="AU527" s="8" t="str">
        <f>IF(TRIM($G527)="","",IF(COUNTIF(LISTS!$I$2:$I$16,TRIM($G527))&gt;0,"COUNTED",IF(COUNTIF(LISTS!$J$2:$J$16,TRIM($G527))&gt;0,"LEFT OUT","NEW")))</f>
        <v/>
      </c>
    </row>
    <row r="528" spans="47:47" x14ac:dyDescent="0.25">
      <c r="AU528" s="8" t="str">
        <f>IF(TRIM($G528)="","",IF(COUNTIF(LISTS!$I$2:$I$16,TRIM($G528))&gt;0,"COUNTED",IF(COUNTIF(LISTS!$J$2:$J$16,TRIM($G528))&gt;0,"LEFT OUT","NEW")))</f>
        <v/>
      </c>
    </row>
    <row r="529" spans="47:47" x14ac:dyDescent="0.25">
      <c r="AU529" s="8" t="str">
        <f>IF(TRIM($G529)="","",IF(COUNTIF(LISTS!$I$2:$I$16,TRIM($G529))&gt;0,"COUNTED",IF(COUNTIF(LISTS!$J$2:$J$16,TRIM($G529))&gt;0,"LEFT OUT","NEW")))</f>
        <v/>
      </c>
    </row>
    <row r="530" spans="47:47" x14ac:dyDescent="0.25">
      <c r="AU530" s="8" t="str">
        <f>IF(TRIM($G530)="","",IF(COUNTIF(LISTS!$I$2:$I$16,TRIM($G530))&gt;0,"COUNTED",IF(COUNTIF(LISTS!$J$2:$J$16,TRIM($G530))&gt;0,"LEFT OUT","NEW")))</f>
        <v/>
      </c>
    </row>
    <row r="531" spans="47:47" x14ac:dyDescent="0.25">
      <c r="AU531" s="8" t="str">
        <f>IF(TRIM($G531)="","",IF(COUNTIF(LISTS!$I$2:$I$16,TRIM($G531))&gt;0,"COUNTED",IF(COUNTIF(LISTS!$J$2:$J$16,TRIM($G531))&gt;0,"LEFT OUT","NEW")))</f>
        <v/>
      </c>
    </row>
    <row r="532" spans="47:47" x14ac:dyDescent="0.25">
      <c r="AU532" s="8" t="str">
        <f>IF(TRIM($G532)="","",IF(COUNTIF(LISTS!$I$2:$I$16,TRIM($G532))&gt;0,"COUNTED",IF(COUNTIF(LISTS!$J$2:$J$16,TRIM($G532))&gt;0,"LEFT OUT","NEW")))</f>
        <v/>
      </c>
    </row>
    <row r="533" spans="47:47" x14ac:dyDescent="0.25">
      <c r="AU533" s="8" t="str">
        <f>IF(TRIM($G533)="","",IF(COUNTIF(LISTS!$I$2:$I$16,TRIM($G533))&gt;0,"COUNTED",IF(COUNTIF(LISTS!$J$2:$J$16,TRIM($G533))&gt;0,"LEFT OUT","NEW")))</f>
        <v/>
      </c>
    </row>
    <row r="534" spans="47:47" x14ac:dyDescent="0.25">
      <c r="AU534" s="8" t="str">
        <f>IF(TRIM($G534)="","",IF(COUNTIF(LISTS!$I$2:$I$16,TRIM($G534))&gt;0,"COUNTED",IF(COUNTIF(LISTS!$J$2:$J$16,TRIM($G534))&gt;0,"LEFT OUT","NEW")))</f>
        <v/>
      </c>
    </row>
    <row r="535" spans="47:47" x14ac:dyDescent="0.25">
      <c r="AU535" s="8" t="str">
        <f>IF(TRIM($G535)="","",IF(COUNTIF(LISTS!$I$2:$I$16,TRIM($G535))&gt;0,"COUNTED",IF(COUNTIF(LISTS!$J$2:$J$16,TRIM($G535))&gt;0,"LEFT OUT","NEW")))</f>
        <v/>
      </c>
    </row>
    <row r="536" spans="47:47" x14ac:dyDescent="0.25">
      <c r="AU536" s="8" t="str">
        <f>IF(TRIM($G536)="","",IF(COUNTIF(LISTS!$I$2:$I$16,TRIM($G536))&gt;0,"COUNTED",IF(COUNTIF(LISTS!$J$2:$J$16,TRIM($G536))&gt;0,"LEFT OUT","NEW")))</f>
        <v/>
      </c>
    </row>
    <row r="537" spans="47:47" x14ac:dyDescent="0.25">
      <c r="AU537" s="8" t="str">
        <f>IF(TRIM($G537)="","",IF(COUNTIF(LISTS!$I$2:$I$16,TRIM($G537))&gt;0,"COUNTED",IF(COUNTIF(LISTS!$J$2:$J$16,TRIM($G537))&gt;0,"LEFT OUT","NEW")))</f>
        <v/>
      </c>
    </row>
    <row r="538" spans="47:47" x14ac:dyDescent="0.25">
      <c r="AU538" s="8" t="str">
        <f>IF(TRIM($G538)="","",IF(COUNTIF(LISTS!$I$2:$I$16,TRIM($G538))&gt;0,"COUNTED",IF(COUNTIF(LISTS!$J$2:$J$16,TRIM($G538))&gt;0,"LEFT OUT","NEW")))</f>
        <v/>
      </c>
    </row>
    <row r="539" spans="47:47" x14ac:dyDescent="0.25">
      <c r="AU539" s="8" t="str">
        <f>IF(TRIM($G539)="","",IF(COUNTIF(LISTS!$I$2:$I$16,TRIM($G539))&gt;0,"COUNTED",IF(COUNTIF(LISTS!$J$2:$J$16,TRIM($G539))&gt;0,"LEFT OUT","NEW")))</f>
        <v/>
      </c>
    </row>
    <row r="540" spans="47:47" x14ac:dyDescent="0.25">
      <c r="AU540" s="8" t="str">
        <f>IF(TRIM($G540)="","",IF(COUNTIF(LISTS!$I$2:$I$16,TRIM($G540))&gt;0,"COUNTED",IF(COUNTIF(LISTS!$J$2:$J$16,TRIM($G540))&gt;0,"LEFT OUT","NEW")))</f>
        <v/>
      </c>
    </row>
    <row r="541" spans="47:47" x14ac:dyDescent="0.25">
      <c r="AU541" s="8" t="str">
        <f>IF(TRIM($G541)="","",IF(COUNTIF(LISTS!$I$2:$I$16,TRIM($G541))&gt;0,"COUNTED",IF(COUNTIF(LISTS!$J$2:$J$16,TRIM($G541))&gt;0,"LEFT OUT","NEW")))</f>
        <v/>
      </c>
    </row>
    <row r="542" spans="47:47" x14ac:dyDescent="0.25">
      <c r="AU542" s="8" t="str">
        <f>IF(TRIM($G542)="","",IF(COUNTIF(LISTS!$I$2:$I$16,TRIM($G542))&gt;0,"COUNTED",IF(COUNTIF(LISTS!$J$2:$J$16,TRIM($G542))&gt;0,"LEFT OUT","NEW")))</f>
        <v/>
      </c>
    </row>
    <row r="543" spans="47:47" x14ac:dyDescent="0.25">
      <c r="AU543" s="8" t="str">
        <f>IF(TRIM($G543)="","",IF(COUNTIF(LISTS!$I$2:$I$16,TRIM($G543))&gt;0,"COUNTED",IF(COUNTIF(LISTS!$J$2:$J$16,TRIM($G543))&gt;0,"LEFT OUT","NEW")))</f>
        <v/>
      </c>
    </row>
    <row r="544" spans="47:47" x14ac:dyDescent="0.25">
      <c r="AU544" s="8" t="str">
        <f>IF(TRIM($G544)="","",IF(COUNTIF(LISTS!$I$2:$I$16,TRIM($G544))&gt;0,"COUNTED",IF(COUNTIF(LISTS!$J$2:$J$16,TRIM($G544))&gt;0,"LEFT OUT","NEW")))</f>
        <v/>
      </c>
    </row>
    <row r="545" spans="47:47" x14ac:dyDescent="0.25">
      <c r="AU545" s="8" t="str">
        <f>IF(TRIM($G545)="","",IF(COUNTIF(LISTS!$I$2:$I$16,TRIM($G545))&gt;0,"COUNTED",IF(COUNTIF(LISTS!$J$2:$J$16,TRIM($G545))&gt;0,"LEFT OUT","NEW")))</f>
        <v/>
      </c>
    </row>
    <row r="546" spans="47:47" x14ac:dyDescent="0.25">
      <c r="AU546" s="8" t="str">
        <f>IF(TRIM($G546)="","",IF(COUNTIF(LISTS!$I$2:$I$16,TRIM($G546))&gt;0,"COUNTED",IF(COUNTIF(LISTS!$J$2:$J$16,TRIM($G546))&gt;0,"LEFT OUT","NEW")))</f>
        <v/>
      </c>
    </row>
    <row r="547" spans="47:47" x14ac:dyDescent="0.25">
      <c r="AU547" s="8" t="str">
        <f>IF(TRIM($G547)="","",IF(COUNTIF(LISTS!$I$2:$I$16,TRIM($G547))&gt;0,"COUNTED",IF(COUNTIF(LISTS!$J$2:$J$16,TRIM($G547))&gt;0,"LEFT OUT","NEW")))</f>
        <v/>
      </c>
    </row>
    <row r="548" spans="47:47" x14ac:dyDescent="0.25">
      <c r="AU548" s="8" t="str">
        <f>IF(TRIM($G548)="","",IF(COUNTIF(LISTS!$I$2:$I$16,TRIM($G548))&gt;0,"COUNTED",IF(COUNTIF(LISTS!$J$2:$J$16,TRIM($G548))&gt;0,"LEFT OUT","NEW")))</f>
        <v/>
      </c>
    </row>
    <row r="549" spans="47:47" x14ac:dyDescent="0.25">
      <c r="AU549" s="8" t="str">
        <f>IF(TRIM($G549)="","",IF(COUNTIF(LISTS!$I$2:$I$16,TRIM($G549))&gt;0,"COUNTED",IF(COUNTIF(LISTS!$J$2:$J$16,TRIM($G549))&gt;0,"LEFT OUT","NEW")))</f>
        <v/>
      </c>
    </row>
    <row r="550" spans="47:47" x14ac:dyDescent="0.25">
      <c r="AU550" s="8" t="str">
        <f>IF(TRIM($G550)="","",IF(COUNTIF(LISTS!$I$2:$I$16,TRIM($G550))&gt;0,"COUNTED",IF(COUNTIF(LISTS!$J$2:$J$16,TRIM($G550))&gt;0,"LEFT OUT","NEW")))</f>
        <v/>
      </c>
    </row>
    <row r="551" spans="47:47" x14ac:dyDescent="0.25">
      <c r="AU551" s="8" t="str">
        <f>IF(TRIM($G551)="","",IF(COUNTIF(LISTS!$I$2:$I$16,TRIM($G551))&gt;0,"COUNTED",IF(COUNTIF(LISTS!$J$2:$J$16,TRIM($G551))&gt;0,"LEFT OUT","NEW")))</f>
        <v/>
      </c>
    </row>
    <row r="552" spans="47:47" x14ac:dyDescent="0.25">
      <c r="AU552" s="8" t="str">
        <f>IF(TRIM($G552)="","",IF(COUNTIF(LISTS!$I$2:$I$16,TRIM($G552))&gt;0,"COUNTED",IF(COUNTIF(LISTS!$J$2:$J$16,TRIM($G552))&gt;0,"LEFT OUT","NEW")))</f>
        <v/>
      </c>
    </row>
    <row r="553" spans="47:47" x14ac:dyDescent="0.25">
      <c r="AU553" s="8" t="str">
        <f>IF(TRIM($G553)="","",IF(COUNTIF(LISTS!$I$2:$I$16,TRIM($G553))&gt;0,"COUNTED",IF(COUNTIF(LISTS!$J$2:$J$16,TRIM($G553))&gt;0,"LEFT OUT","NEW")))</f>
        <v/>
      </c>
    </row>
    <row r="554" spans="47:47" x14ac:dyDescent="0.25">
      <c r="AU554" s="8" t="str">
        <f>IF(TRIM($G554)="","",IF(COUNTIF(LISTS!$I$2:$I$16,TRIM($G554))&gt;0,"COUNTED",IF(COUNTIF(LISTS!$J$2:$J$16,TRIM($G554))&gt;0,"LEFT OUT","NEW")))</f>
        <v/>
      </c>
    </row>
    <row r="555" spans="47:47" x14ac:dyDescent="0.25">
      <c r="AU555" s="8" t="str">
        <f>IF(TRIM($G555)="","",IF(COUNTIF(LISTS!$I$2:$I$16,TRIM($G555))&gt;0,"COUNTED",IF(COUNTIF(LISTS!$J$2:$J$16,TRIM($G555))&gt;0,"LEFT OUT","NEW")))</f>
        <v/>
      </c>
    </row>
    <row r="556" spans="47:47" x14ac:dyDescent="0.25">
      <c r="AU556" s="8" t="str">
        <f>IF(TRIM($G556)="","",IF(COUNTIF(LISTS!$I$2:$I$16,TRIM($G556))&gt;0,"COUNTED",IF(COUNTIF(LISTS!$J$2:$J$16,TRIM($G556))&gt;0,"LEFT OUT","NEW")))</f>
        <v/>
      </c>
    </row>
    <row r="557" spans="47:47" x14ac:dyDescent="0.25">
      <c r="AU557" s="8" t="str">
        <f>IF(TRIM($G557)="","",IF(COUNTIF(LISTS!$I$2:$I$16,TRIM($G557))&gt;0,"COUNTED",IF(COUNTIF(LISTS!$J$2:$J$16,TRIM($G557))&gt;0,"LEFT OUT","NEW")))</f>
        <v/>
      </c>
    </row>
    <row r="558" spans="47:47" x14ac:dyDescent="0.25">
      <c r="AU558" s="8" t="str">
        <f>IF(TRIM($G558)="","",IF(COUNTIF(LISTS!$I$2:$I$16,TRIM($G558))&gt;0,"COUNTED",IF(COUNTIF(LISTS!$J$2:$J$16,TRIM($G558))&gt;0,"LEFT OUT","NEW")))</f>
        <v/>
      </c>
    </row>
    <row r="559" spans="47:47" x14ac:dyDescent="0.25">
      <c r="AU559" s="8" t="str">
        <f>IF(TRIM($G559)="","",IF(COUNTIF(LISTS!$I$2:$I$16,TRIM($G559))&gt;0,"COUNTED",IF(COUNTIF(LISTS!$J$2:$J$16,TRIM($G559))&gt;0,"LEFT OUT","NEW")))</f>
        <v/>
      </c>
    </row>
    <row r="560" spans="47:47" x14ac:dyDescent="0.25">
      <c r="AU560" s="8" t="str">
        <f>IF(TRIM($G560)="","",IF(COUNTIF(LISTS!$I$2:$I$16,TRIM($G560))&gt;0,"COUNTED",IF(COUNTIF(LISTS!$J$2:$J$16,TRIM($G560))&gt;0,"LEFT OUT","NEW")))</f>
        <v/>
      </c>
    </row>
    <row r="561" spans="47:47" x14ac:dyDescent="0.25">
      <c r="AU561" s="8" t="str">
        <f>IF(TRIM($G561)="","",IF(COUNTIF(LISTS!$I$2:$I$16,TRIM($G561))&gt;0,"COUNTED",IF(COUNTIF(LISTS!$J$2:$J$16,TRIM($G561))&gt;0,"LEFT OUT","NEW")))</f>
        <v/>
      </c>
    </row>
    <row r="562" spans="47:47" x14ac:dyDescent="0.25">
      <c r="AU562" s="8" t="str">
        <f>IF(TRIM($G562)="","",IF(COUNTIF(LISTS!$I$2:$I$16,TRIM($G562))&gt;0,"COUNTED",IF(COUNTIF(LISTS!$J$2:$J$16,TRIM($G562))&gt;0,"LEFT OUT","NEW")))</f>
        <v/>
      </c>
    </row>
    <row r="563" spans="47:47" x14ac:dyDescent="0.25">
      <c r="AU563" s="8" t="str">
        <f>IF(TRIM($G563)="","",IF(COUNTIF(LISTS!$I$2:$I$16,TRIM($G563))&gt;0,"COUNTED",IF(COUNTIF(LISTS!$J$2:$J$16,TRIM($G563))&gt;0,"LEFT OUT","NEW")))</f>
        <v/>
      </c>
    </row>
    <row r="564" spans="47:47" x14ac:dyDescent="0.25">
      <c r="AU564" s="8" t="str">
        <f>IF(TRIM($G564)="","",IF(COUNTIF(LISTS!$I$2:$I$16,TRIM($G564))&gt;0,"COUNTED",IF(COUNTIF(LISTS!$J$2:$J$16,TRIM($G564))&gt;0,"LEFT OUT","NEW")))</f>
        <v/>
      </c>
    </row>
    <row r="565" spans="47:47" x14ac:dyDescent="0.25">
      <c r="AU565" s="8" t="str">
        <f>IF(TRIM($G565)="","",IF(COUNTIF(LISTS!$I$2:$I$16,TRIM($G565))&gt;0,"COUNTED",IF(COUNTIF(LISTS!$J$2:$J$16,TRIM($G565))&gt;0,"LEFT OUT","NEW")))</f>
        <v/>
      </c>
    </row>
    <row r="566" spans="47:47" x14ac:dyDescent="0.25">
      <c r="AU566" s="8" t="str">
        <f>IF(TRIM($G566)="","",IF(COUNTIF(LISTS!$I$2:$I$16,TRIM($G566))&gt;0,"COUNTED",IF(COUNTIF(LISTS!$J$2:$J$16,TRIM($G566))&gt;0,"LEFT OUT","NEW")))</f>
        <v/>
      </c>
    </row>
    <row r="567" spans="47:47" x14ac:dyDescent="0.25">
      <c r="AU567" s="8" t="str">
        <f>IF(TRIM($G567)="","",IF(COUNTIF(LISTS!$I$2:$I$16,TRIM($G567))&gt;0,"COUNTED",IF(COUNTIF(LISTS!$J$2:$J$16,TRIM($G567))&gt;0,"LEFT OUT","NEW")))</f>
        <v/>
      </c>
    </row>
    <row r="568" spans="47:47" x14ac:dyDescent="0.25">
      <c r="AU568" s="8" t="str">
        <f>IF(TRIM($G568)="","",IF(COUNTIF(LISTS!$I$2:$I$16,TRIM($G568))&gt;0,"COUNTED",IF(COUNTIF(LISTS!$J$2:$J$16,TRIM($G568))&gt;0,"LEFT OUT","NEW")))</f>
        <v/>
      </c>
    </row>
    <row r="569" spans="47:47" x14ac:dyDescent="0.25">
      <c r="AU569" s="8" t="str">
        <f>IF(TRIM($G569)="","",IF(COUNTIF(LISTS!$I$2:$I$16,TRIM($G569))&gt;0,"COUNTED",IF(COUNTIF(LISTS!$J$2:$J$16,TRIM($G569))&gt;0,"LEFT OUT","NEW")))</f>
        <v/>
      </c>
    </row>
    <row r="570" spans="47:47" x14ac:dyDescent="0.25">
      <c r="AU570" s="8" t="str">
        <f>IF(TRIM($G570)="","",IF(COUNTIF(LISTS!$I$2:$I$16,TRIM($G570))&gt;0,"COUNTED",IF(COUNTIF(LISTS!$J$2:$J$16,TRIM($G570))&gt;0,"LEFT OUT","NEW")))</f>
        <v/>
      </c>
    </row>
    <row r="571" spans="47:47" x14ac:dyDescent="0.25">
      <c r="AU571" s="8" t="str">
        <f>IF(TRIM($G571)="","",IF(COUNTIF(LISTS!$I$2:$I$16,TRIM($G571))&gt;0,"COUNTED",IF(COUNTIF(LISTS!$J$2:$J$16,TRIM($G571))&gt;0,"LEFT OUT","NEW")))</f>
        <v/>
      </c>
    </row>
    <row r="572" spans="47:47" x14ac:dyDescent="0.25">
      <c r="AU572" s="8" t="str">
        <f>IF(TRIM($G572)="","",IF(COUNTIF(LISTS!$I$2:$I$16,TRIM($G572))&gt;0,"COUNTED",IF(COUNTIF(LISTS!$J$2:$J$16,TRIM($G572))&gt;0,"LEFT OUT","NEW")))</f>
        <v/>
      </c>
    </row>
    <row r="573" spans="47:47" x14ac:dyDescent="0.25">
      <c r="AU573" s="8" t="str">
        <f>IF(TRIM($G573)="","",IF(COUNTIF(LISTS!$I$2:$I$16,TRIM($G573))&gt;0,"COUNTED",IF(COUNTIF(LISTS!$J$2:$J$16,TRIM($G573))&gt;0,"LEFT OUT","NEW")))</f>
        <v/>
      </c>
    </row>
    <row r="574" spans="47:47" x14ac:dyDescent="0.25">
      <c r="AU574" s="8" t="str">
        <f>IF(TRIM($G574)="","",IF(COUNTIF(LISTS!$I$2:$I$16,TRIM($G574))&gt;0,"COUNTED",IF(COUNTIF(LISTS!$J$2:$J$16,TRIM($G574))&gt;0,"LEFT OUT","NEW")))</f>
        <v/>
      </c>
    </row>
    <row r="575" spans="47:47" x14ac:dyDescent="0.25">
      <c r="AU575" s="8" t="str">
        <f>IF(TRIM($G575)="","",IF(COUNTIF(LISTS!$I$2:$I$16,TRIM($G575))&gt;0,"COUNTED",IF(COUNTIF(LISTS!$J$2:$J$16,TRIM($G575))&gt;0,"LEFT OUT","NEW")))</f>
        <v/>
      </c>
    </row>
    <row r="576" spans="47:47" x14ac:dyDescent="0.25">
      <c r="AU576" s="8" t="str">
        <f>IF(TRIM($G576)="","",IF(COUNTIF(LISTS!$I$2:$I$16,TRIM($G576))&gt;0,"COUNTED",IF(COUNTIF(LISTS!$J$2:$J$16,TRIM($G576))&gt;0,"LEFT OUT","NEW")))</f>
        <v/>
      </c>
    </row>
    <row r="577" spans="47:47" x14ac:dyDescent="0.25">
      <c r="AU577" s="8" t="str">
        <f>IF(TRIM($G577)="","",IF(COUNTIF(LISTS!$I$2:$I$16,TRIM($G577))&gt;0,"COUNTED",IF(COUNTIF(LISTS!$J$2:$J$16,TRIM($G577))&gt;0,"LEFT OUT","NEW")))</f>
        <v/>
      </c>
    </row>
    <row r="578" spans="47:47" x14ac:dyDescent="0.25">
      <c r="AU578" s="8" t="str">
        <f>IF(TRIM($G578)="","",IF(COUNTIF(LISTS!$I$2:$I$16,TRIM($G578))&gt;0,"COUNTED",IF(COUNTIF(LISTS!$J$2:$J$16,TRIM($G578))&gt;0,"LEFT OUT","NEW")))</f>
        <v/>
      </c>
    </row>
    <row r="579" spans="47:47" x14ac:dyDescent="0.25">
      <c r="AU579" s="8" t="str">
        <f>IF(TRIM($G579)="","",IF(COUNTIF(LISTS!$I$2:$I$16,TRIM($G579))&gt;0,"COUNTED",IF(COUNTIF(LISTS!$J$2:$J$16,TRIM($G579))&gt;0,"LEFT OUT","NEW")))</f>
        <v/>
      </c>
    </row>
    <row r="580" spans="47:47" x14ac:dyDescent="0.25">
      <c r="AU580" s="8" t="str">
        <f>IF(TRIM($G580)="","",IF(COUNTIF(LISTS!$I$2:$I$16,TRIM($G580))&gt;0,"COUNTED",IF(COUNTIF(LISTS!$J$2:$J$16,TRIM($G580))&gt;0,"LEFT OUT","NEW")))</f>
        <v/>
      </c>
    </row>
    <row r="581" spans="47:47" x14ac:dyDescent="0.25">
      <c r="AU581" s="8" t="str">
        <f>IF(TRIM($G581)="","",IF(COUNTIF(LISTS!$I$2:$I$16,TRIM($G581))&gt;0,"COUNTED",IF(COUNTIF(LISTS!$J$2:$J$16,TRIM($G581))&gt;0,"LEFT OUT","NEW")))</f>
        <v/>
      </c>
    </row>
    <row r="582" spans="47:47" x14ac:dyDescent="0.25">
      <c r="AU582" s="8" t="str">
        <f>IF(TRIM($G582)="","",IF(COUNTIF(LISTS!$I$2:$I$16,TRIM($G582))&gt;0,"COUNTED",IF(COUNTIF(LISTS!$J$2:$J$16,TRIM($G582))&gt;0,"LEFT OUT","NEW")))</f>
        <v/>
      </c>
    </row>
    <row r="583" spans="47:47" x14ac:dyDescent="0.25">
      <c r="AU583" s="8" t="str">
        <f>IF(TRIM($G583)="","",IF(COUNTIF(LISTS!$I$2:$I$16,TRIM($G583))&gt;0,"COUNTED",IF(COUNTIF(LISTS!$J$2:$J$16,TRIM($G583))&gt;0,"LEFT OUT","NEW")))</f>
        <v/>
      </c>
    </row>
    <row r="584" spans="47:47" x14ac:dyDescent="0.25">
      <c r="AU584" s="8" t="str">
        <f>IF(TRIM($G584)="","",IF(COUNTIF(LISTS!$I$2:$I$16,TRIM($G584))&gt;0,"COUNTED",IF(COUNTIF(LISTS!$J$2:$J$16,TRIM($G584))&gt;0,"LEFT OUT","NEW")))</f>
        <v/>
      </c>
    </row>
    <row r="585" spans="47:47" x14ac:dyDescent="0.25">
      <c r="AU585" s="8" t="str">
        <f>IF(TRIM($G585)="","",IF(COUNTIF(LISTS!$I$2:$I$16,TRIM($G585))&gt;0,"COUNTED",IF(COUNTIF(LISTS!$J$2:$J$16,TRIM($G585))&gt;0,"LEFT OUT","NEW")))</f>
        <v/>
      </c>
    </row>
    <row r="586" spans="47:47" x14ac:dyDescent="0.25">
      <c r="AU586" s="8" t="str">
        <f>IF(TRIM($G586)="","",IF(COUNTIF(LISTS!$I$2:$I$16,TRIM($G586))&gt;0,"COUNTED",IF(COUNTIF(LISTS!$J$2:$J$16,TRIM($G586))&gt;0,"LEFT OUT","NEW")))</f>
        <v/>
      </c>
    </row>
    <row r="587" spans="47:47" x14ac:dyDescent="0.25">
      <c r="AU587" s="8" t="str">
        <f>IF(TRIM($G587)="","",IF(COUNTIF(LISTS!$I$2:$I$16,TRIM($G587))&gt;0,"COUNTED",IF(COUNTIF(LISTS!$J$2:$J$16,TRIM($G587))&gt;0,"LEFT OUT","NEW")))</f>
        <v/>
      </c>
    </row>
    <row r="588" spans="47:47" x14ac:dyDescent="0.25">
      <c r="AU588" s="8" t="str">
        <f>IF(TRIM($G588)="","",IF(COUNTIF(LISTS!$I$2:$I$16,TRIM($G588))&gt;0,"COUNTED",IF(COUNTIF(LISTS!$J$2:$J$16,TRIM($G588))&gt;0,"LEFT OUT","NEW")))</f>
        <v/>
      </c>
    </row>
    <row r="589" spans="47:47" x14ac:dyDescent="0.25">
      <c r="AU589" s="8" t="str">
        <f>IF(TRIM($G589)="","",IF(COUNTIF(LISTS!$I$2:$I$16,TRIM($G589))&gt;0,"COUNTED",IF(COUNTIF(LISTS!$J$2:$J$16,TRIM($G589))&gt;0,"LEFT OUT","NEW")))</f>
        <v/>
      </c>
    </row>
    <row r="590" spans="47:47" x14ac:dyDescent="0.25">
      <c r="AU590" s="8" t="str">
        <f>IF(TRIM($G590)="","",IF(COUNTIF(LISTS!$I$2:$I$16,TRIM($G590))&gt;0,"COUNTED",IF(COUNTIF(LISTS!$J$2:$J$16,TRIM($G590))&gt;0,"LEFT OUT","NEW")))</f>
        <v/>
      </c>
    </row>
    <row r="591" spans="47:47" x14ac:dyDescent="0.25">
      <c r="AU591" s="8" t="str">
        <f>IF(TRIM($G591)="","",IF(COUNTIF(LISTS!$I$2:$I$16,TRIM($G591))&gt;0,"COUNTED",IF(COUNTIF(LISTS!$J$2:$J$16,TRIM($G591))&gt;0,"LEFT OUT","NEW")))</f>
        <v/>
      </c>
    </row>
    <row r="592" spans="47:47" x14ac:dyDescent="0.25">
      <c r="AU592" s="8" t="str">
        <f>IF(TRIM($G592)="","",IF(COUNTIF(LISTS!$I$2:$I$16,TRIM($G592))&gt;0,"COUNTED",IF(COUNTIF(LISTS!$J$2:$J$16,TRIM($G592))&gt;0,"LEFT OUT","NEW")))</f>
        <v/>
      </c>
    </row>
    <row r="593" spans="47:47" x14ac:dyDescent="0.25">
      <c r="AU593" s="8" t="str">
        <f>IF(TRIM($G593)="","",IF(COUNTIF(LISTS!$I$2:$I$16,TRIM($G593))&gt;0,"COUNTED",IF(COUNTIF(LISTS!$J$2:$J$16,TRIM($G593))&gt;0,"LEFT OUT","NEW")))</f>
        <v/>
      </c>
    </row>
    <row r="594" spans="47:47" x14ac:dyDescent="0.25">
      <c r="AU594" s="8" t="str">
        <f>IF(TRIM($G594)="","",IF(COUNTIF(LISTS!$I$2:$I$16,TRIM($G594))&gt;0,"COUNTED",IF(COUNTIF(LISTS!$J$2:$J$16,TRIM($G594))&gt;0,"LEFT OUT","NEW")))</f>
        <v/>
      </c>
    </row>
    <row r="595" spans="47:47" x14ac:dyDescent="0.25">
      <c r="AU595" s="8" t="str">
        <f>IF(TRIM($G595)="","",IF(COUNTIF(LISTS!$I$2:$I$16,TRIM($G595))&gt;0,"COUNTED",IF(COUNTIF(LISTS!$J$2:$J$16,TRIM($G595))&gt;0,"LEFT OUT","NEW")))</f>
        <v/>
      </c>
    </row>
    <row r="596" spans="47:47" x14ac:dyDescent="0.25">
      <c r="AU596" s="8" t="str">
        <f>IF(TRIM($G596)="","",IF(COUNTIF(LISTS!$I$2:$I$16,TRIM($G596))&gt;0,"COUNTED",IF(COUNTIF(LISTS!$J$2:$J$16,TRIM($G596))&gt;0,"LEFT OUT","NEW")))</f>
        <v/>
      </c>
    </row>
    <row r="597" spans="47:47" x14ac:dyDescent="0.25">
      <c r="AU597" s="8" t="str">
        <f>IF(TRIM($G597)="","",IF(COUNTIF(LISTS!$I$2:$I$16,TRIM($G597))&gt;0,"COUNTED",IF(COUNTIF(LISTS!$J$2:$J$16,TRIM($G597))&gt;0,"LEFT OUT","NEW")))</f>
        <v/>
      </c>
    </row>
    <row r="598" spans="47:47" x14ac:dyDescent="0.25">
      <c r="AU598" s="8" t="str">
        <f>IF(TRIM($G598)="","",IF(COUNTIF(LISTS!$I$2:$I$16,TRIM($G598))&gt;0,"COUNTED",IF(COUNTIF(LISTS!$J$2:$J$16,TRIM($G598))&gt;0,"LEFT OUT","NEW")))</f>
        <v/>
      </c>
    </row>
    <row r="599" spans="47:47" x14ac:dyDescent="0.25">
      <c r="AU599" s="8" t="str">
        <f>IF(TRIM($G599)="","",IF(COUNTIF(LISTS!$I$2:$I$16,TRIM($G599))&gt;0,"COUNTED",IF(COUNTIF(LISTS!$J$2:$J$16,TRIM($G599))&gt;0,"LEFT OUT","NEW")))</f>
        <v/>
      </c>
    </row>
    <row r="600" spans="47:47" x14ac:dyDescent="0.25">
      <c r="AU600" s="8" t="str">
        <f>IF(TRIM($G600)="","",IF(COUNTIF(LISTS!$I$2:$I$16,TRIM($G600))&gt;0,"COUNTED",IF(COUNTIF(LISTS!$J$2:$J$16,TRIM($G600))&gt;0,"LEFT OUT","NEW")))</f>
        <v/>
      </c>
    </row>
    <row r="601" spans="47:47" x14ac:dyDescent="0.25">
      <c r="AU601" s="8" t="str">
        <f>IF(TRIM($G601)="","",IF(COUNTIF(LISTS!$I$2:$I$16,TRIM($G601))&gt;0,"COUNTED",IF(COUNTIF(LISTS!$J$2:$J$16,TRIM($G601))&gt;0,"LEFT OUT","NEW")))</f>
        <v/>
      </c>
    </row>
    <row r="602" spans="47:47" x14ac:dyDescent="0.25">
      <c r="AU602" s="8" t="str">
        <f>IF(TRIM($G602)="","",IF(COUNTIF(LISTS!$I$2:$I$16,TRIM($G602))&gt;0,"COUNTED",IF(COUNTIF(LISTS!$J$2:$J$16,TRIM($G602))&gt;0,"LEFT OUT","NEW")))</f>
        <v/>
      </c>
    </row>
    <row r="603" spans="47:47" x14ac:dyDescent="0.25">
      <c r="AU603" s="8" t="str">
        <f>IF(TRIM($G603)="","",IF(COUNTIF(LISTS!$I$2:$I$16,TRIM($G603))&gt;0,"COUNTED",IF(COUNTIF(LISTS!$J$2:$J$16,TRIM($G603))&gt;0,"LEFT OUT","NEW")))</f>
        <v/>
      </c>
    </row>
    <row r="604" spans="47:47" x14ac:dyDescent="0.25">
      <c r="AU604" s="8" t="str">
        <f>IF(TRIM($G604)="","",IF(COUNTIF(LISTS!$I$2:$I$16,TRIM($G604))&gt;0,"COUNTED",IF(COUNTIF(LISTS!$J$2:$J$16,TRIM($G604))&gt;0,"LEFT OUT","NEW")))</f>
        <v/>
      </c>
    </row>
    <row r="605" spans="47:47" x14ac:dyDescent="0.25">
      <c r="AU605" s="8" t="str">
        <f>IF(TRIM($G605)="","",IF(COUNTIF(LISTS!$I$2:$I$16,TRIM($G605))&gt;0,"COUNTED",IF(COUNTIF(LISTS!$J$2:$J$16,TRIM($G605))&gt;0,"LEFT OUT","NEW")))</f>
        <v/>
      </c>
    </row>
    <row r="606" spans="47:47" x14ac:dyDescent="0.25">
      <c r="AU606" s="8" t="str">
        <f>IF(TRIM($G606)="","",IF(COUNTIF(LISTS!$I$2:$I$16,TRIM($G606))&gt;0,"COUNTED",IF(COUNTIF(LISTS!$J$2:$J$16,TRIM($G606))&gt;0,"LEFT OUT","NEW")))</f>
        <v/>
      </c>
    </row>
    <row r="607" spans="47:47" x14ac:dyDescent="0.25">
      <c r="AU607" s="8" t="str">
        <f>IF(TRIM($G607)="","",IF(COUNTIF(LISTS!$I$2:$I$16,TRIM($G607))&gt;0,"COUNTED",IF(COUNTIF(LISTS!$J$2:$J$16,TRIM($G607))&gt;0,"LEFT OUT","NEW")))</f>
        <v/>
      </c>
    </row>
    <row r="608" spans="47:47" x14ac:dyDescent="0.25">
      <c r="AU608" s="8" t="str">
        <f>IF(TRIM($G608)="","",IF(COUNTIF(LISTS!$I$2:$I$16,TRIM($G608))&gt;0,"COUNTED",IF(COUNTIF(LISTS!$J$2:$J$16,TRIM($G608))&gt;0,"LEFT OUT","NEW")))</f>
        <v/>
      </c>
    </row>
    <row r="609" spans="47:47" x14ac:dyDescent="0.25">
      <c r="AU609" s="8" t="str">
        <f>IF(TRIM($G609)="","",IF(COUNTIF(LISTS!$I$2:$I$16,TRIM($G609))&gt;0,"COUNTED",IF(COUNTIF(LISTS!$J$2:$J$16,TRIM($G609))&gt;0,"LEFT OUT","NEW")))</f>
        <v/>
      </c>
    </row>
    <row r="610" spans="47:47" x14ac:dyDescent="0.25">
      <c r="AU610" s="8" t="str">
        <f>IF(TRIM($G610)="","",IF(COUNTIF(LISTS!$I$2:$I$16,TRIM($G610))&gt;0,"COUNTED",IF(COUNTIF(LISTS!$J$2:$J$16,TRIM($G610))&gt;0,"LEFT OUT","NEW")))</f>
        <v/>
      </c>
    </row>
    <row r="611" spans="47:47" x14ac:dyDescent="0.25">
      <c r="AU611" s="8" t="str">
        <f>IF(TRIM($G611)="","",IF(COUNTIF(LISTS!$I$2:$I$16,TRIM($G611))&gt;0,"COUNTED",IF(COUNTIF(LISTS!$J$2:$J$16,TRIM($G611))&gt;0,"LEFT OUT","NEW")))</f>
        <v/>
      </c>
    </row>
    <row r="612" spans="47:47" x14ac:dyDescent="0.25">
      <c r="AU612" s="8" t="str">
        <f>IF(TRIM($G612)="","",IF(COUNTIF(LISTS!$I$2:$I$16,TRIM($G612))&gt;0,"COUNTED",IF(COUNTIF(LISTS!$J$2:$J$16,TRIM($G612))&gt;0,"LEFT OUT","NEW")))</f>
        <v/>
      </c>
    </row>
    <row r="613" spans="47:47" x14ac:dyDescent="0.25">
      <c r="AU613" s="8" t="str">
        <f>IF(TRIM($G613)="","",IF(COUNTIF(LISTS!$I$2:$I$16,TRIM($G613))&gt;0,"COUNTED",IF(COUNTIF(LISTS!$J$2:$J$16,TRIM($G613))&gt;0,"LEFT OUT","NEW")))</f>
        <v/>
      </c>
    </row>
    <row r="614" spans="47:47" x14ac:dyDescent="0.25">
      <c r="AU614" s="8" t="str">
        <f>IF(TRIM($G614)="","",IF(COUNTIF(LISTS!$I$2:$I$16,TRIM($G614))&gt;0,"COUNTED",IF(COUNTIF(LISTS!$J$2:$J$16,TRIM($G614))&gt;0,"LEFT OUT","NEW")))</f>
        <v/>
      </c>
    </row>
    <row r="615" spans="47:47" x14ac:dyDescent="0.25">
      <c r="AU615" s="8" t="str">
        <f>IF(TRIM($G615)="","",IF(COUNTIF(LISTS!$I$2:$I$16,TRIM($G615))&gt;0,"COUNTED",IF(COUNTIF(LISTS!$J$2:$J$16,TRIM($G615))&gt;0,"LEFT OUT","NEW")))</f>
        <v/>
      </c>
    </row>
    <row r="616" spans="47:47" x14ac:dyDescent="0.25">
      <c r="AU616" s="8" t="str">
        <f>IF(TRIM($G616)="","",IF(COUNTIF(LISTS!$I$2:$I$16,TRIM($G616))&gt;0,"COUNTED",IF(COUNTIF(LISTS!$J$2:$J$16,TRIM($G616))&gt;0,"LEFT OUT","NEW")))</f>
        <v/>
      </c>
    </row>
    <row r="617" spans="47:47" x14ac:dyDescent="0.25">
      <c r="AU617" s="8" t="str">
        <f>IF(TRIM($G617)="","",IF(COUNTIF(LISTS!$I$2:$I$16,TRIM($G617))&gt;0,"COUNTED",IF(COUNTIF(LISTS!$J$2:$J$16,TRIM($G617))&gt;0,"LEFT OUT","NEW")))</f>
        <v/>
      </c>
    </row>
    <row r="618" spans="47:47" x14ac:dyDescent="0.25">
      <c r="AU618" s="8" t="str">
        <f>IF(TRIM($G618)="","",IF(COUNTIF(LISTS!$I$2:$I$16,TRIM($G618))&gt;0,"COUNTED",IF(COUNTIF(LISTS!$J$2:$J$16,TRIM($G618))&gt;0,"LEFT OUT","NEW")))</f>
        <v/>
      </c>
    </row>
    <row r="619" spans="47:47" x14ac:dyDescent="0.25">
      <c r="AU619" s="8" t="str">
        <f>IF(TRIM($G619)="","",IF(COUNTIF(LISTS!$I$2:$I$16,TRIM($G619))&gt;0,"COUNTED",IF(COUNTIF(LISTS!$J$2:$J$16,TRIM($G619))&gt;0,"LEFT OUT","NEW")))</f>
        <v/>
      </c>
    </row>
    <row r="620" spans="47:47" x14ac:dyDescent="0.25">
      <c r="AU620" s="8" t="str">
        <f>IF(TRIM($G620)="","",IF(COUNTIF(LISTS!$I$2:$I$16,TRIM($G620))&gt;0,"COUNTED",IF(COUNTIF(LISTS!$J$2:$J$16,TRIM($G620))&gt;0,"LEFT OUT","NEW")))</f>
        <v/>
      </c>
    </row>
    <row r="621" spans="47:47" x14ac:dyDescent="0.25">
      <c r="AU621" s="8" t="str">
        <f>IF(TRIM($G621)="","",IF(COUNTIF(LISTS!$I$2:$I$16,TRIM($G621))&gt;0,"COUNTED",IF(COUNTIF(LISTS!$J$2:$J$16,TRIM($G621))&gt;0,"LEFT OUT","NEW")))</f>
        <v/>
      </c>
    </row>
    <row r="622" spans="47:47" x14ac:dyDescent="0.25">
      <c r="AU622" s="8" t="str">
        <f>IF(TRIM($G622)="","",IF(COUNTIF(LISTS!$I$2:$I$16,TRIM($G622))&gt;0,"COUNTED",IF(COUNTIF(LISTS!$J$2:$J$16,TRIM($G622))&gt;0,"LEFT OUT","NEW")))</f>
        <v/>
      </c>
    </row>
    <row r="623" spans="47:47" x14ac:dyDescent="0.25">
      <c r="AU623" s="8" t="str">
        <f>IF(TRIM($G623)="","",IF(COUNTIF(LISTS!$I$2:$I$16,TRIM($G623))&gt;0,"COUNTED",IF(COUNTIF(LISTS!$J$2:$J$16,TRIM($G623))&gt;0,"LEFT OUT","NEW")))</f>
        <v/>
      </c>
    </row>
    <row r="624" spans="47:47" x14ac:dyDescent="0.25">
      <c r="AU624" s="8" t="str">
        <f>IF(TRIM($G624)="","",IF(COUNTIF(LISTS!$I$2:$I$16,TRIM($G624))&gt;0,"COUNTED",IF(COUNTIF(LISTS!$J$2:$J$16,TRIM($G624))&gt;0,"LEFT OUT","NEW")))</f>
        <v/>
      </c>
    </row>
    <row r="625" spans="47:47" x14ac:dyDescent="0.25">
      <c r="AU625" s="8" t="str">
        <f>IF(TRIM($G625)="","",IF(COUNTIF(LISTS!$I$2:$I$16,TRIM($G625))&gt;0,"COUNTED",IF(COUNTIF(LISTS!$J$2:$J$16,TRIM($G625))&gt;0,"LEFT OUT","NEW")))</f>
        <v/>
      </c>
    </row>
    <row r="626" spans="47:47" x14ac:dyDescent="0.25">
      <c r="AU626" s="8" t="str">
        <f>IF(TRIM($G626)="","",IF(COUNTIF(LISTS!$I$2:$I$16,TRIM($G626))&gt;0,"COUNTED",IF(COUNTIF(LISTS!$J$2:$J$16,TRIM($G626))&gt;0,"LEFT OUT","NEW")))</f>
        <v/>
      </c>
    </row>
    <row r="627" spans="47:47" x14ac:dyDescent="0.25">
      <c r="AU627" s="8" t="str">
        <f>IF(TRIM($G627)="","",IF(COUNTIF(LISTS!$I$2:$I$16,TRIM($G627))&gt;0,"COUNTED",IF(COUNTIF(LISTS!$J$2:$J$16,TRIM($G627))&gt;0,"LEFT OUT","NEW")))</f>
        <v/>
      </c>
    </row>
    <row r="628" spans="47:47" x14ac:dyDescent="0.25">
      <c r="AU628" s="8" t="str">
        <f>IF(TRIM($G628)="","",IF(COUNTIF(LISTS!$I$2:$I$16,TRIM($G628))&gt;0,"COUNTED",IF(COUNTIF(LISTS!$J$2:$J$16,TRIM($G628))&gt;0,"LEFT OUT","NEW")))</f>
        <v/>
      </c>
    </row>
    <row r="629" spans="47:47" x14ac:dyDescent="0.25">
      <c r="AU629" s="8" t="str">
        <f>IF(TRIM($G629)="","",IF(COUNTIF(LISTS!$I$2:$I$16,TRIM($G629))&gt;0,"COUNTED",IF(COUNTIF(LISTS!$J$2:$J$16,TRIM($G629))&gt;0,"LEFT OUT","NEW")))</f>
        <v/>
      </c>
    </row>
    <row r="630" spans="47:47" x14ac:dyDescent="0.25">
      <c r="AU630" s="8" t="str">
        <f>IF(TRIM($G630)="","",IF(COUNTIF(LISTS!$I$2:$I$16,TRIM($G630))&gt;0,"COUNTED",IF(COUNTIF(LISTS!$J$2:$J$16,TRIM($G630))&gt;0,"LEFT OUT","NEW")))</f>
        <v/>
      </c>
    </row>
    <row r="631" spans="47:47" x14ac:dyDescent="0.25">
      <c r="AU631" s="8" t="str">
        <f>IF(TRIM($G631)="","",IF(COUNTIF(LISTS!$I$2:$I$16,TRIM($G631))&gt;0,"COUNTED",IF(COUNTIF(LISTS!$J$2:$J$16,TRIM($G631))&gt;0,"LEFT OUT","NEW")))</f>
        <v/>
      </c>
    </row>
    <row r="632" spans="47:47" x14ac:dyDescent="0.25">
      <c r="AU632" s="8" t="str">
        <f>IF(TRIM($G632)="","",IF(COUNTIF(LISTS!$I$2:$I$16,TRIM($G632))&gt;0,"COUNTED",IF(COUNTIF(LISTS!$J$2:$J$16,TRIM($G632))&gt;0,"LEFT OUT","NEW")))</f>
        <v/>
      </c>
    </row>
    <row r="633" spans="47:47" x14ac:dyDescent="0.25">
      <c r="AU633" s="8" t="str">
        <f>IF(TRIM($G633)="","",IF(COUNTIF(LISTS!$I$2:$I$16,TRIM($G633))&gt;0,"COUNTED",IF(COUNTIF(LISTS!$J$2:$J$16,TRIM($G633))&gt;0,"LEFT OUT","NEW")))</f>
        <v/>
      </c>
    </row>
    <row r="634" spans="47:47" x14ac:dyDescent="0.25">
      <c r="AU634" s="8" t="str">
        <f>IF(TRIM($G634)="","",IF(COUNTIF(LISTS!$I$2:$I$16,TRIM($G634))&gt;0,"COUNTED",IF(COUNTIF(LISTS!$J$2:$J$16,TRIM($G634))&gt;0,"LEFT OUT","NEW")))</f>
        <v/>
      </c>
    </row>
    <row r="635" spans="47:47" x14ac:dyDescent="0.25">
      <c r="AU635" s="8" t="str">
        <f>IF(TRIM($G635)="","",IF(COUNTIF(LISTS!$I$2:$I$16,TRIM($G635))&gt;0,"COUNTED",IF(COUNTIF(LISTS!$J$2:$J$16,TRIM($G635))&gt;0,"LEFT OUT","NEW")))</f>
        <v/>
      </c>
    </row>
    <row r="636" spans="47:47" x14ac:dyDescent="0.25">
      <c r="AU636" s="8" t="str">
        <f>IF(TRIM($G636)="","",IF(COUNTIF(LISTS!$I$2:$I$16,TRIM($G636))&gt;0,"COUNTED",IF(COUNTIF(LISTS!$J$2:$J$16,TRIM($G636))&gt;0,"LEFT OUT","NEW")))</f>
        <v/>
      </c>
    </row>
    <row r="637" spans="47:47" x14ac:dyDescent="0.25">
      <c r="AU637" s="8" t="str">
        <f>IF(TRIM($G637)="","",IF(COUNTIF(LISTS!$I$2:$I$16,TRIM($G637))&gt;0,"COUNTED",IF(COUNTIF(LISTS!$J$2:$J$16,TRIM($G637))&gt;0,"LEFT OUT","NEW")))</f>
        <v/>
      </c>
    </row>
    <row r="638" spans="47:47" x14ac:dyDescent="0.25">
      <c r="AU638" s="8" t="str">
        <f>IF(TRIM($G638)="","",IF(COUNTIF(LISTS!$I$2:$I$16,TRIM($G638))&gt;0,"COUNTED",IF(COUNTIF(LISTS!$J$2:$J$16,TRIM($G638))&gt;0,"LEFT OUT","NEW")))</f>
        <v/>
      </c>
    </row>
    <row r="639" spans="47:47" x14ac:dyDescent="0.25">
      <c r="AU639" s="8" t="str">
        <f>IF(TRIM($G639)="","",IF(COUNTIF(LISTS!$I$2:$I$16,TRIM($G639))&gt;0,"COUNTED",IF(COUNTIF(LISTS!$J$2:$J$16,TRIM($G639))&gt;0,"LEFT OUT","NEW")))</f>
        <v/>
      </c>
    </row>
    <row r="640" spans="47:47" x14ac:dyDescent="0.25">
      <c r="AU640" s="8" t="str">
        <f>IF(TRIM($G640)="","",IF(COUNTIF(LISTS!$I$2:$I$16,TRIM($G640))&gt;0,"COUNTED",IF(COUNTIF(LISTS!$J$2:$J$16,TRIM($G640))&gt;0,"LEFT OUT","NEW")))</f>
        <v/>
      </c>
    </row>
    <row r="641" spans="47:47" x14ac:dyDescent="0.25">
      <c r="AU641" s="8" t="str">
        <f>IF(TRIM($G641)="","",IF(COUNTIF(LISTS!$I$2:$I$16,TRIM($G641))&gt;0,"COUNTED",IF(COUNTIF(LISTS!$J$2:$J$16,TRIM($G641))&gt;0,"LEFT OUT","NEW")))</f>
        <v/>
      </c>
    </row>
    <row r="642" spans="47:47" x14ac:dyDescent="0.25">
      <c r="AU642" s="8" t="str">
        <f>IF(TRIM($G642)="","",IF(COUNTIF(LISTS!$I$2:$I$16,TRIM($G642))&gt;0,"COUNTED",IF(COUNTIF(LISTS!$J$2:$J$16,TRIM($G642))&gt;0,"LEFT OUT","NEW")))</f>
        <v/>
      </c>
    </row>
    <row r="643" spans="47:47" x14ac:dyDescent="0.25">
      <c r="AU643" s="8" t="str">
        <f>IF(TRIM($G643)="","",IF(COUNTIF(LISTS!$I$2:$I$16,TRIM($G643))&gt;0,"COUNTED",IF(COUNTIF(LISTS!$J$2:$J$16,TRIM($G643))&gt;0,"LEFT OUT","NEW")))</f>
        <v/>
      </c>
    </row>
    <row r="644" spans="47:47" x14ac:dyDescent="0.25">
      <c r="AU644" s="8" t="str">
        <f>IF(TRIM($G644)="","",IF(COUNTIF(LISTS!$I$2:$I$16,TRIM($G644))&gt;0,"COUNTED",IF(COUNTIF(LISTS!$J$2:$J$16,TRIM($G644))&gt;0,"LEFT OUT","NEW")))</f>
        <v/>
      </c>
    </row>
    <row r="645" spans="47:47" x14ac:dyDescent="0.25">
      <c r="AU645" s="8" t="str">
        <f>IF(TRIM($G645)="","",IF(COUNTIF(LISTS!$I$2:$I$16,TRIM($G645))&gt;0,"COUNTED",IF(COUNTIF(LISTS!$J$2:$J$16,TRIM($G645))&gt;0,"LEFT OUT","NEW")))</f>
        <v/>
      </c>
    </row>
    <row r="646" spans="47:47" x14ac:dyDescent="0.25">
      <c r="AU646" s="8" t="str">
        <f>IF(TRIM($G646)="","",IF(COUNTIF(LISTS!$I$2:$I$16,TRIM($G646))&gt;0,"COUNTED",IF(COUNTIF(LISTS!$J$2:$J$16,TRIM($G646))&gt;0,"LEFT OUT","NEW")))</f>
        <v/>
      </c>
    </row>
    <row r="647" spans="47:47" x14ac:dyDescent="0.25">
      <c r="AU647" s="8" t="str">
        <f>IF(TRIM($G647)="","",IF(COUNTIF(LISTS!$I$2:$I$16,TRIM($G647))&gt;0,"COUNTED",IF(COUNTIF(LISTS!$J$2:$J$16,TRIM($G647))&gt;0,"LEFT OUT","NEW")))</f>
        <v/>
      </c>
    </row>
    <row r="648" spans="47:47" x14ac:dyDescent="0.25">
      <c r="AU648" s="8" t="str">
        <f>IF(TRIM($G648)="","",IF(COUNTIF(LISTS!$I$2:$I$16,TRIM($G648))&gt;0,"COUNTED",IF(COUNTIF(LISTS!$J$2:$J$16,TRIM($G648))&gt;0,"LEFT OUT","NEW")))</f>
        <v/>
      </c>
    </row>
    <row r="649" spans="47:47" x14ac:dyDescent="0.25">
      <c r="AU649" s="8" t="str">
        <f>IF(TRIM($G649)="","",IF(COUNTIF(LISTS!$I$2:$I$16,TRIM($G649))&gt;0,"COUNTED",IF(COUNTIF(LISTS!$J$2:$J$16,TRIM($G649))&gt;0,"LEFT OUT","NEW")))</f>
        <v/>
      </c>
    </row>
    <row r="650" spans="47:47" x14ac:dyDescent="0.25">
      <c r="AU650" s="8" t="str">
        <f>IF(TRIM($G650)="","",IF(COUNTIF(LISTS!$I$2:$I$16,TRIM($G650))&gt;0,"COUNTED",IF(COUNTIF(LISTS!$J$2:$J$16,TRIM($G650))&gt;0,"LEFT OUT","NEW")))</f>
        <v/>
      </c>
    </row>
    <row r="651" spans="47:47" x14ac:dyDescent="0.25">
      <c r="AU651" s="8" t="str">
        <f>IF(TRIM($G651)="","",IF(COUNTIF(LISTS!$I$2:$I$16,TRIM($G651))&gt;0,"COUNTED",IF(COUNTIF(LISTS!$J$2:$J$16,TRIM($G651))&gt;0,"LEFT OUT","NEW")))</f>
        <v/>
      </c>
    </row>
    <row r="652" spans="47:47" x14ac:dyDescent="0.25">
      <c r="AU652" s="8" t="str">
        <f>IF(TRIM($G652)="","",IF(COUNTIF(LISTS!$I$2:$I$16,TRIM($G652))&gt;0,"COUNTED",IF(COUNTIF(LISTS!$J$2:$J$16,TRIM($G652))&gt;0,"LEFT OUT","NEW")))</f>
        <v/>
      </c>
    </row>
    <row r="653" spans="47:47" x14ac:dyDescent="0.25">
      <c r="AU653" s="8" t="str">
        <f>IF(TRIM($G653)="","",IF(COUNTIF(LISTS!$I$2:$I$16,TRIM($G653))&gt;0,"COUNTED",IF(COUNTIF(LISTS!$J$2:$J$16,TRIM($G653))&gt;0,"LEFT OUT","NEW")))</f>
        <v/>
      </c>
    </row>
    <row r="654" spans="47:47" x14ac:dyDescent="0.25">
      <c r="AU654" s="8" t="str">
        <f>IF(TRIM($G654)="","",IF(COUNTIF(LISTS!$I$2:$I$16,TRIM($G654))&gt;0,"COUNTED",IF(COUNTIF(LISTS!$J$2:$J$16,TRIM($G654))&gt;0,"LEFT OUT","NEW")))</f>
        <v/>
      </c>
    </row>
    <row r="655" spans="47:47" x14ac:dyDescent="0.25">
      <c r="AU655" s="8" t="str">
        <f>IF(TRIM($G655)="","",IF(COUNTIF(LISTS!$I$2:$I$16,TRIM($G655))&gt;0,"COUNTED",IF(COUNTIF(LISTS!$J$2:$J$16,TRIM($G655))&gt;0,"LEFT OUT","NEW")))</f>
        <v/>
      </c>
    </row>
    <row r="656" spans="47:47" x14ac:dyDescent="0.25">
      <c r="AU656" s="8" t="str">
        <f>IF(TRIM($G656)="","",IF(COUNTIF(LISTS!$I$2:$I$16,TRIM($G656))&gt;0,"COUNTED",IF(COUNTIF(LISTS!$J$2:$J$16,TRIM($G656))&gt;0,"LEFT OUT","NEW")))</f>
        <v/>
      </c>
    </row>
    <row r="657" spans="47:47" x14ac:dyDescent="0.25">
      <c r="AU657" s="8" t="str">
        <f>IF(TRIM($G657)="","",IF(COUNTIF(LISTS!$I$2:$I$16,TRIM($G657))&gt;0,"COUNTED",IF(COUNTIF(LISTS!$J$2:$J$16,TRIM($G657))&gt;0,"LEFT OUT","NEW")))</f>
        <v/>
      </c>
    </row>
    <row r="658" spans="47:47" x14ac:dyDescent="0.25">
      <c r="AU658" s="8" t="str">
        <f>IF(TRIM($G658)="","",IF(COUNTIF(LISTS!$I$2:$I$16,TRIM($G658))&gt;0,"COUNTED",IF(COUNTIF(LISTS!$J$2:$J$16,TRIM($G658))&gt;0,"LEFT OUT","NEW")))</f>
        <v/>
      </c>
    </row>
    <row r="659" spans="47:47" x14ac:dyDescent="0.25">
      <c r="AU659" s="8" t="str">
        <f>IF(TRIM($G659)="","",IF(COUNTIF(LISTS!$I$2:$I$16,TRIM($G659))&gt;0,"COUNTED",IF(COUNTIF(LISTS!$J$2:$J$16,TRIM($G659))&gt;0,"LEFT OUT","NEW")))</f>
        <v/>
      </c>
    </row>
    <row r="660" spans="47:47" x14ac:dyDescent="0.25">
      <c r="AU660" s="8" t="str">
        <f>IF(TRIM($G660)="","",IF(COUNTIF(LISTS!$I$2:$I$16,TRIM($G660))&gt;0,"COUNTED",IF(COUNTIF(LISTS!$J$2:$J$16,TRIM($G660))&gt;0,"LEFT OUT","NEW")))</f>
        <v/>
      </c>
    </row>
    <row r="661" spans="47:47" x14ac:dyDescent="0.25">
      <c r="AU661" s="8" t="str">
        <f>IF(TRIM($G661)="","",IF(COUNTIF(LISTS!$I$2:$I$16,TRIM($G661))&gt;0,"COUNTED",IF(COUNTIF(LISTS!$J$2:$J$16,TRIM($G661))&gt;0,"LEFT OUT","NEW")))</f>
        <v/>
      </c>
    </row>
    <row r="662" spans="47:47" x14ac:dyDescent="0.25">
      <c r="AU662" s="8" t="str">
        <f>IF(TRIM($G662)="","",IF(COUNTIF(LISTS!$I$2:$I$16,TRIM($G662))&gt;0,"COUNTED",IF(COUNTIF(LISTS!$J$2:$J$16,TRIM($G662))&gt;0,"LEFT OUT","NEW")))</f>
        <v/>
      </c>
    </row>
    <row r="663" spans="47:47" x14ac:dyDescent="0.25">
      <c r="AU663" s="8" t="str">
        <f>IF(TRIM($G663)="","",IF(COUNTIF(LISTS!$I$2:$I$16,TRIM($G663))&gt;0,"COUNTED",IF(COUNTIF(LISTS!$J$2:$J$16,TRIM($G663))&gt;0,"LEFT OUT","NEW")))</f>
        <v/>
      </c>
    </row>
    <row r="664" spans="47:47" x14ac:dyDescent="0.25">
      <c r="AU664" s="8" t="str">
        <f>IF(TRIM($G664)="","",IF(COUNTIF(LISTS!$I$2:$I$16,TRIM($G664))&gt;0,"COUNTED",IF(COUNTIF(LISTS!$J$2:$J$16,TRIM($G664))&gt;0,"LEFT OUT","NEW")))</f>
        <v/>
      </c>
    </row>
    <row r="665" spans="47:47" x14ac:dyDescent="0.25">
      <c r="AU665" s="8" t="str">
        <f>IF(TRIM($G665)="","",IF(COUNTIF(LISTS!$I$2:$I$16,TRIM($G665))&gt;0,"COUNTED",IF(COUNTIF(LISTS!$J$2:$J$16,TRIM($G665))&gt;0,"LEFT OUT","NEW")))</f>
        <v/>
      </c>
    </row>
    <row r="666" spans="47:47" x14ac:dyDescent="0.25">
      <c r="AU666" s="8" t="str">
        <f>IF(TRIM($G666)="","",IF(COUNTIF(LISTS!$I$2:$I$16,TRIM($G666))&gt;0,"COUNTED",IF(COUNTIF(LISTS!$J$2:$J$16,TRIM($G666))&gt;0,"LEFT OUT","NEW")))</f>
        <v/>
      </c>
    </row>
    <row r="667" spans="47:47" x14ac:dyDescent="0.25">
      <c r="AU667" s="8" t="str">
        <f>IF(TRIM($G667)="","",IF(COUNTIF(LISTS!$I$2:$I$16,TRIM($G667))&gt;0,"COUNTED",IF(COUNTIF(LISTS!$J$2:$J$16,TRIM($G667))&gt;0,"LEFT OUT","NEW")))</f>
        <v/>
      </c>
    </row>
    <row r="668" spans="47:47" x14ac:dyDescent="0.25">
      <c r="AU668" s="8" t="str">
        <f>IF(TRIM($G668)="","",IF(COUNTIF(LISTS!$I$2:$I$16,TRIM($G668))&gt;0,"COUNTED",IF(COUNTIF(LISTS!$J$2:$J$16,TRIM($G668))&gt;0,"LEFT OUT","NEW")))</f>
        <v/>
      </c>
    </row>
    <row r="669" spans="47:47" x14ac:dyDescent="0.25">
      <c r="AU669" s="8" t="str">
        <f>IF(TRIM($G669)="","",IF(COUNTIF(LISTS!$I$2:$I$16,TRIM($G669))&gt;0,"COUNTED",IF(COUNTIF(LISTS!$J$2:$J$16,TRIM($G669))&gt;0,"LEFT OUT","NEW")))</f>
        <v/>
      </c>
    </row>
    <row r="670" spans="47:47" x14ac:dyDescent="0.25">
      <c r="AU670" s="8" t="str">
        <f>IF(TRIM($G670)="","",IF(COUNTIF(LISTS!$I$2:$I$16,TRIM($G670))&gt;0,"COUNTED",IF(COUNTIF(LISTS!$J$2:$J$16,TRIM($G670))&gt;0,"LEFT OUT","NEW")))</f>
        <v/>
      </c>
    </row>
    <row r="671" spans="47:47" x14ac:dyDescent="0.25">
      <c r="AU671" s="8" t="str">
        <f>IF(TRIM($G671)="","",IF(COUNTIF(LISTS!$I$2:$I$16,TRIM($G671))&gt;0,"COUNTED",IF(COUNTIF(LISTS!$J$2:$J$16,TRIM($G671))&gt;0,"LEFT OUT","NEW")))</f>
        <v/>
      </c>
    </row>
    <row r="672" spans="47:47" x14ac:dyDescent="0.25">
      <c r="AU672" s="8" t="str">
        <f>IF(TRIM($G672)="","",IF(COUNTIF(LISTS!$I$2:$I$16,TRIM($G672))&gt;0,"COUNTED",IF(COUNTIF(LISTS!$J$2:$J$16,TRIM($G672))&gt;0,"LEFT OUT","NEW")))</f>
        <v/>
      </c>
    </row>
    <row r="673" spans="47:47" x14ac:dyDescent="0.25">
      <c r="AU673" s="8" t="str">
        <f>IF(TRIM($G673)="","",IF(COUNTIF(LISTS!$I$2:$I$16,TRIM($G673))&gt;0,"COUNTED",IF(COUNTIF(LISTS!$J$2:$J$16,TRIM($G673))&gt;0,"LEFT OUT","NEW")))</f>
        <v/>
      </c>
    </row>
    <row r="674" spans="47:47" x14ac:dyDescent="0.25">
      <c r="AU674" s="8" t="str">
        <f>IF(TRIM($G674)="","",IF(COUNTIF(LISTS!$I$2:$I$16,TRIM($G674))&gt;0,"COUNTED",IF(COUNTIF(LISTS!$J$2:$J$16,TRIM($G674))&gt;0,"LEFT OUT","NEW")))</f>
        <v/>
      </c>
    </row>
    <row r="675" spans="47:47" x14ac:dyDescent="0.25">
      <c r="AU675" s="8" t="str">
        <f>IF(TRIM($G675)="","",IF(COUNTIF(LISTS!$I$2:$I$16,TRIM($G675))&gt;0,"COUNTED",IF(COUNTIF(LISTS!$J$2:$J$16,TRIM($G675))&gt;0,"LEFT OUT","NEW")))</f>
        <v/>
      </c>
    </row>
    <row r="676" spans="47:47" x14ac:dyDescent="0.25">
      <c r="AU676" s="8" t="str">
        <f>IF(TRIM($G676)="","",IF(COUNTIF(LISTS!$I$2:$I$16,TRIM($G676))&gt;0,"COUNTED",IF(COUNTIF(LISTS!$J$2:$J$16,TRIM($G676))&gt;0,"LEFT OUT","NEW")))</f>
        <v/>
      </c>
    </row>
    <row r="677" spans="47:47" x14ac:dyDescent="0.25">
      <c r="AU677" s="8" t="str">
        <f>IF(TRIM($G677)="","",IF(COUNTIF(LISTS!$I$2:$I$16,TRIM($G677))&gt;0,"COUNTED",IF(COUNTIF(LISTS!$J$2:$J$16,TRIM($G677))&gt;0,"LEFT OUT","NEW")))</f>
        <v/>
      </c>
    </row>
    <row r="678" spans="47:47" x14ac:dyDescent="0.25">
      <c r="AU678" s="8" t="str">
        <f>IF(TRIM($G678)="","",IF(COUNTIF(LISTS!$I$2:$I$16,TRIM($G678))&gt;0,"COUNTED",IF(COUNTIF(LISTS!$J$2:$J$16,TRIM($G678))&gt;0,"LEFT OUT","NEW")))</f>
        <v/>
      </c>
    </row>
    <row r="679" spans="47:47" x14ac:dyDescent="0.25">
      <c r="AU679" s="8" t="str">
        <f>IF(TRIM($G679)="","",IF(COUNTIF(LISTS!$I$2:$I$16,TRIM($G679))&gt;0,"COUNTED",IF(COUNTIF(LISTS!$J$2:$J$16,TRIM($G679))&gt;0,"LEFT OUT","NEW")))</f>
        <v/>
      </c>
    </row>
    <row r="680" spans="47:47" x14ac:dyDescent="0.25">
      <c r="AU680" s="8" t="str">
        <f>IF(TRIM($G680)="","",IF(COUNTIF(LISTS!$I$2:$I$16,TRIM($G680))&gt;0,"COUNTED",IF(COUNTIF(LISTS!$J$2:$J$16,TRIM($G680))&gt;0,"LEFT OUT","NEW")))</f>
        <v/>
      </c>
    </row>
    <row r="681" spans="47:47" x14ac:dyDescent="0.25">
      <c r="AU681" s="8" t="str">
        <f>IF(TRIM($G681)="","",IF(COUNTIF(LISTS!$I$2:$I$16,TRIM($G681))&gt;0,"COUNTED",IF(COUNTIF(LISTS!$J$2:$J$16,TRIM($G681))&gt;0,"LEFT OUT","NEW")))</f>
        <v/>
      </c>
    </row>
    <row r="682" spans="47:47" x14ac:dyDescent="0.25">
      <c r="AU682" s="8" t="str">
        <f>IF(TRIM($G682)="","",IF(COUNTIF(LISTS!$I$2:$I$16,TRIM($G682))&gt;0,"COUNTED",IF(COUNTIF(LISTS!$J$2:$J$16,TRIM($G682))&gt;0,"LEFT OUT","NEW")))</f>
        <v/>
      </c>
    </row>
    <row r="683" spans="47:47" x14ac:dyDescent="0.25">
      <c r="AU683" s="8" t="str">
        <f>IF(TRIM($G683)="","",IF(COUNTIF(LISTS!$I$2:$I$16,TRIM($G683))&gt;0,"COUNTED",IF(COUNTIF(LISTS!$J$2:$J$16,TRIM($G683))&gt;0,"LEFT OUT","NEW")))</f>
        <v/>
      </c>
    </row>
    <row r="684" spans="47:47" x14ac:dyDescent="0.25">
      <c r="AU684" s="8" t="str">
        <f>IF(TRIM($G684)="","",IF(COUNTIF(LISTS!$I$2:$I$16,TRIM($G684))&gt;0,"COUNTED",IF(COUNTIF(LISTS!$J$2:$J$16,TRIM($G684))&gt;0,"LEFT OUT","NEW")))</f>
        <v/>
      </c>
    </row>
    <row r="685" spans="47:47" x14ac:dyDescent="0.25">
      <c r="AU685" s="8" t="str">
        <f>IF(TRIM($G685)="","",IF(COUNTIF(LISTS!$I$2:$I$16,TRIM($G685))&gt;0,"COUNTED",IF(COUNTIF(LISTS!$J$2:$J$16,TRIM($G685))&gt;0,"LEFT OUT","NEW")))</f>
        <v/>
      </c>
    </row>
    <row r="686" spans="47:47" x14ac:dyDescent="0.25">
      <c r="AU686" s="8" t="str">
        <f>IF(TRIM($G686)="","",IF(COUNTIF(LISTS!$I$2:$I$16,TRIM($G686))&gt;0,"COUNTED",IF(COUNTIF(LISTS!$J$2:$J$16,TRIM($G686))&gt;0,"LEFT OUT","NEW")))</f>
        <v/>
      </c>
    </row>
    <row r="687" spans="47:47" x14ac:dyDescent="0.25">
      <c r="AU687" s="8" t="str">
        <f>IF(TRIM($G687)="","",IF(COUNTIF(LISTS!$I$2:$I$16,TRIM($G687))&gt;0,"COUNTED",IF(COUNTIF(LISTS!$J$2:$J$16,TRIM($G687))&gt;0,"LEFT OUT","NEW")))</f>
        <v/>
      </c>
    </row>
    <row r="688" spans="47:47" x14ac:dyDescent="0.25">
      <c r="AU688" s="8" t="str">
        <f>IF(TRIM($G688)="","",IF(COUNTIF(LISTS!$I$2:$I$16,TRIM($G688))&gt;0,"COUNTED",IF(COUNTIF(LISTS!$J$2:$J$16,TRIM($G688))&gt;0,"LEFT OUT","NEW")))</f>
        <v/>
      </c>
    </row>
    <row r="689" spans="47:47" x14ac:dyDescent="0.25">
      <c r="AU689" s="8" t="str">
        <f>IF(TRIM($G689)="","",IF(COUNTIF(LISTS!$I$2:$I$16,TRIM($G689))&gt;0,"COUNTED",IF(COUNTIF(LISTS!$J$2:$J$16,TRIM($G689))&gt;0,"LEFT OUT","NEW")))</f>
        <v/>
      </c>
    </row>
    <row r="690" spans="47:47" x14ac:dyDescent="0.25">
      <c r="AU690" s="8" t="str">
        <f>IF(TRIM($G690)="","",IF(COUNTIF(LISTS!$I$2:$I$16,TRIM($G690))&gt;0,"COUNTED",IF(COUNTIF(LISTS!$J$2:$J$16,TRIM($G690))&gt;0,"LEFT OUT","NEW")))</f>
        <v/>
      </c>
    </row>
    <row r="691" spans="47:47" x14ac:dyDescent="0.25">
      <c r="AU691" s="8" t="str">
        <f>IF(TRIM($G691)="","",IF(COUNTIF(LISTS!$I$2:$I$16,TRIM($G691))&gt;0,"COUNTED",IF(COUNTIF(LISTS!$J$2:$J$16,TRIM($G691))&gt;0,"LEFT OUT","NEW")))</f>
        <v/>
      </c>
    </row>
    <row r="692" spans="47:47" x14ac:dyDescent="0.25">
      <c r="AU692" s="8" t="str">
        <f>IF(TRIM($G692)="","",IF(COUNTIF(LISTS!$I$2:$I$16,TRIM($G692))&gt;0,"COUNTED",IF(COUNTIF(LISTS!$J$2:$J$16,TRIM($G692))&gt;0,"LEFT OUT","NEW")))</f>
        <v/>
      </c>
    </row>
    <row r="693" spans="47:47" x14ac:dyDescent="0.25">
      <c r="AU693" s="8" t="str">
        <f>IF(TRIM($G693)="","",IF(COUNTIF(LISTS!$I$2:$I$16,TRIM($G693))&gt;0,"COUNTED",IF(COUNTIF(LISTS!$J$2:$J$16,TRIM($G693))&gt;0,"LEFT OUT","NEW")))</f>
        <v/>
      </c>
    </row>
    <row r="694" spans="47:47" x14ac:dyDescent="0.25">
      <c r="AU694" s="8" t="str">
        <f>IF(TRIM($G694)="","",IF(COUNTIF(LISTS!$I$2:$I$16,TRIM($G694))&gt;0,"COUNTED",IF(COUNTIF(LISTS!$J$2:$J$16,TRIM($G694))&gt;0,"LEFT OUT","NEW")))</f>
        <v/>
      </c>
    </row>
    <row r="695" spans="47:47" x14ac:dyDescent="0.25">
      <c r="AU695" s="8" t="str">
        <f>IF(TRIM($G695)="","",IF(COUNTIF(LISTS!$I$2:$I$16,TRIM($G695))&gt;0,"COUNTED",IF(COUNTIF(LISTS!$J$2:$J$16,TRIM($G695))&gt;0,"LEFT OUT","NEW")))</f>
        <v/>
      </c>
    </row>
    <row r="696" spans="47:47" x14ac:dyDescent="0.25">
      <c r="AU696" s="8" t="str">
        <f>IF(TRIM($G696)="","",IF(COUNTIF(LISTS!$I$2:$I$16,TRIM($G696))&gt;0,"COUNTED",IF(COUNTIF(LISTS!$J$2:$J$16,TRIM($G696))&gt;0,"LEFT OUT","NEW")))</f>
        <v/>
      </c>
    </row>
    <row r="697" spans="47:47" x14ac:dyDescent="0.25">
      <c r="AU697" s="8" t="str">
        <f>IF(TRIM($G697)="","",IF(COUNTIF(LISTS!$I$2:$I$16,TRIM($G697))&gt;0,"COUNTED",IF(COUNTIF(LISTS!$J$2:$J$16,TRIM($G697))&gt;0,"LEFT OUT","NEW")))</f>
        <v/>
      </c>
    </row>
    <row r="698" spans="47:47" x14ac:dyDescent="0.25">
      <c r="AU698" s="8" t="str">
        <f>IF(TRIM($G698)="","",IF(COUNTIF(LISTS!$I$2:$I$16,TRIM($G698))&gt;0,"COUNTED",IF(COUNTIF(LISTS!$J$2:$J$16,TRIM($G698))&gt;0,"LEFT OUT","NEW")))</f>
        <v/>
      </c>
    </row>
    <row r="699" spans="47:47" x14ac:dyDescent="0.25">
      <c r="AU699" s="8" t="str">
        <f>IF(TRIM($G699)="","",IF(COUNTIF(LISTS!$I$2:$I$16,TRIM($G699))&gt;0,"COUNTED",IF(COUNTIF(LISTS!$J$2:$J$16,TRIM($G699))&gt;0,"LEFT OUT","NEW")))</f>
        <v/>
      </c>
    </row>
    <row r="700" spans="47:47" x14ac:dyDescent="0.25">
      <c r="AU700" s="8" t="str">
        <f>IF(TRIM($G700)="","",IF(COUNTIF(LISTS!$I$2:$I$16,TRIM($G700))&gt;0,"COUNTED",IF(COUNTIF(LISTS!$J$2:$J$16,TRIM($G700))&gt;0,"LEFT OUT","NEW")))</f>
        <v/>
      </c>
    </row>
    <row r="701" spans="47:47" x14ac:dyDescent="0.25">
      <c r="AU701" s="8" t="str">
        <f>IF(TRIM($G701)="","",IF(COUNTIF(LISTS!$I$2:$I$16,TRIM($G701))&gt;0,"COUNTED",IF(COUNTIF(LISTS!$J$2:$J$16,TRIM($G701))&gt;0,"LEFT OUT","NEW")))</f>
        <v/>
      </c>
    </row>
    <row r="702" spans="47:47" x14ac:dyDescent="0.25">
      <c r="AU702" s="8" t="str">
        <f>IF(TRIM($G702)="","",IF(COUNTIF(LISTS!$I$2:$I$16,TRIM($G702))&gt;0,"COUNTED",IF(COUNTIF(LISTS!$J$2:$J$16,TRIM($G702))&gt;0,"LEFT OUT","NEW")))</f>
        <v/>
      </c>
    </row>
    <row r="703" spans="47:47" x14ac:dyDescent="0.25">
      <c r="AU703" s="8" t="str">
        <f>IF(TRIM($G703)="","",IF(COUNTIF(LISTS!$I$2:$I$16,TRIM($G703))&gt;0,"COUNTED",IF(COUNTIF(LISTS!$J$2:$J$16,TRIM($G703))&gt;0,"LEFT OUT","NEW")))</f>
        <v/>
      </c>
    </row>
    <row r="704" spans="47:47" x14ac:dyDescent="0.25">
      <c r="AU704" s="8" t="str">
        <f>IF(TRIM($G704)="","",IF(COUNTIF(LISTS!$I$2:$I$16,TRIM($G704))&gt;0,"COUNTED",IF(COUNTIF(LISTS!$J$2:$J$16,TRIM($G704))&gt;0,"LEFT OUT","NEW")))</f>
        <v/>
      </c>
    </row>
    <row r="705" spans="47:47" x14ac:dyDescent="0.25">
      <c r="AU705" s="8" t="str">
        <f>IF(TRIM($G705)="","",IF(COUNTIF(LISTS!$I$2:$I$16,TRIM($G705))&gt;0,"COUNTED",IF(COUNTIF(LISTS!$J$2:$J$16,TRIM($G705))&gt;0,"LEFT OUT","NEW")))</f>
        <v/>
      </c>
    </row>
    <row r="706" spans="47:47" x14ac:dyDescent="0.25">
      <c r="AU706" s="8" t="str">
        <f>IF(TRIM($G706)="","",IF(COUNTIF(LISTS!$I$2:$I$16,TRIM($G706))&gt;0,"COUNTED",IF(COUNTIF(LISTS!$J$2:$J$16,TRIM($G706))&gt;0,"LEFT OUT","NEW")))</f>
        <v/>
      </c>
    </row>
    <row r="707" spans="47:47" x14ac:dyDescent="0.25">
      <c r="AU707" s="8" t="str">
        <f>IF(TRIM($G707)="","",IF(COUNTIF(LISTS!$I$2:$I$16,TRIM($G707))&gt;0,"COUNTED",IF(COUNTIF(LISTS!$J$2:$J$16,TRIM($G707))&gt;0,"LEFT OUT","NEW")))</f>
        <v/>
      </c>
    </row>
    <row r="708" spans="47:47" x14ac:dyDescent="0.25">
      <c r="AU708" s="8" t="str">
        <f>IF(TRIM($G708)="","",IF(COUNTIF(LISTS!$I$2:$I$16,TRIM($G708))&gt;0,"COUNTED",IF(COUNTIF(LISTS!$J$2:$J$16,TRIM($G708))&gt;0,"LEFT OUT","NEW")))</f>
        <v/>
      </c>
    </row>
    <row r="709" spans="47:47" x14ac:dyDescent="0.25">
      <c r="AU709" s="8" t="str">
        <f>IF(TRIM($G709)="","",IF(COUNTIF(LISTS!$I$2:$I$16,TRIM($G709))&gt;0,"COUNTED",IF(COUNTIF(LISTS!$J$2:$J$16,TRIM($G709))&gt;0,"LEFT OUT","NEW")))</f>
        <v/>
      </c>
    </row>
    <row r="710" spans="47:47" x14ac:dyDescent="0.25">
      <c r="AU710" s="8" t="str">
        <f>IF(TRIM($G710)="","",IF(COUNTIF(LISTS!$I$2:$I$16,TRIM($G710))&gt;0,"COUNTED",IF(COUNTIF(LISTS!$J$2:$J$16,TRIM($G710))&gt;0,"LEFT OUT","NEW")))</f>
        <v/>
      </c>
    </row>
    <row r="711" spans="47:47" x14ac:dyDescent="0.25">
      <c r="AU711" s="8" t="str">
        <f>IF(TRIM($G711)="","",IF(COUNTIF(LISTS!$I$2:$I$16,TRIM($G711))&gt;0,"COUNTED",IF(COUNTIF(LISTS!$J$2:$J$16,TRIM($G711))&gt;0,"LEFT OUT","NEW")))</f>
        <v/>
      </c>
    </row>
    <row r="712" spans="47:47" x14ac:dyDescent="0.25">
      <c r="AU712" s="8" t="str">
        <f>IF(TRIM($G712)="","",IF(COUNTIF(LISTS!$I$2:$I$16,TRIM($G712))&gt;0,"COUNTED",IF(COUNTIF(LISTS!$J$2:$J$16,TRIM($G712))&gt;0,"LEFT OUT","NEW")))</f>
        <v/>
      </c>
    </row>
    <row r="713" spans="47:47" x14ac:dyDescent="0.25">
      <c r="AU713" s="8" t="str">
        <f>IF(TRIM($G713)="","",IF(COUNTIF(LISTS!$I$2:$I$16,TRIM($G713))&gt;0,"COUNTED",IF(COUNTIF(LISTS!$J$2:$J$16,TRIM($G713))&gt;0,"LEFT OUT","NEW")))</f>
        <v/>
      </c>
    </row>
    <row r="714" spans="47:47" x14ac:dyDescent="0.25">
      <c r="AU714" s="8" t="str">
        <f>IF(TRIM($G714)="","",IF(COUNTIF(LISTS!$I$2:$I$16,TRIM($G714))&gt;0,"COUNTED",IF(COUNTIF(LISTS!$J$2:$J$16,TRIM($G714))&gt;0,"LEFT OUT","NEW")))</f>
        <v/>
      </c>
    </row>
    <row r="715" spans="47:47" x14ac:dyDescent="0.25">
      <c r="AU715" s="8" t="str">
        <f>IF(TRIM($G715)="","",IF(COUNTIF(LISTS!$I$2:$I$16,TRIM($G715))&gt;0,"COUNTED",IF(COUNTIF(LISTS!$J$2:$J$16,TRIM($G715))&gt;0,"LEFT OUT","NEW")))</f>
        <v/>
      </c>
    </row>
    <row r="716" spans="47:47" x14ac:dyDescent="0.25">
      <c r="AU716" s="8" t="str">
        <f>IF(TRIM($G716)="","",IF(COUNTIF(LISTS!$I$2:$I$16,TRIM($G716))&gt;0,"COUNTED",IF(COUNTIF(LISTS!$J$2:$J$16,TRIM($G716))&gt;0,"LEFT OUT","NEW")))</f>
        <v/>
      </c>
    </row>
    <row r="717" spans="47:47" x14ac:dyDescent="0.25">
      <c r="AU717" s="8" t="str">
        <f>IF(TRIM($G717)="","",IF(COUNTIF(LISTS!$I$2:$I$16,TRIM($G717))&gt;0,"COUNTED",IF(COUNTIF(LISTS!$J$2:$J$16,TRIM($G717))&gt;0,"LEFT OUT","NEW")))</f>
        <v/>
      </c>
    </row>
    <row r="718" spans="47:47" x14ac:dyDescent="0.25">
      <c r="AU718" s="8" t="str">
        <f>IF(TRIM($G718)="","",IF(COUNTIF(LISTS!$I$2:$I$16,TRIM($G718))&gt;0,"COUNTED",IF(COUNTIF(LISTS!$J$2:$J$16,TRIM($G718))&gt;0,"LEFT OUT","NEW")))</f>
        <v/>
      </c>
    </row>
    <row r="719" spans="47:47" x14ac:dyDescent="0.25">
      <c r="AU719" s="8" t="str">
        <f>IF(TRIM($G719)="","",IF(COUNTIF(LISTS!$I$2:$I$16,TRIM($G719))&gt;0,"COUNTED",IF(COUNTIF(LISTS!$J$2:$J$16,TRIM($G719))&gt;0,"LEFT OUT","NEW")))</f>
        <v/>
      </c>
    </row>
    <row r="720" spans="47:47" x14ac:dyDescent="0.25">
      <c r="AU720" s="8" t="str">
        <f>IF(TRIM($G720)="","",IF(COUNTIF(LISTS!$I$2:$I$16,TRIM($G720))&gt;0,"COUNTED",IF(COUNTIF(LISTS!$J$2:$J$16,TRIM($G720))&gt;0,"LEFT OUT","NEW")))</f>
        <v/>
      </c>
    </row>
    <row r="721" spans="47:47" x14ac:dyDescent="0.25">
      <c r="AU721" s="8" t="str">
        <f>IF(TRIM($G721)="","",IF(COUNTIF(LISTS!$I$2:$I$16,TRIM($G721))&gt;0,"COUNTED",IF(COUNTIF(LISTS!$J$2:$J$16,TRIM($G721))&gt;0,"LEFT OUT","NEW")))</f>
        <v/>
      </c>
    </row>
    <row r="722" spans="47:47" x14ac:dyDescent="0.25">
      <c r="AU722" s="8" t="str">
        <f>IF(TRIM($G722)="","",IF(COUNTIF(LISTS!$I$2:$I$16,TRIM($G722))&gt;0,"COUNTED",IF(COUNTIF(LISTS!$J$2:$J$16,TRIM($G722))&gt;0,"LEFT OUT","NEW")))</f>
        <v/>
      </c>
    </row>
    <row r="723" spans="47:47" x14ac:dyDescent="0.25">
      <c r="AU723" s="8" t="str">
        <f>IF(TRIM($G723)="","",IF(COUNTIF(LISTS!$I$2:$I$16,TRIM($G723))&gt;0,"COUNTED",IF(COUNTIF(LISTS!$J$2:$J$16,TRIM($G723))&gt;0,"LEFT OUT","NEW")))</f>
        <v/>
      </c>
    </row>
    <row r="724" spans="47:47" x14ac:dyDescent="0.25">
      <c r="AU724" s="8" t="str">
        <f>IF(TRIM($G724)="","",IF(COUNTIF(LISTS!$I$2:$I$16,TRIM($G724))&gt;0,"COUNTED",IF(COUNTIF(LISTS!$J$2:$J$16,TRIM($G724))&gt;0,"LEFT OUT","NEW")))</f>
        <v/>
      </c>
    </row>
    <row r="725" spans="47:47" x14ac:dyDescent="0.25">
      <c r="AU725" s="8" t="str">
        <f>IF(TRIM($G725)="","",IF(COUNTIF(LISTS!$I$2:$I$16,TRIM($G725))&gt;0,"COUNTED",IF(COUNTIF(LISTS!$J$2:$J$16,TRIM($G725))&gt;0,"LEFT OUT","NEW")))</f>
        <v/>
      </c>
    </row>
    <row r="726" spans="47:47" x14ac:dyDescent="0.25">
      <c r="AU726" s="8" t="str">
        <f>IF(TRIM($G726)="","",IF(COUNTIF(LISTS!$I$2:$I$16,TRIM($G726))&gt;0,"COUNTED",IF(COUNTIF(LISTS!$J$2:$J$16,TRIM($G726))&gt;0,"LEFT OUT","NEW")))</f>
        <v/>
      </c>
    </row>
    <row r="727" spans="47:47" x14ac:dyDescent="0.25">
      <c r="AU727" s="8" t="str">
        <f>IF(TRIM($G727)="","",IF(COUNTIF(LISTS!$I$2:$I$16,TRIM($G727))&gt;0,"COUNTED",IF(COUNTIF(LISTS!$J$2:$J$16,TRIM($G727))&gt;0,"LEFT OUT","NEW")))</f>
        <v/>
      </c>
    </row>
    <row r="728" spans="47:47" x14ac:dyDescent="0.25">
      <c r="AU728" s="8" t="str">
        <f>IF(TRIM($G728)="","",IF(COUNTIF(LISTS!$I$2:$I$16,TRIM($G728))&gt;0,"COUNTED",IF(COUNTIF(LISTS!$J$2:$J$16,TRIM($G728))&gt;0,"LEFT OUT","NEW")))</f>
        <v/>
      </c>
    </row>
    <row r="729" spans="47:47" x14ac:dyDescent="0.25">
      <c r="AU729" s="8" t="str">
        <f>IF(TRIM($G729)="","",IF(COUNTIF(LISTS!$I$2:$I$16,TRIM($G729))&gt;0,"COUNTED",IF(COUNTIF(LISTS!$J$2:$J$16,TRIM($G729))&gt;0,"LEFT OUT","NEW")))</f>
        <v/>
      </c>
    </row>
    <row r="730" spans="47:47" x14ac:dyDescent="0.25">
      <c r="AU730" s="8" t="str">
        <f>IF(TRIM($G730)="","",IF(COUNTIF(LISTS!$I$2:$I$16,TRIM($G730))&gt;0,"COUNTED",IF(COUNTIF(LISTS!$J$2:$J$16,TRIM($G730))&gt;0,"LEFT OUT","NEW")))</f>
        <v/>
      </c>
    </row>
    <row r="731" spans="47:47" x14ac:dyDescent="0.25">
      <c r="AU731" s="8" t="str">
        <f>IF(TRIM($G731)="","",IF(COUNTIF(LISTS!$I$2:$I$16,TRIM($G731))&gt;0,"COUNTED",IF(COUNTIF(LISTS!$J$2:$J$16,TRIM($G731))&gt;0,"LEFT OUT","NEW")))</f>
        <v/>
      </c>
    </row>
    <row r="732" spans="47:47" x14ac:dyDescent="0.25">
      <c r="AU732" s="8" t="str">
        <f>IF(TRIM($G732)="","",IF(COUNTIF(LISTS!$I$2:$I$16,TRIM($G732))&gt;0,"COUNTED",IF(COUNTIF(LISTS!$J$2:$J$16,TRIM($G732))&gt;0,"LEFT OUT","NEW")))</f>
        <v/>
      </c>
    </row>
    <row r="733" spans="47:47" x14ac:dyDescent="0.25">
      <c r="AU733" s="8" t="str">
        <f>IF(TRIM($G733)="","",IF(COUNTIF(LISTS!$I$2:$I$16,TRIM($G733))&gt;0,"COUNTED",IF(COUNTIF(LISTS!$J$2:$J$16,TRIM($G733))&gt;0,"LEFT OUT","NEW")))</f>
        <v/>
      </c>
    </row>
    <row r="734" spans="47:47" x14ac:dyDescent="0.25">
      <c r="AU734" s="8" t="str">
        <f>IF(TRIM($G734)="","",IF(COUNTIF(LISTS!$I$2:$I$16,TRIM($G734))&gt;0,"COUNTED",IF(COUNTIF(LISTS!$J$2:$J$16,TRIM($G734))&gt;0,"LEFT OUT","NEW")))</f>
        <v/>
      </c>
    </row>
    <row r="735" spans="47:47" x14ac:dyDescent="0.25">
      <c r="AU735" s="8" t="str">
        <f>IF(TRIM($G735)="","",IF(COUNTIF(LISTS!$I$2:$I$16,TRIM($G735))&gt;0,"COUNTED",IF(COUNTIF(LISTS!$J$2:$J$16,TRIM($G735))&gt;0,"LEFT OUT","NEW")))</f>
        <v/>
      </c>
    </row>
    <row r="736" spans="47:47" x14ac:dyDescent="0.25">
      <c r="AU736" s="8" t="str">
        <f>IF(TRIM($G736)="","",IF(COUNTIF(LISTS!$I$2:$I$16,TRIM($G736))&gt;0,"COUNTED",IF(COUNTIF(LISTS!$J$2:$J$16,TRIM($G736))&gt;0,"LEFT OUT","NEW")))</f>
        <v/>
      </c>
    </row>
    <row r="737" spans="47:47" x14ac:dyDescent="0.25">
      <c r="AU737" s="8" t="str">
        <f>IF(TRIM($G737)="","",IF(COUNTIF(LISTS!$I$2:$I$16,TRIM($G737))&gt;0,"COUNTED",IF(COUNTIF(LISTS!$J$2:$J$16,TRIM($G737))&gt;0,"LEFT OUT","NEW")))</f>
        <v/>
      </c>
    </row>
    <row r="738" spans="47:47" x14ac:dyDescent="0.25">
      <c r="AU738" s="8" t="str">
        <f>IF(TRIM($G738)="","",IF(COUNTIF(LISTS!$I$2:$I$16,TRIM($G738))&gt;0,"COUNTED",IF(COUNTIF(LISTS!$J$2:$J$16,TRIM($G738))&gt;0,"LEFT OUT","NEW")))</f>
        <v/>
      </c>
    </row>
    <row r="739" spans="47:47" x14ac:dyDescent="0.25">
      <c r="AU739" s="8" t="str">
        <f>IF(TRIM($G739)="","",IF(COUNTIF(LISTS!$I$2:$I$16,TRIM($G739))&gt;0,"COUNTED",IF(COUNTIF(LISTS!$J$2:$J$16,TRIM($G739))&gt;0,"LEFT OUT","NEW")))</f>
        <v/>
      </c>
    </row>
    <row r="740" spans="47:47" x14ac:dyDescent="0.25">
      <c r="AU740" s="8" t="str">
        <f>IF(TRIM($G740)="","",IF(COUNTIF(LISTS!$I$2:$I$16,TRIM($G740))&gt;0,"COUNTED",IF(COUNTIF(LISTS!$J$2:$J$16,TRIM($G740))&gt;0,"LEFT OUT","NEW")))</f>
        <v/>
      </c>
    </row>
    <row r="741" spans="47:47" x14ac:dyDescent="0.25">
      <c r="AU741" s="8" t="str">
        <f>IF(TRIM($G741)="","",IF(COUNTIF(LISTS!$I$2:$I$16,TRIM($G741))&gt;0,"COUNTED",IF(COUNTIF(LISTS!$J$2:$J$16,TRIM($G741))&gt;0,"LEFT OUT","NEW")))</f>
        <v/>
      </c>
    </row>
    <row r="742" spans="47:47" x14ac:dyDescent="0.25">
      <c r="AU742" s="8" t="str">
        <f>IF(TRIM($G742)="","",IF(COUNTIF(LISTS!$I$2:$I$16,TRIM($G742))&gt;0,"COUNTED",IF(COUNTIF(LISTS!$J$2:$J$16,TRIM($G742))&gt;0,"LEFT OUT","NEW")))</f>
        <v/>
      </c>
    </row>
    <row r="743" spans="47:47" x14ac:dyDescent="0.25">
      <c r="AU743" s="8" t="str">
        <f>IF(TRIM($G743)="","",IF(COUNTIF(LISTS!$I$2:$I$16,TRIM($G743))&gt;0,"COUNTED",IF(COUNTIF(LISTS!$J$2:$J$16,TRIM($G743))&gt;0,"LEFT OUT","NEW")))</f>
        <v/>
      </c>
    </row>
    <row r="744" spans="47:47" x14ac:dyDescent="0.25">
      <c r="AU744" s="8" t="str">
        <f>IF(TRIM($G744)="","",IF(COUNTIF(LISTS!$I$2:$I$16,TRIM($G744))&gt;0,"COUNTED",IF(COUNTIF(LISTS!$J$2:$J$16,TRIM($G744))&gt;0,"LEFT OUT","NEW")))</f>
        <v/>
      </c>
    </row>
    <row r="745" spans="47:47" x14ac:dyDescent="0.25">
      <c r="AU745" s="8" t="str">
        <f>IF(TRIM($G745)="","",IF(COUNTIF(LISTS!$I$2:$I$16,TRIM($G745))&gt;0,"COUNTED",IF(COUNTIF(LISTS!$J$2:$J$16,TRIM($G745))&gt;0,"LEFT OUT","NEW")))</f>
        <v/>
      </c>
    </row>
    <row r="746" spans="47:47" x14ac:dyDescent="0.25">
      <c r="AU746" s="8" t="str">
        <f>IF(TRIM($G746)="","",IF(COUNTIF(LISTS!$I$2:$I$16,TRIM($G746))&gt;0,"COUNTED",IF(COUNTIF(LISTS!$J$2:$J$16,TRIM($G746))&gt;0,"LEFT OUT","NEW")))</f>
        <v/>
      </c>
    </row>
    <row r="747" spans="47:47" x14ac:dyDescent="0.25">
      <c r="AU747" s="8" t="str">
        <f>IF(TRIM($G747)="","",IF(COUNTIF(LISTS!$I$2:$I$16,TRIM($G747))&gt;0,"COUNTED",IF(COUNTIF(LISTS!$J$2:$J$16,TRIM($G747))&gt;0,"LEFT OUT","NEW")))</f>
        <v/>
      </c>
    </row>
    <row r="748" spans="47:47" x14ac:dyDescent="0.25">
      <c r="AU748" s="8" t="str">
        <f>IF(TRIM($G748)="","",IF(COUNTIF(LISTS!$I$2:$I$16,TRIM($G748))&gt;0,"COUNTED",IF(COUNTIF(LISTS!$J$2:$J$16,TRIM($G748))&gt;0,"LEFT OUT","NEW")))</f>
        <v/>
      </c>
    </row>
    <row r="749" spans="47:47" x14ac:dyDescent="0.25">
      <c r="AU749" s="8" t="str">
        <f>IF(TRIM($G749)="","",IF(COUNTIF(LISTS!$I$2:$I$16,TRIM($G749))&gt;0,"COUNTED",IF(COUNTIF(LISTS!$J$2:$J$16,TRIM($G749))&gt;0,"LEFT OUT","NEW")))</f>
        <v/>
      </c>
    </row>
    <row r="750" spans="47:47" x14ac:dyDescent="0.25">
      <c r="AU750" s="8" t="str">
        <f>IF(TRIM($G750)="","",IF(COUNTIF(LISTS!$I$2:$I$16,TRIM($G750))&gt;0,"COUNTED",IF(COUNTIF(LISTS!$J$2:$J$16,TRIM($G750))&gt;0,"LEFT OUT","NEW")))</f>
        <v/>
      </c>
    </row>
    <row r="751" spans="47:47" x14ac:dyDescent="0.25">
      <c r="AU751" s="8" t="str">
        <f>IF(TRIM($G751)="","",IF(COUNTIF(LISTS!$I$2:$I$16,TRIM($G751))&gt;0,"COUNTED",IF(COUNTIF(LISTS!$J$2:$J$16,TRIM($G751))&gt;0,"LEFT OUT","NEW")))</f>
        <v/>
      </c>
    </row>
    <row r="752" spans="47:47" x14ac:dyDescent="0.25">
      <c r="AU752" s="8" t="str">
        <f>IF(TRIM($G752)="","",IF(COUNTIF(LISTS!$I$2:$I$16,TRIM($G752))&gt;0,"COUNTED",IF(COUNTIF(LISTS!$J$2:$J$16,TRIM($G752))&gt;0,"LEFT OUT","NEW")))</f>
        <v/>
      </c>
    </row>
    <row r="753" spans="47:47" x14ac:dyDescent="0.25">
      <c r="AU753" s="8" t="str">
        <f>IF(TRIM($G753)="","",IF(COUNTIF(LISTS!$I$2:$I$16,TRIM($G753))&gt;0,"COUNTED",IF(COUNTIF(LISTS!$J$2:$J$16,TRIM($G753))&gt;0,"LEFT OUT","NEW")))</f>
        <v/>
      </c>
    </row>
    <row r="754" spans="47:47" x14ac:dyDescent="0.25">
      <c r="AU754" s="8" t="str">
        <f>IF(TRIM($G754)="","",IF(COUNTIF(LISTS!$I$2:$I$16,TRIM($G754))&gt;0,"COUNTED",IF(COUNTIF(LISTS!$J$2:$J$16,TRIM($G754))&gt;0,"LEFT OUT","NEW")))</f>
        <v/>
      </c>
    </row>
    <row r="755" spans="47:47" x14ac:dyDescent="0.25">
      <c r="AU755" s="8" t="str">
        <f>IF(TRIM($G755)="","",IF(COUNTIF(LISTS!$I$2:$I$16,TRIM($G755))&gt;0,"COUNTED",IF(COUNTIF(LISTS!$J$2:$J$16,TRIM($G755))&gt;0,"LEFT OUT","NEW")))</f>
        <v/>
      </c>
    </row>
    <row r="756" spans="47:47" x14ac:dyDescent="0.25">
      <c r="AU756" s="8" t="str">
        <f>IF(TRIM($G756)="","",IF(COUNTIF(LISTS!$I$2:$I$16,TRIM($G756))&gt;0,"COUNTED",IF(COUNTIF(LISTS!$J$2:$J$16,TRIM($G756))&gt;0,"LEFT OUT","NEW")))</f>
        <v/>
      </c>
    </row>
    <row r="757" spans="47:47" x14ac:dyDescent="0.25">
      <c r="AU757" s="8" t="str">
        <f>IF(TRIM($G757)="","",IF(COUNTIF(LISTS!$I$2:$I$16,TRIM($G757))&gt;0,"COUNTED",IF(COUNTIF(LISTS!$J$2:$J$16,TRIM($G757))&gt;0,"LEFT OUT","NEW")))</f>
        <v/>
      </c>
    </row>
    <row r="758" spans="47:47" x14ac:dyDescent="0.25">
      <c r="AU758" s="8" t="str">
        <f>IF(TRIM($G758)="","",IF(COUNTIF(LISTS!$I$2:$I$16,TRIM($G758))&gt;0,"COUNTED",IF(COUNTIF(LISTS!$J$2:$J$16,TRIM($G758))&gt;0,"LEFT OUT","NEW")))</f>
        <v/>
      </c>
    </row>
    <row r="759" spans="47:47" x14ac:dyDescent="0.25">
      <c r="AU759" s="8" t="str">
        <f>IF(TRIM($G759)="","",IF(COUNTIF(LISTS!$I$2:$I$16,TRIM($G759))&gt;0,"COUNTED",IF(COUNTIF(LISTS!$J$2:$J$16,TRIM($G759))&gt;0,"LEFT OUT","NEW")))</f>
        <v/>
      </c>
    </row>
    <row r="760" spans="47:47" x14ac:dyDescent="0.25">
      <c r="AU760" s="8" t="str">
        <f>IF(TRIM($G760)="","",IF(COUNTIF(LISTS!$I$2:$I$16,TRIM($G760))&gt;0,"COUNTED",IF(COUNTIF(LISTS!$J$2:$J$16,TRIM($G760))&gt;0,"LEFT OUT","NEW")))</f>
        <v/>
      </c>
    </row>
    <row r="761" spans="47:47" x14ac:dyDescent="0.25">
      <c r="AU761" s="8" t="str">
        <f>IF(TRIM($G761)="","",IF(COUNTIF(LISTS!$I$2:$I$16,TRIM($G761))&gt;0,"COUNTED",IF(COUNTIF(LISTS!$J$2:$J$16,TRIM($G761))&gt;0,"LEFT OUT","NEW")))</f>
        <v/>
      </c>
    </row>
    <row r="762" spans="47:47" x14ac:dyDescent="0.25">
      <c r="AU762" s="8" t="str">
        <f>IF(TRIM($G762)="","",IF(COUNTIF(LISTS!$I$2:$I$16,TRIM($G762))&gt;0,"COUNTED",IF(COUNTIF(LISTS!$J$2:$J$16,TRIM($G762))&gt;0,"LEFT OUT","NEW")))</f>
        <v/>
      </c>
    </row>
    <row r="763" spans="47:47" x14ac:dyDescent="0.25">
      <c r="AU763" s="8" t="str">
        <f>IF(TRIM($G763)="","",IF(COUNTIF(LISTS!$I$2:$I$16,TRIM($G763))&gt;0,"COUNTED",IF(COUNTIF(LISTS!$J$2:$J$16,TRIM($G763))&gt;0,"LEFT OUT","NEW")))</f>
        <v/>
      </c>
    </row>
    <row r="764" spans="47:47" x14ac:dyDescent="0.25">
      <c r="AU764" s="8" t="str">
        <f>IF(TRIM($G764)="","",IF(COUNTIF(LISTS!$I$2:$I$16,TRIM($G764))&gt;0,"COUNTED",IF(COUNTIF(LISTS!$J$2:$J$16,TRIM($G764))&gt;0,"LEFT OUT","NEW")))</f>
        <v/>
      </c>
    </row>
    <row r="765" spans="47:47" x14ac:dyDescent="0.25">
      <c r="AU765" s="8" t="str">
        <f>IF(TRIM($G765)="","",IF(COUNTIF(LISTS!$I$2:$I$16,TRIM($G765))&gt;0,"COUNTED",IF(COUNTIF(LISTS!$J$2:$J$16,TRIM($G765))&gt;0,"LEFT OUT","NEW")))</f>
        <v/>
      </c>
    </row>
    <row r="766" spans="47:47" x14ac:dyDescent="0.25">
      <c r="AU766" s="8" t="str">
        <f>IF(TRIM($G766)="","",IF(COUNTIF(LISTS!$I$2:$I$16,TRIM($G766))&gt;0,"COUNTED",IF(COUNTIF(LISTS!$J$2:$J$16,TRIM($G766))&gt;0,"LEFT OUT","NEW")))</f>
        <v/>
      </c>
    </row>
    <row r="767" spans="47:47" x14ac:dyDescent="0.25">
      <c r="AU767" s="8" t="str">
        <f>IF(TRIM($G767)="","",IF(COUNTIF(LISTS!$I$2:$I$16,TRIM($G767))&gt;0,"COUNTED",IF(COUNTIF(LISTS!$J$2:$J$16,TRIM($G767))&gt;0,"LEFT OUT","NEW")))</f>
        <v/>
      </c>
    </row>
    <row r="768" spans="47:47" x14ac:dyDescent="0.25">
      <c r="AU768" s="8" t="str">
        <f>IF(TRIM($G768)="","",IF(COUNTIF(LISTS!$I$2:$I$16,TRIM($G768))&gt;0,"COUNTED",IF(COUNTIF(LISTS!$J$2:$J$16,TRIM($G768))&gt;0,"LEFT OUT","NEW")))</f>
        <v/>
      </c>
    </row>
    <row r="769" spans="47:47" x14ac:dyDescent="0.25">
      <c r="AU769" s="8" t="str">
        <f>IF(TRIM($G769)="","",IF(COUNTIF(LISTS!$I$2:$I$16,TRIM($G769))&gt;0,"COUNTED",IF(COUNTIF(LISTS!$J$2:$J$16,TRIM($G769))&gt;0,"LEFT OUT","NEW")))</f>
        <v/>
      </c>
    </row>
    <row r="770" spans="47:47" x14ac:dyDescent="0.25">
      <c r="AU770" s="8" t="str">
        <f>IF(TRIM($G770)="","",IF(COUNTIF(LISTS!$I$2:$I$16,TRIM($G770))&gt;0,"COUNTED",IF(COUNTIF(LISTS!$J$2:$J$16,TRIM($G770))&gt;0,"LEFT OUT","NEW")))</f>
        <v/>
      </c>
    </row>
    <row r="771" spans="47:47" x14ac:dyDescent="0.25">
      <c r="AU771" s="8" t="str">
        <f>IF(TRIM($G771)="","",IF(COUNTIF(LISTS!$I$2:$I$16,TRIM($G771))&gt;0,"COUNTED",IF(COUNTIF(LISTS!$J$2:$J$16,TRIM($G771))&gt;0,"LEFT OUT","NEW")))</f>
        <v/>
      </c>
    </row>
    <row r="772" spans="47:47" x14ac:dyDescent="0.25">
      <c r="AU772" s="8" t="str">
        <f>IF(TRIM($G772)="","",IF(COUNTIF(LISTS!$I$2:$I$16,TRIM($G772))&gt;0,"COUNTED",IF(COUNTIF(LISTS!$J$2:$J$16,TRIM($G772))&gt;0,"LEFT OUT","NEW")))</f>
        <v/>
      </c>
    </row>
    <row r="773" spans="47:47" x14ac:dyDescent="0.25">
      <c r="AU773" s="8" t="str">
        <f>IF(TRIM($G773)="","",IF(COUNTIF(LISTS!$I$2:$I$16,TRIM($G773))&gt;0,"COUNTED",IF(COUNTIF(LISTS!$J$2:$J$16,TRIM($G773))&gt;0,"LEFT OUT","NEW")))</f>
        <v/>
      </c>
    </row>
    <row r="774" spans="47:47" x14ac:dyDescent="0.25">
      <c r="AU774" s="8" t="str">
        <f>IF(TRIM($G774)="","",IF(COUNTIF(LISTS!$I$2:$I$16,TRIM($G774))&gt;0,"COUNTED",IF(COUNTIF(LISTS!$J$2:$J$16,TRIM($G774))&gt;0,"LEFT OUT","NEW")))</f>
        <v/>
      </c>
    </row>
    <row r="775" spans="47:47" x14ac:dyDescent="0.25">
      <c r="AU775" s="8" t="str">
        <f>IF(TRIM($G775)="","",IF(COUNTIF(LISTS!$I$2:$I$16,TRIM($G775))&gt;0,"COUNTED",IF(COUNTIF(LISTS!$J$2:$J$16,TRIM($G775))&gt;0,"LEFT OUT","NEW")))</f>
        <v/>
      </c>
    </row>
    <row r="776" spans="47:47" x14ac:dyDescent="0.25">
      <c r="AU776" s="8" t="str">
        <f>IF(TRIM($G776)="","",IF(COUNTIF(LISTS!$I$2:$I$16,TRIM($G776))&gt;0,"COUNTED",IF(COUNTIF(LISTS!$J$2:$J$16,TRIM($G776))&gt;0,"LEFT OUT","NEW")))</f>
        <v/>
      </c>
    </row>
    <row r="777" spans="47:47" x14ac:dyDescent="0.25">
      <c r="AU777" s="8" t="str">
        <f>IF(TRIM($G777)="","",IF(COUNTIF(LISTS!$I$2:$I$16,TRIM($G777))&gt;0,"COUNTED",IF(COUNTIF(LISTS!$J$2:$J$16,TRIM($G777))&gt;0,"LEFT OUT","NEW")))</f>
        <v/>
      </c>
    </row>
    <row r="778" spans="47:47" x14ac:dyDescent="0.25">
      <c r="AU778" s="8" t="str">
        <f>IF(TRIM($G778)="","",IF(COUNTIF(LISTS!$I$2:$I$16,TRIM($G778))&gt;0,"COUNTED",IF(COUNTIF(LISTS!$J$2:$J$16,TRIM($G778))&gt;0,"LEFT OUT","NEW")))</f>
        <v/>
      </c>
    </row>
    <row r="779" spans="47:47" x14ac:dyDescent="0.25">
      <c r="AU779" s="8" t="str">
        <f>IF(TRIM($G779)="","",IF(COUNTIF(LISTS!$I$2:$I$16,TRIM($G779))&gt;0,"COUNTED",IF(COUNTIF(LISTS!$J$2:$J$16,TRIM($G779))&gt;0,"LEFT OUT","NEW")))</f>
        <v/>
      </c>
    </row>
    <row r="780" spans="47:47" x14ac:dyDescent="0.25">
      <c r="AU780" s="8" t="str">
        <f>IF(TRIM($G780)="","",IF(COUNTIF(LISTS!$I$2:$I$16,TRIM($G780))&gt;0,"COUNTED",IF(COUNTIF(LISTS!$J$2:$J$16,TRIM($G780))&gt;0,"LEFT OUT","NEW")))</f>
        <v/>
      </c>
    </row>
    <row r="781" spans="47:47" x14ac:dyDescent="0.25">
      <c r="AU781" s="8" t="str">
        <f>IF(TRIM($G781)="","",IF(COUNTIF(LISTS!$I$2:$I$16,TRIM($G781))&gt;0,"COUNTED",IF(COUNTIF(LISTS!$J$2:$J$16,TRIM($G781))&gt;0,"LEFT OUT","NEW")))</f>
        <v/>
      </c>
    </row>
    <row r="782" spans="47:47" x14ac:dyDescent="0.25">
      <c r="AU782" s="8" t="str">
        <f>IF(TRIM($G782)="","",IF(COUNTIF(LISTS!$I$2:$I$16,TRIM($G782))&gt;0,"COUNTED",IF(COUNTIF(LISTS!$J$2:$J$16,TRIM($G782))&gt;0,"LEFT OUT","NEW")))</f>
        <v/>
      </c>
    </row>
    <row r="783" spans="47:47" x14ac:dyDescent="0.25">
      <c r="AU783" s="8" t="str">
        <f>IF(TRIM($G783)="","",IF(COUNTIF(LISTS!$I$2:$I$16,TRIM($G783))&gt;0,"COUNTED",IF(COUNTIF(LISTS!$J$2:$J$16,TRIM($G783))&gt;0,"LEFT OUT","NEW")))</f>
        <v/>
      </c>
    </row>
    <row r="784" spans="47:47" x14ac:dyDescent="0.25">
      <c r="AU784" s="8" t="str">
        <f>IF(TRIM($G784)="","",IF(COUNTIF(LISTS!$I$2:$I$16,TRIM($G784))&gt;0,"COUNTED",IF(COUNTIF(LISTS!$J$2:$J$16,TRIM($G784))&gt;0,"LEFT OUT","NEW")))</f>
        <v/>
      </c>
    </row>
    <row r="785" spans="47:47" x14ac:dyDescent="0.25">
      <c r="AU785" s="8" t="str">
        <f>IF(TRIM($G785)="","",IF(COUNTIF(LISTS!$I$2:$I$16,TRIM($G785))&gt;0,"COUNTED",IF(COUNTIF(LISTS!$J$2:$J$16,TRIM($G785))&gt;0,"LEFT OUT","NEW")))</f>
        <v/>
      </c>
    </row>
    <row r="786" spans="47:47" x14ac:dyDescent="0.25">
      <c r="AU786" s="8" t="str">
        <f>IF(TRIM($G786)="","",IF(COUNTIF(LISTS!$I$2:$I$16,TRIM($G786))&gt;0,"COUNTED",IF(COUNTIF(LISTS!$J$2:$J$16,TRIM($G786))&gt;0,"LEFT OUT","NEW")))</f>
        <v/>
      </c>
    </row>
    <row r="787" spans="47:47" x14ac:dyDescent="0.25">
      <c r="AU787" s="8" t="str">
        <f>IF(TRIM($G787)="","",IF(COUNTIF(LISTS!$I$2:$I$16,TRIM($G787))&gt;0,"COUNTED",IF(COUNTIF(LISTS!$J$2:$J$16,TRIM($G787))&gt;0,"LEFT OUT","NEW")))</f>
        <v/>
      </c>
    </row>
    <row r="788" spans="47:47" x14ac:dyDescent="0.25">
      <c r="AU788" s="8" t="str">
        <f>IF(TRIM($G788)="","",IF(COUNTIF(LISTS!$I$2:$I$16,TRIM($G788))&gt;0,"COUNTED",IF(COUNTIF(LISTS!$J$2:$J$16,TRIM($G788))&gt;0,"LEFT OUT","NEW")))</f>
        <v/>
      </c>
    </row>
    <row r="789" spans="47:47" x14ac:dyDescent="0.25">
      <c r="AU789" s="8" t="str">
        <f>IF(TRIM($G789)="","",IF(COUNTIF(LISTS!$I$2:$I$16,TRIM($G789))&gt;0,"COUNTED",IF(COUNTIF(LISTS!$J$2:$J$16,TRIM($G789))&gt;0,"LEFT OUT","NEW")))</f>
        <v/>
      </c>
    </row>
    <row r="790" spans="47:47" x14ac:dyDescent="0.25">
      <c r="AU790" s="8" t="str">
        <f>IF(TRIM($G790)="","",IF(COUNTIF(LISTS!$I$2:$I$16,TRIM($G790))&gt;0,"COUNTED",IF(COUNTIF(LISTS!$J$2:$J$16,TRIM($G790))&gt;0,"LEFT OUT","NEW")))</f>
        <v/>
      </c>
    </row>
    <row r="791" spans="47:47" x14ac:dyDescent="0.25">
      <c r="AU791" s="8" t="str">
        <f>IF(TRIM($G791)="","",IF(COUNTIF(LISTS!$I$2:$I$16,TRIM($G791))&gt;0,"COUNTED",IF(COUNTIF(LISTS!$J$2:$J$16,TRIM($G791))&gt;0,"LEFT OUT","NEW")))</f>
        <v/>
      </c>
    </row>
    <row r="792" spans="47:47" x14ac:dyDescent="0.25">
      <c r="AU792" s="8" t="str">
        <f>IF(TRIM($G792)="","",IF(COUNTIF(LISTS!$I$2:$I$16,TRIM($G792))&gt;0,"COUNTED",IF(COUNTIF(LISTS!$J$2:$J$16,TRIM($G792))&gt;0,"LEFT OUT","NEW")))</f>
        <v/>
      </c>
    </row>
    <row r="793" spans="47:47" x14ac:dyDescent="0.25">
      <c r="AU793" s="8" t="str">
        <f>IF(TRIM($G793)="","",IF(COUNTIF(LISTS!$I$2:$I$16,TRIM($G793))&gt;0,"COUNTED",IF(COUNTIF(LISTS!$J$2:$J$16,TRIM($G793))&gt;0,"LEFT OUT","NEW")))</f>
        <v/>
      </c>
    </row>
    <row r="794" spans="47:47" x14ac:dyDescent="0.25">
      <c r="AU794" s="8" t="str">
        <f>IF(TRIM($G794)="","",IF(COUNTIF(LISTS!$I$2:$I$16,TRIM($G794))&gt;0,"COUNTED",IF(COUNTIF(LISTS!$J$2:$J$16,TRIM($G794))&gt;0,"LEFT OUT","NEW")))</f>
        <v/>
      </c>
    </row>
    <row r="795" spans="47:47" x14ac:dyDescent="0.25">
      <c r="AU795" s="8" t="str">
        <f>IF(TRIM($G795)="","",IF(COUNTIF(LISTS!$I$2:$I$16,TRIM($G795))&gt;0,"COUNTED",IF(COUNTIF(LISTS!$J$2:$J$16,TRIM($G795))&gt;0,"LEFT OUT","NEW")))</f>
        <v/>
      </c>
    </row>
    <row r="796" spans="47:47" x14ac:dyDescent="0.25">
      <c r="AU796" s="8" t="str">
        <f>IF(TRIM($G796)="","",IF(COUNTIF(LISTS!$I$2:$I$16,TRIM($G796))&gt;0,"COUNTED",IF(COUNTIF(LISTS!$J$2:$J$16,TRIM($G796))&gt;0,"LEFT OUT","NEW")))</f>
        <v/>
      </c>
    </row>
    <row r="797" spans="47:47" x14ac:dyDescent="0.25">
      <c r="AU797" s="8" t="str">
        <f>IF(TRIM($G797)="","",IF(COUNTIF(LISTS!$I$2:$I$16,TRIM($G797))&gt;0,"COUNTED",IF(COUNTIF(LISTS!$J$2:$J$16,TRIM($G797))&gt;0,"LEFT OUT","NEW")))</f>
        <v/>
      </c>
    </row>
    <row r="798" spans="47:47" x14ac:dyDescent="0.25">
      <c r="AU798" s="8" t="str">
        <f>IF(TRIM($G798)="","",IF(COUNTIF(LISTS!$I$2:$I$16,TRIM($G798))&gt;0,"COUNTED",IF(COUNTIF(LISTS!$J$2:$J$16,TRIM($G798))&gt;0,"LEFT OUT","NEW")))</f>
        <v/>
      </c>
    </row>
    <row r="799" spans="47:47" x14ac:dyDescent="0.25">
      <c r="AU799" s="8" t="str">
        <f>IF(TRIM($G799)="","",IF(COUNTIF(LISTS!$I$2:$I$16,TRIM($G799))&gt;0,"COUNTED",IF(COUNTIF(LISTS!$J$2:$J$16,TRIM($G799))&gt;0,"LEFT OUT","NEW")))</f>
        <v/>
      </c>
    </row>
    <row r="800" spans="47:47" x14ac:dyDescent="0.25">
      <c r="AU800" s="8" t="str">
        <f>IF(TRIM($G800)="","",IF(COUNTIF(LISTS!$I$2:$I$16,TRIM($G800))&gt;0,"COUNTED",IF(COUNTIF(LISTS!$J$2:$J$16,TRIM($G800))&gt;0,"LEFT OUT","NEW")))</f>
        <v/>
      </c>
    </row>
    <row r="801" spans="47:47" x14ac:dyDescent="0.25">
      <c r="AU801" s="8" t="str">
        <f>IF(TRIM($G801)="","",IF(COUNTIF(LISTS!$I$2:$I$16,TRIM($G801))&gt;0,"COUNTED",IF(COUNTIF(LISTS!$J$2:$J$16,TRIM($G801))&gt;0,"LEFT OUT","NEW")))</f>
        <v/>
      </c>
    </row>
    <row r="802" spans="47:47" x14ac:dyDescent="0.25">
      <c r="AU802" s="8" t="str">
        <f>IF(TRIM($G802)="","",IF(COUNTIF(LISTS!$I$2:$I$16,TRIM($G802))&gt;0,"COUNTED",IF(COUNTIF(LISTS!$J$2:$J$16,TRIM($G802))&gt;0,"LEFT OUT","NEW")))</f>
        <v/>
      </c>
    </row>
    <row r="803" spans="47:47" x14ac:dyDescent="0.25">
      <c r="AU803" s="8" t="str">
        <f>IF(TRIM($G803)="","",IF(COUNTIF(LISTS!$I$2:$I$16,TRIM($G803))&gt;0,"COUNTED",IF(COUNTIF(LISTS!$J$2:$J$16,TRIM($G803))&gt;0,"LEFT OUT","NEW")))</f>
        <v/>
      </c>
    </row>
    <row r="804" spans="47:47" x14ac:dyDescent="0.25">
      <c r="AU804" s="8" t="str">
        <f>IF(TRIM($G804)="","",IF(COUNTIF(LISTS!$I$2:$I$16,TRIM($G804))&gt;0,"COUNTED",IF(COUNTIF(LISTS!$J$2:$J$16,TRIM($G804))&gt;0,"LEFT OUT","NEW")))</f>
        <v/>
      </c>
    </row>
    <row r="805" spans="47:47" x14ac:dyDescent="0.25">
      <c r="AU805" s="8" t="str">
        <f>IF(TRIM($G805)="","",IF(COUNTIF(LISTS!$I$2:$I$16,TRIM($G805))&gt;0,"COUNTED",IF(COUNTIF(LISTS!$J$2:$J$16,TRIM($G805))&gt;0,"LEFT OUT","NEW")))</f>
        <v/>
      </c>
    </row>
    <row r="806" spans="47:47" x14ac:dyDescent="0.25">
      <c r="AU806" s="8" t="str">
        <f>IF(TRIM($G806)="","",IF(COUNTIF(LISTS!$I$2:$I$16,TRIM($G806))&gt;0,"COUNTED",IF(COUNTIF(LISTS!$J$2:$J$16,TRIM($G806))&gt;0,"LEFT OUT","NEW")))</f>
        <v/>
      </c>
    </row>
    <row r="807" spans="47:47" x14ac:dyDescent="0.25">
      <c r="AU807" s="8" t="str">
        <f>IF(TRIM($G807)="","",IF(COUNTIF(LISTS!$I$2:$I$16,TRIM($G807))&gt;0,"COUNTED",IF(COUNTIF(LISTS!$J$2:$J$16,TRIM($G807))&gt;0,"LEFT OUT","NEW")))</f>
        <v/>
      </c>
    </row>
    <row r="808" spans="47:47" x14ac:dyDescent="0.25">
      <c r="AU808" s="8" t="str">
        <f>IF(TRIM($G808)="","",IF(COUNTIF(LISTS!$I$2:$I$16,TRIM($G808))&gt;0,"COUNTED",IF(COUNTIF(LISTS!$J$2:$J$16,TRIM($G808))&gt;0,"LEFT OUT","NEW")))</f>
        <v/>
      </c>
    </row>
    <row r="809" spans="47:47" x14ac:dyDescent="0.25">
      <c r="AU809" s="8" t="str">
        <f>IF(TRIM($G809)="","",IF(COUNTIF(LISTS!$I$2:$I$16,TRIM($G809))&gt;0,"COUNTED",IF(COUNTIF(LISTS!$J$2:$J$16,TRIM($G809))&gt;0,"LEFT OUT","NEW")))</f>
        <v/>
      </c>
    </row>
    <row r="810" spans="47:47" x14ac:dyDescent="0.25">
      <c r="AU810" s="8" t="str">
        <f>IF(TRIM($G810)="","",IF(COUNTIF(LISTS!$I$2:$I$16,TRIM($G810))&gt;0,"COUNTED",IF(COUNTIF(LISTS!$J$2:$J$16,TRIM($G810))&gt;0,"LEFT OUT","NEW")))</f>
        <v/>
      </c>
    </row>
    <row r="811" spans="47:47" x14ac:dyDescent="0.25">
      <c r="AU811" s="8" t="str">
        <f>IF(TRIM($G811)="","",IF(COUNTIF(LISTS!$I$2:$I$16,TRIM($G811))&gt;0,"COUNTED",IF(COUNTIF(LISTS!$J$2:$J$16,TRIM($G811))&gt;0,"LEFT OUT","NEW")))</f>
        <v/>
      </c>
    </row>
    <row r="812" spans="47:47" x14ac:dyDescent="0.25">
      <c r="AU812" s="8" t="str">
        <f>IF(TRIM($G812)="","",IF(COUNTIF(LISTS!$I$2:$I$16,TRIM($G812))&gt;0,"COUNTED",IF(COUNTIF(LISTS!$J$2:$J$16,TRIM($G812))&gt;0,"LEFT OUT","NEW")))</f>
        <v/>
      </c>
    </row>
    <row r="813" spans="47:47" x14ac:dyDescent="0.25">
      <c r="AU813" s="8" t="str">
        <f>IF(TRIM($G813)="","",IF(COUNTIF(LISTS!$I$2:$I$16,TRIM($G813))&gt;0,"COUNTED",IF(COUNTIF(LISTS!$J$2:$J$16,TRIM($G813))&gt;0,"LEFT OUT","NEW")))</f>
        <v/>
      </c>
    </row>
    <row r="814" spans="47:47" x14ac:dyDescent="0.25">
      <c r="AU814" s="8" t="str">
        <f>IF(TRIM($G814)="","",IF(COUNTIF(LISTS!$I$2:$I$16,TRIM($G814))&gt;0,"COUNTED",IF(COUNTIF(LISTS!$J$2:$J$16,TRIM($G814))&gt;0,"LEFT OUT","NEW")))</f>
        <v/>
      </c>
    </row>
    <row r="815" spans="47:47" x14ac:dyDescent="0.25">
      <c r="AU815" s="8" t="str">
        <f>IF(TRIM($G815)="","",IF(COUNTIF(LISTS!$I$2:$I$16,TRIM($G815))&gt;0,"COUNTED",IF(COUNTIF(LISTS!$J$2:$J$16,TRIM($G815))&gt;0,"LEFT OUT","NEW")))</f>
        <v/>
      </c>
    </row>
    <row r="816" spans="47:47" x14ac:dyDescent="0.25">
      <c r="AU816" s="8" t="str">
        <f>IF(TRIM($G816)="","",IF(COUNTIF(LISTS!$I$2:$I$16,TRIM($G816))&gt;0,"COUNTED",IF(COUNTIF(LISTS!$J$2:$J$16,TRIM($G816))&gt;0,"LEFT OUT","NEW")))</f>
        <v/>
      </c>
    </row>
    <row r="817" spans="47:47" x14ac:dyDescent="0.25">
      <c r="AU817" s="8" t="str">
        <f>IF(TRIM($G817)="","",IF(COUNTIF(LISTS!$I$2:$I$16,TRIM($G817))&gt;0,"COUNTED",IF(COUNTIF(LISTS!$J$2:$J$16,TRIM($G817))&gt;0,"LEFT OUT","NEW")))</f>
        <v/>
      </c>
    </row>
    <row r="818" spans="47:47" x14ac:dyDescent="0.25">
      <c r="AU818" s="8" t="str">
        <f>IF(TRIM($G818)="","",IF(COUNTIF(LISTS!$I$2:$I$16,TRIM($G818))&gt;0,"COUNTED",IF(COUNTIF(LISTS!$J$2:$J$16,TRIM($G818))&gt;0,"LEFT OUT","NEW")))</f>
        <v/>
      </c>
    </row>
    <row r="819" spans="47:47" x14ac:dyDescent="0.25">
      <c r="AU819" s="8" t="str">
        <f>IF(TRIM($G819)="","",IF(COUNTIF(LISTS!$I$2:$I$16,TRIM($G819))&gt;0,"COUNTED",IF(COUNTIF(LISTS!$J$2:$J$16,TRIM($G819))&gt;0,"LEFT OUT","NEW")))</f>
        <v/>
      </c>
    </row>
    <row r="820" spans="47:47" x14ac:dyDescent="0.25">
      <c r="AU820" s="8" t="str">
        <f>IF(TRIM($G820)="","",IF(COUNTIF(LISTS!$I$2:$I$16,TRIM($G820))&gt;0,"COUNTED",IF(COUNTIF(LISTS!$J$2:$J$16,TRIM($G820))&gt;0,"LEFT OUT","NEW")))</f>
        <v/>
      </c>
    </row>
    <row r="821" spans="47:47" x14ac:dyDescent="0.25">
      <c r="AU821" s="8" t="str">
        <f>IF(TRIM($G821)="","",IF(COUNTIF(LISTS!$I$2:$I$16,TRIM($G821))&gt;0,"COUNTED",IF(COUNTIF(LISTS!$J$2:$J$16,TRIM($G821))&gt;0,"LEFT OUT","NEW")))</f>
        <v/>
      </c>
    </row>
    <row r="822" spans="47:47" x14ac:dyDescent="0.25">
      <c r="AU822" s="8" t="str">
        <f>IF(TRIM($G822)="","",IF(COUNTIF(LISTS!$I$2:$I$16,TRIM($G822))&gt;0,"COUNTED",IF(COUNTIF(LISTS!$J$2:$J$16,TRIM($G822))&gt;0,"LEFT OUT","NEW")))</f>
        <v/>
      </c>
    </row>
    <row r="823" spans="47:47" x14ac:dyDescent="0.25">
      <c r="AU823" s="8" t="str">
        <f>IF(TRIM($G823)="","",IF(COUNTIF(LISTS!$I$2:$I$16,TRIM($G823))&gt;0,"COUNTED",IF(COUNTIF(LISTS!$J$2:$J$16,TRIM($G823))&gt;0,"LEFT OUT","NEW")))</f>
        <v/>
      </c>
    </row>
    <row r="824" spans="47:47" x14ac:dyDescent="0.25">
      <c r="AU824" s="8" t="str">
        <f>IF(TRIM($G824)="","",IF(COUNTIF(LISTS!$I$2:$I$16,TRIM($G824))&gt;0,"COUNTED",IF(COUNTIF(LISTS!$J$2:$J$16,TRIM($G824))&gt;0,"LEFT OUT","NEW")))</f>
        <v/>
      </c>
    </row>
    <row r="825" spans="47:47" x14ac:dyDescent="0.25">
      <c r="AU825" s="8" t="str">
        <f>IF(TRIM($G825)="","",IF(COUNTIF(LISTS!$I$2:$I$16,TRIM($G825))&gt;0,"COUNTED",IF(COUNTIF(LISTS!$J$2:$J$16,TRIM($G825))&gt;0,"LEFT OUT","NEW")))</f>
        <v/>
      </c>
    </row>
    <row r="826" spans="47:47" x14ac:dyDescent="0.25">
      <c r="AU826" s="8" t="str">
        <f>IF(TRIM($G826)="","",IF(COUNTIF(LISTS!$I$2:$I$16,TRIM($G826))&gt;0,"COUNTED",IF(COUNTIF(LISTS!$J$2:$J$16,TRIM($G826))&gt;0,"LEFT OUT","NEW")))</f>
        <v/>
      </c>
    </row>
    <row r="827" spans="47:47" x14ac:dyDescent="0.25">
      <c r="AU827" s="8" t="str">
        <f>IF(TRIM($G827)="","",IF(COUNTIF(LISTS!$I$2:$I$16,TRIM($G827))&gt;0,"COUNTED",IF(COUNTIF(LISTS!$J$2:$J$16,TRIM($G827))&gt;0,"LEFT OUT","NEW")))</f>
        <v/>
      </c>
    </row>
    <row r="828" spans="47:47" x14ac:dyDescent="0.25">
      <c r="AU828" s="8" t="str">
        <f>IF(TRIM($G828)="","",IF(COUNTIF(LISTS!$I$2:$I$16,TRIM($G828))&gt;0,"COUNTED",IF(COUNTIF(LISTS!$J$2:$J$16,TRIM($G828))&gt;0,"LEFT OUT","NEW")))</f>
        <v/>
      </c>
    </row>
    <row r="829" spans="47:47" x14ac:dyDescent="0.25">
      <c r="AU829" s="8" t="str">
        <f>IF(TRIM($G829)="","",IF(COUNTIF(LISTS!$I$2:$I$16,TRIM($G829))&gt;0,"COUNTED",IF(COUNTIF(LISTS!$J$2:$J$16,TRIM($G829))&gt;0,"LEFT OUT","NEW")))</f>
        <v/>
      </c>
    </row>
    <row r="830" spans="47:47" x14ac:dyDescent="0.25">
      <c r="AU830" s="8" t="str">
        <f>IF(TRIM($G830)="","",IF(COUNTIF(LISTS!$I$2:$I$16,TRIM($G830))&gt;0,"COUNTED",IF(COUNTIF(LISTS!$J$2:$J$16,TRIM($G830))&gt;0,"LEFT OUT","NEW")))</f>
        <v/>
      </c>
    </row>
    <row r="831" spans="47:47" x14ac:dyDescent="0.25">
      <c r="AU831" s="8" t="str">
        <f>IF(TRIM($G831)="","",IF(COUNTIF(LISTS!$I$2:$I$16,TRIM($G831))&gt;0,"COUNTED",IF(COUNTIF(LISTS!$J$2:$J$16,TRIM($G831))&gt;0,"LEFT OUT","NEW")))</f>
        <v/>
      </c>
    </row>
    <row r="832" spans="47:47" x14ac:dyDescent="0.25">
      <c r="AU832" s="8" t="str">
        <f>IF(TRIM($G832)="","",IF(COUNTIF(LISTS!$I$2:$I$16,TRIM($G832))&gt;0,"COUNTED",IF(COUNTIF(LISTS!$J$2:$J$16,TRIM($G832))&gt;0,"LEFT OUT","NEW")))</f>
        <v/>
      </c>
    </row>
    <row r="833" spans="47:47" x14ac:dyDescent="0.25">
      <c r="AU833" s="8" t="str">
        <f>IF(TRIM($G833)="","",IF(COUNTIF(LISTS!$I$2:$I$16,TRIM($G833))&gt;0,"COUNTED",IF(COUNTIF(LISTS!$J$2:$J$16,TRIM($G833))&gt;0,"LEFT OUT","NEW")))</f>
        <v/>
      </c>
    </row>
    <row r="834" spans="47:47" x14ac:dyDescent="0.25">
      <c r="AU834" s="8" t="str">
        <f>IF(TRIM($G834)="","",IF(COUNTIF(LISTS!$I$2:$I$16,TRIM($G834))&gt;0,"COUNTED",IF(COUNTIF(LISTS!$J$2:$J$16,TRIM($G834))&gt;0,"LEFT OUT","NEW")))</f>
        <v/>
      </c>
    </row>
    <row r="835" spans="47:47" x14ac:dyDescent="0.25">
      <c r="AU835" s="8" t="str">
        <f>IF(TRIM($G835)="","",IF(COUNTIF(LISTS!$I$2:$I$16,TRIM($G835))&gt;0,"COUNTED",IF(COUNTIF(LISTS!$J$2:$J$16,TRIM($G835))&gt;0,"LEFT OUT","NEW")))</f>
        <v/>
      </c>
    </row>
    <row r="836" spans="47:47" x14ac:dyDescent="0.25">
      <c r="AU836" s="8" t="str">
        <f>IF(TRIM($G836)="","",IF(COUNTIF(LISTS!$I$2:$I$16,TRIM($G836))&gt;0,"COUNTED",IF(COUNTIF(LISTS!$J$2:$J$16,TRIM($G836))&gt;0,"LEFT OUT","NEW")))</f>
        <v/>
      </c>
    </row>
    <row r="837" spans="47:47" x14ac:dyDescent="0.25">
      <c r="AU837" s="8" t="str">
        <f>IF(TRIM($G837)="","",IF(COUNTIF(LISTS!$I$2:$I$16,TRIM($G837))&gt;0,"COUNTED",IF(COUNTIF(LISTS!$J$2:$J$16,TRIM($G837))&gt;0,"LEFT OUT","NEW")))</f>
        <v/>
      </c>
    </row>
    <row r="838" spans="47:47" x14ac:dyDescent="0.25">
      <c r="AU838" s="8" t="str">
        <f>IF(TRIM($G838)="","",IF(COUNTIF(LISTS!$I$2:$I$16,TRIM($G838))&gt;0,"COUNTED",IF(COUNTIF(LISTS!$J$2:$J$16,TRIM($G838))&gt;0,"LEFT OUT","NEW")))</f>
        <v/>
      </c>
    </row>
    <row r="839" spans="47:47" x14ac:dyDescent="0.25">
      <c r="AU839" s="8" t="str">
        <f>IF(TRIM($G839)="","",IF(COUNTIF(LISTS!$I$2:$I$16,TRIM($G839))&gt;0,"COUNTED",IF(COUNTIF(LISTS!$J$2:$J$16,TRIM($G839))&gt;0,"LEFT OUT","NEW")))</f>
        <v/>
      </c>
    </row>
    <row r="840" spans="47:47" x14ac:dyDescent="0.25">
      <c r="AU840" s="8" t="str">
        <f>IF(TRIM($G840)="","",IF(COUNTIF(LISTS!$I$2:$I$16,TRIM($G840))&gt;0,"COUNTED",IF(COUNTIF(LISTS!$J$2:$J$16,TRIM($G840))&gt;0,"LEFT OUT","NEW")))</f>
        <v/>
      </c>
    </row>
    <row r="841" spans="47:47" x14ac:dyDescent="0.25">
      <c r="AU841" s="8" t="str">
        <f>IF(TRIM($G841)="","",IF(COUNTIF(LISTS!$I$2:$I$16,TRIM($G841))&gt;0,"COUNTED",IF(COUNTIF(LISTS!$J$2:$J$16,TRIM($G841))&gt;0,"LEFT OUT","NEW")))</f>
        <v/>
      </c>
    </row>
    <row r="842" spans="47:47" x14ac:dyDescent="0.25">
      <c r="AU842" s="8" t="str">
        <f>IF(TRIM($G842)="","",IF(COUNTIF(LISTS!$I$2:$I$16,TRIM($G842))&gt;0,"COUNTED",IF(COUNTIF(LISTS!$J$2:$J$16,TRIM($G842))&gt;0,"LEFT OUT","NEW")))</f>
        <v/>
      </c>
    </row>
    <row r="843" spans="47:47" x14ac:dyDescent="0.25">
      <c r="AU843" s="8" t="str">
        <f>IF(TRIM($G843)="","",IF(COUNTIF(LISTS!$I$2:$I$16,TRIM($G843))&gt;0,"COUNTED",IF(COUNTIF(LISTS!$J$2:$J$16,TRIM($G843))&gt;0,"LEFT OUT","NEW")))</f>
        <v/>
      </c>
    </row>
    <row r="844" spans="47:47" x14ac:dyDescent="0.25">
      <c r="AU844" s="8" t="str">
        <f>IF(TRIM($G844)="","",IF(COUNTIF(LISTS!$I$2:$I$16,TRIM($G844))&gt;0,"COUNTED",IF(COUNTIF(LISTS!$J$2:$J$16,TRIM($G844))&gt;0,"LEFT OUT","NEW")))</f>
        <v/>
      </c>
    </row>
    <row r="845" spans="47:47" x14ac:dyDescent="0.25">
      <c r="AU845" s="8" t="str">
        <f>IF(TRIM($G845)="","",IF(COUNTIF(LISTS!$I$2:$I$16,TRIM($G845))&gt;0,"COUNTED",IF(COUNTIF(LISTS!$J$2:$J$16,TRIM($G845))&gt;0,"LEFT OUT","NEW")))</f>
        <v/>
      </c>
    </row>
    <row r="846" spans="47:47" x14ac:dyDescent="0.25">
      <c r="AU846" s="8" t="str">
        <f>IF(TRIM($G846)="","",IF(COUNTIF(LISTS!$I$2:$I$16,TRIM($G846))&gt;0,"COUNTED",IF(COUNTIF(LISTS!$J$2:$J$16,TRIM($G846))&gt;0,"LEFT OUT","NEW")))</f>
        <v/>
      </c>
    </row>
    <row r="847" spans="47:47" x14ac:dyDescent="0.25">
      <c r="AU847" s="8" t="str">
        <f>IF(TRIM($G847)="","",IF(COUNTIF(LISTS!$I$2:$I$16,TRIM($G847))&gt;0,"COUNTED",IF(COUNTIF(LISTS!$J$2:$J$16,TRIM($G847))&gt;0,"LEFT OUT","NEW")))</f>
        <v/>
      </c>
    </row>
    <row r="848" spans="47:47" x14ac:dyDescent="0.25">
      <c r="AU848" s="8" t="str">
        <f>IF(TRIM($G848)="","",IF(COUNTIF(LISTS!$I$2:$I$16,TRIM($G848))&gt;0,"COUNTED",IF(COUNTIF(LISTS!$J$2:$J$16,TRIM($G848))&gt;0,"LEFT OUT","NEW")))</f>
        <v/>
      </c>
    </row>
    <row r="849" spans="47:47" x14ac:dyDescent="0.25">
      <c r="AU849" s="8" t="str">
        <f>IF(TRIM($G849)="","",IF(COUNTIF(LISTS!$I$2:$I$16,TRIM($G849))&gt;0,"COUNTED",IF(COUNTIF(LISTS!$J$2:$J$16,TRIM($G849))&gt;0,"LEFT OUT","NEW")))</f>
        <v/>
      </c>
    </row>
    <row r="850" spans="47:47" x14ac:dyDescent="0.25">
      <c r="AU850" s="8" t="str">
        <f>IF(TRIM($G850)="","",IF(COUNTIF(LISTS!$I$2:$I$16,TRIM($G850))&gt;0,"COUNTED",IF(COUNTIF(LISTS!$J$2:$J$16,TRIM($G850))&gt;0,"LEFT OUT","NEW")))</f>
        <v/>
      </c>
    </row>
    <row r="851" spans="47:47" x14ac:dyDescent="0.25">
      <c r="AU851" s="8" t="str">
        <f>IF(TRIM($G851)="","",IF(COUNTIF(LISTS!$I$2:$I$16,TRIM($G851))&gt;0,"COUNTED",IF(COUNTIF(LISTS!$J$2:$J$16,TRIM($G851))&gt;0,"LEFT OUT","NEW")))</f>
        <v/>
      </c>
    </row>
    <row r="852" spans="47:47" x14ac:dyDescent="0.25">
      <c r="AU852" s="8" t="str">
        <f>IF(TRIM($G852)="","",IF(COUNTIF(LISTS!$I$2:$I$16,TRIM($G852))&gt;0,"COUNTED",IF(COUNTIF(LISTS!$J$2:$J$16,TRIM($G852))&gt;0,"LEFT OUT","NEW")))</f>
        <v/>
      </c>
    </row>
    <row r="853" spans="47:47" x14ac:dyDescent="0.25">
      <c r="AU853" s="8" t="str">
        <f>IF(TRIM($G853)="","",IF(COUNTIF(LISTS!$I$2:$I$16,TRIM($G853))&gt;0,"COUNTED",IF(COUNTIF(LISTS!$J$2:$J$16,TRIM($G853))&gt;0,"LEFT OUT","NEW")))</f>
        <v/>
      </c>
    </row>
    <row r="854" spans="47:47" x14ac:dyDescent="0.25">
      <c r="AU854" s="8" t="str">
        <f>IF(TRIM($G854)="","",IF(COUNTIF(LISTS!$I$2:$I$16,TRIM($G854))&gt;0,"COUNTED",IF(COUNTIF(LISTS!$J$2:$J$16,TRIM($G854))&gt;0,"LEFT OUT","NEW")))</f>
        <v/>
      </c>
    </row>
    <row r="855" spans="47:47" x14ac:dyDescent="0.25">
      <c r="AU855" s="8" t="str">
        <f>IF(TRIM($G855)="","",IF(COUNTIF(LISTS!$I$2:$I$16,TRIM($G855))&gt;0,"COUNTED",IF(COUNTIF(LISTS!$J$2:$J$16,TRIM($G855))&gt;0,"LEFT OUT","NEW")))</f>
        <v/>
      </c>
    </row>
    <row r="856" spans="47:47" x14ac:dyDescent="0.25">
      <c r="AU856" s="8" t="str">
        <f>IF(TRIM($G856)="","",IF(COUNTIF(LISTS!$I$2:$I$16,TRIM($G856))&gt;0,"COUNTED",IF(COUNTIF(LISTS!$J$2:$J$16,TRIM($G856))&gt;0,"LEFT OUT","NEW")))</f>
        <v/>
      </c>
    </row>
    <row r="857" spans="47:47" x14ac:dyDescent="0.25">
      <c r="AU857" s="8" t="str">
        <f>IF(TRIM($G857)="","",IF(COUNTIF(LISTS!$I$2:$I$16,TRIM($G857))&gt;0,"COUNTED",IF(COUNTIF(LISTS!$J$2:$J$16,TRIM($G857))&gt;0,"LEFT OUT","NEW")))</f>
        <v/>
      </c>
    </row>
    <row r="858" spans="47:47" x14ac:dyDescent="0.25">
      <c r="AU858" s="8" t="str">
        <f>IF(TRIM($G858)="","",IF(COUNTIF(LISTS!$I$2:$I$16,TRIM($G858))&gt;0,"COUNTED",IF(COUNTIF(LISTS!$J$2:$J$16,TRIM($G858))&gt;0,"LEFT OUT","NEW")))</f>
        <v/>
      </c>
    </row>
    <row r="859" spans="47:47" x14ac:dyDescent="0.25">
      <c r="AU859" s="8" t="str">
        <f>IF(TRIM($G859)="","",IF(COUNTIF(LISTS!$I$2:$I$16,TRIM($G859))&gt;0,"COUNTED",IF(COUNTIF(LISTS!$J$2:$J$16,TRIM($G859))&gt;0,"LEFT OUT","NEW")))</f>
        <v/>
      </c>
    </row>
    <row r="860" spans="47:47" x14ac:dyDescent="0.25">
      <c r="AU860" s="8" t="str">
        <f>IF(TRIM($G860)="","",IF(COUNTIF(LISTS!$I$2:$I$16,TRIM($G860))&gt;0,"COUNTED",IF(COUNTIF(LISTS!$J$2:$J$16,TRIM($G860))&gt;0,"LEFT OUT","NEW")))</f>
        <v/>
      </c>
    </row>
    <row r="861" spans="47:47" x14ac:dyDescent="0.25">
      <c r="AU861" s="8" t="str">
        <f>IF(TRIM($G861)="","",IF(COUNTIF(LISTS!$I$2:$I$16,TRIM($G861))&gt;0,"COUNTED",IF(COUNTIF(LISTS!$J$2:$J$16,TRIM($G861))&gt;0,"LEFT OUT","NEW")))</f>
        <v/>
      </c>
    </row>
    <row r="862" spans="47:47" x14ac:dyDescent="0.25">
      <c r="AU862" s="8" t="str">
        <f>IF(TRIM($G862)="","",IF(COUNTIF(LISTS!$I$2:$I$16,TRIM($G862))&gt;0,"COUNTED",IF(COUNTIF(LISTS!$J$2:$J$16,TRIM($G862))&gt;0,"LEFT OUT","NEW")))</f>
        <v/>
      </c>
    </row>
    <row r="863" spans="47:47" x14ac:dyDescent="0.25">
      <c r="AU863" s="8" t="str">
        <f>IF(TRIM($G863)="","",IF(COUNTIF(LISTS!$I$2:$I$16,TRIM($G863))&gt;0,"COUNTED",IF(COUNTIF(LISTS!$J$2:$J$16,TRIM($G863))&gt;0,"LEFT OUT","NEW")))</f>
        <v/>
      </c>
    </row>
    <row r="864" spans="47:47" x14ac:dyDescent="0.25">
      <c r="AU864" s="8" t="str">
        <f>IF(TRIM($G864)="","",IF(COUNTIF(LISTS!$I$2:$I$16,TRIM($G864))&gt;0,"COUNTED",IF(COUNTIF(LISTS!$J$2:$J$16,TRIM($G864))&gt;0,"LEFT OUT","NEW")))</f>
        <v/>
      </c>
    </row>
    <row r="865" spans="47:47" x14ac:dyDescent="0.25">
      <c r="AU865" s="8" t="str">
        <f>IF(TRIM($G865)="","",IF(COUNTIF(LISTS!$I$2:$I$16,TRIM($G865))&gt;0,"COUNTED",IF(COUNTIF(LISTS!$J$2:$J$16,TRIM($G865))&gt;0,"LEFT OUT","NEW")))</f>
        <v/>
      </c>
    </row>
    <row r="866" spans="47:47" x14ac:dyDescent="0.25">
      <c r="AU866" s="8" t="str">
        <f>IF(TRIM($G866)="","",IF(COUNTIF(LISTS!$I$2:$I$16,TRIM($G866))&gt;0,"COUNTED",IF(COUNTIF(LISTS!$J$2:$J$16,TRIM($G866))&gt;0,"LEFT OUT","NEW")))</f>
        <v/>
      </c>
    </row>
    <row r="867" spans="47:47" x14ac:dyDescent="0.25">
      <c r="AU867" s="8" t="str">
        <f>IF(TRIM($G867)="","",IF(COUNTIF(LISTS!$I$2:$I$16,TRIM($G867))&gt;0,"COUNTED",IF(COUNTIF(LISTS!$J$2:$J$16,TRIM($G867))&gt;0,"LEFT OUT","NEW")))</f>
        <v/>
      </c>
    </row>
    <row r="868" spans="47:47" x14ac:dyDescent="0.25">
      <c r="AU868" s="8" t="str">
        <f>IF(TRIM($G868)="","",IF(COUNTIF(LISTS!$I$2:$I$16,TRIM($G868))&gt;0,"COUNTED",IF(COUNTIF(LISTS!$J$2:$J$16,TRIM($G868))&gt;0,"LEFT OUT","NEW")))</f>
        <v/>
      </c>
    </row>
    <row r="869" spans="47:47" x14ac:dyDescent="0.25">
      <c r="AU869" s="8" t="str">
        <f>IF(TRIM($G869)="","",IF(COUNTIF(LISTS!$I$2:$I$16,TRIM($G869))&gt;0,"COUNTED",IF(COUNTIF(LISTS!$J$2:$J$16,TRIM($G869))&gt;0,"LEFT OUT","NEW")))</f>
        <v/>
      </c>
    </row>
    <row r="870" spans="47:47" x14ac:dyDescent="0.25">
      <c r="AU870" s="8" t="str">
        <f>IF(TRIM($G870)="","",IF(COUNTIF(LISTS!$I$2:$I$16,TRIM($G870))&gt;0,"COUNTED",IF(COUNTIF(LISTS!$J$2:$J$16,TRIM($G870))&gt;0,"LEFT OUT","NEW")))</f>
        <v/>
      </c>
    </row>
    <row r="871" spans="47:47" x14ac:dyDescent="0.25">
      <c r="AU871" s="8" t="str">
        <f>IF(TRIM($G871)="","",IF(COUNTIF(LISTS!$I$2:$I$16,TRIM($G871))&gt;0,"COUNTED",IF(COUNTIF(LISTS!$J$2:$J$16,TRIM($G871))&gt;0,"LEFT OUT","NEW")))</f>
        <v/>
      </c>
    </row>
    <row r="872" spans="47:47" x14ac:dyDescent="0.25">
      <c r="AU872" s="8" t="str">
        <f>IF(TRIM($G872)="","",IF(COUNTIF(LISTS!$I$2:$I$16,TRIM($G872))&gt;0,"COUNTED",IF(COUNTIF(LISTS!$J$2:$J$16,TRIM($G872))&gt;0,"LEFT OUT","NEW")))</f>
        <v/>
      </c>
    </row>
    <row r="873" spans="47:47" x14ac:dyDescent="0.25">
      <c r="AU873" s="8" t="str">
        <f>IF(TRIM($G873)="","",IF(COUNTIF(LISTS!$I$2:$I$16,TRIM($G873))&gt;0,"COUNTED",IF(COUNTIF(LISTS!$J$2:$J$16,TRIM($G873))&gt;0,"LEFT OUT","NEW")))</f>
        <v/>
      </c>
    </row>
    <row r="874" spans="47:47" x14ac:dyDescent="0.25">
      <c r="AU874" s="8" t="str">
        <f>IF(TRIM($G874)="","",IF(COUNTIF(LISTS!$I$2:$I$16,TRIM($G874))&gt;0,"COUNTED",IF(COUNTIF(LISTS!$J$2:$J$16,TRIM($G874))&gt;0,"LEFT OUT","NEW")))</f>
        <v/>
      </c>
    </row>
    <row r="875" spans="47:47" x14ac:dyDescent="0.25">
      <c r="AU875" s="8" t="str">
        <f>IF(TRIM($G875)="","",IF(COUNTIF(LISTS!$I$2:$I$16,TRIM($G875))&gt;0,"COUNTED",IF(COUNTIF(LISTS!$J$2:$J$16,TRIM($G875))&gt;0,"LEFT OUT","NEW")))</f>
        <v/>
      </c>
    </row>
    <row r="876" spans="47:47" x14ac:dyDescent="0.25">
      <c r="AU876" s="8" t="str">
        <f>IF(TRIM($G876)="","",IF(COUNTIF(LISTS!$I$2:$I$16,TRIM($G876))&gt;0,"COUNTED",IF(COUNTIF(LISTS!$J$2:$J$16,TRIM($G876))&gt;0,"LEFT OUT","NEW")))</f>
        <v/>
      </c>
    </row>
    <row r="877" spans="47:47" x14ac:dyDescent="0.25">
      <c r="AU877" s="8" t="str">
        <f>IF(TRIM($G877)="","",IF(COUNTIF(LISTS!$I$2:$I$16,TRIM($G877))&gt;0,"COUNTED",IF(COUNTIF(LISTS!$J$2:$J$16,TRIM($G877))&gt;0,"LEFT OUT","NEW")))</f>
        <v/>
      </c>
    </row>
    <row r="878" spans="47:47" x14ac:dyDescent="0.25">
      <c r="AU878" s="8" t="str">
        <f>IF(TRIM($G878)="","",IF(COUNTIF(LISTS!$I$2:$I$16,TRIM($G878))&gt;0,"COUNTED",IF(COUNTIF(LISTS!$J$2:$J$16,TRIM($G878))&gt;0,"LEFT OUT","NEW")))</f>
        <v/>
      </c>
    </row>
    <row r="879" spans="47:47" x14ac:dyDescent="0.25">
      <c r="AU879" s="8" t="str">
        <f>IF(TRIM($G879)="","",IF(COUNTIF(LISTS!$I$2:$I$16,TRIM($G879))&gt;0,"COUNTED",IF(COUNTIF(LISTS!$J$2:$J$16,TRIM($G879))&gt;0,"LEFT OUT","NEW")))</f>
        <v/>
      </c>
    </row>
    <row r="880" spans="47:47" x14ac:dyDescent="0.25">
      <c r="AU880" s="8" t="str">
        <f>IF(TRIM($G880)="","",IF(COUNTIF(LISTS!$I$2:$I$16,TRIM($G880))&gt;0,"COUNTED",IF(COUNTIF(LISTS!$J$2:$J$16,TRIM($G880))&gt;0,"LEFT OUT","NEW")))</f>
        <v/>
      </c>
    </row>
    <row r="881" spans="47:47" x14ac:dyDescent="0.25">
      <c r="AU881" s="8" t="str">
        <f>IF(TRIM($G881)="","",IF(COUNTIF(LISTS!$I$2:$I$16,TRIM($G881))&gt;0,"COUNTED",IF(COUNTIF(LISTS!$J$2:$J$16,TRIM($G881))&gt;0,"LEFT OUT","NEW")))</f>
        <v/>
      </c>
    </row>
    <row r="882" spans="47:47" x14ac:dyDescent="0.25">
      <c r="AU882" s="8" t="str">
        <f>IF(TRIM($G882)="","",IF(COUNTIF(LISTS!$I$2:$I$16,TRIM($G882))&gt;0,"COUNTED",IF(COUNTIF(LISTS!$J$2:$J$16,TRIM($G882))&gt;0,"LEFT OUT","NEW")))</f>
        <v/>
      </c>
    </row>
    <row r="883" spans="47:47" x14ac:dyDescent="0.25">
      <c r="AU883" s="8" t="str">
        <f>IF(TRIM($G883)="","",IF(COUNTIF(LISTS!$I$2:$I$16,TRIM($G883))&gt;0,"COUNTED",IF(COUNTIF(LISTS!$J$2:$J$16,TRIM($G883))&gt;0,"LEFT OUT","NEW")))</f>
        <v/>
      </c>
    </row>
    <row r="884" spans="47:47" x14ac:dyDescent="0.25">
      <c r="AU884" s="8" t="str">
        <f>IF(TRIM($G884)="","",IF(COUNTIF(LISTS!$I$2:$I$16,TRIM($G884))&gt;0,"COUNTED",IF(COUNTIF(LISTS!$J$2:$J$16,TRIM($G884))&gt;0,"LEFT OUT","NEW")))</f>
        <v/>
      </c>
    </row>
    <row r="885" spans="47:47" x14ac:dyDescent="0.25">
      <c r="AU885" s="8" t="str">
        <f>IF(TRIM($G885)="","",IF(COUNTIF(LISTS!$I$2:$I$16,TRIM($G885))&gt;0,"COUNTED",IF(COUNTIF(LISTS!$J$2:$J$16,TRIM($G885))&gt;0,"LEFT OUT","NEW")))</f>
        <v/>
      </c>
    </row>
    <row r="886" spans="47:47" x14ac:dyDescent="0.25">
      <c r="AU886" s="8" t="str">
        <f>IF(TRIM($G886)="","",IF(COUNTIF(LISTS!$I$2:$I$16,TRIM($G886))&gt;0,"COUNTED",IF(COUNTIF(LISTS!$J$2:$J$16,TRIM($G886))&gt;0,"LEFT OUT","NEW")))</f>
        <v/>
      </c>
    </row>
    <row r="887" spans="47:47" x14ac:dyDescent="0.25">
      <c r="AU887" s="8" t="str">
        <f>IF(TRIM($G887)="","",IF(COUNTIF(LISTS!$I$2:$I$16,TRIM($G887))&gt;0,"COUNTED",IF(COUNTIF(LISTS!$J$2:$J$16,TRIM($G887))&gt;0,"LEFT OUT","NEW")))</f>
        <v/>
      </c>
    </row>
    <row r="888" spans="47:47" x14ac:dyDescent="0.25">
      <c r="AU888" s="8" t="str">
        <f>IF(TRIM($G888)="","",IF(COUNTIF(LISTS!$I$2:$I$16,TRIM($G888))&gt;0,"COUNTED",IF(COUNTIF(LISTS!$J$2:$J$16,TRIM($G888))&gt;0,"LEFT OUT","NEW")))</f>
        <v/>
      </c>
    </row>
    <row r="889" spans="47:47" x14ac:dyDescent="0.25">
      <c r="AU889" s="8" t="str">
        <f>IF(TRIM($G889)="","",IF(COUNTIF(LISTS!$I$2:$I$16,TRIM($G889))&gt;0,"COUNTED",IF(COUNTIF(LISTS!$J$2:$J$16,TRIM($G889))&gt;0,"LEFT OUT","NEW")))</f>
        <v/>
      </c>
    </row>
    <row r="890" spans="47:47" x14ac:dyDescent="0.25">
      <c r="AU890" s="8" t="str">
        <f>IF(TRIM($G890)="","",IF(COUNTIF(LISTS!$I$2:$I$16,TRIM($G890))&gt;0,"COUNTED",IF(COUNTIF(LISTS!$J$2:$J$16,TRIM($G890))&gt;0,"LEFT OUT","NEW")))</f>
        <v/>
      </c>
    </row>
    <row r="891" spans="47:47" x14ac:dyDescent="0.25">
      <c r="AU891" s="8" t="str">
        <f>IF(TRIM($G891)="","",IF(COUNTIF(LISTS!$I$2:$I$16,TRIM($G891))&gt;0,"COUNTED",IF(COUNTIF(LISTS!$J$2:$J$16,TRIM($G891))&gt;0,"LEFT OUT","NEW")))</f>
        <v/>
      </c>
    </row>
    <row r="892" spans="47:47" x14ac:dyDescent="0.25">
      <c r="AU892" s="8" t="str">
        <f>IF(TRIM($G892)="","",IF(COUNTIF(LISTS!$I$2:$I$16,TRIM($G892))&gt;0,"COUNTED",IF(COUNTIF(LISTS!$J$2:$J$16,TRIM($G892))&gt;0,"LEFT OUT","NEW")))</f>
        <v/>
      </c>
    </row>
    <row r="893" spans="47:47" x14ac:dyDescent="0.25">
      <c r="AU893" s="8" t="str">
        <f>IF(TRIM($G893)="","",IF(COUNTIF(LISTS!$I$2:$I$16,TRIM($G893))&gt;0,"COUNTED",IF(COUNTIF(LISTS!$J$2:$J$16,TRIM($G893))&gt;0,"LEFT OUT","NEW")))</f>
        <v/>
      </c>
    </row>
    <row r="894" spans="47:47" x14ac:dyDescent="0.25">
      <c r="AU894" s="8" t="str">
        <f>IF(TRIM($G894)="","",IF(COUNTIF(LISTS!$I$2:$I$16,TRIM($G894))&gt;0,"COUNTED",IF(COUNTIF(LISTS!$J$2:$J$16,TRIM($G894))&gt;0,"LEFT OUT","NEW")))</f>
        <v/>
      </c>
    </row>
    <row r="895" spans="47:47" x14ac:dyDescent="0.25">
      <c r="AU895" s="8" t="str">
        <f>IF(TRIM($G895)="","",IF(COUNTIF(LISTS!$I$2:$I$16,TRIM($G895))&gt;0,"COUNTED",IF(COUNTIF(LISTS!$J$2:$J$16,TRIM($G895))&gt;0,"LEFT OUT","NEW")))</f>
        <v/>
      </c>
    </row>
    <row r="896" spans="47:47" x14ac:dyDescent="0.25">
      <c r="AU896" s="8" t="str">
        <f>IF(TRIM($G896)="","",IF(COUNTIF(LISTS!$I$2:$I$16,TRIM($G896))&gt;0,"COUNTED",IF(COUNTIF(LISTS!$J$2:$J$16,TRIM($G896))&gt;0,"LEFT OUT","NEW")))</f>
        <v/>
      </c>
    </row>
    <row r="897" spans="47:47" x14ac:dyDescent="0.25">
      <c r="AU897" s="8" t="str">
        <f>IF(TRIM($G897)="","",IF(COUNTIF(LISTS!$I$2:$I$16,TRIM($G897))&gt;0,"COUNTED",IF(COUNTIF(LISTS!$J$2:$J$16,TRIM($G897))&gt;0,"LEFT OUT","NEW")))</f>
        <v/>
      </c>
    </row>
    <row r="898" spans="47:47" x14ac:dyDescent="0.25">
      <c r="AU898" s="8" t="str">
        <f>IF(TRIM($G898)="","",IF(COUNTIF(LISTS!$I$2:$I$16,TRIM($G898))&gt;0,"COUNTED",IF(COUNTIF(LISTS!$J$2:$J$16,TRIM($G898))&gt;0,"LEFT OUT","NEW")))</f>
        <v/>
      </c>
    </row>
    <row r="899" spans="47:47" x14ac:dyDescent="0.25">
      <c r="AU899" s="8" t="str">
        <f>IF(TRIM($G899)="","",IF(COUNTIF(LISTS!$I$2:$I$16,TRIM($G899))&gt;0,"COUNTED",IF(COUNTIF(LISTS!$J$2:$J$16,TRIM($G899))&gt;0,"LEFT OUT","NEW")))</f>
        <v/>
      </c>
    </row>
    <row r="900" spans="47:47" x14ac:dyDescent="0.25">
      <c r="AU900" s="8" t="str">
        <f>IF(TRIM($G900)="","",IF(COUNTIF(LISTS!$I$2:$I$16,TRIM($G900))&gt;0,"COUNTED",IF(COUNTIF(LISTS!$J$2:$J$16,TRIM($G900))&gt;0,"LEFT OUT","NEW")))</f>
        <v/>
      </c>
    </row>
    <row r="901" spans="47:47" x14ac:dyDescent="0.25">
      <c r="AU901" s="8" t="str">
        <f>IF(TRIM($G901)="","",IF(COUNTIF(LISTS!$I$2:$I$16,TRIM($G901))&gt;0,"COUNTED",IF(COUNTIF(LISTS!$J$2:$J$16,TRIM($G901))&gt;0,"LEFT OUT","NEW")))</f>
        <v/>
      </c>
    </row>
    <row r="902" spans="47:47" x14ac:dyDescent="0.25">
      <c r="AU902" s="8" t="str">
        <f>IF(TRIM($G902)="","",IF(COUNTIF(LISTS!$I$2:$I$16,TRIM($G902))&gt;0,"COUNTED",IF(COUNTIF(LISTS!$J$2:$J$16,TRIM($G902))&gt;0,"LEFT OUT","NEW")))</f>
        <v/>
      </c>
    </row>
    <row r="903" spans="47:47" x14ac:dyDescent="0.25">
      <c r="AU903" s="8" t="str">
        <f>IF(TRIM($G903)="","",IF(COUNTIF(LISTS!$I$2:$I$16,TRIM($G903))&gt;0,"COUNTED",IF(COUNTIF(LISTS!$J$2:$J$16,TRIM($G903))&gt;0,"LEFT OUT","NEW")))</f>
        <v/>
      </c>
    </row>
    <row r="904" spans="47:47" x14ac:dyDescent="0.25">
      <c r="AU904" s="8" t="str">
        <f>IF(TRIM($G904)="","",IF(COUNTIF(LISTS!$I$2:$I$16,TRIM($G904))&gt;0,"COUNTED",IF(COUNTIF(LISTS!$J$2:$J$16,TRIM($G904))&gt;0,"LEFT OUT","NEW")))</f>
        <v/>
      </c>
    </row>
    <row r="905" spans="47:47" x14ac:dyDescent="0.25">
      <c r="AU905" s="8" t="str">
        <f>IF(TRIM($G905)="","",IF(COUNTIF(LISTS!$I$2:$I$16,TRIM($G905))&gt;0,"COUNTED",IF(COUNTIF(LISTS!$J$2:$J$16,TRIM($G905))&gt;0,"LEFT OUT","NEW")))</f>
        <v/>
      </c>
    </row>
    <row r="906" spans="47:47" x14ac:dyDescent="0.25">
      <c r="AU906" s="8" t="str">
        <f>IF(TRIM($G906)="","",IF(COUNTIF(LISTS!$I$2:$I$16,TRIM($G906))&gt;0,"COUNTED",IF(COUNTIF(LISTS!$J$2:$J$16,TRIM($G906))&gt;0,"LEFT OUT","NEW")))</f>
        <v/>
      </c>
    </row>
    <row r="907" spans="47:47" x14ac:dyDescent="0.25">
      <c r="AU907" s="8" t="str">
        <f>IF(TRIM($G907)="","",IF(COUNTIF(LISTS!$I$2:$I$16,TRIM($G907))&gt;0,"COUNTED",IF(COUNTIF(LISTS!$J$2:$J$16,TRIM($G907))&gt;0,"LEFT OUT","NEW")))</f>
        <v/>
      </c>
    </row>
    <row r="908" spans="47:47" x14ac:dyDescent="0.25">
      <c r="AU908" s="8" t="str">
        <f>IF(TRIM($G908)="","",IF(COUNTIF(LISTS!$I$2:$I$16,TRIM($G908))&gt;0,"COUNTED",IF(COUNTIF(LISTS!$J$2:$J$16,TRIM($G908))&gt;0,"LEFT OUT","NEW")))</f>
        <v/>
      </c>
    </row>
    <row r="909" spans="47:47" x14ac:dyDescent="0.25">
      <c r="AU909" s="8" t="str">
        <f>IF(TRIM($G909)="","",IF(COUNTIF(LISTS!$I$2:$I$16,TRIM($G909))&gt;0,"COUNTED",IF(COUNTIF(LISTS!$J$2:$J$16,TRIM($G909))&gt;0,"LEFT OUT","NEW")))</f>
        <v/>
      </c>
    </row>
    <row r="910" spans="47:47" x14ac:dyDescent="0.25">
      <c r="AU910" s="8" t="str">
        <f>IF(TRIM($G910)="","",IF(COUNTIF(LISTS!$I$2:$I$16,TRIM($G910))&gt;0,"COUNTED",IF(COUNTIF(LISTS!$J$2:$J$16,TRIM($G910))&gt;0,"LEFT OUT","NEW")))</f>
        <v/>
      </c>
    </row>
    <row r="911" spans="47:47" x14ac:dyDescent="0.25">
      <c r="AU911" s="8" t="str">
        <f>IF(TRIM($G911)="","",IF(COUNTIF(LISTS!$I$2:$I$16,TRIM($G911))&gt;0,"COUNTED",IF(COUNTIF(LISTS!$J$2:$J$16,TRIM($G911))&gt;0,"LEFT OUT","NEW")))</f>
        <v/>
      </c>
    </row>
    <row r="912" spans="47:47" x14ac:dyDescent="0.25">
      <c r="AU912" s="8" t="str">
        <f>IF(TRIM($G912)="","",IF(COUNTIF(LISTS!$I$2:$I$16,TRIM($G912))&gt;0,"COUNTED",IF(COUNTIF(LISTS!$J$2:$J$16,TRIM($G912))&gt;0,"LEFT OUT","NEW")))</f>
        <v/>
      </c>
    </row>
    <row r="913" spans="47:47" x14ac:dyDescent="0.25">
      <c r="AU913" s="8" t="str">
        <f>IF(TRIM($G913)="","",IF(COUNTIF(LISTS!$I$2:$I$16,TRIM($G913))&gt;0,"COUNTED",IF(COUNTIF(LISTS!$J$2:$J$16,TRIM($G913))&gt;0,"LEFT OUT","NEW")))</f>
        <v/>
      </c>
    </row>
    <row r="914" spans="47:47" x14ac:dyDescent="0.25">
      <c r="AU914" s="8" t="str">
        <f>IF(TRIM($G914)="","",IF(COUNTIF(LISTS!$I$2:$I$16,TRIM($G914))&gt;0,"COUNTED",IF(COUNTIF(LISTS!$J$2:$J$16,TRIM($G914))&gt;0,"LEFT OUT","NEW")))</f>
        <v/>
      </c>
    </row>
    <row r="915" spans="47:47" x14ac:dyDescent="0.25">
      <c r="AU915" s="8" t="str">
        <f>IF(TRIM($G915)="","",IF(COUNTIF(LISTS!$I$2:$I$16,TRIM($G915))&gt;0,"COUNTED",IF(COUNTIF(LISTS!$J$2:$J$16,TRIM($G915))&gt;0,"LEFT OUT","NEW")))</f>
        <v/>
      </c>
    </row>
    <row r="916" spans="47:47" x14ac:dyDescent="0.25">
      <c r="AU916" s="8" t="str">
        <f>IF(TRIM($G916)="","",IF(COUNTIF(LISTS!$I$2:$I$16,TRIM($G916))&gt;0,"COUNTED",IF(COUNTIF(LISTS!$J$2:$J$16,TRIM($G916))&gt;0,"LEFT OUT","NEW")))</f>
        <v/>
      </c>
    </row>
    <row r="917" spans="47:47" x14ac:dyDescent="0.25">
      <c r="AU917" s="8" t="str">
        <f>IF(TRIM($G917)="","",IF(COUNTIF(LISTS!$I$2:$I$16,TRIM($G917))&gt;0,"COUNTED",IF(COUNTIF(LISTS!$J$2:$J$16,TRIM($G917))&gt;0,"LEFT OUT","NEW")))</f>
        <v/>
      </c>
    </row>
    <row r="918" spans="47:47" x14ac:dyDescent="0.25">
      <c r="AU918" s="8" t="str">
        <f>IF(TRIM($G918)="","",IF(COUNTIF(LISTS!$I$2:$I$16,TRIM($G918))&gt;0,"COUNTED",IF(COUNTIF(LISTS!$J$2:$J$16,TRIM($G918))&gt;0,"LEFT OUT","NEW")))</f>
        <v/>
      </c>
    </row>
    <row r="919" spans="47:47" x14ac:dyDescent="0.25">
      <c r="AU919" s="8" t="str">
        <f>IF(TRIM($G919)="","",IF(COUNTIF(LISTS!$I$2:$I$16,TRIM($G919))&gt;0,"COUNTED",IF(COUNTIF(LISTS!$J$2:$J$16,TRIM($G919))&gt;0,"LEFT OUT","NEW")))</f>
        <v/>
      </c>
    </row>
    <row r="920" spans="47:47" x14ac:dyDescent="0.25">
      <c r="AU920" s="8" t="str">
        <f>IF(TRIM($G920)="","",IF(COUNTIF(LISTS!$I$2:$I$16,TRIM($G920))&gt;0,"COUNTED",IF(COUNTIF(LISTS!$J$2:$J$16,TRIM($G920))&gt;0,"LEFT OUT","NEW")))</f>
        <v/>
      </c>
    </row>
    <row r="921" spans="47:47" x14ac:dyDescent="0.25">
      <c r="AU921" s="8" t="str">
        <f>IF(TRIM($G921)="","",IF(COUNTIF(LISTS!$I$2:$I$16,TRIM($G921))&gt;0,"COUNTED",IF(COUNTIF(LISTS!$J$2:$J$16,TRIM($G921))&gt;0,"LEFT OUT","NEW")))</f>
        <v/>
      </c>
    </row>
    <row r="922" spans="47:47" x14ac:dyDescent="0.25">
      <c r="AU922" s="8" t="str">
        <f>IF(TRIM($G922)="","",IF(COUNTIF(LISTS!$I$2:$I$16,TRIM($G922))&gt;0,"COUNTED",IF(COUNTIF(LISTS!$J$2:$J$16,TRIM($G922))&gt;0,"LEFT OUT","NEW")))</f>
        <v/>
      </c>
    </row>
    <row r="923" spans="47:47" x14ac:dyDescent="0.25">
      <c r="AU923" s="8" t="str">
        <f>IF(TRIM($G923)="","",IF(COUNTIF(LISTS!$I$2:$I$16,TRIM($G923))&gt;0,"COUNTED",IF(COUNTIF(LISTS!$J$2:$J$16,TRIM($G923))&gt;0,"LEFT OUT","NEW")))</f>
        <v/>
      </c>
    </row>
    <row r="924" spans="47:47" x14ac:dyDescent="0.25">
      <c r="AU924" s="8" t="str">
        <f>IF(TRIM($G924)="","",IF(COUNTIF(LISTS!$I$2:$I$16,TRIM($G924))&gt;0,"COUNTED",IF(COUNTIF(LISTS!$J$2:$J$16,TRIM($G924))&gt;0,"LEFT OUT","NEW")))</f>
        <v/>
      </c>
    </row>
    <row r="925" spans="47:47" x14ac:dyDescent="0.25">
      <c r="AU925" s="8" t="str">
        <f>IF(TRIM($G925)="","",IF(COUNTIF(LISTS!$I$2:$I$16,TRIM($G925))&gt;0,"COUNTED",IF(COUNTIF(LISTS!$J$2:$J$16,TRIM($G925))&gt;0,"LEFT OUT","NEW")))</f>
        <v/>
      </c>
    </row>
    <row r="926" spans="47:47" x14ac:dyDescent="0.25">
      <c r="AU926" s="8" t="str">
        <f>IF(TRIM($G926)="","",IF(COUNTIF(LISTS!$I$2:$I$16,TRIM($G926))&gt;0,"COUNTED",IF(COUNTIF(LISTS!$J$2:$J$16,TRIM($G926))&gt;0,"LEFT OUT","NEW")))</f>
        <v/>
      </c>
    </row>
    <row r="927" spans="47:47" x14ac:dyDescent="0.25">
      <c r="AU927" s="8" t="str">
        <f>IF(TRIM($G927)="","",IF(COUNTIF(LISTS!$I$2:$I$16,TRIM($G927))&gt;0,"COUNTED",IF(COUNTIF(LISTS!$J$2:$J$16,TRIM($G927))&gt;0,"LEFT OUT","NEW")))</f>
        <v/>
      </c>
    </row>
    <row r="928" spans="47:47" x14ac:dyDescent="0.25">
      <c r="AU928" s="8" t="str">
        <f>IF(TRIM($G928)="","",IF(COUNTIF(LISTS!$I$2:$I$16,TRIM($G928))&gt;0,"COUNTED",IF(COUNTIF(LISTS!$J$2:$J$16,TRIM($G928))&gt;0,"LEFT OUT","NEW")))</f>
        <v/>
      </c>
    </row>
    <row r="929" spans="47:47" x14ac:dyDescent="0.25">
      <c r="AU929" s="8" t="str">
        <f>IF(TRIM($G929)="","",IF(COUNTIF(LISTS!$I$2:$I$16,TRIM($G929))&gt;0,"COUNTED",IF(COUNTIF(LISTS!$J$2:$J$16,TRIM($G929))&gt;0,"LEFT OUT","NEW")))</f>
        <v/>
      </c>
    </row>
    <row r="930" spans="47:47" x14ac:dyDescent="0.25">
      <c r="AU930" s="8" t="str">
        <f>IF(TRIM($G930)="","",IF(COUNTIF(LISTS!$I$2:$I$16,TRIM($G930))&gt;0,"COUNTED",IF(COUNTIF(LISTS!$J$2:$J$16,TRIM($G930))&gt;0,"LEFT OUT","NEW")))</f>
        <v/>
      </c>
    </row>
    <row r="931" spans="47:47" x14ac:dyDescent="0.25">
      <c r="AU931" s="8" t="str">
        <f>IF(TRIM($G931)="","",IF(COUNTIF(LISTS!$I$2:$I$16,TRIM($G931))&gt;0,"COUNTED",IF(COUNTIF(LISTS!$J$2:$J$16,TRIM($G931))&gt;0,"LEFT OUT","NEW")))</f>
        <v/>
      </c>
    </row>
    <row r="932" spans="47:47" x14ac:dyDescent="0.25">
      <c r="AU932" s="8" t="str">
        <f>IF(TRIM($G932)="","",IF(COUNTIF(LISTS!$I$2:$I$16,TRIM($G932))&gt;0,"COUNTED",IF(COUNTIF(LISTS!$J$2:$J$16,TRIM($G932))&gt;0,"LEFT OUT","NEW")))</f>
        <v/>
      </c>
    </row>
    <row r="933" spans="47:47" x14ac:dyDescent="0.25">
      <c r="AU933" s="8" t="str">
        <f>IF(TRIM($G933)="","",IF(COUNTIF(LISTS!$I$2:$I$16,TRIM($G933))&gt;0,"COUNTED",IF(COUNTIF(LISTS!$J$2:$J$16,TRIM($G933))&gt;0,"LEFT OUT","NEW")))</f>
        <v/>
      </c>
    </row>
    <row r="934" spans="47:47" x14ac:dyDescent="0.25">
      <c r="AU934" s="8" t="str">
        <f>IF(TRIM($G934)="","",IF(COUNTIF(LISTS!$I$2:$I$16,TRIM($G934))&gt;0,"COUNTED",IF(COUNTIF(LISTS!$J$2:$J$16,TRIM($G934))&gt;0,"LEFT OUT","NEW")))</f>
        <v/>
      </c>
    </row>
    <row r="935" spans="47:47" x14ac:dyDescent="0.25">
      <c r="AU935" s="8" t="str">
        <f>IF(TRIM($G935)="","",IF(COUNTIF(LISTS!$I$2:$I$16,TRIM($G935))&gt;0,"COUNTED",IF(COUNTIF(LISTS!$J$2:$J$16,TRIM($G935))&gt;0,"LEFT OUT","NEW")))</f>
        <v/>
      </c>
    </row>
    <row r="936" spans="47:47" x14ac:dyDescent="0.25">
      <c r="AU936" s="8" t="str">
        <f>IF(TRIM($G936)="","",IF(COUNTIF(LISTS!$I$2:$I$16,TRIM($G936))&gt;0,"COUNTED",IF(COUNTIF(LISTS!$J$2:$J$16,TRIM($G936))&gt;0,"LEFT OUT","NEW")))</f>
        <v/>
      </c>
    </row>
    <row r="937" spans="47:47" x14ac:dyDescent="0.25">
      <c r="AU937" s="8" t="str">
        <f>IF(TRIM($G937)="","",IF(COUNTIF(LISTS!$I$2:$I$16,TRIM($G937))&gt;0,"COUNTED",IF(COUNTIF(LISTS!$J$2:$J$16,TRIM($G937))&gt;0,"LEFT OUT","NEW")))</f>
        <v/>
      </c>
    </row>
    <row r="938" spans="47:47" x14ac:dyDescent="0.25">
      <c r="AU938" s="8" t="str">
        <f>IF(TRIM($G938)="","",IF(COUNTIF(LISTS!$I$2:$I$16,TRIM($G938))&gt;0,"COUNTED",IF(COUNTIF(LISTS!$J$2:$J$16,TRIM($G938))&gt;0,"LEFT OUT","NEW")))</f>
        <v/>
      </c>
    </row>
    <row r="939" spans="47:47" x14ac:dyDescent="0.25">
      <c r="AU939" s="8" t="str">
        <f>IF(TRIM($G939)="","",IF(COUNTIF(LISTS!$I$2:$I$16,TRIM($G939))&gt;0,"COUNTED",IF(COUNTIF(LISTS!$J$2:$J$16,TRIM($G939))&gt;0,"LEFT OUT","NEW")))</f>
        <v/>
      </c>
    </row>
    <row r="940" spans="47:47" x14ac:dyDescent="0.25">
      <c r="AU940" s="8" t="str">
        <f>IF(TRIM($G940)="","",IF(COUNTIF(LISTS!$I$2:$I$16,TRIM($G940))&gt;0,"COUNTED",IF(COUNTIF(LISTS!$J$2:$J$16,TRIM($G940))&gt;0,"LEFT OUT","NEW")))</f>
        <v/>
      </c>
    </row>
    <row r="941" spans="47:47" x14ac:dyDescent="0.25">
      <c r="AU941" s="8" t="str">
        <f>IF(TRIM($G941)="","",IF(COUNTIF(LISTS!$I$2:$I$16,TRIM($G941))&gt;0,"COUNTED",IF(COUNTIF(LISTS!$J$2:$J$16,TRIM($G941))&gt;0,"LEFT OUT","NEW")))</f>
        <v/>
      </c>
    </row>
    <row r="942" spans="47:47" x14ac:dyDescent="0.25">
      <c r="AU942" s="8" t="str">
        <f>IF(TRIM($G942)="","",IF(COUNTIF(LISTS!$I$2:$I$16,TRIM($G942))&gt;0,"COUNTED",IF(COUNTIF(LISTS!$J$2:$J$16,TRIM($G942))&gt;0,"LEFT OUT","NEW")))</f>
        <v/>
      </c>
    </row>
    <row r="943" spans="47:47" x14ac:dyDescent="0.25">
      <c r="AU943" s="8" t="str">
        <f>IF(TRIM($G943)="","",IF(COUNTIF(LISTS!$I$2:$I$16,TRIM($G943))&gt;0,"COUNTED",IF(COUNTIF(LISTS!$J$2:$J$16,TRIM($G943))&gt;0,"LEFT OUT","NEW")))</f>
        <v/>
      </c>
    </row>
    <row r="944" spans="47:47" x14ac:dyDescent="0.25">
      <c r="AU944" s="8" t="str">
        <f>IF(TRIM($G944)="","",IF(COUNTIF(LISTS!$I$2:$I$16,TRIM($G944))&gt;0,"COUNTED",IF(COUNTIF(LISTS!$J$2:$J$16,TRIM($G944))&gt;0,"LEFT OUT","NEW")))</f>
        <v/>
      </c>
    </row>
    <row r="945" spans="47:47" x14ac:dyDescent="0.25">
      <c r="AU945" s="8" t="str">
        <f>IF(TRIM($G945)="","",IF(COUNTIF(LISTS!$I$2:$I$16,TRIM($G945))&gt;0,"COUNTED",IF(COUNTIF(LISTS!$J$2:$J$16,TRIM($G945))&gt;0,"LEFT OUT","NEW")))</f>
        <v/>
      </c>
    </row>
    <row r="946" spans="47:47" x14ac:dyDescent="0.25">
      <c r="AU946" s="8" t="str">
        <f>IF(TRIM($G946)="","",IF(COUNTIF(LISTS!$I$2:$I$16,TRIM($G946))&gt;0,"COUNTED",IF(COUNTIF(LISTS!$J$2:$J$16,TRIM($G946))&gt;0,"LEFT OUT","NEW")))</f>
        <v/>
      </c>
    </row>
    <row r="947" spans="47:47" x14ac:dyDescent="0.25">
      <c r="AU947" s="8" t="str">
        <f>IF(TRIM($G947)="","",IF(COUNTIF(LISTS!$I$2:$I$16,TRIM($G947))&gt;0,"COUNTED",IF(COUNTIF(LISTS!$J$2:$J$16,TRIM($G947))&gt;0,"LEFT OUT","NEW")))</f>
        <v/>
      </c>
    </row>
    <row r="948" spans="47:47" x14ac:dyDescent="0.25">
      <c r="AU948" s="8" t="str">
        <f>IF(TRIM($G948)="","",IF(COUNTIF(LISTS!$I$2:$I$16,TRIM($G948))&gt;0,"COUNTED",IF(COUNTIF(LISTS!$J$2:$J$16,TRIM($G948))&gt;0,"LEFT OUT","NEW")))</f>
        <v/>
      </c>
    </row>
    <row r="949" spans="47:47" x14ac:dyDescent="0.25">
      <c r="AU949" s="8" t="str">
        <f>IF(TRIM($G949)="","",IF(COUNTIF(LISTS!$I$2:$I$16,TRIM($G949))&gt;0,"COUNTED",IF(COUNTIF(LISTS!$J$2:$J$16,TRIM($G949))&gt;0,"LEFT OUT","NEW")))</f>
        <v/>
      </c>
    </row>
    <row r="950" spans="47:47" x14ac:dyDescent="0.25">
      <c r="AU950" s="8" t="str">
        <f>IF(TRIM($G950)="","",IF(COUNTIF(LISTS!$I$2:$I$16,TRIM($G950))&gt;0,"COUNTED",IF(COUNTIF(LISTS!$J$2:$J$16,TRIM($G950))&gt;0,"LEFT OUT","NEW")))</f>
        <v/>
      </c>
    </row>
    <row r="951" spans="47:47" x14ac:dyDescent="0.25">
      <c r="AU951" s="8" t="str">
        <f>IF(TRIM($G951)="","",IF(COUNTIF(LISTS!$I$2:$I$16,TRIM($G951))&gt;0,"COUNTED",IF(COUNTIF(LISTS!$J$2:$J$16,TRIM($G951))&gt;0,"LEFT OUT","NEW")))</f>
        <v/>
      </c>
    </row>
    <row r="952" spans="47:47" x14ac:dyDescent="0.25">
      <c r="AU952" s="8" t="str">
        <f>IF(TRIM($G952)="","",IF(COUNTIF(LISTS!$I$2:$I$16,TRIM($G952))&gt;0,"COUNTED",IF(COUNTIF(LISTS!$J$2:$J$16,TRIM($G952))&gt;0,"LEFT OUT","NEW")))</f>
        <v/>
      </c>
    </row>
    <row r="953" spans="47:47" x14ac:dyDescent="0.25">
      <c r="AU953" s="8" t="str">
        <f>IF(TRIM($G953)="","",IF(COUNTIF(LISTS!$I$2:$I$16,TRIM($G953))&gt;0,"COUNTED",IF(COUNTIF(LISTS!$J$2:$J$16,TRIM($G953))&gt;0,"LEFT OUT","NEW")))</f>
        <v/>
      </c>
    </row>
    <row r="954" spans="47:47" x14ac:dyDescent="0.25">
      <c r="AU954" s="8" t="str">
        <f>IF(TRIM($G954)="","",IF(COUNTIF(LISTS!$I$2:$I$16,TRIM($G954))&gt;0,"COUNTED",IF(COUNTIF(LISTS!$J$2:$J$16,TRIM($G954))&gt;0,"LEFT OUT","NEW")))</f>
        <v/>
      </c>
    </row>
    <row r="955" spans="47:47" x14ac:dyDescent="0.25">
      <c r="AU955" s="8" t="str">
        <f>IF(TRIM($G955)="","",IF(COUNTIF(LISTS!$I$2:$I$16,TRIM($G955))&gt;0,"COUNTED",IF(COUNTIF(LISTS!$J$2:$J$16,TRIM($G955))&gt;0,"LEFT OUT","NEW")))</f>
        <v/>
      </c>
    </row>
    <row r="956" spans="47:47" x14ac:dyDescent="0.25">
      <c r="AU956" s="8" t="str">
        <f>IF(TRIM($G956)="","",IF(COUNTIF(LISTS!$I$2:$I$16,TRIM($G956))&gt;0,"COUNTED",IF(COUNTIF(LISTS!$J$2:$J$16,TRIM($G956))&gt;0,"LEFT OUT","NEW")))</f>
        <v/>
      </c>
    </row>
    <row r="957" spans="47:47" x14ac:dyDescent="0.25">
      <c r="AU957" s="8" t="str">
        <f>IF(TRIM($G957)="","",IF(COUNTIF(LISTS!$I$2:$I$16,TRIM($G957))&gt;0,"COUNTED",IF(COUNTIF(LISTS!$J$2:$J$16,TRIM($G957))&gt;0,"LEFT OUT","NEW")))</f>
        <v/>
      </c>
    </row>
    <row r="958" spans="47:47" x14ac:dyDescent="0.25">
      <c r="AU958" s="8" t="str">
        <f>IF(TRIM($G958)="","",IF(COUNTIF(LISTS!$I$2:$I$16,TRIM($G958))&gt;0,"COUNTED",IF(COUNTIF(LISTS!$J$2:$J$16,TRIM($G958))&gt;0,"LEFT OUT","NEW")))</f>
        <v/>
      </c>
    </row>
    <row r="959" spans="47:47" x14ac:dyDescent="0.25">
      <c r="AU959" s="8" t="str">
        <f>IF(TRIM($G959)="","",IF(COUNTIF(LISTS!$I$2:$I$16,TRIM($G959))&gt;0,"COUNTED",IF(COUNTIF(LISTS!$J$2:$J$16,TRIM($G959))&gt;0,"LEFT OUT","NEW")))</f>
        <v/>
      </c>
    </row>
    <row r="960" spans="47:47" x14ac:dyDescent="0.25">
      <c r="AU960" s="8" t="str">
        <f>IF(TRIM($G960)="","",IF(COUNTIF(LISTS!$I$2:$I$16,TRIM($G960))&gt;0,"COUNTED",IF(COUNTIF(LISTS!$J$2:$J$16,TRIM($G960))&gt;0,"LEFT OUT","NEW")))</f>
        <v/>
      </c>
    </row>
    <row r="961" spans="47:47" x14ac:dyDescent="0.25">
      <c r="AU961" s="8" t="str">
        <f>IF(TRIM($G961)="","",IF(COUNTIF(LISTS!$I$2:$I$16,TRIM($G961))&gt;0,"COUNTED",IF(COUNTIF(LISTS!$J$2:$J$16,TRIM($G961))&gt;0,"LEFT OUT","NEW")))</f>
        <v/>
      </c>
    </row>
    <row r="962" spans="47:47" x14ac:dyDescent="0.25">
      <c r="AU962" s="8" t="str">
        <f>IF(TRIM($G962)="","",IF(COUNTIF(LISTS!$I$2:$I$16,TRIM($G962))&gt;0,"COUNTED",IF(COUNTIF(LISTS!$J$2:$J$16,TRIM($G962))&gt;0,"LEFT OUT","NEW")))</f>
        <v/>
      </c>
    </row>
    <row r="963" spans="47:47" x14ac:dyDescent="0.25">
      <c r="AU963" s="8" t="str">
        <f>IF(TRIM($G963)="","",IF(COUNTIF(LISTS!$I$2:$I$16,TRIM($G963))&gt;0,"COUNTED",IF(COUNTIF(LISTS!$J$2:$J$16,TRIM($G963))&gt;0,"LEFT OUT","NEW")))</f>
        <v/>
      </c>
    </row>
    <row r="964" spans="47:47" x14ac:dyDescent="0.25">
      <c r="AU964" s="8" t="str">
        <f>IF(TRIM($G964)="","",IF(COUNTIF(LISTS!$I$2:$I$16,TRIM($G964))&gt;0,"COUNTED",IF(COUNTIF(LISTS!$J$2:$J$16,TRIM($G964))&gt;0,"LEFT OUT","NEW")))</f>
        <v/>
      </c>
    </row>
    <row r="965" spans="47:47" x14ac:dyDescent="0.25">
      <c r="AU965" s="8" t="str">
        <f>IF(TRIM($G965)="","",IF(COUNTIF(LISTS!$I$2:$I$16,TRIM($G965))&gt;0,"COUNTED",IF(COUNTIF(LISTS!$J$2:$J$16,TRIM($G965))&gt;0,"LEFT OUT","NEW")))</f>
        <v/>
      </c>
    </row>
    <row r="966" spans="47:47" x14ac:dyDescent="0.25">
      <c r="AU966" s="8" t="str">
        <f>IF(TRIM($G966)="","",IF(COUNTIF(LISTS!$I$2:$I$16,TRIM($G966))&gt;0,"COUNTED",IF(COUNTIF(LISTS!$J$2:$J$16,TRIM($G966))&gt;0,"LEFT OUT","NEW")))</f>
        <v/>
      </c>
    </row>
    <row r="967" spans="47:47" x14ac:dyDescent="0.25">
      <c r="AU967" s="8" t="str">
        <f>IF(TRIM($G967)="","",IF(COUNTIF(LISTS!$I$2:$I$16,TRIM($G967))&gt;0,"COUNTED",IF(COUNTIF(LISTS!$J$2:$J$16,TRIM($G967))&gt;0,"LEFT OUT","NEW")))</f>
        <v/>
      </c>
    </row>
    <row r="968" spans="47:47" x14ac:dyDescent="0.25">
      <c r="AU968" s="8" t="str">
        <f>IF(TRIM($G968)="","",IF(COUNTIF(LISTS!$I$2:$I$16,TRIM($G968))&gt;0,"COUNTED",IF(COUNTIF(LISTS!$J$2:$J$16,TRIM($G968))&gt;0,"LEFT OUT","NEW")))</f>
        <v/>
      </c>
    </row>
    <row r="969" spans="47:47" x14ac:dyDescent="0.25">
      <c r="AU969" s="8" t="str">
        <f>IF(TRIM($G969)="","",IF(COUNTIF(LISTS!$I$2:$I$16,TRIM($G969))&gt;0,"COUNTED",IF(COUNTIF(LISTS!$J$2:$J$16,TRIM($G969))&gt;0,"LEFT OUT","NEW")))</f>
        <v/>
      </c>
    </row>
    <row r="970" spans="47:47" x14ac:dyDescent="0.25">
      <c r="AU970" s="8" t="str">
        <f>IF(TRIM($G970)="","",IF(COUNTIF(LISTS!$I$2:$I$16,TRIM($G970))&gt;0,"COUNTED",IF(COUNTIF(LISTS!$J$2:$J$16,TRIM($G970))&gt;0,"LEFT OUT","NEW")))</f>
        <v/>
      </c>
    </row>
    <row r="971" spans="47:47" x14ac:dyDescent="0.25">
      <c r="AU971" s="8" t="str">
        <f>IF(TRIM($G971)="","",IF(COUNTIF(LISTS!$I$2:$I$16,TRIM($G971))&gt;0,"COUNTED",IF(COUNTIF(LISTS!$J$2:$J$16,TRIM($G971))&gt;0,"LEFT OUT","NEW")))</f>
        <v/>
      </c>
    </row>
    <row r="972" spans="47:47" x14ac:dyDescent="0.25">
      <c r="AU972" s="8" t="str">
        <f>IF(TRIM($G972)="","",IF(COUNTIF(LISTS!$I$2:$I$16,TRIM($G972))&gt;0,"COUNTED",IF(COUNTIF(LISTS!$J$2:$J$16,TRIM($G972))&gt;0,"LEFT OUT","NEW")))</f>
        <v/>
      </c>
    </row>
    <row r="973" spans="47:47" x14ac:dyDescent="0.25">
      <c r="AU973" s="8" t="str">
        <f>IF(TRIM($G973)="","",IF(COUNTIF(LISTS!$I$2:$I$16,TRIM($G973))&gt;0,"COUNTED",IF(COUNTIF(LISTS!$J$2:$J$16,TRIM($G973))&gt;0,"LEFT OUT","NEW")))</f>
        <v/>
      </c>
    </row>
    <row r="974" spans="47:47" x14ac:dyDescent="0.25">
      <c r="AU974" s="8" t="str">
        <f>IF(TRIM($G974)="","",IF(COUNTIF(LISTS!$I$2:$I$16,TRIM($G974))&gt;0,"COUNTED",IF(COUNTIF(LISTS!$J$2:$J$16,TRIM($G974))&gt;0,"LEFT OUT","NEW")))</f>
        <v/>
      </c>
    </row>
    <row r="975" spans="47:47" x14ac:dyDescent="0.25">
      <c r="AU975" s="8" t="str">
        <f>IF(TRIM($G975)="","",IF(COUNTIF(LISTS!$I$2:$I$16,TRIM($G975))&gt;0,"COUNTED",IF(COUNTIF(LISTS!$J$2:$J$16,TRIM($G975))&gt;0,"LEFT OUT","NEW")))</f>
        <v/>
      </c>
    </row>
    <row r="976" spans="47:47" x14ac:dyDescent="0.25">
      <c r="AU976" s="8" t="str">
        <f>IF(TRIM($G976)="","",IF(COUNTIF(LISTS!$I$2:$I$16,TRIM($G976))&gt;0,"COUNTED",IF(COUNTIF(LISTS!$J$2:$J$16,TRIM($G976))&gt;0,"LEFT OUT","NEW")))</f>
        <v/>
      </c>
    </row>
    <row r="977" spans="47:47" x14ac:dyDescent="0.25">
      <c r="AU977" s="8" t="str">
        <f>IF(TRIM($G977)="","",IF(COUNTIF(LISTS!$I$2:$I$16,TRIM($G977))&gt;0,"COUNTED",IF(COUNTIF(LISTS!$J$2:$J$16,TRIM($G977))&gt;0,"LEFT OUT","NEW")))</f>
        <v/>
      </c>
    </row>
    <row r="978" spans="47:47" x14ac:dyDescent="0.25">
      <c r="AU978" s="8" t="str">
        <f>IF(TRIM($G978)="","",IF(COUNTIF(LISTS!$I$2:$I$16,TRIM($G978))&gt;0,"COUNTED",IF(COUNTIF(LISTS!$J$2:$J$16,TRIM($G978))&gt;0,"LEFT OUT","NEW")))</f>
        <v/>
      </c>
    </row>
    <row r="979" spans="47:47" x14ac:dyDescent="0.25">
      <c r="AU979" s="8" t="str">
        <f>IF(TRIM($G979)="","",IF(COUNTIF(LISTS!$I$2:$I$16,TRIM($G979))&gt;0,"COUNTED",IF(COUNTIF(LISTS!$J$2:$J$16,TRIM($G979))&gt;0,"LEFT OUT","NEW")))</f>
        <v/>
      </c>
    </row>
    <row r="980" spans="47:47" x14ac:dyDescent="0.25">
      <c r="AU980" s="8" t="str">
        <f>IF(TRIM($G980)="","",IF(COUNTIF(LISTS!$I$2:$I$16,TRIM($G980))&gt;0,"COUNTED",IF(COUNTIF(LISTS!$J$2:$J$16,TRIM($G980))&gt;0,"LEFT OUT","NEW")))</f>
        <v/>
      </c>
    </row>
    <row r="981" spans="47:47" x14ac:dyDescent="0.25">
      <c r="AU981" s="8" t="str">
        <f>IF(TRIM($G981)="","",IF(COUNTIF(LISTS!$I$2:$I$16,TRIM($G981))&gt;0,"COUNTED",IF(COUNTIF(LISTS!$J$2:$J$16,TRIM($G981))&gt;0,"LEFT OUT","NEW")))</f>
        <v/>
      </c>
    </row>
    <row r="982" spans="47:47" x14ac:dyDescent="0.25">
      <c r="AU982" s="8" t="str">
        <f>IF(TRIM($G982)="","",IF(COUNTIF(LISTS!$I$2:$I$16,TRIM($G982))&gt;0,"COUNTED",IF(COUNTIF(LISTS!$J$2:$J$16,TRIM($G982))&gt;0,"LEFT OUT","NEW")))</f>
        <v/>
      </c>
    </row>
    <row r="983" spans="47:47" x14ac:dyDescent="0.25">
      <c r="AU983" s="8" t="str">
        <f>IF(TRIM($G983)="","",IF(COUNTIF(LISTS!$I$2:$I$16,TRIM($G983))&gt;0,"COUNTED",IF(COUNTIF(LISTS!$J$2:$J$16,TRIM($G983))&gt;0,"LEFT OUT","NEW")))</f>
        <v/>
      </c>
    </row>
    <row r="984" spans="47:47" x14ac:dyDescent="0.25">
      <c r="AU984" s="8" t="str">
        <f>IF(TRIM($G984)="","",IF(COUNTIF(LISTS!$I$2:$I$16,TRIM($G984))&gt;0,"COUNTED",IF(COUNTIF(LISTS!$J$2:$J$16,TRIM($G984))&gt;0,"LEFT OUT","NEW")))</f>
        <v/>
      </c>
    </row>
    <row r="985" spans="47:47" x14ac:dyDescent="0.25">
      <c r="AU985" s="8" t="str">
        <f>IF(TRIM($G985)="","",IF(COUNTIF(LISTS!$I$2:$I$16,TRIM($G985))&gt;0,"COUNTED",IF(COUNTIF(LISTS!$J$2:$J$16,TRIM($G985))&gt;0,"LEFT OUT","NEW")))</f>
        <v/>
      </c>
    </row>
    <row r="986" spans="47:47" x14ac:dyDescent="0.25">
      <c r="AU986" s="8" t="str">
        <f>IF(TRIM($G986)="","",IF(COUNTIF(LISTS!$I$2:$I$16,TRIM($G986))&gt;0,"COUNTED",IF(COUNTIF(LISTS!$J$2:$J$16,TRIM($G986))&gt;0,"LEFT OUT","NEW")))</f>
        <v/>
      </c>
    </row>
    <row r="987" spans="47:47" x14ac:dyDescent="0.25">
      <c r="AU987" s="8" t="str">
        <f>IF(TRIM($G987)="","",IF(COUNTIF(LISTS!$I$2:$I$16,TRIM($G987))&gt;0,"COUNTED",IF(COUNTIF(LISTS!$J$2:$J$16,TRIM($G987))&gt;0,"LEFT OUT","NEW")))</f>
        <v/>
      </c>
    </row>
    <row r="988" spans="47:47" x14ac:dyDescent="0.25">
      <c r="AU988" s="8" t="str">
        <f>IF(TRIM($G988)="","",IF(COUNTIF(LISTS!$I$2:$I$16,TRIM($G988))&gt;0,"COUNTED",IF(COUNTIF(LISTS!$J$2:$J$16,TRIM($G988))&gt;0,"LEFT OUT","NEW")))</f>
        <v/>
      </c>
    </row>
    <row r="989" spans="47:47" x14ac:dyDescent="0.25">
      <c r="AU989" s="8" t="str">
        <f>IF(TRIM($G989)="","",IF(COUNTIF(LISTS!$I$2:$I$16,TRIM($G989))&gt;0,"COUNTED",IF(COUNTIF(LISTS!$J$2:$J$16,TRIM($G989))&gt;0,"LEFT OUT","NEW")))</f>
        <v/>
      </c>
    </row>
    <row r="990" spans="47:47" x14ac:dyDescent="0.25">
      <c r="AU990" s="8" t="str">
        <f>IF(TRIM($G990)="","",IF(COUNTIF(LISTS!$I$2:$I$16,TRIM($G990))&gt;0,"COUNTED",IF(COUNTIF(LISTS!$J$2:$J$16,TRIM($G990))&gt;0,"LEFT OUT","NEW")))</f>
        <v/>
      </c>
    </row>
    <row r="991" spans="47:47" x14ac:dyDescent="0.25">
      <c r="AU991" s="8" t="str">
        <f>IF(TRIM($G991)="","",IF(COUNTIF(LISTS!$I$2:$I$16,TRIM($G991))&gt;0,"COUNTED",IF(COUNTIF(LISTS!$J$2:$J$16,TRIM($G991))&gt;0,"LEFT OUT","NEW")))</f>
        <v/>
      </c>
    </row>
    <row r="992" spans="47:47" x14ac:dyDescent="0.25">
      <c r="AU992" s="8" t="str">
        <f>IF(TRIM($G992)="","",IF(COUNTIF(LISTS!$I$2:$I$16,TRIM($G992))&gt;0,"COUNTED",IF(COUNTIF(LISTS!$J$2:$J$16,TRIM($G992))&gt;0,"LEFT OUT","NEW")))</f>
        <v/>
      </c>
    </row>
    <row r="993" spans="47:47" x14ac:dyDescent="0.25">
      <c r="AU993" s="8" t="str">
        <f>IF(TRIM($G993)="","",IF(COUNTIF(LISTS!$I$2:$I$16,TRIM($G993))&gt;0,"COUNTED",IF(COUNTIF(LISTS!$J$2:$J$16,TRIM($G993))&gt;0,"LEFT OUT","NEW")))</f>
        <v/>
      </c>
    </row>
    <row r="994" spans="47:47" x14ac:dyDescent="0.25">
      <c r="AU994" s="8" t="str">
        <f>IF(TRIM($G994)="","",IF(COUNTIF(LISTS!$I$2:$I$16,TRIM($G994))&gt;0,"COUNTED",IF(COUNTIF(LISTS!$J$2:$J$16,TRIM($G994))&gt;0,"LEFT OUT","NEW")))</f>
        <v/>
      </c>
    </row>
    <row r="995" spans="47:47" x14ac:dyDescent="0.25">
      <c r="AU995" s="8" t="str">
        <f>IF(TRIM($G995)="","",IF(COUNTIF(LISTS!$I$2:$I$16,TRIM($G995))&gt;0,"COUNTED",IF(COUNTIF(LISTS!$J$2:$J$16,TRIM($G995))&gt;0,"LEFT OUT","NEW")))</f>
        <v/>
      </c>
    </row>
    <row r="996" spans="47:47" x14ac:dyDescent="0.25">
      <c r="AU996" s="8" t="str">
        <f>IF(TRIM($G996)="","",IF(COUNTIF(LISTS!$I$2:$I$16,TRIM($G996))&gt;0,"COUNTED",IF(COUNTIF(LISTS!$J$2:$J$16,TRIM($G996))&gt;0,"LEFT OUT","NEW")))</f>
        <v/>
      </c>
    </row>
    <row r="997" spans="47:47" x14ac:dyDescent="0.25">
      <c r="AU997" s="8" t="str">
        <f>IF(TRIM($G997)="","",IF(COUNTIF(LISTS!$I$2:$I$16,TRIM($G997))&gt;0,"COUNTED",IF(COUNTIF(LISTS!$J$2:$J$16,TRIM($G997))&gt;0,"LEFT OUT","NEW")))</f>
        <v/>
      </c>
    </row>
    <row r="998" spans="47:47" x14ac:dyDescent="0.25">
      <c r="AU998" s="8" t="str">
        <f>IF(TRIM($G998)="","",IF(COUNTIF(LISTS!$I$2:$I$16,TRIM($G998))&gt;0,"COUNTED",IF(COUNTIF(LISTS!$J$2:$J$16,TRIM($G998))&gt;0,"LEFT OUT","NEW")))</f>
        <v/>
      </c>
    </row>
    <row r="999" spans="47:47" x14ac:dyDescent="0.25">
      <c r="AU999" s="8" t="str">
        <f>IF(TRIM($G999)="","",IF(COUNTIF(LISTS!$I$2:$I$16,TRIM($G999))&gt;0,"COUNTED",IF(COUNTIF(LISTS!$J$2:$J$16,TRIM($G999))&gt;0,"LEFT OUT","NEW")))</f>
        <v/>
      </c>
    </row>
    <row r="1000" spans="47:47" x14ac:dyDescent="0.25">
      <c r="AU1000" s="8" t="str">
        <f>IF(TRIM($G1000)="","",IF(COUNTIF(LISTS!$I$2:$I$16,TRIM($G1000))&gt;0,"COUNTED",IF(COUNTIF(LISTS!$J$2:$J$16,TRIM($G1000))&gt;0,"LEFT OUT","NEW")))</f>
        <v/>
      </c>
    </row>
    <row r="1001" spans="47:47" x14ac:dyDescent="0.25">
      <c r="AU1001" s="8" t="str">
        <f>IF(TRIM($G1001)="","",IF(COUNTIF(LISTS!$I$2:$I$16,TRIM($G1001))&gt;0,"COUNTED",IF(COUNTIF(LISTS!$J$2:$J$16,TRIM($G1001))&gt;0,"LEFT OUT","NEW")))</f>
        <v/>
      </c>
    </row>
    <row r="1002" spans="47:47" x14ac:dyDescent="0.25">
      <c r="AU1002" s="8" t="str">
        <f>IF(TRIM($G1002)="","",IF(COUNTIF(LISTS!$I$2:$I$16,TRIM($G1002))&gt;0,"COUNTED",IF(COUNTIF(LISTS!$J$2:$J$16,TRIM($G1002))&gt;0,"LEFT OUT","NEW")))</f>
        <v/>
      </c>
    </row>
    <row r="1003" spans="47:47" x14ac:dyDescent="0.25">
      <c r="AU1003" s="8" t="str">
        <f>IF(TRIM($G1003)="","",IF(COUNTIF(LISTS!$I$2:$I$16,TRIM($G1003))&gt;0,"COUNTED",IF(COUNTIF(LISTS!$J$2:$J$16,TRIM($G1003))&gt;0,"LEFT OUT","NEW")))</f>
        <v/>
      </c>
    </row>
    <row r="1004" spans="47:47" x14ac:dyDescent="0.25">
      <c r="AU1004" s="8" t="str">
        <f>IF(TRIM($G1004)="","",IF(COUNTIF(LISTS!$I$2:$I$16,TRIM($G1004))&gt;0,"COUNTED",IF(COUNTIF(LISTS!$J$2:$J$16,TRIM($G1004))&gt;0,"LEFT OUT","NEW")))</f>
        <v/>
      </c>
    </row>
    <row r="1005" spans="47:47" x14ac:dyDescent="0.25">
      <c r="AU1005" s="8" t="str">
        <f>IF(TRIM($G1005)="","",IF(COUNTIF(LISTS!$I$2:$I$16,TRIM($G1005))&gt;0,"COUNTED",IF(COUNTIF(LISTS!$J$2:$J$16,TRIM($G1005))&gt;0,"LEFT OUT","NEW")))</f>
        <v/>
      </c>
    </row>
    <row r="1006" spans="47:47" x14ac:dyDescent="0.25">
      <c r="AU1006" s="8" t="str">
        <f>IF(TRIM($G1006)="","",IF(COUNTIF(LISTS!$I$2:$I$16,TRIM($G1006))&gt;0,"COUNTED",IF(COUNTIF(LISTS!$J$2:$J$16,TRIM($G1006))&gt;0,"LEFT OUT","NEW")))</f>
        <v/>
      </c>
    </row>
    <row r="1007" spans="47:47" x14ac:dyDescent="0.25">
      <c r="AU1007" s="8" t="str">
        <f>IF(TRIM($G1007)="","",IF(COUNTIF(LISTS!$I$2:$I$16,TRIM($G1007))&gt;0,"COUNTED",IF(COUNTIF(LISTS!$J$2:$J$16,TRIM($G1007))&gt;0,"LEFT OUT","NEW")))</f>
        <v/>
      </c>
    </row>
    <row r="1008" spans="47:47" x14ac:dyDescent="0.25">
      <c r="AU1008" s="8" t="str">
        <f>IF(TRIM($G1008)="","",IF(COUNTIF(LISTS!$I$2:$I$16,TRIM($G1008))&gt;0,"COUNTED",IF(COUNTIF(LISTS!$J$2:$J$16,TRIM($G1008))&gt;0,"LEFT OUT","NEW")))</f>
        <v/>
      </c>
    </row>
    <row r="1009" spans="47:47" x14ac:dyDescent="0.25">
      <c r="AU1009" s="8" t="str">
        <f>IF(TRIM($G1009)="","",IF(COUNTIF(LISTS!$I$2:$I$16,TRIM($G1009))&gt;0,"COUNTED",IF(COUNTIF(LISTS!$J$2:$J$16,TRIM($G1009))&gt;0,"LEFT OUT","NEW")))</f>
        <v/>
      </c>
    </row>
    <row r="1010" spans="47:47" x14ac:dyDescent="0.25">
      <c r="AU1010" s="8" t="str">
        <f>IF(TRIM($G1010)="","",IF(COUNTIF(LISTS!$I$2:$I$16,TRIM($G1010))&gt;0,"COUNTED",IF(COUNTIF(LISTS!$J$2:$J$16,TRIM($G1010))&gt;0,"LEFT OUT","NEW")))</f>
        <v/>
      </c>
    </row>
    <row r="1011" spans="47:47" x14ac:dyDescent="0.25">
      <c r="AU1011" s="8" t="str">
        <f>IF(TRIM($G1011)="","",IF(COUNTIF(LISTS!$I$2:$I$16,TRIM($G1011))&gt;0,"COUNTED",IF(COUNTIF(LISTS!$J$2:$J$16,TRIM($G1011))&gt;0,"LEFT OUT","NEW")))</f>
        <v/>
      </c>
    </row>
    <row r="1012" spans="47:47" x14ac:dyDescent="0.25">
      <c r="AU1012" s="8" t="str">
        <f>IF(TRIM($G1012)="","",IF(COUNTIF(LISTS!$I$2:$I$16,TRIM($G1012))&gt;0,"COUNTED",IF(COUNTIF(LISTS!$J$2:$J$16,TRIM($G1012))&gt;0,"LEFT OUT","NEW")))</f>
        <v/>
      </c>
    </row>
    <row r="1013" spans="47:47" x14ac:dyDescent="0.25">
      <c r="AU1013" s="8" t="str">
        <f>IF(TRIM($G1013)="","",IF(COUNTIF(LISTS!$I$2:$I$16,TRIM($G1013))&gt;0,"COUNTED",IF(COUNTIF(LISTS!$J$2:$J$16,TRIM($G1013))&gt;0,"LEFT OUT","NEW")))</f>
        <v/>
      </c>
    </row>
    <row r="1014" spans="47:47" x14ac:dyDescent="0.25">
      <c r="AU1014" s="8" t="str">
        <f>IF(TRIM($G1014)="","",IF(COUNTIF(LISTS!$I$2:$I$16,TRIM($G1014))&gt;0,"COUNTED",IF(COUNTIF(LISTS!$J$2:$J$16,TRIM($G1014))&gt;0,"LEFT OUT","NEW")))</f>
        <v/>
      </c>
    </row>
    <row r="1015" spans="47:47" x14ac:dyDescent="0.25">
      <c r="AU1015" s="8" t="str">
        <f>IF(TRIM($G1015)="","",IF(COUNTIF(LISTS!$I$2:$I$16,TRIM($G1015))&gt;0,"COUNTED",IF(COUNTIF(LISTS!$J$2:$J$16,TRIM($G1015))&gt;0,"LEFT OUT","NEW")))</f>
        <v/>
      </c>
    </row>
    <row r="1016" spans="47:47" x14ac:dyDescent="0.25">
      <c r="AU1016" s="8" t="str">
        <f>IF(TRIM($G1016)="","",IF(COUNTIF(LISTS!$I$2:$I$16,TRIM($G1016))&gt;0,"COUNTED",IF(COUNTIF(LISTS!$J$2:$J$16,TRIM($G1016))&gt;0,"LEFT OUT","NEW")))</f>
        <v/>
      </c>
    </row>
    <row r="1017" spans="47:47" x14ac:dyDescent="0.25">
      <c r="AU1017" s="8" t="str">
        <f>IF(TRIM($G1017)="","",IF(COUNTIF(LISTS!$I$2:$I$16,TRIM($G1017))&gt;0,"COUNTED",IF(COUNTIF(LISTS!$J$2:$J$16,TRIM($G1017))&gt;0,"LEFT OUT","NEW")))</f>
        <v/>
      </c>
    </row>
    <row r="1018" spans="47:47" x14ac:dyDescent="0.25">
      <c r="AU1018" s="8" t="str">
        <f>IF(TRIM($G1018)="","",IF(COUNTIF(LISTS!$I$2:$I$16,TRIM($G1018))&gt;0,"COUNTED",IF(COUNTIF(LISTS!$J$2:$J$16,TRIM($G1018))&gt;0,"LEFT OUT","NEW")))</f>
        <v/>
      </c>
    </row>
    <row r="1019" spans="47:47" x14ac:dyDescent="0.25">
      <c r="AU1019" s="8" t="str">
        <f>IF(TRIM($G1019)="","",IF(COUNTIF(LISTS!$I$2:$I$16,TRIM($G1019))&gt;0,"COUNTED",IF(COUNTIF(LISTS!$J$2:$J$16,TRIM($G1019))&gt;0,"LEFT OUT","NEW")))</f>
        <v/>
      </c>
    </row>
    <row r="1020" spans="47:47" x14ac:dyDescent="0.25">
      <c r="AU1020" s="8" t="str">
        <f>IF(TRIM($G1020)="","",IF(COUNTIF(LISTS!$I$2:$I$16,TRIM($G1020))&gt;0,"COUNTED",IF(COUNTIF(LISTS!$J$2:$J$16,TRIM($G1020))&gt;0,"LEFT OUT","NEW")))</f>
        <v/>
      </c>
    </row>
    <row r="1021" spans="47:47" x14ac:dyDescent="0.25">
      <c r="AU1021" s="8" t="str">
        <f>IF(TRIM($G1021)="","",IF(COUNTIF(LISTS!$I$2:$I$16,TRIM($G1021))&gt;0,"COUNTED",IF(COUNTIF(LISTS!$J$2:$J$16,TRIM($G1021))&gt;0,"LEFT OUT","NEW")))</f>
        <v/>
      </c>
    </row>
    <row r="1022" spans="47:47" x14ac:dyDescent="0.25">
      <c r="AU1022" s="8" t="str">
        <f>IF(TRIM($G1022)="","",IF(COUNTIF(LISTS!$I$2:$I$16,TRIM($G1022))&gt;0,"COUNTED",IF(COUNTIF(LISTS!$J$2:$J$16,TRIM($G1022))&gt;0,"LEFT OUT","NEW")))</f>
        <v/>
      </c>
    </row>
    <row r="1023" spans="47:47" x14ac:dyDescent="0.25">
      <c r="AU1023" s="8" t="str">
        <f>IF(TRIM($G1023)="","",IF(COUNTIF(LISTS!$I$2:$I$16,TRIM($G1023))&gt;0,"COUNTED",IF(COUNTIF(LISTS!$J$2:$J$16,TRIM($G1023))&gt;0,"LEFT OUT","NEW")))</f>
        <v/>
      </c>
    </row>
    <row r="1024" spans="47:47" x14ac:dyDescent="0.25">
      <c r="AU1024" s="8" t="str">
        <f>IF(TRIM($G1024)="","",IF(COUNTIF(LISTS!$I$2:$I$16,TRIM($G1024))&gt;0,"COUNTED",IF(COUNTIF(LISTS!$J$2:$J$16,TRIM($G1024))&gt;0,"LEFT OUT","NEW")))</f>
        <v/>
      </c>
    </row>
    <row r="1025" spans="47:47" x14ac:dyDescent="0.25">
      <c r="AU1025" s="8" t="str">
        <f>IF(TRIM($G1025)="","",IF(COUNTIF(LISTS!$I$2:$I$16,TRIM($G1025))&gt;0,"COUNTED",IF(COUNTIF(LISTS!$J$2:$J$16,TRIM($G1025))&gt;0,"LEFT OUT","NEW")))</f>
        <v/>
      </c>
    </row>
    <row r="1026" spans="47:47" x14ac:dyDescent="0.25">
      <c r="AU1026" s="8" t="str">
        <f>IF(TRIM($G1026)="","",IF(COUNTIF(LISTS!$I$2:$I$16,TRIM($G1026))&gt;0,"COUNTED",IF(COUNTIF(LISTS!$J$2:$J$16,TRIM($G1026))&gt;0,"LEFT OUT","NEW")))</f>
        <v/>
      </c>
    </row>
    <row r="1027" spans="47:47" x14ac:dyDescent="0.25">
      <c r="AU1027" s="8" t="str">
        <f>IF(TRIM($G1027)="","",IF(COUNTIF(LISTS!$I$2:$I$16,TRIM($G1027))&gt;0,"COUNTED",IF(COUNTIF(LISTS!$J$2:$J$16,TRIM($G1027))&gt;0,"LEFT OUT","NEW")))</f>
        <v/>
      </c>
    </row>
    <row r="1028" spans="47:47" x14ac:dyDescent="0.25">
      <c r="AU1028" s="8" t="str">
        <f>IF(TRIM($G1028)="","",IF(COUNTIF(LISTS!$I$2:$I$16,TRIM($G1028))&gt;0,"COUNTED",IF(COUNTIF(LISTS!$J$2:$J$16,TRIM($G1028))&gt;0,"LEFT OUT","NEW")))</f>
        <v/>
      </c>
    </row>
    <row r="1029" spans="47:47" x14ac:dyDescent="0.25">
      <c r="AU1029" s="8" t="str">
        <f>IF(TRIM($G1029)="","",IF(COUNTIF(LISTS!$I$2:$I$16,TRIM($G1029))&gt;0,"COUNTED",IF(COUNTIF(LISTS!$J$2:$J$16,TRIM($G1029))&gt;0,"LEFT OUT","NEW")))</f>
        <v/>
      </c>
    </row>
    <row r="1030" spans="47:47" x14ac:dyDescent="0.25">
      <c r="AU1030" s="8" t="str">
        <f>IF(TRIM($G1030)="","",IF(COUNTIF(LISTS!$I$2:$I$16,TRIM($G1030))&gt;0,"COUNTED",IF(COUNTIF(LISTS!$J$2:$J$16,TRIM($G1030))&gt;0,"LEFT OUT","NEW")))</f>
        <v/>
      </c>
    </row>
    <row r="1031" spans="47:47" x14ac:dyDescent="0.25">
      <c r="AU1031" s="8" t="str">
        <f>IF(TRIM($G1031)="","",IF(COUNTIF(LISTS!$I$2:$I$16,TRIM($G1031))&gt;0,"COUNTED",IF(COUNTIF(LISTS!$J$2:$J$16,TRIM($G1031))&gt;0,"LEFT OUT","NEW")))</f>
        <v/>
      </c>
    </row>
    <row r="1032" spans="47:47" x14ac:dyDescent="0.25">
      <c r="AU1032" s="8" t="str">
        <f>IF(TRIM($G1032)="","",IF(COUNTIF(LISTS!$I$2:$I$16,TRIM($G1032))&gt;0,"COUNTED",IF(COUNTIF(LISTS!$J$2:$J$16,TRIM($G1032))&gt;0,"LEFT OUT","NEW")))</f>
        <v/>
      </c>
    </row>
    <row r="1033" spans="47:47" x14ac:dyDescent="0.25">
      <c r="AU1033" s="8" t="str">
        <f>IF(TRIM($G1033)="","",IF(COUNTIF(LISTS!$I$2:$I$16,TRIM($G1033))&gt;0,"COUNTED",IF(COUNTIF(LISTS!$J$2:$J$16,TRIM($G1033))&gt;0,"LEFT OUT","NEW")))</f>
        <v/>
      </c>
    </row>
    <row r="1034" spans="47:47" x14ac:dyDescent="0.25">
      <c r="AU1034" s="8" t="str">
        <f>IF(TRIM($G1034)="","",IF(COUNTIF(LISTS!$I$2:$I$16,TRIM($G1034))&gt;0,"COUNTED",IF(COUNTIF(LISTS!$J$2:$J$16,TRIM($G1034))&gt;0,"LEFT OUT","NEW")))</f>
        <v/>
      </c>
    </row>
    <row r="1035" spans="47:47" x14ac:dyDescent="0.25">
      <c r="AU1035" s="8" t="str">
        <f>IF(TRIM($G1035)="","",IF(COUNTIF(LISTS!$I$2:$I$16,TRIM($G1035))&gt;0,"COUNTED",IF(COUNTIF(LISTS!$J$2:$J$16,TRIM($G1035))&gt;0,"LEFT OUT","NEW")))</f>
        <v/>
      </c>
    </row>
    <row r="1036" spans="47:47" x14ac:dyDescent="0.25">
      <c r="AU1036" s="8" t="str">
        <f>IF(TRIM($G1036)="","",IF(COUNTIF(LISTS!$I$2:$I$16,TRIM($G1036))&gt;0,"COUNTED",IF(COUNTIF(LISTS!$J$2:$J$16,TRIM($G1036))&gt;0,"LEFT OUT","NEW")))</f>
        <v/>
      </c>
    </row>
    <row r="1037" spans="47:47" x14ac:dyDescent="0.25">
      <c r="AU1037" s="8" t="str">
        <f>IF(TRIM($G1037)="","",IF(COUNTIF(LISTS!$I$2:$I$16,TRIM($G1037))&gt;0,"COUNTED",IF(COUNTIF(LISTS!$J$2:$J$16,TRIM($G1037))&gt;0,"LEFT OUT","NEW")))</f>
        <v/>
      </c>
    </row>
    <row r="1038" spans="47:47" x14ac:dyDescent="0.25">
      <c r="AU1038" s="8" t="str">
        <f>IF(TRIM($G1038)="","",IF(COUNTIF(LISTS!$I$2:$I$16,TRIM($G1038))&gt;0,"COUNTED",IF(COUNTIF(LISTS!$J$2:$J$16,TRIM($G1038))&gt;0,"LEFT OUT","NEW")))</f>
        <v/>
      </c>
    </row>
    <row r="1039" spans="47:47" x14ac:dyDescent="0.25">
      <c r="AU1039" s="8" t="str">
        <f>IF(TRIM($G1039)="","",IF(COUNTIF(LISTS!$I$2:$I$16,TRIM($G1039))&gt;0,"COUNTED",IF(COUNTIF(LISTS!$J$2:$J$16,TRIM($G1039))&gt;0,"LEFT OUT","NEW")))</f>
        <v/>
      </c>
    </row>
    <row r="1040" spans="47:47" x14ac:dyDescent="0.25">
      <c r="AU1040" s="8" t="str">
        <f>IF(TRIM($G1040)="","",IF(COUNTIF(LISTS!$I$2:$I$16,TRIM($G1040))&gt;0,"COUNTED",IF(COUNTIF(LISTS!$J$2:$J$16,TRIM($G1040))&gt;0,"LEFT OUT","NEW")))</f>
        <v/>
      </c>
    </row>
    <row r="1041" spans="47:47" x14ac:dyDescent="0.25">
      <c r="AU1041" s="8" t="str">
        <f>IF(TRIM($G1041)="","",IF(COUNTIF(LISTS!$I$2:$I$16,TRIM($G1041))&gt;0,"COUNTED",IF(COUNTIF(LISTS!$J$2:$J$16,TRIM($G1041))&gt;0,"LEFT OUT","NEW")))</f>
        <v/>
      </c>
    </row>
    <row r="1042" spans="47:47" x14ac:dyDescent="0.25">
      <c r="AU1042" s="8" t="str">
        <f>IF(TRIM($G1042)="","",IF(COUNTIF(LISTS!$I$2:$I$16,TRIM($G1042))&gt;0,"COUNTED",IF(COUNTIF(LISTS!$J$2:$J$16,TRIM($G1042))&gt;0,"LEFT OUT","NEW")))</f>
        <v/>
      </c>
    </row>
    <row r="1043" spans="47:47" x14ac:dyDescent="0.25">
      <c r="AU1043" s="8" t="str">
        <f>IF(TRIM($G1043)="","",IF(COUNTIF(LISTS!$I$2:$I$16,TRIM($G1043))&gt;0,"COUNTED",IF(COUNTIF(LISTS!$J$2:$J$16,TRIM($G1043))&gt;0,"LEFT OUT","NEW")))</f>
        <v/>
      </c>
    </row>
    <row r="1044" spans="47:47" x14ac:dyDescent="0.25">
      <c r="AU1044" s="8" t="str">
        <f>IF(TRIM($G1044)="","",IF(COUNTIF(LISTS!$I$2:$I$16,TRIM($G1044))&gt;0,"COUNTED",IF(COUNTIF(LISTS!$J$2:$J$16,TRIM($G1044))&gt;0,"LEFT OUT","NEW")))</f>
        <v/>
      </c>
    </row>
    <row r="1045" spans="47:47" x14ac:dyDescent="0.25">
      <c r="AU1045" s="8" t="str">
        <f>IF(TRIM($G1045)="","",IF(COUNTIF(LISTS!$I$2:$I$16,TRIM($G1045))&gt;0,"COUNTED",IF(COUNTIF(LISTS!$J$2:$J$16,TRIM($G1045))&gt;0,"LEFT OUT","NEW")))</f>
        <v/>
      </c>
    </row>
    <row r="1046" spans="47:47" x14ac:dyDescent="0.25">
      <c r="AU1046" s="8" t="str">
        <f>IF(TRIM($G1046)="","",IF(COUNTIF(LISTS!$I$2:$I$16,TRIM($G1046))&gt;0,"COUNTED",IF(COUNTIF(LISTS!$J$2:$J$16,TRIM($G1046))&gt;0,"LEFT OUT","NEW")))</f>
        <v/>
      </c>
    </row>
    <row r="1047" spans="47:47" x14ac:dyDescent="0.25">
      <c r="AU1047" s="8" t="str">
        <f>IF(TRIM($G1047)="","",IF(COUNTIF(LISTS!$I$2:$I$16,TRIM($G1047))&gt;0,"COUNTED",IF(COUNTIF(LISTS!$J$2:$J$16,TRIM($G1047))&gt;0,"LEFT OUT","NEW")))</f>
        <v/>
      </c>
    </row>
    <row r="1048" spans="47:47" x14ac:dyDescent="0.25">
      <c r="AU1048" s="8" t="str">
        <f>IF(TRIM($G1048)="","",IF(COUNTIF(LISTS!$I$2:$I$16,TRIM($G1048))&gt;0,"COUNTED",IF(COUNTIF(LISTS!$J$2:$J$16,TRIM($G1048))&gt;0,"LEFT OUT","NEW")))</f>
        <v/>
      </c>
    </row>
    <row r="1049" spans="47:47" x14ac:dyDescent="0.25">
      <c r="AU1049" s="8" t="str">
        <f>IF(TRIM($G1049)="","",IF(COUNTIF(LISTS!$I$2:$I$16,TRIM($G1049))&gt;0,"COUNTED",IF(COUNTIF(LISTS!$J$2:$J$16,TRIM($G1049))&gt;0,"LEFT OUT","NEW")))</f>
        <v/>
      </c>
    </row>
    <row r="1050" spans="47:47" x14ac:dyDescent="0.25">
      <c r="AU1050" s="8" t="str">
        <f>IF(TRIM($G1050)="","",IF(COUNTIF(LISTS!$I$2:$I$16,TRIM($G1050))&gt;0,"COUNTED",IF(COUNTIF(LISTS!$J$2:$J$16,TRIM($G1050))&gt;0,"LEFT OUT","NEW")))</f>
        <v/>
      </c>
    </row>
    <row r="1051" spans="47:47" x14ac:dyDescent="0.25">
      <c r="AU1051" s="8" t="str">
        <f>IF(TRIM($G1051)="","",IF(COUNTIF(LISTS!$I$2:$I$16,TRIM($G1051))&gt;0,"COUNTED",IF(COUNTIF(LISTS!$J$2:$J$16,TRIM($G1051))&gt;0,"LEFT OUT","NEW")))</f>
        <v/>
      </c>
    </row>
    <row r="1052" spans="47:47" x14ac:dyDescent="0.25">
      <c r="AU1052" s="8" t="str">
        <f>IF(TRIM($G1052)="","",IF(COUNTIF(LISTS!$I$2:$I$16,TRIM($G1052))&gt;0,"COUNTED",IF(COUNTIF(LISTS!$J$2:$J$16,TRIM($G1052))&gt;0,"LEFT OUT","NEW")))</f>
        <v/>
      </c>
    </row>
    <row r="1053" spans="47:47" x14ac:dyDescent="0.25">
      <c r="AU1053" s="8" t="str">
        <f>IF(TRIM($G1053)="","",IF(COUNTIF(LISTS!$I$2:$I$16,TRIM($G1053))&gt;0,"COUNTED",IF(COUNTIF(LISTS!$J$2:$J$16,TRIM($G1053))&gt;0,"LEFT OUT","NEW")))</f>
        <v/>
      </c>
    </row>
    <row r="1054" spans="47:47" x14ac:dyDescent="0.25">
      <c r="AU1054" s="8" t="str">
        <f>IF(TRIM($G1054)="","",IF(COUNTIF(LISTS!$I$2:$I$16,TRIM($G1054))&gt;0,"COUNTED",IF(COUNTIF(LISTS!$J$2:$J$16,TRIM($G1054))&gt;0,"LEFT OUT","NEW")))</f>
        <v/>
      </c>
    </row>
    <row r="1055" spans="47:47" x14ac:dyDescent="0.25">
      <c r="AU1055" s="8" t="str">
        <f>IF(TRIM($G1055)="","",IF(COUNTIF(LISTS!$I$2:$I$16,TRIM($G1055))&gt;0,"COUNTED",IF(COUNTIF(LISTS!$J$2:$J$16,TRIM($G1055))&gt;0,"LEFT OUT","NEW")))</f>
        <v/>
      </c>
    </row>
    <row r="1056" spans="47:47" x14ac:dyDescent="0.25">
      <c r="AU1056" s="8" t="str">
        <f>IF(TRIM($G1056)="","",IF(COUNTIF(LISTS!$I$2:$I$16,TRIM($G1056))&gt;0,"COUNTED",IF(COUNTIF(LISTS!$J$2:$J$16,TRIM($G1056))&gt;0,"LEFT OUT","NEW")))</f>
        <v/>
      </c>
    </row>
    <row r="1057" spans="47:47" x14ac:dyDescent="0.25">
      <c r="AU1057" s="8" t="str">
        <f>IF(TRIM($G1057)="","",IF(COUNTIF(LISTS!$I$2:$I$16,TRIM($G1057))&gt;0,"COUNTED",IF(COUNTIF(LISTS!$J$2:$J$16,TRIM($G1057))&gt;0,"LEFT OUT","NEW")))</f>
        <v/>
      </c>
    </row>
    <row r="1058" spans="47:47" x14ac:dyDescent="0.25">
      <c r="AU1058" s="8" t="str">
        <f>IF(TRIM($G1058)="","",IF(COUNTIF(LISTS!$I$2:$I$16,TRIM($G1058))&gt;0,"COUNTED",IF(COUNTIF(LISTS!$J$2:$J$16,TRIM($G1058))&gt;0,"LEFT OUT","NEW")))</f>
        <v/>
      </c>
    </row>
    <row r="1059" spans="47:47" x14ac:dyDescent="0.25">
      <c r="AU1059" s="8" t="str">
        <f>IF(TRIM($G1059)="","",IF(COUNTIF(LISTS!$I$2:$I$16,TRIM($G1059))&gt;0,"COUNTED",IF(COUNTIF(LISTS!$J$2:$J$16,TRIM($G1059))&gt;0,"LEFT OUT","NEW")))</f>
        <v/>
      </c>
    </row>
    <row r="1060" spans="47:47" x14ac:dyDescent="0.25">
      <c r="AU1060" s="8" t="str">
        <f>IF(TRIM($G1060)="","",IF(COUNTIF(LISTS!$I$2:$I$16,TRIM($G1060))&gt;0,"COUNTED",IF(COUNTIF(LISTS!$J$2:$J$16,TRIM($G1060))&gt;0,"LEFT OUT","NEW")))</f>
        <v/>
      </c>
    </row>
    <row r="1061" spans="47:47" x14ac:dyDescent="0.25">
      <c r="AU1061" s="8" t="str">
        <f>IF(TRIM($G1061)="","",IF(COUNTIF(LISTS!$I$2:$I$16,TRIM($G1061))&gt;0,"COUNTED",IF(COUNTIF(LISTS!$J$2:$J$16,TRIM($G1061))&gt;0,"LEFT OUT","NEW")))</f>
        <v/>
      </c>
    </row>
    <row r="1062" spans="47:47" x14ac:dyDescent="0.25">
      <c r="AU1062" s="8" t="str">
        <f>IF(TRIM($G1062)="","",IF(COUNTIF(LISTS!$I$2:$I$16,TRIM($G1062))&gt;0,"COUNTED",IF(COUNTIF(LISTS!$J$2:$J$16,TRIM($G1062))&gt;0,"LEFT OUT","NEW")))</f>
        <v/>
      </c>
    </row>
    <row r="1063" spans="47:47" x14ac:dyDescent="0.25">
      <c r="AU1063" s="8" t="str">
        <f>IF(TRIM($G1063)="","",IF(COUNTIF(LISTS!$I$2:$I$16,TRIM($G1063))&gt;0,"COUNTED",IF(COUNTIF(LISTS!$J$2:$J$16,TRIM($G1063))&gt;0,"LEFT OUT","NEW")))</f>
        <v/>
      </c>
    </row>
    <row r="1064" spans="47:47" x14ac:dyDescent="0.25">
      <c r="AU1064" s="8" t="str">
        <f>IF(TRIM($G1064)="","",IF(COUNTIF(LISTS!$I$2:$I$16,TRIM($G1064))&gt;0,"COUNTED",IF(COUNTIF(LISTS!$J$2:$J$16,TRIM($G1064))&gt;0,"LEFT OUT","NEW")))</f>
        <v/>
      </c>
    </row>
    <row r="1065" spans="47:47" x14ac:dyDescent="0.25">
      <c r="AU1065" s="8" t="str">
        <f>IF(TRIM($G1065)="","",IF(COUNTIF(LISTS!$I$2:$I$16,TRIM($G1065))&gt;0,"COUNTED",IF(COUNTIF(LISTS!$J$2:$J$16,TRIM($G1065))&gt;0,"LEFT OUT","NEW")))</f>
        <v/>
      </c>
    </row>
    <row r="1066" spans="47:47" x14ac:dyDescent="0.25">
      <c r="AU1066" s="8" t="str">
        <f>IF(TRIM($G1066)="","",IF(COUNTIF(LISTS!$I$2:$I$16,TRIM($G1066))&gt;0,"COUNTED",IF(COUNTIF(LISTS!$J$2:$J$16,TRIM($G1066))&gt;0,"LEFT OUT","NEW")))</f>
        <v/>
      </c>
    </row>
    <row r="1067" spans="47:47" x14ac:dyDescent="0.25">
      <c r="AU1067" s="8" t="str">
        <f>IF(TRIM($G1067)="","",IF(COUNTIF(LISTS!$I$2:$I$16,TRIM($G1067))&gt;0,"COUNTED",IF(COUNTIF(LISTS!$J$2:$J$16,TRIM($G1067))&gt;0,"LEFT OUT","NEW")))</f>
        <v/>
      </c>
    </row>
    <row r="1068" spans="47:47" x14ac:dyDescent="0.25">
      <c r="AU1068" s="8" t="str">
        <f>IF(TRIM($G1068)="","",IF(COUNTIF(LISTS!$I$2:$I$16,TRIM($G1068))&gt;0,"COUNTED",IF(COUNTIF(LISTS!$J$2:$J$16,TRIM($G1068))&gt;0,"LEFT OUT","NEW")))</f>
        <v/>
      </c>
    </row>
    <row r="1069" spans="47:47" x14ac:dyDescent="0.25">
      <c r="AU1069" s="8" t="str">
        <f>IF(TRIM($G1069)="","",IF(COUNTIF(LISTS!$I$2:$I$16,TRIM($G1069))&gt;0,"COUNTED",IF(COUNTIF(LISTS!$J$2:$J$16,TRIM($G1069))&gt;0,"LEFT OUT","NEW")))</f>
        <v/>
      </c>
    </row>
    <row r="1070" spans="47:47" x14ac:dyDescent="0.25">
      <c r="AU1070" s="8" t="str">
        <f>IF(TRIM($G1070)="","",IF(COUNTIF(LISTS!$I$2:$I$16,TRIM($G1070))&gt;0,"COUNTED",IF(COUNTIF(LISTS!$J$2:$J$16,TRIM($G1070))&gt;0,"LEFT OUT","NEW")))</f>
        <v/>
      </c>
    </row>
    <row r="1071" spans="47:47" x14ac:dyDescent="0.25">
      <c r="AU1071" s="8" t="str">
        <f>IF(TRIM($G1071)="","",IF(COUNTIF(LISTS!$I$2:$I$16,TRIM($G1071))&gt;0,"COUNTED",IF(COUNTIF(LISTS!$J$2:$J$16,TRIM($G1071))&gt;0,"LEFT OUT","NEW")))</f>
        <v/>
      </c>
    </row>
    <row r="1072" spans="47:47" x14ac:dyDescent="0.25">
      <c r="AU1072" s="8" t="str">
        <f>IF(TRIM($G1072)="","",IF(COUNTIF(LISTS!$I$2:$I$16,TRIM($G1072))&gt;0,"COUNTED",IF(COUNTIF(LISTS!$J$2:$J$16,TRIM($G1072))&gt;0,"LEFT OUT","NEW")))</f>
        <v/>
      </c>
    </row>
    <row r="1073" spans="47:47" x14ac:dyDescent="0.25">
      <c r="AU1073" s="8" t="str">
        <f>IF(TRIM($G1073)="","",IF(COUNTIF(LISTS!$I$2:$I$16,TRIM($G1073))&gt;0,"COUNTED",IF(COUNTIF(LISTS!$J$2:$J$16,TRIM($G1073))&gt;0,"LEFT OUT","NEW")))</f>
        <v/>
      </c>
    </row>
    <row r="1074" spans="47:47" x14ac:dyDescent="0.25">
      <c r="AU1074" s="8" t="str">
        <f>IF(TRIM($G1074)="","",IF(COUNTIF(LISTS!$I$2:$I$16,TRIM($G1074))&gt;0,"COUNTED",IF(COUNTIF(LISTS!$J$2:$J$16,TRIM($G1074))&gt;0,"LEFT OUT","NEW")))</f>
        <v/>
      </c>
    </row>
    <row r="1075" spans="47:47" x14ac:dyDescent="0.25">
      <c r="AU1075" s="8" t="str">
        <f>IF(TRIM($G1075)="","",IF(COUNTIF(LISTS!$I$2:$I$16,TRIM($G1075))&gt;0,"COUNTED",IF(COUNTIF(LISTS!$J$2:$J$16,TRIM($G1075))&gt;0,"LEFT OUT","NEW")))</f>
        <v/>
      </c>
    </row>
    <row r="1076" spans="47:47" x14ac:dyDescent="0.25">
      <c r="AU1076" s="8" t="str">
        <f>IF(TRIM($G1076)="","",IF(COUNTIF(LISTS!$I$2:$I$16,TRIM($G1076))&gt;0,"COUNTED",IF(COUNTIF(LISTS!$J$2:$J$16,TRIM($G1076))&gt;0,"LEFT OUT","NEW")))</f>
        <v/>
      </c>
    </row>
    <row r="1077" spans="47:47" x14ac:dyDescent="0.25">
      <c r="AU1077" s="8" t="str">
        <f>IF(TRIM($G1077)="","",IF(COUNTIF(LISTS!$I$2:$I$16,TRIM($G1077))&gt;0,"COUNTED",IF(COUNTIF(LISTS!$J$2:$J$16,TRIM($G1077))&gt;0,"LEFT OUT","NEW")))</f>
        <v/>
      </c>
    </row>
    <row r="1078" spans="47:47" x14ac:dyDescent="0.25">
      <c r="AU1078" s="8" t="str">
        <f>IF(TRIM($G1078)="","",IF(COUNTIF(LISTS!$I$2:$I$16,TRIM($G1078))&gt;0,"COUNTED",IF(COUNTIF(LISTS!$J$2:$J$16,TRIM($G1078))&gt;0,"LEFT OUT","NEW")))</f>
        <v/>
      </c>
    </row>
    <row r="1079" spans="47:47" x14ac:dyDescent="0.25">
      <c r="AU1079" s="8" t="str">
        <f>IF(TRIM($G1079)="","",IF(COUNTIF(LISTS!$I$2:$I$16,TRIM($G1079))&gt;0,"COUNTED",IF(COUNTIF(LISTS!$J$2:$J$16,TRIM($G1079))&gt;0,"LEFT OUT","NEW")))</f>
        <v/>
      </c>
    </row>
    <row r="1080" spans="47:47" x14ac:dyDescent="0.25">
      <c r="AU1080" s="8" t="str">
        <f>IF(TRIM($G1080)="","",IF(COUNTIF(LISTS!$I$2:$I$16,TRIM($G1080))&gt;0,"COUNTED",IF(COUNTIF(LISTS!$J$2:$J$16,TRIM($G1080))&gt;0,"LEFT OUT","NEW")))</f>
        <v/>
      </c>
    </row>
    <row r="1081" spans="47:47" x14ac:dyDescent="0.25">
      <c r="AU1081" s="8" t="str">
        <f>IF(TRIM($G1081)="","",IF(COUNTIF(LISTS!$I$2:$I$16,TRIM($G1081))&gt;0,"COUNTED",IF(COUNTIF(LISTS!$J$2:$J$16,TRIM($G1081))&gt;0,"LEFT OUT","NEW")))</f>
        <v/>
      </c>
    </row>
    <row r="1082" spans="47:47" x14ac:dyDescent="0.25">
      <c r="AU1082" s="8" t="str">
        <f>IF(TRIM($G1082)="","",IF(COUNTIF(LISTS!$I$2:$I$16,TRIM($G1082))&gt;0,"COUNTED",IF(COUNTIF(LISTS!$J$2:$J$16,TRIM($G1082))&gt;0,"LEFT OUT","NEW")))</f>
        <v/>
      </c>
    </row>
    <row r="1083" spans="47:47" x14ac:dyDescent="0.25">
      <c r="AU1083" s="8" t="str">
        <f>IF(TRIM($G1083)="","",IF(COUNTIF(LISTS!$I$2:$I$16,TRIM($G1083))&gt;0,"COUNTED",IF(COUNTIF(LISTS!$J$2:$J$16,TRIM($G1083))&gt;0,"LEFT OUT","NEW")))</f>
        <v/>
      </c>
    </row>
    <row r="1084" spans="47:47" x14ac:dyDescent="0.25">
      <c r="AU1084" s="8" t="str">
        <f>IF(TRIM($G1084)="","",IF(COUNTIF(LISTS!$I$2:$I$16,TRIM($G1084))&gt;0,"COUNTED",IF(COUNTIF(LISTS!$J$2:$J$16,TRIM($G1084))&gt;0,"LEFT OUT","NEW")))</f>
        <v/>
      </c>
    </row>
    <row r="1085" spans="47:47" x14ac:dyDescent="0.25">
      <c r="AU1085" s="8" t="str">
        <f>IF(TRIM($G1085)="","",IF(COUNTIF(LISTS!$I$2:$I$16,TRIM($G1085))&gt;0,"COUNTED",IF(COUNTIF(LISTS!$J$2:$J$16,TRIM($G1085))&gt;0,"LEFT OUT","NEW")))</f>
        <v/>
      </c>
    </row>
    <row r="1086" spans="47:47" x14ac:dyDescent="0.25">
      <c r="AU1086" s="8" t="str">
        <f>IF(TRIM($G1086)="","",IF(COUNTIF(LISTS!$I$2:$I$16,TRIM($G1086))&gt;0,"COUNTED",IF(COUNTIF(LISTS!$J$2:$J$16,TRIM($G1086))&gt;0,"LEFT OUT","NEW")))</f>
        <v/>
      </c>
    </row>
    <row r="1087" spans="47:47" x14ac:dyDescent="0.25">
      <c r="AU1087" s="8" t="str">
        <f>IF(TRIM($G1087)="","",IF(COUNTIF(LISTS!$I$2:$I$16,TRIM($G1087))&gt;0,"COUNTED",IF(COUNTIF(LISTS!$J$2:$J$16,TRIM($G1087))&gt;0,"LEFT OUT","NEW")))</f>
        <v/>
      </c>
    </row>
    <row r="1088" spans="47:47" x14ac:dyDescent="0.25">
      <c r="AU1088" s="8" t="str">
        <f>IF(TRIM($G1088)="","",IF(COUNTIF(LISTS!$I$2:$I$16,TRIM($G1088))&gt;0,"COUNTED",IF(COUNTIF(LISTS!$J$2:$J$16,TRIM($G1088))&gt;0,"LEFT OUT","NEW")))</f>
        <v/>
      </c>
    </row>
    <row r="1089" spans="47:47" x14ac:dyDescent="0.25">
      <c r="AU1089" s="8" t="str">
        <f>IF(TRIM($G1089)="","",IF(COUNTIF(LISTS!$I$2:$I$16,TRIM($G1089))&gt;0,"COUNTED",IF(COUNTIF(LISTS!$J$2:$J$16,TRIM($G1089))&gt;0,"LEFT OUT","NEW")))</f>
        <v/>
      </c>
    </row>
    <row r="1090" spans="47:47" x14ac:dyDescent="0.25">
      <c r="AU1090" s="8" t="str">
        <f>IF(TRIM($G1090)="","",IF(COUNTIF(LISTS!$I$2:$I$16,TRIM($G1090))&gt;0,"COUNTED",IF(COUNTIF(LISTS!$J$2:$J$16,TRIM($G1090))&gt;0,"LEFT OUT","NEW")))</f>
        <v/>
      </c>
    </row>
    <row r="1091" spans="47:47" x14ac:dyDescent="0.25">
      <c r="AU1091" s="8" t="str">
        <f>IF(TRIM($G1091)="","",IF(COUNTIF(LISTS!$I$2:$I$16,TRIM($G1091))&gt;0,"COUNTED",IF(COUNTIF(LISTS!$J$2:$J$16,TRIM($G1091))&gt;0,"LEFT OUT","NEW")))</f>
        <v/>
      </c>
    </row>
    <row r="1092" spans="47:47" x14ac:dyDescent="0.25">
      <c r="AU1092" s="8" t="str">
        <f>IF(TRIM($G1092)="","",IF(COUNTIF(LISTS!$I$2:$I$16,TRIM($G1092))&gt;0,"COUNTED",IF(COUNTIF(LISTS!$J$2:$J$16,TRIM($G1092))&gt;0,"LEFT OUT","NEW")))</f>
        <v/>
      </c>
    </row>
    <row r="1093" spans="47:47" x14ac:dyDescent="0.25">
      <c r="AU1093" s="8" t="str">
        <f>IF(TRIM($G1093)="","",IF(COUNTIF(LISTS!$I$2:$I$16,TRIM($G1093))&gt;0,"COUNTED",IF(COUNTIF(LISTS!$J$2:$J$16,TRIM($G1093))&gt;0,"LEFT OUT","NEW")))</f>
        <v/>
      </c>
    </row>
    <row r="1094" spans="47:47" x14ac:dyDescent="0.25">
      <c r="AU1094" s="8" t="str">
        <f>IF(TRIM($G1094)="","",IF(COUNTIF(LISTS!$I$2:$I$16,TRIM($G1094))&gt;0,"COUNTED",IF(COUNTIF(LISTS!$J$2:$J$16,TRIM($G1094))&gt;0,"LEFT OUT","NEW")))</f>
        <v/>
      </c>
    </row>
    <row r="1095" spans="47:47" x14ac:dyDescent="0.25">
      <c r="AU1095" s="8" t="str">
        <f>IF(TRIM($G1095)="","",IF(COUNTIF(LISTS!$I$2:$I$16,TRIM($G1095))&gt;0,"COUNTED",IF(COUNTIF(LISTS!$J$2:$J$16,TRIM($G1095))&gt;0,"LEFT OUT","NEW")))</f>
        <v/>
      </c>
    </row>
    <row r="1096" spans="47:47" x14ac:dyDescent="0.25">
      <c r="AU1096" s="8" t="str">
        <f>IF(TRIM($G1096)="","",IF(COUNTIF(LISTS!$I$2:$I$16,TRIM($G1096))&gt;0,"COUNTED",IF(COUNTIF(LISTS!$J$2:$J$16,TRIM($G1096))&gt;0,"LEFT OUT","NEW")))</f>
        <v/>
      </c>
    </row>
    <row r="1097" spans="47:47" x14ac:dyDescent="0.25">
      <c r="AU1097" s="8" t="str">
        <f>IF(TRIM($G1097)="","",IF(COUNTIF(LISTS!$I$2:$I$16,TRIM($G1097))&gt;0,"COUNTED",IF(COUNTIF(LISTS!$J$2:$J$16,TRIM($G1097))&gt;0,"LEFT OUT","NEW")))</f>
        <v/>
      </c>
    </row>
    <row r="1098" spans="47:47" x14ac:dyDescent="0.25">
      <c r="AU1098" s="8" t="str">
        <f>IF(TRIM($G1098)="","",IF(COUNTIF(LISTS!$I$2:$I$16,TRIM($G1098))&gt;0,"COUNTED",IF(COUNTIF(LISTS!$J$2:$J$16,TRIM($G1098))&gt;0,"LEFT OUT","NEW")))</f>
        <v/>
      </c>
    </row>
    <row r="1099" spans="47:47" x14ac:dyDescent="0.25">
      <c r="AU1099" s="8" t="str">
        <f>IF(TRIM($G1099)="","",IF(COUNTIF(LISTS!$I$2:$I$16,TRIM($G1099))&gt;0,"COUNTED",IF(COUNTIF(LISTS!$J$2:$J$16,TRIM($G1099))&gt;0,"LEFT OUT","NEW")))</f>
        <v/>
      </c>
    </row>
    <row r="1100" spans="47:47" x14ac:dyDescent="0.25">
      <c r="AU1100" s="8" t="str">
        <f>IF(TRIM($G1100)="","",IF(COUNTIF(LISTS!$I$2:$I$16,TRIM($G1100))&gt;0,"COUNTED",IF(COUNTIF(LISTS!$J$2:$J$16,TRIM($G1100))&gt;0,"LEFT OUT","NEW")))</f>
        <v/>
      </c>
    </row>
    <row r="1101" spans="47:47" x14ac:dyDescent="0.25">
      <c r="AU1101" s="8" t="str">
        <f>IF(TRIM($G1101)="","",IF(COUNTIF(LISTS!$I$2:$I$16,TRIM($G1101))&gt;0,"COUNTED",IF(COUNTIF(LISTS!$J$2:$J$16,TRIM($G1101))&gt;0,"LEFT OUT","NEW")))</f>
        <v/>
      </c>
    </row>
    <row r="1102" spans="47:47" x14ac:dyDescent="0.25">
      <c r="AU1102" s="8" t="str">
        <f>IF(TRIM($G1102)="","",IF(COUNTIF(LISTS!$I$2:$I$16,TRIM($G1102))&gt;0,"COUNTED",IF(COUNTIF(LISTS!$J$2:$J$16,TRIM($G1102))&gt;0,"LEFT OUT","NEW")))</f>
        <v/>
      </c>
    </row>
    <row r="1103" spans="47:47" x14ac:dyDescent="0.25">
      <c r="AU1103" s="8" t="str">
        <f>IF(TRIM($G1103)="","",IF(COUNTIF(LISTS!$I$2:$I$16,TRIM($G1103))&gt;0,"COUNTED",IF(COUNTIF(LISTS!$J$2:$J$16,TRIM($G1103))&gt;0,"LEFT OUT","NEW")))</f>
        <v/>
      </c>
    </row>
    <row r="1104" spans="47:47" x14ac:dyDescent="0.25">
      <c r="AU1104" s="8" t="str">
        <f>IF(TRIM($G1104)="","",IF(COUNTIF(LISTS!$I$2:$I$16,TRIM($G1104))&gt;0,"COUNTED",IF(COUNTIF(LISTS!$J$2:$J$16,TRIM($G1104))&gt;0,"LEFT OUT","NEW")))</f>
        <v/>
      </c>
    </row>
    <row r="1105" spans="47:47" x14ac:dyDescent="0.25">
      <c r="AU1105" s="8" t="str">
        <f>IF(TRIM($G1105)="","",IF(COUNTIF(LISTS!$I$2:$I$16,TRIM($G1105))&gt;0,"COUNTED",IF(COUNTIF(LISTS!$J$2:$J$16,TRIM($G1105))&gt;0,"LEFT OUT","NEW")))</f>
        <v/>
      </c>
    </row>
    <row r="1106" spans="47:47" x14ac:dyDescent="0.25">
      <c r="AU1106" s="8" t="str">
        <f>IF(TRIM($G1106)="","",IF(COUNTIF(LISTS!$I$2:$I$16,TRIM($G1106))&gt;0,"COUNTED",IF(COUNTIF(LISTS!$J$2:$J$16,TRIM($G1106))&gt;0,"LEFT OUT","NEW")))</f>
        <v/>
      </c>
    </row>
    <row r="1107" spans="47:47" x14ac:dyDescent="0.25">
      <c r="AU1107" s="8" t="str">
        <f>IF(TRIM($G1107)="","",IF(COUNTIF(LISTS!$I$2:$I$16,TRIM($G1107))&gt;0,"COUNTED",IF(COUNTIF(LISTS!$J$2:$J$16,TRIM($G1107))&gt;0,"LEFT OUT","NEW")))</f>
        <v/>
      </c>
    </row>
    <row r="1108" spans="47:47" x14ac:dyDescent="0.25">
      <c r="AU1108" s="8" t="str">
        <f>IF(TRIM($G1108)="","",IF(COUNTIF(LISTS!$I$2:$I$16,TRIM($G1108))&gt;0,"COUNTED",IF(COUNTIF(LISTS!$J$2:$J$16,TRIM($G1108))&gt;0,"LEFT OUT","NEW")))</f>
        <v/>
      </c>
    </row>
    <row r="1109" spans="47:47" x14ac:dyDescent="0.25">
      <c r="AU1109" s="8" t="str">
        <f>IF(TRIM($G1109)="","",IF(COUNTIF(LISTS!$I$2:$I$16,TRIM($G1109))&gt;0,"COUNTED",IF(COUNTIF(LISTS!$J$2:$J$16,TRIM($G1109))&gt;0,"LEFT OUT","NEW")))</f>
        <v/>
      </c>
    </row>
    <row r="1110" spans="47:47" x14ac:dyDescent="0.25">
      <c r="AU1110" s="8" t="str">
        <f>IF(TRIM($G1110)="","",IF(COUNTIF(LISTS!$I$2:$I$16,TRIM($G1110))&gt;0,"COUNTED",IF(COUNTIF(LISTS!$J$2:$J$16,TRIM($G1110))&gt;0,"LEFT OUT","NEW")))</f>
        <v/>
      </c>
    </row>
    <row r="1111" spans="47:47" x14ac:dyDescent="0.25">
      <c r="AU1111" s="8" t="str">
        <f>IF(TRIM($G1111)="","",IF(COUNTIF(LISTS!$I$2:$I$16,TRIM($G1111))&gt;0,"COUNTED",IF(COUNTIF(LISTS!$J$2:$J$16,TRIM($G1111))&gt;0,"LEFT OUT","NEW")))</f>
        <v/>
      </c>
    </row>
    <row r="1112" spans="47:47" x14ac:dyDescent="0.25">
      <c r="AU1112" s="8" t="str">
        <f>IF(TRIM($G1112)="","",IF(COUNTIF(LISTS!$I$2:$I$16,TRIM($G1112))&gt;0,"COUNTED",IF(COUNTIF(LISTS!$J$2:$J$16,TRIM($G1112))&gt;0,"LEFT OUT","NEW")))</f>
        <v/>
      </c>
    </row>
    <row r="1113" spans="47:47" x14ac:dyDescent="0.25">
      <c r="AU1113" s="8" t="str">
        <f>IF(TRIM($G1113)="","",IF(COUNTIF(LISTS!$I$2:$I$16,TRIM($G1113))&gt;0,"COUNTED",IF(COUNTIF(LISTS!$J$2:$J$16,TRIM($G1113))&gt;0,"LEFT OUT","NEW")))</f>
        <v/>
      </c>
    </row>
    <row r="1114" spans="47:47" x14ac:dyDescent="0.25">
      <c r="AU1114" s="8" t="str">
        <f>IF(TRIM($G1114)="","",IF(COUNTIF(LISTS!$I$2:$I$16,TRIM($G1114))&gt;0,"COUNTED",IF(COUNTIF(LISTS!$J$2:$J$16,TRIM($G1114))&gt;0,"LEFT OUT","NEW")))</f>
        <v/>
      </c>
    </row>
    <row r="1115" spans="47:47" x14ac:dyDescent="0.25">
      <c r="AU1115" s="8" t="str">
        <f>IF(TRIM($G1115)="","",IF(COUNTIF(LISTS!$I$2:$I$16,TRIM($G1115))&gt;0,"COUNTED",IF(COUNTIF(LISTS!$J$2:$J$16,TRIM($G1115))&gt;0,"LEFT OUT","NEW")))</f>
        <v/>
      </c>
    </row>
    <row r="1116" spans="47:47" x14ac:dyDescent="0.25">
      <c r="AU1116" s="8" t="str">
        <f>IF(TRIM($G1116)="","",IF(COUNTIF(LISTS!$I$2:$I$16,TRIM($G1116))&gt;0,"COUNTED",IF(COUNTIF(LISTS!$J$2:$J$16,TRIM($G1116))&gt;0,"LEFT OUT","NEW")))</f>
        <v/>
      </c>
    </row>
    <row r="1117" spans="47:47" x14ac:dyDescent="0.25">
      <c r="AU1117" s="8" t="str">
        <f>IF(TRIM($G1117)="","",IF(COUNTIF(LISTS!$I$2:$I$16,TRIM($G1117))&gt;0,"COUNTED",IF(COUNTIF(LISTS!$J$2:$J$16,TRIM($G1117))&gt;0,"LEFT OUT","NEW")))</f>
        <v/>
      </c>
    </row>
    <row r="1118" spans="47:47" x14ac:dyDescent="0.25">
      <c r="AU1118" s="8" t="str">
        <f>IF(TRIM($G1118)="","",IF(COUNTIF(LISTS!$I$2:$I$16,TRIM($G1118))&gt;0,"COUNTED",IF(COUNTIF(LISTS!$J$2:$J$16,TRIM($G1118))&gt;0,"LEFT OUT","NEW")))</f>
        <v/>
      </c>
    </row>
    <row r="1119" spans="47:47" x14ac:dyDescent="0.25">
      <c r="AU1119" s="8" t="str">
        <f>IF(TRIM($G1119)="","",IF(COUNTIF(LISTS!$I$2:$I$16,TRIM($G1119))&gt;0,"COUNTED",IF(COUNTIF(LISTS!$J$2:$J$16,TRIM($G1119))&gt;0,"LEFT OUT","NEW")))</f>
        <v/>
      </c>
    </row>
    <row r="1120" spans="47:47" x14ac:dyDescent="0.25">
      <c r="AU1120" s="8" t="str">
        <f>IF(TRIM($G1120)="","",IF(COUNTIF(LISTS!$I$2:$I$16,TRIM($G1120))&gt;0,"COUNTED",IF(COUNTIF(LISTS!$J$2:$J$16,TRIM($G1120))&gt;0,"LEFT OUT","NEW")))</f>
        <v/>
      </c>
    </row>
    <row r="1121" spans="47:47" x14ac:dyDescent="0.25">
      <c r="AU1121" s="8" t="str">
        <f>IF(TRIM($G1121)="","",IF(COUNTIF(LISTS!$I$2:$I$16,TRIM($G1121))&gt;0,"COUNTED",IF(COUNTIF(LISTS!$J$2:$J$16,TRIM($G1121))&gt;0,"LEFT OUT","NEW")))</f>
        <v/>
      </c>
    </row>
    <row r="1122" spans="47:47" x14ac:dyDescent="0.25">
      <c r="AU1122" s="8" t="str">
        <f>IF(TRIM($G1122)="","",IF(COUNTIF(LISTS!$I$2:$I$16,TRIM($G1122))&gt;0,"COUNTED",IF(COUNTIF(LISTS!$J$2:$J$16,TRIM($G1122))&gt;0,"LEFT OUT","NEW")))</f>
        <v/>
      </c>
    </row>
    <row r="1123" spans="47:47" x14ac:dyDescent="0.25">
      <c r="AU1123" s="8" t="str">
        <f>IF(TRIM($G1123)="","",IF(COUNTIF(LISTS!$I$2:$I$16,TRIM($G1123))&gt;0,"COUNTED",IF(COUNTIF(LISTS!$J$2:$J$16,TRIM($G1123))&gt;0,"LEFT OUT","NEW")))</f>
        <v/>
      </c>
    </row>
    <row r="1124" spans="47:47" x14ac:dyDescent="0.25">
      <c r="AU1124" s="8" t="str">
        <f>IF(TRIM($G1124)="","",IF(COUNTIF(LISTS!$I$2:$I$16,TRIM($G1124))&gt;0,"COUNTED",IF(COUNTIF(LISTS!$J$2:$J$16,TRIM($G1124))&gt;0,"LEFT OUT","NEW")))</f>
        <v/>
      </c>
    </row>
    <row r="1125" spans="47:47" x14ac:dyDescent="0.25">
      <c r="AU1125" s="8" t="str">
        <f>IF(TRIM($G1125)="","",IF(COUNTIF(LISTS!$I$2:$I$16,TRIM($G1125))&gt;0,"COUNTED",IF(COUNTIF(LISTS!$J$2:$J$16,TRIM($G1125))&gt;0,"LEFT OUT","NEW")))</f>
        <v/>
      </c>
    </row>
    <row r="1126" spans="47:47" x14ac:dyDescent="0.25">
      <c r="AU1126" s="8" t="str">
        <f>IF(TRIM($G1126)="","",IF(COUNTIF(LISTS!$I$2:$I$16,TRIM($G1126))&gt;0,"COUNTED",IF(COUNTIF(LISTS!$J$2:$J$16,TRIM($G1126))&gt;0,"LEFT OUT","NEW")))</f>
        <v/>
      </c>
    </row>
    <row r="1127" spans="47:47" x14ac:dyDescent="0.25">
      <c r="AU1127" s="8" t="str">
        <f>IF(TRIM($G1127)="","",IF(COUNTIF(LISTS!$I$2:$I$16,TRIM($G1127))&gt;0,"COUNTED",IF(COUNTIF(LISTS!$J$2:$J$16,TRIM($G1127))&gt;0,"LEFT OUT","NEW")))</f>
        <v/>
      </c>
    </row>
    <row r="1128" spans="47:47" x14ac:dyDescent="0.25">
      <c r="AU1128" s="8" t="str">
        <f>IF(TRIM($G1128)="","",IF(COUNTIF(LISTS!$I$2:$I$16,TRIM($G1128))&gt;0,"COUNTED",IF(COUNTIF(LISTS!$J$2:$J$16,TRIM($G1128))&gt;0,"LEFT OUT","NEW")))</f>
        <v/>
      </c>
    </row>
    <row r="1129" spans="47:47" x14ac:dyDescent="0.25">
      <c r="AU1129" s="8" t="str">
        <f>IF(TRIM($G1129)="","",IF(COUNTIF(LISTS!$I$2:$I$16,TRIM($G1129))&gt;0,"COUNTED",IF(COUNTIF(LISTS!$J$2:$J$16,TRIM($G1129))&gt;0,"LEFT OUT","NEW")))</f>
        <v/>
      </c>
    </row>
    <row r="1130" spans="47:47" x14ac:dyDescent="0.25">
      <c r="AU1130" s="8" t="str">
        <f>IF(TRIM($G1130)="","",IF(COUNTIF(LISTS!$I$2:$I$16,TRIM($G1130))&gt;0,"COUNTED",IF(COUNTIF(LISTS!$J$2:$J$16,TRIM($G1130))&gt;0,"LEFT OUT","NEW")))</f>
        <v/>
      </c>
    </row>
    <row r="1131" spans="47:47" x14ac:dyDescent="0.25">
      <c r="AU1131" s="8" t="str">
        <f>IF(TRIM($G1131)="","",IF(COUNTIF(LISTS!$I$2:$I$16,TRIM($G1131))&gt;0,"COUNTED",IF(COUNTIF(LISTS!$J$2:$J$16,TRIM($G1131))&gt;0,"LEFT OUT","NEW")))</f>
        <v/>
      </c>
    </row>
    <row r="1132" spans="47:47" x14ac:dyDescent="0.25">
      <c r="AU1132" s="8" t="str">
        <f>IF(TRIM($G1132)="","",IF(COUNTIF(LISTS!$I$2:$I$16,TRIM($G1132))&gt;0,"COUNTED",IF(COUNTIF(LISTS!$J$2:$J$16,TRIM($G1132))&gt;0,"LEFT OUT","NEW")))</f>
        <v/>
      </c>
    </row>
    <row r="1133" spans="47:47" x14ac:dyDescent="0.25">
      <c r="AU1133" s="8" t="str">
        <f>IF(TRIM($G1133)="","",IF(COUNTIF(LISTS!$I$2:$I$16,TRIM($G1133))&gt;0,"COUNTED",IF(COUNTIF(LISTS!$J$2:$J$16,TRIM($G1133))&gt;0,"LEFT OUT","NEW")))</f>
        <v/>
      </c>
    </row>
    <row r="1134" spans="47:47" x14ac:dyDescent="0.25">
      <c r="AU1134" s="8" t="str">
        <f>IF(TRIM($G1134)="","",IF(COUNTIF(LISTS!$I$2:$I$16,TRIM($G1134))&gt;0,"COUNTED",IF(COUNTIF(LISTS!$J$2:$J$16,TRIM($G1134))&gt;0,"LEFT OUT","NEW")))</f>
        <v/>
      </c>
    </row>
    <row r="1135" spans="47:47" x14ac:dyDescent="0.25">
      <c r="AU1135" s="8" t="str">
        <f>IF(TRIM($G1135)="","",IF(COUNTIF(LISTS!$I$2:$I$16,TRIM($G1135))&gt;0,"COUNTED",IF(COUNTIF(LISTS!$J$2:$J$16,TRIM($G1135))&gt;0,"LEFT OUT","NEW")))</f>
        <v/>
      </c>
    </row>
    <row r="1136" spans="47:47" x14ac:dyDescent="0.25">
      <c r="AU1136" s="8" t="str">
        <f>IF(TRIM($G1136)="","",IF(COUNTIF(LISTS!$I$2:$I$16,TRIM($G1136))&gt;0,"COUNTED",IF(COUNTIF(LISTS!$J$2:$J$16,TRIM($G1136))&gt;0,"LEFT OUT","NEW")))</f>
        <v/>
      </c>
    </row>
    <row r="1137" spans="47:47" x14ac:dyDescent="0.25">
      <c r="AU1137" s="8" t="str">
        <f>IF(TRIM($G1137)="","",IF(COUNTIF(LISTS!$I$2:$I$16,TRIM($G1137))&gt;0,"COUNTED",IF(COUNTIF(LISTS!$J$2:$J$16,TRIM($G1137))&gt;0,"LEFT OUT","NEW")))</f>
        <v/>
      </c>
    </row>
    <row r="1138" spans="47:47" x14ac:dyDescent="0.25">
      <c r="AU1138" s="8" t="str">
        <f>IF(TRIM($G1138)="","",IF(COUNTIF(LISTS!$I$2:$I$16,TRIM($G1138))&gt;0,"COUNTED",IF(COUNTIF(LISTS!$J$2:$J$16,TRIM($G1138))&gt;0,"LEFT OUT","NEW")))</f>
        <v/>
      </c>
    </row>
    <row r="1139" spans="47:47" x14ac:dyDescent="0.25">
      <c r="AU1139" s="8" t="str">
        <f>IF(TRIM($G1139)="","",IF(COUNTIF(LISTS!$I$2:$I$16,TRIM($G1139))&gt;0,"COUNTED",IF(COUNTIF(LISTS!$J$2:$J$16,TRIM($G1139))&gt;0,"LEFT OUT","NEW")))</f>
        <v/>
      </c>
    </row>
    <row r="1140" spans="47:47" x14ac:dyDescent="0.25">
      <c r="AU1140" s="8" t="str">
        <f>IF(TRIM($G1140)="","",IF(COUNTIF(LISTS!$I$2:$I$16,TRIM($G1140))&gt;0,"COUNTED",IF(COUNTIF(LISTS!$J$2:$J$16,TRIM($G1140))&gt;0,"LEFT OUT","NEW")))</f>
        <v/>
      </c>
    </row>
    <row r="1141" spans="47:47" x14ac:dyDescent="0.25">
      <c r="AU1141" s="8" t="str">
        <f>IF(TRIM($G1141)="","",IF(COUNTIF(LISTS!$I$2:$I$16,TRIM($G1141))&gt;0,"COUNTED",IF(COUNTIF(LISTS!$J$2:$J$16,TRIM($G1141))&gt;0,"LEFT OUT","NEW")))</f>
        <v/>
      </c>
    </row>
    <row r="1142" spans="47:47" x14ac:dyDescent="0.25">
      <c r="AU1142" s="8" t="str">
        <f>IF(TRIM($G1142)="","",IF(COUNTIF(LISTS!$I$2:$I$16,TRIM($G1142))&gt;0,"COUNTED",IF(COUNTIF(LISTS!$J$2:$J$16,TRIM($G1142))&gt;0,"LEFT OUT","NEW")))</f>
        <v/>
      </c>
    </row>
    <row r="1143" spans="47:47" x14ac:dyDescent="0.25">
      <c r="AU1143" s="8" t="str">
        <f>IF(TRIM($G1143)="","",IF(COUNTIF(LISTS!$I$2:$I$16,TRIM($G1143))&gt;0,"COUNTED",IF(COUNTIF(LISTS!$J$2:$J$16,TRIM($G1143))&gt;0,"LEFT OUT","NEW")))</f>
        <v/>
      </c>
    </row>
    <row r="1144" spans="47:47" x14ac:dyDescent="0.25">
      <c r="AU1144" s="8" t="str">
        <f>IF(TRIM($G1144)="","",IF(COUNTIF(LISTS!$I$2:$I$16,TRIM($G1144))&gt;0,"COUNTED",IF(COUNTIF(LISTS!$J$2:$J$16,TRIM($G1144))&gt;0,"LEFT OUT","NEW")))</f>
        <v/>
      </c>
    </row>
    <row r="1145" spans="47:47" x14ac:dyDescent="0.25">
      <c r="AU1145" s="8" t="str">
        <f>IF(TRIM($G1145)="","",IF(COUNTIF(LISTS!$I$2:$I$16,TRIM($G1145))&gt;0,"COUNTED",IF(COUNTIF(LISTS!$J$2:$J$16,TRIM($G1145))&gt;0,"LEFT OUT","NEW")))</f>
        <v/>
      </c>
    </row>
    <row r="1146" spans="47:47" x14ac:dyDescent="0.25">
      <c r="AU1146" s="8" t="str">
        <f>IF(TRIM($G1146)="","",IF(COUNTIF(LISTS!$I$2:$I$16,TRIM($G1146))&gt;0,"COUNTED",IF(COUNTIF(LISTS!$J$2:$J$16,TRIM($G1146))&gt;0,"LEFT OUT","NEW")))</f>
        <v/>
      </c>
    </row>
    <row r="1147" spans="47:47" x14ac:dyDescent="0.25">
      <c r="AU1147" s="8" t="str">
        <f>IF(TRIM($G1147)="","",IF(COUNTIF(LISTS!$I$2:$I$16,TRIM($G1147))&gt;0,"COUNTED",IF(COUNTIF(LISTS!$J$2:$J$16,TRIM($G1147))&gt;0,"LEFT OUT","NEW")))</f>
        <v/>
      </c>
    </row>
    <row r="1148" spans="47:47" x14ac:dyDescent="0.25">
      <c r="AU1148" s="8" t="str">
        <f>IF(TRIM($G1148)="","",IF(COUNTIF(LISTS!$I$2:$I$16,TRIM($G1148))&gt;0,"COUNTED",IF(COUNTIF(LISTS!$J$2:$J$16,TRIM($G1148))&gt;0,"LEFT OUT","NEW")))</f>
        <v/>
      </c>
    </row>
    <row r="1149" spans="47:47" x14ac:dyDescent="0.25">
      <c r="AU1149" s="8" t="str">
        <f>IF(TRIM($G1149)="","",IF(COUNTIF(LISTS!$I$2:$I$16,TRIM($G1149))&gt;0,"COUNTED",IF(COUNTIF(LISTS!$J$2:$J$16,TRIM($G1149))&gt;0,"LEFT OUT","NEW")))</f>
        <v/>
      </c>
    </row>
    <row r="1150" spans="47:47" x14ac:dyDescent="0.25">
      <c r="AU1150" s="8" t="str">
        <f>IF(TRIM($G1150)="","",IF(COUNTIF(LISTS!$I$2:$I$16,TRIM($G1150))&gt;0,"COUNTED",IF(COUNTIF(LISTS!$J$2:$J$16,TRIM($G1150))&gt;0,"LEFT OUT","NEW")))</f>
        <v/>
      </c>
    </row>
    <row r="1151" spans="47:47" x14ac:dyDescent="0.25">
      <c r="AU1151" s="8" t="str">
        <f>IF(TRIM($G1151)="","",IF(COUNTIF(LISTS!$I$2:$I$16,TRIM($G1151))&gt;0,"COUNTED",IF(COUNTIF(LISTS!$J$2:$J$16,TRIM($G1151))&gt;0,"LEFT OUT","NEW")))</f>
        <v/>
      </c>
    </row>
    <row r="1152" spans="47:47" x14ac:dyDescent="0.25">
      <c r="AU1152" s="8" t="str">
        <f>IF(TRIM($G1152)="","",IF(COUNTIF(LISTS!$I$2:$I$16,TRIM($G1152))&gt;0,"COUNTED",IF(COUNTIF(LISTS!$J$2:$J$16,TRIM($G1152))&gt;0,"LEFT OUT","NEW")))</f>
        <v/>
      </c>
    </row>
    <row r="1153" spans="47:47" x14ac:dyDescent="0.25">
      <c r="AU1153" s="8" t="str">
        <f>IF(TRIM($G1153)="","",IF(COUNTIF(LISTS!$I$2:$I$16,TRIM($G1153))&gt;0,"COUNTED",IF(COUNTIF(LISTS!$J$2:$J$16,TRIM($G1153))&gt;0,"LEFT OUT","NEW")))</f>
        <v/>
      </c>
    </row>
    <row r="1154" spans="47:47" x14ac:dyDescent="0.25">
      <c r="AU1154" s="8" t="str">
        <f>IF(TRIM($G1154)="","",IF(COUNTIF(LISTS!$I$2:$I$16,TRIM($G1154))&gt;0,"COUNTED",IF(COUNTIF(LISTS!$J$2:$J$16,TRIM($G1154))&gt;0,"LEFT OUT","NEW")))</f>
        <v/>
      </c>
    </row>
    <row r="1155" spans="47:47" x14ac:dyDescent="0.25">
      <c r="AU1155" s="8" t="str">
        <f>IF(TRIM($G1155)="","",IF(COUNTIF(LISTS!$I$2:$I$16,TRIM($G1155))&gt;0,"COUNTED",IF(COUNTIF(LISTS!$J$2:$J$16,TRIM($G1155))&gt;0,"LEFT OUT","NEW")))</f>
        <v/>
      </c>
    </row>
    <row r="1156" spans="47:47" x14ac:dyDescent="0.25">
      <c r="AU1156" s="8" t="str">
        <f>IF(TRIM($G1156)="","",IF(COUNTIF(LISTS!$I$2:$I$16,TRIM($G1156))&gt;0,"COUNTED",IF(COUNTIF(LISTS!$J$2:$J$16,TRIM($G1156))&gt;0,"LEFT OUT","NEW")))</f>
        <v/>
      </c>
    </row>
    <row r="1157" spans="47:47" x14ac:dyDescent="0.25">
      <c r="AU1157" s="8" t="str">
        <f>IF(TRIM($G1157)="","",IF(COUNTIF(LISTS!$I$2:$I$16,TRIM($G1157))&gt;0,"COUNTED",IF(COUNTIF(LISTS!$J$2:$J$16,TRIM($G1157))&gt;0,"LEFT OUT","NEW")))</f>
        <v/>
      </c>
    </row>
    <row r="1158" spans="47:47" x14ac:dyDescent="0.25">
      <c r="AU1158" s="8" t="str">
        <f>IF(TRIM($G1158)="","",IF(COUNTIF(LISTS!$I$2:$I$16,TRIM($G1158))&gt;0,"COUNTED",IF(COUNTIF(LISTS!$J$2:$J$16,TRIM($G1158))&gt;0,"LEFT OUT","NEW")))</f>
        <v/>
      </c>
    </row>
    <row r="1159" spans="47:47" x14ac:dyDescent="0.25">
      <c r="AU1159" s="8" t="str">
        <f>IF(TRIM($G1159)="","",IF(COUNTIF(LISTS!$I$2:$I$16,TRIM($G1159))&gt;0,"COUNTED",IF(COUNTIF(LISTS!$J$2:$J$16,TRIM($G1159))&gt;0,"LEFT OUT","NEW")))</f>
        <v/>
      </c>
    </row>
    <row r="1160" spans="47:47" x14ac:dyDescent="0.25">
      <c r="AU1160" s="8" t="str">
        <f>IF(TRIM($G1160)="","",IF(COUNTIF(LISTS!$I$2:$I$16,TRIM($G1160))&gt;0,"COUNTED",IF(COUNTIF(LISTS!$J$2:$J$16,TRIM($G1160))&gt;0,"LEFT OUT","NEW")))</f>
        <v/>
      </c>
    </row>
    <row r="1161" spans="47:47" x14ac:dyDescent="0.25">
      <c r="AU1161" s="8" t="str">
        <f>IF(TRIM($G1161)="","",IF(COUNTIF(LISTS!$I$2:$I$16,TRIM($G1161))&gt;0,"COUNTED",IF(COUNTIF(LISTS!$J$2:$J$16,TRIM($G1161))&gt;0,"LEFT OUT","NEW")))</f>
        <v/>
      </c>
    </row>
    <row r="1162" spans="47:47" x14ac:dyDescent="0.25">
      <c r="AU1162" s="8" t="str">
        <f>IF(TRIM($G1162)="","",IF(COUNTIF(LISTS!$I$2:$I$16,TRIM($G1162))&gt;0,"COUNTED",IF(COUNTIF(LISTS!$J$2:$J$16,TRIM($G1162))&gt;0,"LEFT OUT","NEW")))</f>
        <v/>
      </c>
    </row>
    <row r="1163" spans="47:47" x14ac:dyDescent="0.25">
      <c r="AU1163" s="8" t="str">
        <f>IF(TRIM($G1163)="","",IF(COUNTIF(LISTS!$I$2:$I$16,TRIM($G1163))&gt;0,"COUNTED",IF(COUNTIF(LISTS!$J$2:$J$16,TRIM($G1163))&gt;0,"LEFT OUT","NEW")))</f>
        <v/>
      </c>
    </row>
    <row r="1164" spans="47:47" x14ac:dyDescent="0.25">
      <c r="AU1164" s="8" t="str">
        <f>IF(TRIM($G1164)="","",IF(COUNTIF(LISTS!$I$2:$I$16,TRIM($G1164))&gt;0,"COUNTED",IF(COUNTIF(LISTS!$J$2:$J$16,TRIM($G1164))&gt;0,"LEFT OUT","NEW")))</f>
        <v/>
      </c>
    </row>
    <row r="1165" spans="47:47" x14ac:dyDescent="0.25">
      <c r="AU1165" s="8" t="str">
        <f>IF(TRIM($G1165)="","",IF(COUNTIF(LISTS!$I$2:$I$16,TRIM($G1165))&gt;0,"COUNTED",IF(COUNTIF(LISTS!$J$2:$J$16,TRIM($G1165))&gt;0,"LEFT OUT","NEW")))</f>
        <v/>
      </c>
    </row>
    <row r="1166" spans="47:47" x14ac:dyDescent="0.25">
      <c r="AU1166" s="8" t="str">
        <f>IF(TRIM($G1166)="","",IF(COUNTIF(LISTS!$I$2:$I$16,TRIM($G1166))&gt;0,"COUNTED",IF(COUNTIF(LISTS!$J$2:$J$16,TRIM($G1166))&gt;0,"LEFT OUT","NEW")))</f>
        <v/>
      </c>
    </row>
    <row r="1167" spans="47:47" x14ac:dyDescent="0.25">
      <c r="AU1167" s="8" t="str">
        <f>IF(TRIM($G1167)="","",IF(COUNTIF(LISTS!$I$2:$I$16,TRIM($G1167))&gt;0,"COUNTED",IF(COUNTIF(LISTS!$J$2:$J$16,TRIM($G1167))&gt;0,"LEFT OUT","NEW")))</f>
        <v/>
      </c>
    </row>
    <row r="1168" spans="47:47" x14ac:dyDescent="0.25">
      <c r="AU1168" s="8" t="str">
        <f>IF(TRIM($G1168)="","",IF(COUNTIF(LISTS!$I$2:$I$16,TRIM($G1168))&gt;0,"COUNTED",IF(COUNTIF(LISTS!$J$2:$J$16,TRIM($G1168))&gt;0,"LEFT OUT","NEW")))</f>
        <v/>
      </c>
    </row>
    <row r="1169" spans="47:47" x14ac:dyDescent="0.25">
      <c r="AU1169" s="8" t="str">
        <f>IF(TRIM($G1169)="","",IF(COUNTIF(LISTS!$I$2:$I$16,TRIM($G1169))&gt;0,"COUNTED",IF(COUNTIF(LISTS!$J$2:$J$16,TRIM($G1169))&gt;0,"LEFT OUT","NEW")))</f>
        <v/>
      </c>
    </row>
    <row r="1170" spans="47:47" x14ac:dyDescent="0.25">
      <c r="AU1170" s="8" t="str">
        <f>IF(TRIM($G1170)="","",IF(COUNTIF(LISTS!$I$2:$I$16,TRIM($G1170))&gt;0,"COUNTED",IF(COUNTIF(LISTS!$J$2:$J$16,TRIM($G1170))&gt;0,"LEFT OUT","NEW")))</f>
        <v/>
      </c>
    </row>
    <row r="1171" spans="47:47" x14ac:dyDescent="0.25">
      <c r="AU1171" s="8" t="str">
        <f>IF(TRIM($G1171)="","",IF(COUNTIF(LISTS!$I$2:$I$16,TRIM($G1171))&gt;0,"COUNTED",IF(COUNTIF(LISTS!$J$2:$J$16,TRIM($G1171))&gt;0,"LEFT OUT","NEW")))</f>
        <v/>
      </c>
    </row>
    <row r="1172" spans="47:47" x14ac:dyDescent="0.25">
      <c r="AU1172" s="8" t="str">
        <f>IF(TRIM($G1172)="","",IF(COUNTIF(LISTS!$I$2:$I$16,TRIM($G1172))&gt;0,"COUNTED",IF(COUNTIF(LISTS!$J$2:$J$16,TRIM($G1172))&gt;0,"LEFT OUT","NEW")))</f>
        <v/>
      </c>
    </row>
    <row r="1173" spans="47:47" x14ac:dyDescent="0.25">
      <c r="AU1173" s="8" t="str">
        <f>IF(TRIM($G1173)="","",IF(COUNTIF(LISTS!$I$2:$I$16,TRIM($G1173))&gt;0,"COUNTED",IF(COUNTIF(LISTS!$J$2:$J$16,TRIM($G1173))&gt;0,"LEFT OUT","NEW")))</f>
        <v/>
      </c>
    </row>
    <row r="1174" spans="47:47" x14ac:dyDescent="0.25">
      <c r="AU1174" s="8" t="str">
        <f>IF(TRIM($G1174)="","",IF(COUNTIF(LISTS!$I$2:$I$16,TRIM($G1174))&gt;0,"COUNTED",IF(COUNTIF(LISTS!$J$2:$J$16,TRIM($G1174))&gt;0,"LEFT OUT","NEW")))</f>
        <v/>
      </c>
    </row>
    <row r="1175" spans="47:47" x14ac:dyDescent="0.25">
      <c r="AU1175" s="8" t="str">
        <f>IF(TRIM($G1175)="","",IF(COUNTIF(LISTS!$I$2:$I$16,TRIM($G1175))&gt;0,"COUNTED",IF(COUNTIF(LISTS!$J$2:$J$16,TRIM($G1175))&gt;0,"LEFT OUT","NEW")))</f>
        <v/>
      </c>
    </row>
    <row r="1176" spans="47:47" x14ac:dyDescent="0.25">
      <c r="AU1176" s="8" t="str">
        <f>IF(TRIM($G1176)="","",IF(COUNTIF(LISTS!$I$2:$I$16,TRIM($G1176))&gt;0,"COUNTED",IF(COUNTIF(LISTS!$J$2:$J$16,TRIM($G1176))&gt;0,"LEFT OUT","NEW")))</f>
        <v/>
      </c>
    </row>
    <row r="1177" spans="47:47" x14ac:dyDescent="0.25">
      <c r="AU1177" s="8" t="str">
        <f>IF(TRIM($G1177)="","",IF(COUNTIF(LISTS!$I$2:$I$16,TRIM($G1177))&gt;0,"COUNTED",IF(COUNTIF(LISTS!$J$2:$J$16,TRIM($G1177))&gt;0,"LEFT OUT","NEW")))</f>
        <v/>
      </c>
    </row>
    <row r="1178" spans="47:47" x14ac:dyDescent="0.25">
      <c r="AU1178" s="8" t="str">
        <f>IF(TRIM($G1178)="","",IF(COUNTIF(LISTS!$I$2:$I$16,TRIM($G1178))&gt;0,"COUNTED",IF(COUNTIF(LISTS!$J$2:$J$16,TRIM($G1178))&gt;0,"LEFT OUT","NEW")))</f>
        <v/>
      </c>
    </row>
    <row r="1179" spans="47:47" x14ac:dyDescent="0.25">
      <c r="AU1179" s="8" t="str">
        <f>IF(TRIM($G1179)="","",IF(COUNTIF(LISTS!$I$2:$I$16,TRIM($G1179))&gt;0,"COUNTED",IF(COUNTIF(LISTS!$J$2:$J$16,TRIM($G1179))&gt;0,"LEFT OUT","NEW")))</f>
        <v/>
      </c>
    </row>
    <row r="1180" spans="47:47" x14ac:dyDescent="0.25">
      <c r="AU1180" s="8" t="str">
        <f>IF(TRIM($G1180)="","",IF(COUNTIF(LISTS!$I$2:$I$16,TRIM($G1180))&gt;0,"COUNTED",IF(COUNTIF(LISTS!$J$2:$J$16,TRIM($G1180))&gt;0,"LEFT OUT","NEW")))</f>
        <v/>
      </c>
    </row>
    <row r="1181" spans="47:47" x14ac:dyDescent="0.25">
      <c r="AU1181" s="8" t="str">
        <f>IF(TRIM($G1181)="","",IF(COUNTIF(LISTS!$I$2:$I$16,TRIM($G1181))&gt;0,"COUNTED",IF(COUNTIF(LISTS!$J$2:$J$16,TRIM($G1181))&gt;0,"LEFT OUT","NEW")))</f>
        <v/>
      </c>
    </row>
    <row r="1182" spans="47:47" x14ac:dyDescent="0.25">
      <c r="AU1182" s="8" t="str">
        <f>IF(TRIM($G1182)="","",IF(COUNTIF(LISTS!$I$2:$I$16,TRIM($G1182))&gt;0,"COUNTED",IF(COUNTIF(LISTS!$J$2:$J$16,TRIM($G1182))&gt;0,"LEFT OUT","NEW")))</f>
        <v/>
      </c>
    </row>
    <row r="1183" spans="47:47" x14ac:dyDescent="0.25">
      <c r="AU1183" s="8" t="str">
        <f>IF(TRIM($G1183)="","",IF(COUNTIF(LISTS!$I$2:$I$16,TRIM($G1183))&gt;0,"COUNTED",IF(COUNTIF(LISTS!$J$2:$J$16,TRIM($G1183))&gt;0,"LEFT OUT","NEW")))</f>
        <v/>
      </c>
    </row>
    <row r="1184" spans="47:47" x14ac:dyDescent="0.25">
      <c r="AU1184" s="8" t="str">
        <f>IF(TRIM($G1184)="","",IF(COUNTIF(LISTS!$I$2:$I$16,TRIM($G1184))&gt;0,"COUNTED",IF(COUNTIF(LISTS!$J$2:$J$16,TRIM($G1184))&gt;0,"LEFT OUT","NEW")))</f>
        <v/>
      </c>
    </row>
    <row r="1185" spans="47:47" x14ac:dyDescent="0.25">
      <c r="AU1185" s="8" t="str">
        <f>IF(TRIM($G1185)="","",IF(COUNTIF(LISTS!$I$2:$I$16,TRIM($G1185))&gt;0,"COUNTED",IF(COUNTIF(LISTS!$J$2:$J$16,TRIM($G1185))&gt;0,"LEFT OUT","NEW")))</f>
        <v/>
      </c>
    </row>
    <row r="1186" spans="47:47" x14ac:dyDescent="0.25">
      <c r="AU1186" s="8" t="str">
        <f>IF(TRIM($G1186)="","",IF(COUNTIF(LISTS!$I$2:$I$16,TRIM($G1186))&gt;0,"COUNTED",IF(COUNTIF(LISTS!$J$2:$J$16,TRIM($G1186))&gt;0,"LEFT OUT","NEW")))</f>
        <v/>
      </c>
    </row>
    <row r="1187" spans="47:47" x14ac:dyDescent="0.25">
      <c r="AU1187" s="8" t="str">
        <f>IF(TRIM($G1187)="","",IF(COUNTIF(LISTS!$I$2:$I$16,TRIM($G1187))&gt;0,"COUNTED",IF(COUNTIF(LISTS!$J$2:$J$16,TRIM($G1187))&gt;0,"LEFT OUT","NEW")))</f>
        <v/>
      </c>
    </row>
    <row r="1188" spans="47:47" x14ac:dyDescent="0.25">
      <c r="AU1188" s="8" t="str">
        <f>IF(TRIM($G1188)="","",IF(COUNTIF(LISTS!$I$2:$I$16,TRIM($G1188))&gt;0,"COUNTED",IF(COUNTIF(LISTS!$J$2:$J$16,TRIM($G1188))&gt;0,"LEFT OUT","NEW")))</f>
        <v/>
      </c>
    </row>
    <row r="1189" spans="47:47" x14ac:dyDescent="0.25">
      <c r="AU1189" s="8" t="str">
        <f>IF(TRIM($G1189)="","",IF(COUNTIF(LISTS!$I$2:$I$16,TRIM($G1189))&gt;0,"COUNTED",IF(COUNTIF(LISTS!$J$2:$J$16,TRIM($G1189))&gt;0,"LEFT OUT","NEW")))</f>
        <v/>
      </c>
    </row>
    <row r="1190" spans="47:47" x14ac:dyDescent="0.25">
      <c r="AU1190" s="8" t="str">
        <f>IF(TRIM($G1190)="","",IF(COUNTIF(LISTS!$I$2:$I$16,TRIM($G1190))&gt;0,"COUNTED",IF(COUNTIF(LISTS!$J$2:$J$16,TRIM($G1190))&gt;0,"LEFT OUT","NEW")))</f>
        <v/>
      </c>
    </row>
    <row r="1191" spans="47:47" x14ac:dyDescent="0.25">
      <c r="AU1191" s="8" t="str">
        <f>IF(TRIM($G1191)="","",IF(COUNTIF(LISTS!$I$2:$I$16,TRIM($G1191))&gt;0,"COUNTED",IF(COUNTIF(LISTS!$J$2:$J$16,TRIM($G1191))&gt;0,"LEFT OUT","NEW")))</f>
        <v/>
      </c>
    </row>
    <row r="1192" spans="47:47" x14ac:dyDescent="0.25">
      <c r="AU1192" s="8" t="str">
        <f>IF(TRIM($G1192)="","",IF(COUNTIF(LISTS!$I$2:$I$16,TRIM($G1192))&gt;0,"COUNTED",IF(COUNTIF(LISTS!$J$2:$J$16,TRIM($G1192))&gt;0,"LEFT OUT","NEW")))</f>
        <v/>
      </c>
    </row>
    <row r="1193" spans="47:47" x14ac:dyDescent="0.25">
      <c r="AU1193" s="8" t="str">
        <f>IF(TRIM($G1193)="","",IF(COUNTIF(LISTS!$I$2:$I$16,TRIM($G1193))&gt;0,"COUNTED",IF(COUNTIF(LISTS!$J$2:$J$16,TRIM($G1193))&gt;0,"LEFT OUT","NEW")))</f>
        <v/>
      </c>
    </row>
    <row r="1194" spans="47:47" x14ac:dyDescent="0.25">
      <c r="AU1194" s="8" t="str">
        <f>IF(TRIM($G1194)="","",IF(COUNTIF(LISTS!$I$2:$I$16,TRIM($G1194))&gt;0,"COUNTED",IF(COUNTIF(LISTS!$J$2:$J$16,TRIM($G1194))&gt;0,"LEFT OUT","NEW")))</f>
        <v/>
      </c>
    </row>
    <row r="1195" spans="47:47" x14ac:dyDescent="0.25">
      <c r="AU1195" s="8" t="str">
        <f>IF(TRIM($G1195)="","",IF(COUNTIF(LISTS!$I$2:$I$16,TRIM($G1195))&gt;0,"COUNTED",IF(COUNTIF(LISTS!$J$2:$J$16,TRIM($G1195))&gt;0,"LEFT OUT","NEW")))</f>
        <v/>
      </c>
    </row>
    <row r="1196" spans="47:47" x14ac:dyDescent="0.25">
      <c r="AU1196" s="8" t="str">
        <f>IF(TRIM($G1196)="","",IF(COUNTIF(LISTS!$I$2:$I$16,TRIM($G1196))&gt;0,"COUNTED",IF(COUNTIF(LISTS!$J$2:$J$16,TRIM($G1196))&gt;0,"LEFT OUT","NEW")))</f>
        <v/>
      </c>
    </row>
    <row r="1197" spans="47:47" x14ac:dyDescent="0.25">
      <c r="AU1197" s="8" t="str">
        <f>IF(TRIM($G1197)="","",IF(COUNTIF(LISTS!$I$2:$I$16,TRIM($G1197))&gt;0,"COUNTED",IF(COUNTIF(LISTS!$J$2:$J$16,TRIM($G1197))&gt;0,"LEFT OUT","NEW")))</f>
        <v/>
      </c>
    </row>
    <row r="1198" spans="47:47" x14ac:dyDescent="0.25">
      <c r="AU1198" s="8" t="str">
        <f>IF(TRIM($G1198)="","",IF(COUNTIF(LISTS!$I$2:$I$16,TRIM($G1198))&gt;0,"COUNTED",IF(COUNTIF(LISTS!$J$2:$J$16,TRIM($G1198))&gt;0,"LEFT OUT","NEW")))</f>
        <v/>
      </c>
    </row>
    <row r="1199" spans="47:47" x14ac:dyDescent="0.25">
      <c r="AU1199" s="8" t="str">
        <f>IF(TRIM($G1199)="","",IF(COUNTIF(LISTS!$I$2:$I$16,TRIM($G1199))&gt;0,"COUNTED",IF(COUNTIF(LISTS!$J$2:$J$16,TRIM($G1199))&gt;0,"LEFT OUT","NEW")))</f>
        <v/>
      </c>
    </row>
    <row r="1200" spans="47:47" x14ac:dyDescent="0.25">
      <c r="AU1200" s="8" t="str">
        <f>IF(TRIM($G1200)="","",IF(COUNTIF(LISTS!$I$2:$I$16,TRIM($G1200))&gt;0,"COUNTED",IF(COUNTIF(LISTS!$J$2:$J$16,TRIM($G1200))&gt;0,"LEFT OUT","NEW")))</f>
        <v/>
      </c>
    </row>
    <row r="1201" spans="47:47" x14ac:dyDescent="0.25">
      <c r="AU1201" s="8" t="str">
        <f>IF(TRIM($G1201)="","",IF(COUNTIF(LISTS!$I$2:$I$16,TRIM($G1201))&gt;0,"COUNTED",IF(COUNTIF(LISTS!$J$2:$J$16,TRIM($G1201))&gt;0,"LEFT OUT","NEW")))</f>
        <v/>
      </c>
    </row>
    <row r="1202" spans="47:47" x14ac:dyDescent="0.25">
      <c r="AU1202" s="8" t="str">
        <f>IF(TRIM($G1202)="","",IF(COUNTIF(LISTS!$I$2:$I$16,TRIM($G1202))&gt;0,"COUNTED",IF(COUNTIF(LISTS!$J$2:$J$16,TRIM($G1202))&gt;0,"LEFT OUT","NEW")))</f>
        <v/>
      </c>
    </row>
    <row r="1203" spans="47:47" x14ac:dyDescent="0.25">
      <c r="AU1203" s="8" t="str">
        <f>IF(TRIM($G1203)="","",IF(COUNTIF(LISTS!$I$2:$I$16,TRIM($G1203))&gt;0,"COUNTED",IF(COUNTIF(LISTS!$J$2:$J$16,TRIM($G1203))&gt;0,"LEFT OUT","NEW")))</f>
        <v/>
      </c>
    </row>
    <row r="1204" spans="47:47" x14ac:dyDescent="0.25">
      <c r="AU1204" s="8" t="str">
        <f>IF(TRIM($G1204)="","",IF(COUNTIF(LISTS!$I$2:$I$16,TRIM($G1204))&gt;0,"COUNTED",IF(COUNTIF(LISTS!$J$2:$J$16,TRIM($G1204))&gt;0,"LEFT OUT","NEW")))</f>
        <v/>
      </c>
    </row>
    <row r="1205" spans="47:47" x14ac:dyDescent="0.25">
      <c r="AU1205" s="8" t="str">
        <f>IF(TRIM($G1205)="","",IF(COUNTIF(LISTS!$I$2:$I$16,TRIM($G1205))&gt;0,"COUNTED",IF(COUNTIF(LISTS!$J$2:$J$16,TRIM($G1205))&gt;0,"LEFT OUT","NEW")))</f>
        <v/>
      </c>
    </row>
    <row r="1206" spans="47:47" x14ac:dyDescent="0.25">
      <c r="AU1206" s="8" t="str">
        <f>IF(TRIM($G1206)="","",IF(COUNTIF(LISTS!$I$2:$I$16,TRIM($G1206))&gt;0,"COUNTED",IF(COUNTIF(LISTS!$J$2:$J$16,TRIM($G1206))&gt;0,"LEFT OUT","NEW")))</f>
        <v/>
      </c>
    </row>
    <row r="1207" spans="47:47" x14ac:dyDescent="0.25">
      <c r="AU1207" s="8" t="str">
        <f>IF(TRIM($G1207)="","",IF(COUNTIF(LISTS!$I$2:$I$16,TRIM($G1207))&gt;0,"COUNTED",IF(COUNTIF(LISTS!$J$2:$J$16,TRIM($G1207))&gt;0,"LEFT OUT","NEW")))</f>
        <v/>
      </c>
    </row>
    <row r="1208" spans="47:47" x14ac:dyDescent="0.25">
      <c r="AU1208" s="8" t="str">
        <f>IF(TRIM($G1208)="","",IF(COUNTIF(LISTS!$I$2:$I$16,TRIM($G1208))&gt;0,"COUNTED",IF(COUNTIF(LISTS!$J$2:$J$16,TRIM($G1208))&gt;0,"LEFT OUT","NEW")))</f>
        <v/>
      </c>
    </row>
    <row r="1209" spans="47:47" x14ac:dyDescent="0.25">
      <c r="AU1209" s="8" t="str">
        <f>IF(TRIM($G1209)="","",IF(COUNTIF(LISTS!$I$2:$I$16,TRIM($G1209))&gt;0,"COUNTED",IF(COUNTIF(LISTS!$J$2:$J$16,TRIM($G1209))&gt;0,"LEFT OUT","NEW")))</f>
        <v/>
      </c>
    </row>
    <row r="1210" spans="47:47" x14ac:dyDescent="0.25">
      <c r="AU1210" s="8" t="str">
        <f>IF(TRIM($G1210)="","",IF(COUNTIF(LISTS!$I$2:$I$16,TRIM($G1210))&gt;0,"COUNTED",IF(COUNTIF(LISTS!$J$2:$J$16,TRIM($G1210))&gt;0,"LEFT OUT","NEW")))</f>
        <v/>
      </c>
    </row>
    <row r="1211" spans="47:47" x14ac:dyDescent="0.25">
      <c r="AU1211" s="8" t="str">
        <f>IF(TRIM($G1211)="","",IF(COUNTIF(LISTS!$I$2:$I$16,TRIM($G1211))&gt;0,"COUNTED",IF(COUNTIF(LISTS!$J$2:$J$16,TRIM($G1211))&gt;0,"LEFT OUT","NEW")))</f>
        <v/>
      </c>
    </row>
    <row r="1212" spans="47:47" x14ac:dyDescent="0.25">
      <c r="AU1212" s="8" t="str">
        <f>IF(TRIM($G1212)="","",IF(COUNTIF(LISTS!$I$2:$I$16,TRIM($G1212))&gt;0,"COUNTED",IF(COUNTIF(LISTS!$J$2:$J$16,TRIM($G1212))&gt;0,"LEFT OUT","NEW")))</f>
        <v/>
      </c>
    </row>
    <row r="1213" spans="47:47" x14ac:dyDescent="0.25">
      <c r="AU1213" s="8" t="str">
        <f>IF(TRIM($G1213)="","",IF(COUNTIF(LISTS!$I$2:$I$16,TRIM($G1213))&gt;0,"COUNTED",IF(COUNTIF(LISTS!$J$2:$J$16,TRIM($G1213))&gt;0,"LEFT OUT","NEW")))</f>
        <v/>
      </c>
    </row>
    <row r="1214" spans="47:47" x14ac:dyDescent="0.25">
      <c r="AU1214" s="8" t="str">
        <f>IF(TRIM($G1214)="","",IF(COUNTIF(LISTS!$I$2:$I$16,TRIM($G1214))&gt;0,"COUNTED",IF(COUNTIF(LISTS!$J$2:$J$16,TRIM($G1214))&gt;0,"LEFT OUT","NEW")))</f>
        <v/>
      </c>
    </row>
    <row r="1215" spans="47:47" x14ac:dyDescent="0.25">
      <c r="AU1215" s="8" t="str">
        <f>IF(TRIM($G1215)="","",IF(COUNTIF(LISTS!$I$2:$I$16,TRIM($G1215))&gt;0,"COUNTED",IF(COUNTIF(LISTS!$J$2:$J$16,TRIM($G1215))&gt;0,"LEFT OUT","NEW")))</f>
        <v/>
      </c>
    </row>
    <row r="1216" spans="47:47" x14ac:dyDescent="0.25">
      <c r="AU1216" s="8" t="str">
        <f>IF(TRIM($G1216)="","",IF(COUNTIF(LISTS!$I$2:$I$16,TRIM($G1216))&gt;0,"COUNTED",IF(COUNTIF(LISTS!$J$2:$J$16,TRIM($G1216))&gt;0,"LEFT OUT","NEW")))</f>
        <v/>
      </c>
    </row>
    <row r="1217" spans="47:47" x14ac:dyDescent="0.25">
      <c r="AU1217" s="8" t="str">
        <f>IF(TRIM($G1217)="","",IF(COUNTIF(LISTS!$I$2:$I$16,TRIM($G1217))&gt;0,"COUNTED",IF(COUNTIF(LISTS!$J$2:$J$16,TRIM($G1217))&gt;0,"LEFT OUT","NEW")))</f>
        <v/>
      </c>
    </row>
    <row r="1218" spans="47:47" x14ac:dyDescent="0.25">
      <c r="AU1218" s="8" t="str">
        <f>IF(TRIM($G1218)="","",IF(COUNTIF(LISTS!$I$2:$I$16,TRIM($G1218))&gt;0,"COUNTED",IF(COUNTIF(LISTS!$J$2:$J$16,TRIM($G1218))&gt;0,"LEFT OUT","NEW")))</f>
        <v/>
      </c>
    </row>
    <row r="1219" spans="47:47" x14ac:dyDescent="0.25">
      <c r="AU1219" s="8" t="str">
        <f>IF(TRIM($G1219)="","",IF(COUNTIF(LISTS!$I$2:$I$16,TRIM($G1219))&gt;0,"COUNTED",IF(COUNTIF(LISTS!$J$2:$J$16,TRIM($G1219))&gt;0,"LEFT OUT","NEW")))</f>
        <v/>
      </c>
    </row>
    <row r="1220" spans="47:47" x14ac:dyDescent="0.25">
      <c r="AU1220" s="8" t="str">
        <f>IF(TRIM($G1220)="","",IF(COUNTIF(LISTS!$I$2:$I$16,TRIM($G1220))&gt;0,"COUNTED",IF(COUNTIF(LISTS!$J$2:$J$16,TRIM($G1220))&gt;0,"LEFT OUT","NEW")))</f>
        <v/>
      </c>
    </row>
    <row r="1221" spans="47:47" x14ac:dyDescent="0.25">
      <c r="AU1221" s="8" t="str">
        <f>IF(TRIM($G1221)="","",IF(COUNTIF(LISTS!$I$2:$I$16,TRIM($G1221))&gt;0,"COUNTED",IF(COUNTIF(LISTS!$J$2:$J$16,TRIM($G1221))&gt;0,"LEFT OUT","NEW")))</f>
        <v/>
      </c>
    </row>
    <row r="1222" spans="47:47" x14ac:dyDescent="0.25">
      <c r="AU1222" s="8" t="str">
        <f>IF(TRIM($G1222)="","",IF(COUNTIF(LISTS!$I$2:$I$16,TRIM($G1222))&gt;0,"COUNTED",IF(COUNTIF(LISTS!$J$2:$J$16,TRIM($G1222))&gt;0,"LEFT OUT","NEW")))</f>
        <v/>
      </c>
    </row>
    <row r="1223" spans="47:47" x14ac:dyDescent="0.25">
      <c r="AU1223" s="8" t="str">
        <f>IF(TRIM($G1223)="","",IF(COUNTIF(LISTS!$I$2:$I$16,TRIM($G1223))&gt;0,"COUNTED",IF(COUNTIF(LISTS!$J$2:$J$16,TRIM($G1223))&gt;0,"LEFT OUT","NEW")))</f>
        <v/>
      </c>
    </row>
    <row r="1224" spans="47:47" x14ac:dyDescent="0.25">
      <c r="AU1224" s="8" t="str">
        <f>IF(TRIM($G1224)="","",IF(COUNTIF(LISTS!$I$2:$I$16,TRIM($G1224))&gt;0,"COUNTED",IF(COUNTIF(LISTS!$J$2:$J$16,TRIM($G1224))&gt;0,"LEFT OUT","NEW")))</f>
        <v/>
      </c>
    </row>
    <row r="1225" spans="47:47" x14ac:dyDescent="0.25">
      <c r="AU1225" s="8" t="str">
        <f>IF(TRIM($G1225)="","",IF(COUNTIF(LISTS!$I$2:$I$16,TRIM($G1225))&gt;0,"COUNTED",IF(COUNTIF(LISTS!$J$2:$J$16,TRIM($G1225))&gt;0,"LEFT OUT","NEW")))</f>
        <v/>
      </c>
    </row>
    <row r="1226" spans="47:47" x14ac:dyDescent="0.25">
      <c r="AU1226" s="8" t="str">
        <f>IF(TRIM($G1226)="","",IF(COUNTIF(LISTS!$I$2:$I$16,TRIM($G1226))&gt;0,"COUNTED",IF(COUNTIF(LISTS!$J$2:$J$16,TRIM($G1226))&gt;0,"LEFT OUT","NEW")))</f>
        <v/>
      </c>
    </row>
    <row r="1227" spans="47:47" x14ac:dyDescent="0.25">
      <c r="AU1227" s="8" t="str">
        <f>IF(TRIM($G1227)="","",IF(COUNTIF(LISTS!$I$2:$I$16,TRIM($G1227))&gt;0,"COUNTED",IF(COUNTIF(LISTS!$J$2:$J$16,TRIM($G1227))&gt;0,"LEFT OUT","NEW")))</f>
        <v/>
      </c>
    </row>
    <row r="1228" spans="47:47" x14ac:dyDescent="0.25">
      <c r="AU1228" s="8" t="str">
        <f>IF(TRIM($G1228)="","",IF(COUNTIF(LISTS!$I$2:$I$16,TRIM($G1228))&gt;0,"COUNTED",IF(COUNTIF(LISTS!$J$2:$J$16,TRIM($G1228))&gt;0,"LEFT OUT","NEW")))</f>
        <v/>
      </c>
    </row>
    <row r="1229" spans="47:47" x14ac:dyDescent="0.25">
      <c r="AU1229" s="8" t="str">
        <f>IF(TRIM($G1229)="","",IF(COUNTIF(LISTS!$I$2:$I$16,TRIM($G1229))&gt;0,"COUNTED",IF(COUNTIF(LISTS!$J$2:$J$16,TRIM($G1229))&gt;0,"LEFT OUT","NEW")))</f>
        <v/>
      </c>
    </row>
    <row r="1230" spans="47:47" x14ac:dyDescent="0.25">
      <c r="AU1230" s="8" t="str">
        <f>IF(TRIM($G1230)="","",IF(COUNTIF(LISTS!$I$2:$I$16,TRIM($G1230))&gt;0,"COUNTED",IF(COUNTIF(LISTS!$J$2:$J$16,TRIM($G1230))&gt;0,"LEFT OUT","NEW")))</f>
        <v/>
      </c>
    </row>
    <row r="1231" spans="47:47" x14ac:dyDescent="0.25">
      <c r="AU1231" s="8" t="str">
        <f>IF(TRIM($G1231)="","",IF(COUNTIF(LISTS!$I$2:$I$16,TRIM($G1231))&gt;0,"COUNTED",IF(COUNTIF(LISTS!$J$2:$J$16,TRIM($G1231))&gt;0,"LEFT OUT","NEW")))</f>
        <v/>
      </c>
    </row>
    <row r="1232" spans="47:47" x14ac:dyDescent="0.25">
      <c r="AU1232" s="8" t="str">
        <f>IF(TRIM($G1232)="","",IF(COUNTIF(LISTS!$I$2:$I$16,TRIM($G1232))&gt;0,"COUNTED",IF(COUNTIF(LISTS!$J$2:$J$16,TRIM($G1232))&gt;0,"LEFT OUT","NEW")))</f>
        <v/>
      </c>
    </row>
    <row r="1233" spans="47:47" x14ac:dyDescent="0.25">
      <c r="AU1233" s="8" t="str">
        <f>IF(TRIM($G1233)="","",IF(COUNTIF(LISTS!$I$2:$I$16,TRIM($G1233))&gt;0,"COUNTED",IF(COUNTIF(LISTS!$J$2:$J$16,TRIM($G1233))&gt;0,"LEFT OUT","NEW")))</f>
        <v/>
      </c>
    </row>
    <row r="1234" spans="47:47" x14ac:dyDescent="0.25">
      <c r="AU1234" s="8" t="str">
        <f>IF(TRIM($G1234)="","",IF(COUNTIF(LISTS!$I$2:$I$16,TRIM($G1234))&gt;0,"COUNTED",IF(COUNTIF(LISTS!$J$2:$J$16,TRIM($G1234))&gt;0,"LEFT OUT","NEW")))</f>
        <v/>
      </c>
    </row>
    <row r="1235" spans="47:47" x14ac:dyDescent="0.25">
      <c r="AU1235" s="8" t="str">
        <f>IF(TRIM($G1235)="","",IF(COUNTIF(LISTS!$I$2:$I$16,TRIM($G1235))&gt;0,"COUNTED",IF(COUNTIF(LISTS!$J$2:$J$16,TRIM($G1235))&gt;0,"LEFT OUT","NEW")))</f>
        <v/>
      </c>
    </row>
    <row r="1236" spans="47:47" x14ac:dyDescent="0.25">
      <c r="AU1236" s="8" t="str">
        <f>IF(TRIM($G1236)="","",IF(COUNTIF(LISTS!$I$2:$I$16,TRIM($G1236))&gt;0,"COUNTED",IF(COUNTIF(LISTS!$J$2:$J$16,TRIM($G1236))&gt;0,"LEFT OUT","NEW")))</f>
        <v/>
      </c>
    </row>
    <row r="1237" spans="47:47" x14ac:dyDescent="0.25">
      <c r="AU1237" s="8" t="str">
        <f>IF(TRIM($G1237)="","",IF(COUNTIF(LISTS!$I$2:$I$16,TRIM($G1237))&gt;0,"COUNTED",IF(COUNTIF(LISTS!$J$2:$J$16,TRIM($G1237))&gt;0,"LEFT OUT","NEW")))</f>
        <v/>
      </c>
    </row>
    <row r="1238" spans="47:47" x14ac:dyDescent="0.25">
      <c r="AU1238" s="8" t="str">
        <f>IF(TRIM($G1238)="","",IF(COUNTIF(LISTS!$I$2:$I$16,TRIM($G1238))&gt;0,"COUNTED",IF(COUNTIF(LISTS!$J$2:$J$16,TRIM($G1238))&gt;0,"LEFT OUT","NEW")))</f>
        <v/>
      </c>
    </row>
    <row r="1239" spans="47:47" x14ac:dyDescent="0.25">
      <c r="AU1239" s="8" t="str">
        <f>IF(TRIM($G1239)="","",IF(COUNTIF(LISTS!$I$2:$I$16,TRIM($G1239))&gt;0,"COUNTED",IF(COUNTIF(LISTS!$J$2:$J$16,TRIM($G1239))&gt;0,"LEFT OUT","NEW")))</f>
        <v/>
      </c>
    </row>
    <row r="1240" spans="47:47" x14ac:dyDescent="0.25">
      <c r="AU1240" s="8" t="str">
        <f>IF(TRIM($G1240)="","",IF(COUNTIF(LISTS!$I$2:$I$16,TRIM($G1240))&gt;0,"COUNTED",IF(COUNTIF(LISTS!$J$2:$J$16,TRIM($G1240))&gt;0,"LEFT OUT","NEW")))</f>
        <v/>
      </c>
    </row>
    <row r="1241" spans="47:47" x14ac:dyDescent="0.25">
      <c r="AU1241" s="8" t="str">
        <f>IF(TRIM($G1241)="","",IF(COUNTIF(LISTS!$I$2:$I$16,TRIM($G1241))&gt;0,"COUNTED",IF(COUNTIF(LISTS!$J$2:$J$16,TRIM($G1241))&gt;0,"LEFT OUT","NEW")))</f>
        <v/>
      </c>
    </row>
    <row r="1242" spans="47:47" x14ac:dyDescent="0.25">
      <c r="AU1242" s="8" t="str">
        <f>IF(TRIM($G1242)="","",IF(COUNTIF(LISTS!$I$2:$I$16,TRIM($G1242))&gt;0,"COUNTED",IF(COUNTIF(LISTS!$J$2:$J$16,TRIM($G1242))&gt;0,"LEFT OUT","NEW")))</f>
        <v/>
      </c>
    </row>
    <row r="1243" spans="47:47" x14ac:dyDescent="0.25">
      <c r="AU1243" s="8" t="str">
        <f>IF(TRIM($G1243)="","",IF(COUNTIF(LISTS!$I$2:$I$16,TRIM($G1243))&gt;0,"COUNTED",IF(COUNTIF(LISTS!$J$2:$J$16,TRIM($G1243))&gt;0,"LEFT OUT","NEW")))</f>
        <v/>
      </c>
    </row>
    <row r="1244" spans="47:47" x14ac:dyDescent="0.25">
      <c r="AU1244" s="8" t="str">
        <f>IF(TRIM($G1244)="","",IF(COUNTIF(LISTS!$I$2:$I$16,TRIM($G1244))&gt;0,"COUNTED",IF(COUNTIF(LISTS!$J$2:$J$16,TRIM($G1244))&gt;0,"LEFT OUT","NEW")))</f>
        <v/>
      </c>
    </row>
    <row r="1245" spans="47:47" x14ac:dyDescent="0.25">
      <c r="AU1245" s="8" t="str">
        <f>IF(TRIM($G1245)="","",IF(COUNTIF(LISTS!$I$2:$I$16,TRIM($G1245))&gt;0,"COUNTED",IF(COUNTIF(LISTS!$J$2:$J$16,TRIM($G1245))&gt;0,"LEFT OUT","NEW")))</f>
        <v/>
      </c>
    </row>
    <row r="1246" spans="47:47" x14ac:dyDescent="0.25">
      <c r="AU1246" s="8" t="str">
        <f>IF(TRIM($G1246)="","",IF(COUNTIF(LISTS!$I$2:$I$16,TRIM($G1246))&gt;0,"COUNTED",IF(COUNTIF(LISTS!$J$2:$J$16,TRIM($G1246))&gt;0,"LEFT OUT","NEW")))</f>
        <v/>
      </c>
    </row>
    <row r="1247" spans="47:47" x14ac:dyDescent="0.25">
      <c r="AU1247" s="8" t="str">
        <f>IF(TRIM($G1247)="","",IF(COUNTIF(LISTS!$I$2:$I$16,TRIM($G1247))&gt;0,"COUNTED",IF(COUNTIF(LISTS!$J$2:$J$16,TRIM($G1247))&gt;0,"LEFT OUT","NEW")))</f>
        <v/>
      </c>
    </row>
    <row r="1248" spans="47:47" x14ac:dyDescent="0.25">
      <c r="AU1248" s="8" t="str">
        <f>IF(TRIM($G1248)="","",IF(COUNTIF(LISTS!$I$2:$I$16,TRIM($G1248))&gt;0,"COUNTED",IF(COUNTIF(LISTS!$J$2:$J$16,TRIM($G1248))&gt;0,"LEFT OUT","NEW")))</f>
        <v/>
      </c>
    </row>
    <row r="1249" spans="47:47" x14ac:dyDescent="0.25">
      <c r="AU1249" s="8" t="str">
        <f>IF(TRIM($G1249)="","",IF(COUNTIF(LISTS!$I$2:$I$16,TRIM($G1249))&gt;0,"COUNTED",IF(COUNTIF(LISTS!$J$2:$J$16,TRIM($G1249))&gt;0,"LEFT OUT","NEW")))</f>
        <v/>
      </c>
    </row>
    <row r="1250" spans="47:47" x14ac:dyDescent="0.25">
      <c r="AU1250" s="8" t="str">
        <f>IF(TRIM($G1250)="","",IF(COUNTIF(LISTS!$I$2:$I$16,TRIM($G1250))&gt;0,"COUNTED",IF(COUNTIF(LISTS!$J$2:$J$16,TRIM($G1250))&gt;0,"LEFT OUT","NEW")))</f>
        <v/>
      </c>
    </row>
    <row r="1251" spans="47:47" x14ac:dyDescent="0.25">
      <c r="AU1251" s="8" t="str">
        <f>IF(TRIM($G1251)="","",IF(COUNTIF(LISTS!$I$2:$I$16,TRIM($G1251))&gt;0,"COUNTED",IF(COUNTIF(LISTS!$J$2:$J$16,TRIM($G1251))&gt;0,"LEFT OUT","NEW")))</f>
        <v/>
      </c>
    </row>
    <row r="1252" spans="47:47" x14ac:dyDescent="0.25">
      <c r="AU1252" s="8" t="str">
        <f>IF(TRIM($G1252)="","",IF(COUNTIF(LISTS!$I$2:$I$16,TRIM($G1252))&gt;0,"COUNTED",IF(COUNTIF(LISTS!$J$2:$J$16,TRIM($G1252))&gt;0,"LEFT OUT","NEW")))</f>
        <v/>
      </c>
    </row>
    <row r="1253" spans="47:47" x14ac:dyDescent="0.25">
      <c r="AU1253" s="8" t="str">
        <f>IF(TRIM($G1253)="","",IF(COUNTIF(LISTS!$I$2:$I$16,TRIM($G1253))&gt;0,"COUNTED",IF(COUNTIF(LISTS!$J$2:$J$16,TRIM($G1253))&gt;0,"LEFT OUT","NEW")))</f>
        <v/>
      </c>
    </row>
    <row r="1254" spans="47:47" x14ac:dyDescent="0.25">
      <c r="AU1254" s="8" t="str">
        <f>IF(TRIM($G1254)="","",IF(COUNTIF(LISTS!$I$2:$I$16,TRIM($G1254))&gt;0,"COUNTED",IF(COUNTIF(LISTS!$J$2:$J$16,TRIM($G1254))&gt;0,"LEFT OUT","NEW")))</f>
        <v/>
      </c>
    </row>
    <row r="1255" spans="47:47" x14ac:dyDescent="0.25">
      <c r="AU1255" s="8" t="str">
        <f>IF(TRIM($G1255)="","",IF(COUNTIF(LISTS!$I$2:$I$16,TRIM($G1255))&gt;0,"COUNTED",IF(COUNTIF(LISTS!$J$2:$J$16,TRIM($G1255))&gt;0,"LEFT OUT","NEW")))</f>
        <v/>
      </c>
    </row>
    <row r="1256" spans="47:47" x14ac:dyDescent="0.25">
      <c r="AU1256" s="8" t="str">
        <f>IF(TRIM($G1256)="","",IF(COUNTIF(LISTS!$I$2:$I$16,TRIM($G1256))&gt;0,"COUNTED",IF(COUNTIF(LISTS!$J$2:$J$16,TRIM($G1256))&gt;0,"LEFT OUT","NEW")))</f>
        <v/>
      </c>
    </row>
    <row r="1257" spans="47:47" x14ac:dyDescent="0.25">
      <c r="AU1257" s="8" t="str">
        <f>IF(TRIM($G1257)="","",IF(COUNTIF(LISTS!$I$2:$I$16,TRIM($G1257))&gt;0,"COUNTED",IF(COUNTIF(LISTS!$J$2:$J$16,TRIM($G1257))&gt;0,"LEFT OUT","NEW")))</f>
        <v/>
      </c>
    </row>
    <row r="1258" spans="47:47" x14ac:dyDescent="0.25">
      <c r="AU1258" s="8" t="str">
        <f>IF(TRIM($G1258)="","",IF(COUNTIF(LISTS!$I$2:$I$16,TRIM($G1258))&gt;0,"COUNTED",IF(COUNTIF(LISTS!$J$2:$J$16,TRIM($G1258))&gt;0,"LEFT OUT","NEW")))</f>
        <v/>
      </c>
    </row>
    <row r="1259" spans="47:47" x14ac:dyDescent="0.25">
      <c r="AU1259" s="8" t="str">
        <f>IF(TRIM($G1259)="","",IF(COUNTIF(LISTS!$I$2:$I$16,TRIM($G1259))&gt;0,"COUNTED",IF(COUNTIF(LISTS!$J$2:$J$16,TRIM($G1259))&gt;0,"LEFT OUT","NEW")))</f>
        <v/>
      </c>
    </row>
    <row r="1260" spans="47:47" x14ac:dyDescent="0.25">
      <c r="AU1260" s="8" t="str">
        <f>IF(TRIM($G1260)="","",IF(COUNTIF(LISTS!$I$2:$I$16,TRIM($G1260))&gt;0,"COUNTED",IF(COUNTIF(LISTS!$J$2:$J$16,TRIM($G1260))&gt;0,"LEFT OUT","NEW")))</f>
        <v/>
      </c>
    </row>
    <row r="1261" spans="47:47" x14ac:dyDescent="0.25">
      <c r="AU1261" s="8" t="str">
        <f>IF(TRIM($G1261)="","",IF(COUNTIF(LISTS!$I$2:$I$16,TRIM($G1261))&gt;0,"COUNTED",IF(COUNTIF(LISTS!$J$2:$J$16,TRIM($G1261))&gt;0,"LEFT OUT","NEW")))</f>
        <v/>
      </c>
    </row>
    <row r="1262" spans="47:47" x14ac:dyDescent="0.25">
      <c r="AU1262" s="8" t="str">
        <f>IF(TRIM($G1262)="","",IF(COUNTIF(LISTS!$I$2:$I$16,TRIM($G1262))&gt;0,"COUNTED",IF(COUNTIF(LISTS!$J$2:$J$16,TRIM($G1262))&gt;0,"LEFT OUT","NEW")))</f>
        <v/>
      </c>
    </row>
    <row r="1263" spans="47:47" x14ac:dyDescent="0.25">
      <c r="AU1263" s="8" t="str">
        <f>IF(TRIM($G1263)="","",IF(COUNTIF(LISTS!$I$2:$I$16,TRIM($G1263))&gt;0,"COUNTED",IF(COUNTIF(LISTS!$J$2:$J$16,TRIM($G1263))&gt;0,"LEFT OUT","NEW")))</f>
        <v/>
      </c>
    </row>
    <row r="1264" spans="47:47" x14ac:dyDescent="0.25">
      <c r="AU1264" s="8" t="str">
        <f>IF(TRIM($G1264)="","",IF(COUNTIF(LISTS!$I$2:$I$16,TRIM($G1264))&gt;0,"COUNTED",IF(COUNTIF(LISTS!$J$2:$J$16,TRIM($G1264))&gt;0,"LEFT OUT","NEW")))</f>
        <v/>
      </c>
    </row>
    <row r="1265" spans="47:47" x14ac:dyDescent="0.25">
      <c r="AU1265" s="8" t="str">
        <f>IF(TRIM($G1265)="","",IF(COUNTIF(LISTS!$I$2:$I$16,TRIM($G1265))&gt;0,"COUNTED",IF(COUNTIF(LISTS!$J$2:$J$16,TRIM($G1265))&gt;0,"LEFT OUT","NEW")))</f>
        <v/>
      </c>
    </row>
    <row r="1266" spans="47:47" x14ac:dyDescent="0.25">
      <c r="AU1266" s="8" t="str">
        <f>IF(TRIM($G1266)="","",IF(COUNTIF(LISTS!$I$2:$I$16,TRIM($G1266))&gt;0,"COUNTED",IF(COUNTIF(LISTS!$J$2:$J$16,TRIM($G1266))&gt;0,"LEFT OUT","NEW")))</f>
        <v/>
      </c>
    </row>
    <row r="1267" spans="47:47" x14ac:dyDescent="0.25">
      <c r="AU1267" s="8" t="str">
        <f>IF(TRIM($G1267)="","",IF(COUNTIF(LISTS!$I$2:$I$16,TRIM($G1267))&gt;0,"COUNTED",IF(COUNTIF(LISTS!$J$2:$J$16,TRIM($G1267))&gt;0,"LEFT OUT","NEW")))</f>
        <v/>
      </c>
    </row>
    <row r="1268" spans="47:47" x14ac:dyDescent="0.25">
      <c r="AU1268" s="8" t="str">
        <f>IF(TRIM($G1268)="","",IF(COUNTIF(LISTS!$I$2:$I$16,TRIM($G1268))&gt;0,"COUNTED",IF(COUNTIF(LISTS!$J$2:$J$16,TRIM($G1268))&gt;0,"LEFT OUT","NEW")))</f>
        <v/>
      </c>
    </row>
    <row r="1269" spans="47:47" x14ac:dyDescent="0.25">
      <c r="AU1269" s="8" t="str">
        <f>IF(TRIM($G1269)="","",IF(COUNTIF(LISTS!$I$2:$I$16,TRIM($G1269))&gt;0,"COUNTED",IF(COUNTIF(LISTS!$J$2:$J$16,TRIM($G1269))&gt;0,"LEFT OUT","NEW")))</f>
        <v/>
      </c>
    </row>
    <row r="1270" spans="47:47" x14ac:dyDescent="0.25">
      <c r="AU1270" s="8" t="str">
        <f>IF(TRIM($G1270)="","",IF(COUNTIF(LISTS!$I$2:$I$16,TRIM($G1270))&gt;0,"COUNTED",IF(COUNTIF(LISTS!$J$2:$J$16,TRIM($G1270))&gt;0,"LEFT OUT","NEW")))</f>
        <v/>
      </c>
    </row>
    <row r="1271" spans="47:47" x14ac:dyDescent="0.25">
      <c r="AU1271" s="8" t="str">
        <f>IF(TRIM($G1271)="","",IF(COUNTIF(LISTS!$I$2:$I$16,TRIM($G1271))&gt;0,"COUNTED",IF(COUNTIF(LISTS!$J$2:$J$16,TRIM($G1271))&gt;0,"LEFT OUT","NEW")))</f>
        <v/>
      </c>
    </row>
    <row r="1272" spans="47:47" x14ac:dyDescent="0.25">
      <c r="AU1272" s="8" t="str">
        <f>IF(TRIM($G1272)="","",IF(COUNTIF(LISTS!$I$2:$I$16,TRIM($G1272))&gt;0,"COUNTED",IF(COUNTIF(LISTS!$J$2:$J$16,TRIM($G1272))&gt;0,"LEFT OUT","NEW")))</f>
        <v/>
      </c>
    </row>
    <row r="1273" spans="47:47" x14ac:dyDescent="0.25">
      <c r="AU1273" s="8" t="str">
        <f>IF(TRIM($G1273)="","",IF(COUNTIF(LISTS!$I$2:$I$16,TRIM($G1273))&gt;0,"COUNTED",IF(COUNTIF(LISTS!$J$2:$J$16,TRIM($G1273))&gt;0,"LEFT OUT","NEW")))</f>
        <v/>
      </c>
    </row>
    <row r="1274" spans="47:47" x14ac:dyDescent="0.25">
      <c r="AU1274" s="8" t="str">
        <f>IF(TRIM($G1274)="","",IF(COUNTIF(LISTS!$I$2:$I$16,TRIM($G1274))&gt;0,"COUNTED",IF(COUNTIF(LISTS!$J$2:$J$16,TRIM($G1274))&gt;0,"LEFT OUT","NEW")))</f>
        <v/>
      </c>
    </row>
    <row r="1275" spans="47:47" x14ac:dyDescent="0.25">
      <c r="AU1275" s="8" t="str">
        <f>IF(TRIM($G1275)="","",IF(COUNTIF(LISTS!$I$2:$I$16,TRIM($G1275))&gt;0,"COUNTED",IF(COUNTIF(LISTS!$J$2:$J$16,TRIM($G1275))&gt;0,"LEFT OUT","NEW")))</f>
        <v/>
      </c>
    </row>
    <row r="1276" spans="47:47" x14ac:dyDescent="0.25">
      <c r="AU1276" s="8" t="str">
        <f>IF(TRIM($G1276)="","",IF(COUNTIF(LISTS!$I$2:$I$16,TRIM($G1276))&gt;0,"COUNTED",IF(COUNTIF(LISTS!$J$2:$J$16,TRIM($G1276))&gt;0,"LEFT OUT","NEW")))</f>
        <v/>
      </c>
    </row>
    <row r="1277" spans="47:47" x14ac:dyDescent="0.25">
      <c r="AU1277" s="8" t="str">
        <f>IF(TRIM($G1277)="","",IF(COUNTIF(LISTS!$I$2:$I$16,TRIM($G1277))&gt;0,"COUNTED",IF(COUNTIF(LISTS!$J$2:$J$16,TRIM($G1277))&gt;0,"LEFT OUT","NEW")))</f>
        <v/>
      </c>
    </row>
    <row r="1278" spans="47:47" x14ac:dyDescent="0.25">
      <c r="AU1278" s="8" t="str">
        <f>IF(TRIM($G1278)="","",IF(COUNTIF(LISTS!$I$2:$I$16,TRIM($G1278))&gt;0,"COUNTED",IF(COUNTIF(LISTS!$J$2:$J$16,TRIM($G1278))&gt;0,"LEFT OUT","NEW")))</f>
        <v/>
      </c>
    </row>
    <row r="1279" spans="47:47" x14ac:dyDescent="0.25">
      <c r="AU1279" s="8" t="str">
        <f>IF(TRIM($G1279)="","",IF(COUNTIF(LISTS!$I$2:$I$16,TRIM($G1279))&gt;0,"COUNTED",IF(COUNTIF(LISTS!$J$2:$J$16,TRIM($G1279))&gt;0,"LEFT OUT","NEW")))</f>
        <v/>
      </c>
    </row>
    <row r="1280" spans="47:47" x14ac:dyDescent="0.25">
      <c r="AU1280" s="8" t="str">
        <f>IF(TRIM($G1280)="","",IF(COUNTIF(LISTS!$I$2:$I$16,TRIM($G1280))&gt;0,"COUNTED",IF(COUNTIF(LISTS!$J$2:$J$16,TRIM($G1280))&gt;0,"LEFT OUT","NEW")))</f>
        <v/>
      </c>
    </row>
    <row r="1281" spans="47:47" x14ac:dyDescent="0.25">
      <c r="AU1281" s="8" t="str">
        <f>IF(TRIM($G1281)="","",IF(COUNTIF(LISTS!$I$2:$I$16,TRIM($G1281))&gt;0,"COUNTED",IF(COUNTIF(LISTS!$J$2:$J$16,TRIM($G1281))&gt;0,"LEFT OUT","NEW")))</f>
        <v/>
      </c>
    </row>
    <row r="1282" spans="47:47" x14ac:dyDescent="0.25">
      <c r="AU1282" s="8" t="str">
        <f>IF(TRIM($G1282)="","",IF(COUNTIF(LISTS!$I$2:$I$16,TRIM($G1282))&gt;0,"COUNTED",IF(COUNTIF(LISTS!$J$2:$J$16,TRIM($G1282))&gt;0,"LEFT OUT","NEW")))</f>
        <v/>
      </c>
    </row>
    <row r="1283" spans="47:47" x14ac:dyDescent="0.25">
      <c r="AU1283" s="8" t="str">
        <f>IF(TRIM($G1283)="","",IF(COUNTIF(LISTS!$I$2:$I$16,TRIM($G1283))&gt;0,"COUNTED",IF(COUNTIF(LISTS!$J$2:$J$16,TRIM($G1283))&gt;0,"LEFT OUT","NEW")))</f>
        <v/>
      </c>
    </row>
    <row r="1284" spans="47:47" x14ac:dyDescent="0.25">
      <c r="AU1284" s="8" t="str">
        <f>IF(TRIM($G1284)="","",IF(COUNTIF(LISTS!$I$2:$I$16,TRIM($G1284))&gt;0,"COUNTED",IF(COUNTIF(LISTS!$J$2:$J$16,TRIM($G1284))&gt;0,"LEFT OUT","NEW")))</f>
        <v/>
      </c>
    </row>
    <row r="1285" spans="47:47" x14ac:dyDescent="0.25">
      <c r="AU1285" s="8" t="str">
        <f>IF(TRIM($G1285)="","",IF(COUNTIF(LISTS!$I$2:$I$16,TRIM($G1285))&gt;0,"COUNTED",IF(COUNTIF(LISTS!$J$2:$J$16,TRIM($G1285))&gt;0,"LEFT OUT","NEW")))</f>
        <v/>
      </c>
    </row>
    <row r="1286" spans="47:47" x14ac:dyDescent="0.25">
      <c r="AU1286" s="8" t="str">
        <f>IF(TRIM($G1286)="","",IF(COUNTIF(LISTS!$I$2:$I$16,TRIM($G1286))&gt;0,"COUNTED",IF(COUNTIF(LISTS!$J$2:$J$16,TRIM($G1286))&gt;0,"LEFT OUT","NEW")))</f>
        <v/>
      </c>
    </row>
    <row r="1287" spans="47:47" x14ac:dyDescent="0.25">
      <c r="AU1287" s="8" t="str">
        <f>IF(TRIM($G1287)="","",IF(COUNTIF(LISTS!$I$2:$I$16,TRIM($G1287))&gt;0,"COUNTED",IF(COUNTIF(LISTS!$J$2:$J$16,TRIM($G1287))&gt;0,"LEFT OUT","NEW")))</f>
        <v/>
      </c>
    </row>
    <row r="1288" spans="47:47" x14ac:dyDescent="0.25">
      <c r="AU1288" s="8" t="str">
        <f>IF(TRIM($G1288)="","",IF(COUNTIF(LISTS!$I$2:$I$16,TRIM($G1288))&gt;0,"COUNTED",IF(COUNTIF(LISTS!$J$2:$J$16,TRIM($G1288))&gt;0,"LEFT OUT","NEW")))</f>
        <v/>
      </c>
    </row>
    <row r="1289" spans="47:47" x14ac:dyDescent="0.25">
      <c r="AU1289" s="8" t="str">
        <f>IF(TRIM($G1289)="","",IF(COUNTIF(LISTS!$I$2:$I$16,TRIM($G1289))&gt;0,"COUNTED",IF(COUNTIF(LISTS!$J$2:$J$16,TRIM($G1289))&gt;0,"LEFT OUT","NEW")))</f>
        <v/>
      </c>
    </row>
    <row r="1290" spans="47:47" x14ac:dyDescent="0.25">
      <c r="AU1290" s="8" t="str">
        <f>IF(TRIM($G1290)="","",IF(COUNTIF(LISTS!$I$2:$I$16,TRIM($G1290))&gt;0,"COUNTED",IF(COUNTIF(LISTS!$J$2:$J$16,TRIM($G1290))&gt;0,"LEFT OUT","NEW")))</f>
        <v/>
      </c>
    </row>
    <row r="1291" spans="47:47" x14ac:dyDescent="0.25">
      <c r="AU1291" s="8" t="str">
        <f>IF(TRIM($G1291)="","",IF(COUNTIF(LISTS!$I$2:$I$16,TRIM($G1291))&gt;0,"COUNTED",IF(COUNTIF(LISTS!$J$2:$J$16,TRIM($G1291))&gt;0,"LEFT OUT","NEW")))</f>
        <v/>
      </c>
    </row>
    <row r="1292" spans="47:47" x14ac:dyDescent="0.25">
      <c r="AU1292" s="8" t="str">
        <f>IF(TRIM($G1292)="","",IF(COUNTIF(LISTS!$I$2:$I$16,TRIM($G1292))&gt;0,"COUNTED",IF(COUNTIF(LISTS!$J$2:$J$16,TRIM($G1292))&gt;0,"LEFT OUT","NEW")))</f>
        <v/>
      </c>
    </row>
    <row r="1293" spans="47:47" x14ac:dyDescent="0.25">
      <c r="AU1293" s="8" t="str">
        <f>IF(TRIM($G1293)="","",IF(COUNTIF(LISTS!$I$2:$I$16,TRIM($G1293))&gt;0,"COUNTED",IF(COUNTIF(LISTS!$J$2:$J$16,TRIM($G1293))&gt;0,"LEFT OUT","NEW")))</f>
        <v/>
      </c>
    </row>
    <row r="1294" spans="47:47" x14ac:dyDescent="0.25">
      <c r="AU1294" s="8" t="str">
        <f>IF(TRIM($G1294)="","",IF(COUNTIF(LISTS!$I$2:$I$16,TRIM($G1294))&gt;0,"COUNTED",IF(COUNTIF(LISTS!$J$2:$J$16,TRIM($G1294))&gt;0,"LEFT OUT","NEW")))</f>
        <v/>
      </c>
    </row>
    <row r="1295" spans="47:47" x14ac:dyDescent="0.25">
      <c r="AU1295" s="8" t="str">
        <f>IF(TRIM($G1295)="","",IF(COUNTIF(LISTS!$I$2:$I$16,TRIM($G1295))&gt;0,"COUNTED",IF(COUNTIF(LISTS!$J$2:$J$16,TRIM($G1295))&gt;0,"LEFT OUT","NEW")))</f>
        <v/>
      </c>
    </row>
    <row r="1296" spans="47:47" x14ac:dyDescent="0.25">
      <c r="AU1296" s="8" t="str">
        <f>IF(TRIM($G1296)="","",IF(COUNTIF(LISTS!$I$2:$I$16,TRIM($G1296))&gt;0,"COUNTED",IF(COUNTIF(LISTS!$J$2:$J$16,TRIM($G1296))&gt;0,"LEFT OUT","NEW")))</f>
        <v/>
      </c>
    </row>
    <row r="1297" spans="47:47" x14ac:dyDescent="0.25">
      <c r="AU1297" s="8" t="str">
        <f>IF(TRIM($G1297)="","",IF(COUNTIF(LISTS!$I$2:$I$16,TRIM($G1297))&gt;0,"COUNTED",IF(COUNTIF(LISTS!$J$2:$J$16,TRIM($G1297))&gt;0,"LEFT OUT","NEW")))</f>
        <v/>
      </c>
    </row>
    <row r="1298" spans="47:47" x14ac:dyDescent="0.25">
      <c r="AU1298" s="8" t="str">
        <f>IF(TRIM($G1298)="","",IF(COUNTIF(LISTS!$I$2:$I$16,TRIM($G1298))&gt;0,"COUNTED",IF(COUNTIF(LISTS!$J$2:$J$16,TRIM($G1298))&gt;0,"LEFT OUT","NEW")))</f>
        <v/>
      </c>
    </row>
    <row r="1299" spans="47:47" x14ac:dyDescent="0.25">
      <c r="AU1299" s="8" t="str">
        <f>IF(TRIM($G1299)="","",IF(COUNTIF(LISTS!$I$2:$I$16,TRIM($G1299))&gt;0,"COUNTED",IF(COUNTIF(LISTS!$J$2:$J$16,TRIM($G1299))&gt;0,"LEFT OUT","NEW")))</f>
        <v/>
      </c>
    </row>
    <row r="1300" spans="47:47" x14ac:dyDescent="0.25">
      <c r="AU1300" s="8" t="str">
        <f>IF(TRIM($G1300)="","",IF(COUNTIF(LISTS!$I$2:$I$16,TRIM($G1300))&gt;0,"COUNTED",IF(COUNTIF(LISTS!$J$2:$J$16,TRIM($G1300))&gt;0,"LEFT OUT","NEW")))</f>
        <v/>
      </c>
    </row>
    <row r="1301" spans="47:47" x14ac:dyDescent="0.25">
      <c r="AU1301" s="8" t="str">
        <f>IF(TRIM($G1301)="","",IF(COUNTIF(LISTS!$I$2:$I$16,TRIM($G1301))&gt;0,"COUNTED",IF(COUNTIF(LISTS!$J$2:$J$16,TRIM($G1301))&gt;0,"LEFT OUT","NEW")))</f>
        <v/>
      </c>
    </row>
    <row r="1302" spans="47:47" x14ac:dyDescent="0.25">
      <c r="AU1302" s="8" t="str">
        <f>IF(TRIM($G1302)="","",IF(COUNTIF(LISTS!$I$2:$I$16,TRIM($G1302))&gt;0,"COUNTED",IF(COUNTIF(LISTS!$J$2:$J$16,TRIM($G1302))&gt;0,"LEFT OUT","NEW")))</f>
        <v/>
      </c>
    </row>
    <row r="1303" spans="47:47" x14ac:dyDescent="0.25">
      <c r="AU1303" s="8" t="str">
        <f>IF(TRIM($G1303)="","",IF(COUNTIF(LISTS!$I$2:$I$16,TRIM($G1303))&gt;0,"COUNTED",IF(COUNTIF(LISTS!$J$2:$J$16,TRIM($G1303))&gt;0,"LEFT OUT","NEW")))</f>
        <v/>
      </c>
    </row>
    <row r="1304" spans="47:47" x14ac:dyDescent="0.25">
      <c r="AU1304" s="8" t="str">
        <f>IF(TRIM($G1304)="","",IF(COUNTIF(LISTS!$I$2:$I$16,TRIM($G1304))&gt;0,"COUNTED",IF(COUNTIF(LISTS!$J$2:$J$16,TRIM($G1304))&gt;0,"LEFT OUT","NEW")))</f>
        <v/>
      </c>
    </row>
    <row r="1305" spans="47:47" x14ac:dyDescent="0.25">
      <c r="AU1305" s="8" t="str">
        <f>IF(TRIM($G1305)="","",IF(COUNTIF(LISTS!$I$2:$I$16,TRIM($G1305))&gt;0,"COUNTED",IF(COUNTIF(LISTS!$J$2:$J$16,TRIM($G1305))&gt;0,"LEFT OUT","NEW")))</f>
        <v/>
      </c>
    </row>
    <row r="1306" spans="47:47" x14ac:dyDescent="0.25">
      <c r="AU1306" s="8" t="str">
        <f>IF(TRIM($G1306)="","",IF(COUNTIF(LISTS!$I$2:$I$16,TRIM($G1306))&gt;0,"COUNTED",IF(COUNTIF(LISTS!$J$2:$J$16,TRIM($G1306))&gt;0,"LEFT OUT","NEW")))</f>
        <v/>
      </c>
    </row>
    <row r="1307" spans="47:47" x14ac:dyDescent="0.25">
      <c r="AU1307" s="8" t="str">
        <f>IF(TRIM($G1307)="","",IF(COUNTIF(LISTS!$I$2:$I$16,TRIM($G1307))&gt;0,"COUNTED",IF(COUNTIF(LISTS!$J$2:$J$16,TRIM($G1307))&gt;0,"LEFT OUT","NEW")))</f>
        <v/>
      </c>
    </row>
    <row r="1308" spans="47:47" x14ac:dyDescent="0.25">
      <c r="AU1308" s="8" t="str">
        <f>IF(TRIM($G1308)="","",IF(COUNTIF(LISTS!$I$2:$I$16,TRIM($G1308))&gt;0,"COUNTED",IF(COUNTIF(LISTS!$J$2:$J$16,TRIM($G1308))&gt;0,"LEFT OUT","NEW")))</f>
        <v/>
      </c>
    </row>
    <row r="1309" spans="47:47" x14ac:dyDescent="0.25">
      <c r="AU1309" s="8" t="str">
        <f>IF(TRIM($G1309)="","",IF(COUNTIF(LISTS!$I$2:$I$16,TRIM($G1309))&gt;0,"COUNTED",IF(COUNTIF(LISTS!$J$2:$J$16,TRIM($G1309))&gt;0,"LEFT OUT","NEW")))</f>
        <v/>
      </c>
    </row>
    <row r="1310" spans="47:47" x14ac:dyDescent="0.25">
      <c r="AU1310" s="8" t="str">
        <f>IF(TRIM($G1310)="","",IF(COUNTIF(LISTS!$I$2:$I$16,TRIM($G1310))&gt;0,"COUNTED",IF(COUNTIF(LISTS!$J$2:$J$16,TRIM($G1310))&gt;0,"LEFT OUT","NEW")))</f>
        <v/>
      </c>
    </row>
    <row r="1311" spans="47:47" x14ac:dyDescent="0.25">
      <c r="AU1311" s="8" t="str">
        <f>IF(TRIM($G1311)="","",IF(COUNTIF(LISTS!$I$2:$I$16,TRIM($G1311))&gt;0,"COUNTED",IF(COUNTIF(LISTS!$J$2:$J$16,TRIM($G1311))&gt;0,"LEFT OUT","NEW")))</f>
        <v/>
      </c>
    </row>
    <row r="1312" spans="47:47" x14ac:dyDescent="0.25">
      <c r="AU1312" s="8" t="str">
        <f>IF(TRIM($G1312)="","",IF(COUNTIF(LISTS!$I$2:$I$16,TRIM($G1312))&gt;0,"COUNTED",IF(COUNTIF(LISTS!$J$2:$J$16,TRIM($G1312))&gt;0,"LEFT OUT","NEW")))</f>
        <v/>
      </c>
    </row>
    <row r="1313" spans="47:47" x14ac:dyDescent="0.25">
      <c r="AU1313" s="8" t="str">
        <f>IF(TRIM($G1313)="","",IF(COUNTIF(LISTS!$I$2:$I$16,TRIM($G1313))&gt;0,"COUNTED",IF(COUNTIF(LISTS!$J$2:$J$16,TRIM($G1313))&gt;0,"LEFT OUT","NEW")))</f>
        <v/>
      </c>
    </row>
    <row r="1314" spans="47:47" x14ac:dyDescent="0.25">
      <c r="AU1314" s="8" t="str">
        <f>IF(TRIM($G1314)="","",IF(COUNTIF(LISTS!$I$2:$I$16,TRIM($G1314))&gt;0,"COUNTED",IF(COUNTIF(LISTS!$J$2:$J$16,TRIM($G1314))&gt;0,"LEFT OUT","NEW")))</f>
        <v/>
      </c>
    </row>
    <row r="1315" spans="47:47" x14ac:dyDescent="0.25">
      <c r="AU1315" s="8" t="str">
        <f>IF(TRIM($G1315)="","",IF(COUNTIF(LISTS!$I$2:$I$16,TRIM($G1315))&gt;0,"COUNTED",IF(COUNTIF(LISTS!$J$2:$J$16,TRIM($G1315))&gt;0,"LEFT OUT","NEW")))</f>
        <v/>
      </c>
    </row>
    <row r="1316" spans="47:47" x14ac:dyDescent="0.25">
      <c r="AU1316" s="8" t="str">
        <f>IF(TRIM($G1316)="","",IF(COUNTIF(LISTS!$I$2:$I$16,TRIM($G1316))&gt;0,"COUNTED",IF(COUNTIF(LISTS!$J$2:$J$16,TRIM($G1316))&gt;0,"LEFT OUT","NEW")))</f>
        <v/>
      </c>
    </row>
    <row r="1317" spans="47:47" x14ac:dyDescent="0.25">
      <c r="AU1317" s="8" t="str">
        <f>IF(TRIM($G1317)="","",IF(COUNTIF(LISTS!$I$2:$I$16,TRIM($G1317))&gt;0,"COUNTED",IF(COUNTIF(LISTS!$J$2:$J$16,TRIM($G1317))&gt;0,"LEFT OUT","NEW")))</f>
        <v/>
      </c>
    </row>
    <row r="1318" spans="47:47" x14ac:dyDescent="0.25">
      <c r="AU1318" s="8" t="str">
        <f>IF(TRIM($G1318)="","",IF(COUNTIF(LISTS!$I$2:$I$16,TRIM($G1318))&gt;0,"COUNTED",IF(COUNTIF(LISTS!$J$2:$J$16,TRIM($G1318))&gt;0,"LEFT OUT","NEW")))</f>
        <v/>
      </c>
    </row>
    <row r="1319" spans="47:47" x14ac:dyDescent="0.25">
      <c r="AU1319" s="8" t="str">
        <f>IF(TRIM($G1319)="","",IF(COUNTIF(LISTS!$I$2:$I$16,TRIM($G1319))&gt;0,"COUNTED",IF(COUNTIF(LISTS!$J$2:$J$16,TRIM($G1319))&gt;0,"LEFT OUT","NEW")))</f>
        <v/>
      </c>
    </row>
    <row r="1320" spans="47:47" x14ac:dyDescent="0.25">
      <c r="AU1320" s="8" t="str">
        <f>IF(TRIM($G1320)="","",IF(COUNTIF(LISTS!$I$2:$I$16,TRIM($G1320))&gt;0,"COUNTED",IF(COUNTIF(LISTS!$J$2:$J$16,TRIM($G1320))&gt;0,"LEFT OUT","NEW")))</f>
        <v/>
      </c>
    </row>
    <row r="1321" spans="47:47" x14ac:dyDescent="0.25">
      <c r="AU1321" s="8" t="str">
        <f>IF(TRIM($G1321)="","",IF(COUNTIF(LISTS!$I$2:$I$16,TRIM($G1321))&gt;0,"COUNTED",IF(COUNTIF(LISTS!$J$2:$J$16,TRIM($G1321))&gt;0,"LEFT OUT","NEW")))</f>
        <v/>
      </c>
    </row>
    <row r="1322" spans="47:47" x14ac:dyDescent="0.25">
      <c r="AU1322" s="8" t="str">
        <f>IF(TRIM($G1322)="","",IF(COUNTIF(LISTS!$I$2:$I$16,TRIM($G1322))&gt;0,"COUNTED",IF(COUNTIF(LISTS!$J$2:$J$16,TRIM($G1322))&gt;0,"LEFT OUT","NEW")))</f>
        <v/>
      </c>
    </row>
    <row r="1323" spans="47:47" x14ac:dyDescent="0.25">
      <c r="AU1323" s="8" t="str">
        <f>IF(TRIM($G1323)="","",IF(COUNTIF(LISTS!$I$2:$I$16,TRIM($G1323))&gt;0,"COUNTED",IF(COUNTIF(LISTS!$J$2:$J$16,TRIM($G1323))&gt;0,"LEFT OUT","NEW")))</f>
        <v/>
      </c>
    </row>
    <row r="1324" spans="47:47" x14ac:dyDescent="0.25">
      <c r="AU1324" s="8" t="str">
        <f>IF(TRIM($G1324)="","",IF(COUNTIF(LISTS!$I$2:$I$16,TRIM($G1324))&gt;0,"COUNTED",IF(COUNTIF(LISTS!$J$2:$J$16,TRIM($G1324))&gt;0,"LEFT OUT","NEW")))</f>
        <v/>
      </c>
    </row>
    <row r="1325" spans="47:47" x14ac:dyDescent="0.25">
      <c r="AU1325" s="8" t="str">
        <f>IF(TRIM($G1325)="","",IF(COUNTIF(LISTS!$I$2:$I$16,TRIM($G1325))&gt;0,"COUNTED",IF(COUNTIF(LISTS!$J$2:$J$16,TRIM($G1325))&gt;0,"LEFT OUT","NEW")))</f>
        <v/>
      </c>
    </row>
    <row r="1326" spans="47:47" x14ac:dyDescent="0.25">
      <c r="AU1326" s="8" t="str">
        <f>IF(TRIM($G1326)="","",IF(COUNTIF(LISTS!$I$2:$I$16,TRIM($G1326))&gt;0,"COUNTED",IF(COUNTIF(LISTS!$J$2:$J$16,TRIM($G1326))&gt;0,"LEFT OUT","NEW")))</f>
        <v/>
      </c>
    </row>
    <row r="1327" spans="47:47" x14ac:dyDescent="0.25">
      <c r="AU1327" s="8" t="str">
        <f>IF(TRIM($G1327)="","",IF(COUNTIF(LISTS!$I$2:$I$16,TRIM($G1327))&gt;0,"COUNTED",IF(COUNTIF(LISTS!$J$2:$J$16,TRIM($G1327))&gt;0,"LEFT OUT","NEW")))</f>
        <v/>
      </c>
    </row>
    <row r="1328" spans="47:47" x14ac:dyDescent="0.25">
      <c r="AU1328" s="8" t="str">
        <f>IF(TRIM($G1328)="","",IF(COUNTIF(LISTS!$I$2:$I$16,TRIM($G1328))&gt;0,"COUNTED",IF(COUNTIF(LISTS!$J$2:$J$16,TRIM($G1328))&gt;0,"LEFT OUT","NEW")))</f>
        <v/>
      </c>
    </row>
    <row r="1329" spans="47:47" x14ac:dyDescent="0.25">
      <c r="AU1329" s="8" t="str">
        <f>IF(TRIM($G1329)="","",IF(COUNTIF(LISTS!$I$2:$I$16,TRIM($G1329))&gt;0,"COUNTED",IF(COUNTIF(LISTS!$J$2:$J$16,TRIM($G1329))&gt;0,"LEFT OUT","NEW")))</f>
        <v/>
      </c>
    </row>
    <row r="1330" spans="47:47" x14ac:dyDescent="0.25">
      <c r="AU1330" s="8" t="str">
        <f>IF(TRIM($G1330)="","",IF(COUNTIF(LISTS!$I$2:$I$16,TRIM($G1330))&gt;0,"COUNTED",IF(COUNTIF(LISTS!$J$2:$J$16,TRIM($G1330))&gt;0,"LEFT OUT","NEW")))</f>
        <v/>
      </c>
    </row>
    <row r="1331" spans="47:47" x14ac:dyDescent="0.25">
      <c r="AU1331" s="8" t="str">
        <f>IF(TRIM($G1331)="","",IF(COUNTIF(LISTS!$I$2:$I$16,TRIM($G1331))&gt;0,"COUNTED",IF(COUNTIF(LISTS!$J$2:$J$16,TRIM($G1331))&gt;0,"LEFT OUT","NEW")))</f>
        <v/>
      </c>
    </row>
    <row r="1332" spans="47:47" x14ac:dyDescent="0.25">
      <c r="AU1332" s="8" t="str">
        <f>IF(TRIM($G1332)="","",IF(COUNTIF(LISTS!$I$2:$I$16,TRIM($G1332))&gt;0,"COUNTED",IF(COUNTIF(LISTS!$J$2:$J$16,TRIM($G1332))&gt;0,"LEFT OUT","NEW")))</f>
        <v/>
      </c>
    </row>
    <row r="1333" spans="47:47" x14ac:dyDescent="0.25">
      <c r="AU1333" s="8" t="str">
        <f>IF(TRIM($G1333)="","",IF(COUNTIF(LISTS!$I$2:$I$16,TRIM($G1333))&gt;0,"COUNTED",IF(COUNTIF(LISTS!$J$2:$J$16,TRIM($G1333))&gt;0,"LEFT OUT","NEW")))</f>
        <v/>
      </c>
    </row>
    <row r="1334" spans="47:47" x14ac:dyDescent="0.25">
      <c r="AU1334" s="8" t="str">
        <f>IF(TRIM($G1334)="","",IF(COUNTIF(LISTS!$I$2:$I$16,TRIM($G1334))&gt;0,"COUNTED",IF(COUNTIF(LISTS!$J$2:$J$16,TRIM($G1334))&gt;0,"LEFT OUT","NEW")))</f>
        <v/>
      </c>
    </row>
    <row r="1335" spans="47:47" x14ac:dyDescent="0.25">
      <c r="AU1335" s="8" t="str">
        <f>IF(TRIM($G1335)="","",IF(COUNTIF(LISTS!$I$2:$I$16,TRIM($G1335))&gt;0,"COUNTED",IF(COUNTIF(LISTS!$J$2:$J$16,TRIM($G1335))&gt;0,"LEFT OUT","NEW")))</f>
        <v/>
      </c>
    </row>
    <row r="1336" spans="47:47" x14ac:dyDescent="0.25">
      <c r="AU1336" s="8" t="str">
        <f>IF(TRIM($G1336)="","",IF(COUNTIF(LISTS!$I$2:$I$16,TRIM($G1336))&gt;0,"COUNTED",IF(COUNTIF(LISTS!$J$2:$J$16,TRIM($G1336))&gt;0,"LEFT OUT","NEW")))</f>
        <v/>
      </c>
    </row>
    <row r="1337" spans="47:47" x14ac:dyDescent="0.25">
      <c r="AU1337" s="8" t="str">
        <f>IF(TRIM($G1337)="","",IF(COUNTIF(LISTS!$I$2:$I$16,TRIM($G1337))&gt;0,"COUNTED",IF(COUNTIF(LISTS!$J$2:$J$16,TRIM($G1337))&gt;0,"LEFT OUT","NEW")))</f>
        <v/>
      </c>
    </row>
    <row r="1338" spans="47:47" x14ac:dyDescent="0.25">
      <c r="AU1338" s="8" t="str">
        <f>IF(TRIM($G1338)="","",IF(COUNTIF(LISTS!$I$2:$I$16,TRIM($G1338))&gt;0,"COUNTED",IF(COUNTIF(LISTS!$J$2:$J$16,TRIM($G1338))&gt;0,"LEFT OUT","NEW")))</f>
        <v/>
      </c>
    </row>
    <row r="1339" spans="47:47" x14ac:dyDescent="0.25">
      <c r="AU1339" s="8" t="str">
        <f>IF(TRIM($G1339)="","",IF(COUNTIF(LISTS!$I$2:$I$16,TRIM($G1339))&gt;0,"COUNTED",IF(COUNTIF(LISTS!$J$2:$J$16,TRIM($G1339))&gt;0,"LEFT OUT","NEW")))</f>
        <v/>
      </c>
    </row>
    <row r="1340" spans="47:47" x14ac:dyDescent="0.25">
      <c r="AU1340" s="8" t="str">
        <f>IF(TRIM($G1340)="","",IF(COUNTIF(LISTS!$I$2:$I$16,TRIM($G1340))&gt;0,"COUNTED",IF(COUNTIF(LISTS!$J$2:$J$16,TRIM($G1340))&gt;0,"LEFT OUT","NEW")))</f>
        <v/>
      </c>
    </row>
    <row r="1341" spans="47:47" x14ac:dyDescent="0.25">
      <c r="AU1341" s="8" t="str">
        <f>IF(TRIM($G1341)="","",IF(COUNTIF(LISTS!$I$2:$I$16,TRIM($G1341))&gt;0,"COUNTED",IF(COUNTIF(LISTS!$J$2:$J$16,TRIM($G1341))&gt;0,"LEFT OUT","NEW")))</f>
        <v/>
      </c>
    </row>
    <row r="1342" spans="47:47" x14ac:dyDescent="0.25">
      <c r="AU1342" s="8" t="str">
        <f>IF(TRIM($G1342)="","",IF(COUNTIF(LISTS!$I$2:$I$16,TRIM($G1342))&gt;0,"COUNTED",IF(COUNTIF(LISTS!$J$2:$J$16,TRIM($G1342))&gt;0,"LEFT OUT","NEW")))</f>
        <v/>
      </c>
    </row>
    <row r="1343" spans="47:47" x14ac:dyDescent="0.25">
      <c r="AU1343" s="8" t="str">
        <f>IF(TRIM($G1343)="","",IF(COUNTIF(LISTS!$I$2:$I$16,TRIM($G1343))&gt;0,"COUNTED",IF(COUNTIF(LISTS!$J$2:$J$16,TRIM($G1343))&gt;0,"LEFT OUT","NEW")))</f>
        <v/>
      </c>
    </row>
    <row r="1344" spans="47:47" x14ac:dyDescent="0.25">
      <c r="AU1344" s="8" t="str">
        <f>IF(TRIM($G1344)="","",IF(COUNTIF(LISTS!$I$2:$I$16,TRIM($G1344))&gt;0,"COUNTED",IF(COUNTIF(LISTS!$J$2:$J$16,TRIM($G1344))&gt;0,"LEFT OUT","NEW")))</f>
        <v/>
      </c>
    </row>
    <row r="1345" spans="47:47" x14ac:dyDescent="0.25">
      <c r="AU1345" s="8" t="str">
        <f>IF(TRIM($G1345)="","",IF(COUNTIF(LISTS!$I$2:$I$16,TRIM($G1345))&gt;0,"COUNTED",IF(COUNTIF(LISTS!$J$2:$J$16,TRIM($G1345))&gt;0,"LEFT OUT","NEW")))</f>
        <v/>
      </c>
    </row>
    <row r="1346" spans="47:47" x14ac:dyDescent="0.25">
      <c r="AU1346" s="8" t="str">
        <f>IF(TRIM($G1346)="","",IF(COUNTIF(LISTS!$I$2:$I$16,TRIM($G1346))&gt;0,"COUNTED",IF(COUNTIF(LISTS!$J$2:$J$16,TRIM($G1346))&gt;0,"LEFT OUT","NEW")))</f>
        <v/>
      </c>
    </row>
    <row r="1347" spans="47:47" x14ac:dyDescent="0.25">
      <c r="AU1347" s="8" t="str">
        <f>IF(TRIM($G1347)="","",IF(COUNTIF(LISTS!$I$2:$I$16,TRIM($G1347))&gt;0,"COUNTED",IF(COUNTIF(LISTS!$J$2:$J$16,TRIM($G1347))&gt;0,"LEFT OUT","NEW")))</f>
        <v/>
      </c>
    </row>
    <row r="1348" spans="47:47" x14ac:dyDescent="0.25">
      <c r="AU1348" s="8" t="str">
        <f>IF(TRIM($G1348)="","",IF(COUNTIF(LISTS!$I$2:$I$16,TRIM($G1348))&gt;0,"COUNTED",IF(COUNTIF(LISTS!$J$2:$J$16,TRIM($G1348))&gt;0,"LEFT OUT","NEW")))</f>
        <v/>
      </c>
    </row>
    <row r="1349" spans="47:47" x14ac:dyDescent="0.25">
      <c r="AU1349" s="8" t="str">
        <f>IF(TRIM($G1349)="","",IF(COUNTIF(LISTS!$I$2:$I$16,TRIM($G1349))&gt;0,"COUNTED",IF(COUNTIF(LISTS!$J$2:$J$16,TRIM($G1349))&gt;0,"LEFT OUT","NEW")))</f>
        <v/>
      </c>
    </row>
    <row r="1350" spans="47:47" x14ac:dyDescent="0.25">
      <c r="AU1350" s="8" t="str">
        <f>IF(TRIM($G1350)="","",IF(COUNTIF(LISTS!$I$2:$I$16,TRIM($G1350))&gt;0,"COUNTED",IF(COUNTIF(LISTS!$J$2:$J$16,TRIM($G1350))&gt;0,"LEFT OUT","NEW")))</f>
        <v/>
      </c>
    </row>
    <row r="1351" spans="47:47" x14ac:dyDescent="0.25">
      <c r="AU1351" s="8" t="str">
        <f>IF(TRIM($G1351)="","",IF(COUNTIF(LISTS!$I$2:$I$16,TRIM($G1351))&gt;0,"COUNTED",IF(COUNTIF(LISTS!$J$2:$J$16,TRIM($G1351))&gt;0,"LEFT OUT","NEW")))</f>
        <v/>
      </c>
    </row>
    <row r="1352" spans="47:47" x14ac:dyDescent="0.25">
      <c r="AU1352" s="8" t="str">
        <f>IF(TRIM($G1352)="","",IF(COUNTIF(LISTS!$I$2:$I$16,TRIM($G1352))&gt;0,"COUNTED",IF(COUNTIF(LISTS!$J$2:$J$16,TRIM($G1352))&gt;0,"LEFT OUT","NEW")))</f>
        <v/>
      </c>
    </row>
    <row r="1353" spans="47:47" x14ac:dyDescent="0.25">
      <c r="AU1353" s="8" t="str">
        <f>IF(TRIM($G1353)="","",IF(COUNTIF(LISTS!$I$2:$I$16,TRIM($G1353))&gt;0,"COUNTED",IF(COUNTIF(LISTS!$J$2:$J$16,TRIM($G1353))&gt;0,"LEFT OUT","NEW")))</f>
        <v/>
      </c>
    </row>
    <row r="1354" spans="47:47" x14ac:dyDescent="0.25">
      <c r="AU1354" s="8" t="str">
        <f>IF(TRIM($G1354)="","",IF(COUNTIF(LISTS!$I$2:$I$16,TRIM($G1354))&gt;0,"COUNTED",IF(COUNTIF(LISTS!$J$2:$J$16,TRIM($G1354))&gt;0,"LEFT OUT","NEW")))</f>
        <v/>
      </c>
    </row>
    <row r="1355" spans="47:47" x14ac:dyDescent="0.25">
      <c r="AU1355" s="8" t="str">
        <f>IF(TRIM($G1355)="","",IF(COUNTIF(LISTS!$I$2:$I$16,TRIM($G1355))&gt;0,"COUNTED",IF(COUNTIF(LISTS!$J$2:$J$16,TRIM($G1355))&gt;0,"LEFT OUT","NEW")))</f>
        <v/>
      </c>
    </row>
    <row r="1356" spans="47:47" x14ac:dyDescent="0.25">
      <c r="AU1356" s="8" t="str">
        <f>IF(TRIM($G1356)="","",IF(COUNTIF(LISTS!$I$2:$I$16,TRIM($G1356))&gt;0,"COUNTED",IF(COUNTIF(LISTS!$J$2:$J$16,TRIM($G1356))&gt;0,"LEFT OUT","NEW")))</f>
        <v/>
      </c>
    </row>
    <row r="1357" spans="47:47" x14ac:dyDescent="0.25">
      <c r="AU1357" s="8" t="str">
        <f>IF(TRIM($G1357)="","",IF(COUNTIF(LISTS!$I$2:$I$16,TRIM($G1357))&gt;0,"COUNTED",IF(COUNTIF(LISTS!$J$2:$J$16,TRIM($G1357))&gt;0,"LEFT OUT","NEW")))</f>
        <v/>
      </c>
    </row>
    <row r="1358" spans="47:47" x14ac:dyDescent="0.25">
      <c r="AU1358" s="8" t="str">
        <f>IF(TRIM($G1358)="","",IF(COUNTIF(LISTS!$I$2:$I$16,TRIM($G1358))&gt;0,"COUNTED",IF(COUNTIF(LISTS!$J$2:$J$16,TRIM($G1358))&gt;0,"LEFT OUT","NEW")))</f>
        <v/>
      </c>
    </row>
    <row r="1359" spans="47:47" x14ac:dyDescent="0.25">
      <c r="AU1359" s="8" t="str">
        <f>IF(TRIM($G1359)="","",IF(COUNTIF(LISTS!$I$2:$I$16,TRIM($G1359))&gt;0,"COUNTED",IF(COUNTIF(LISTS!$J$2:$J$16,TRIM($G1359))&gt;0,"LEFT OUT","NEW")))</f>
        <v/>
      </c>
    </row>
    <row r="1360" spans="47:47" x14ac:dyDescent="0.25">
      <c r="AU1360" s="8" t="str">
        <f>IF(TRIM($G1360)="","",IF(COUNTIF(LISTS!$I$2:$I$16,TRIM($G1360))&gt;0,"COUNTED",IF(COUNTIF(LISTS!$J$2:$J$16,TRIM($G1360))&gt;0,"LEFT OUT","NEW")))</f>
        <v/>
      </c>
    </row>
    <row r="1361" spans="47:47" x14ac:dyDescent="0.25">
      <c r="AU1361" s="8" t="str">
        <f>IF(TRIM($G1361)="","",IF(COUNTIF(LISTS!$I$2:$I$16,TRIM($G1361))&gt;0,"COUNTED",IF(COUNTIF(LISTS!$J$2:$J$16,TRIM($G1361))&gt;0,"LEFT OUT","NEW")))</f>
        <v/>
      </c>
    </row>
    <row r="1362" spans="47:47" x14ac:dyDescent="0.25">
      <c r="AU1362" s="8" t="str">
        <f>IF(TRIM($G1362)="","",IF(COUNTIF(LISTS!$I$2:$I$16,TRIM($G1362))&gt;0,"COUNTED",IF(COUNTIF(LISTS!$J$2:$J$16,TRIM($G1362))&gt;0,"LEFT OUT","NEW")))</f>
        <v/>
      </c>
    </row>
    <row r="1363" spans="47:47" x14ac:dyDescent="0.25">
      <c r="AU1363" s="8" t="str">
        <f>IF(TRIM($G1363)="","",IF(COUNTIF(LISTS!$I$2:$I$16,TRIM($G1363))&gt;0,"COUNTED",IF(COUNTIF(LISTS!$J$2:$J$16,TRIM($G1363))&gt;0,"LEFT OUT","NEW")))</f>
        <v/>
      </c>
    </row>
    <row r="1364" spans="47:47" x14ac:dyDescent="0.25">
      <c r="AU1364" s="8" t="str">
        <f>IF(TRIM($G1364)="","",IF(COUNTIF(LISTS!$I$2:$I$16,TRIM($G1364))&gt;0,"COUNTED",IF(COUNTIF(LISTS!$J$2:$J$16,TRIM($G1364))&gt;0,"LEFT OUT","NEW")))</f>
        <v/>
      </c>
    </row>
    <row r="1365" spans="47:47" x14ac:dyDescent="0.25">
      <c r="AU1365" s="8" t="str">
        <f>IF(TRIM($G1365)="","",IF(COUNTIF(LISTS!$I$2:$I$16,TRIM($G1365))&gt;0,"COUNTED",IF(COUNTIF(LISTS!$J$2:$J$16,TRIM($G1365))&gt;0,"LEFT OUT","NEW")))</f>
        <v/>
      </c>
    </row>
    <row r="1366" spans="47:47" x14ac:dyDescent="0.25">
      <c r="AU1366" s="8" t="str">
        <f>IF(TRIM($G1366)="","",IF(COUNTIF(LISTS!$I$2:$I$16,TRIM($G1366))&gt;0,"COUNTED",IF(COUNTIF(LISTS!$J$2:$J$16,TRIM($G1366))&gt;0,"LEFT OUT","NEW")))</f>
        <v/>
      </c>
    </row>
    <row r="1367" spans="47:47" x14ac:dyDescent="0.25">
      <c r="AU1367" s="8" t="str">
        <f>IF(TRIM($G1367)="","",IF(COUNTIF(LISTS!$I$2:$I$16,TRIM($G1367))&gt;0,"COUNTED",IF(COUNTIF(LISTS!$J$2:$J$16,TRIM($G1367))&gt;0,"LEFT OUT","NEW")))</f>
        <v/>
      </c>
    </row>
    <row r="1368" spans="47:47" x14ac:dyDescent="0.25">
      <c r="AU1368" s="8" t="str">
        <f>IF(TRIM($G1368)="","",IF(COUNTIF(LISTS!$I$2:$I$16,TRIM($G1368))&gt;0,"COUNTED",IF(COUNTIF(LISTS!$J$2:$J$16,TRIM($G1368))&gt;0,"LEFT OUT","NEW")))</f>
        <v/>
      </c>
    </row>
    <row r="1369" spans="47:47" x14ac:dyDescent="0.25">
      <c r="AU1369" s="8" t="str">
        <f>IF(TRIM($G1369)="","",IF(COUNTIF(LISTS!$I$2:$I$16,TRIM($G1369))&gt;0,"COUNTED",IF(COUNTIF(LISTS!$J$2:$J$16,TRIM($G1369))&gt;0,"LEFT OUT","NEW")))</f>
        <v/>
      </c>
    </row>
    <row r="1370" spans="47:47" x14ac:dyDescent="0.25">
      <c r="AU1370" s="8" t="str">
        <f>IF(TRIM($G1370)="","",IF(COUNTIF(LISTS!$I$2:$I$16,TRIM($G1370))&gt;0,"COUNTED",IF(COUNTIF(LISTS!$J$2:$J$16,TRIM($G1370))&gt;0,"LEFT OUT","NEW")))</f>
        <v/>
      </c>
    </row>
    <row r="1371" spans="47:47" x14ac:dyDescent="0.25">
      <c r="AU1371" s="8" t="str">
        <f>IF(TRIM($G1371)="","",IF(COUNTIF(LISTS!$I$2:$I$16,TRIM($G1371))&gt;0,"COUNTED",IF(COUNTIF(LISTS!$J$2:$J$16,TRIM($G1371))&gt;0,"LEFT OUT","NEW")))</f>
        <v/>
      </c>
    </row>
    <row r="1372" spans="47:47" x14ac:dyDescent="0.25">
      <c r="AU1372" s="8" t="str">
        <f>IF(TRIM($G1372)="","",IF(COUNTIF(LISTS!$I$2:$I$16,TRIM($G1372))&gt;0,"COUNTED",IF(COUNTIF(LISTS!$J$2:$J$16,TRIM($G1372))&gt;0,"LEFT OUT","NEW")))</f>
        <v/>
      </c>
    </row>
    <row r="1373" spans="47:47" x14ac:dyDescent="0.25">
      <c r="AU1373" s="8" t="str">
        <f>IF(TRIM($G1373)="","",IF(COUNTIF(LISTS!$I$2:$I$16,TRIM($G1373))&gt;0,"COUNTED",IF(COUNTIF(LISTS!$J$2:$J$16,TRIM($G1373))&gt;0,"LEFT OUT","NEW")))</f>
        <v/>
      </c>
    </row>
    <row r="1374" spans="47:47" x14ac:dyDescent="0.25">
      <c r="AU1374" s="8" t="str">
        <f>IF(TRIM($G1374)="","",IF(COUNTIF(LISTS!$I$2:$I$16,TRIM($G1374))&gt;0,"COUNTED",IF(COUNTIF(LISTS!$J$2:$J$16,TRIM($G1374))&gt;0,"LEFT OUT","NEW")))</f>
        <v/>
      </c>
    </row>
    <row r="1375" spans="47:47" x14ac:dyDescent="0.25">
      <c r="AU1375" s="8" t="str">
        <f>IF(TRIM($G1375)="","",IF(COUNTIF(LISTS!$I$2:$I$16,TRIM($G1375))&gt;0,"COUNTED",IF(COUNTIF(LISTS!$J$2:$J$16,TRIM($G1375))&gt;0,"LEFT OUT","NEW")))</f>
        <v/>
      </c>
    </row>
    <row r="1376" spans="47:47" x14ac:dyDescent="0.25">
      <c r="AU1376" s="8" t="str">
        <f>IF(TRIM($G1376)="","",IF(COUNTIF(LISTS!$I$2:$I$16,TRIM($G1376))&gt;0,"COUNTED",IF(COUNTIF(LISTS!$J$2:$J$16,TRIM($G1376))&gt;0,"LEFT OUT","NEW")))</f>
        <v/>
      </c>
    </row>
    <row r="1377" spans="47:47" x14ac:dyDescent="0.25">
      <c r="AU1377" s="8" t="str">
        <f>IF(TRIM($G1377)="","",IF(COUNTIF(LISTS!$I$2:$I$16,TRIM($G1377))&gt;0,"COUNTED",IF(COUNTIF(LISTS!$J$2:$J$16,TRIM($G1377))&gt;0,"LEFT OUT","NEW")))</f>
        <v/>
      </c>
    </row>
    <row r="1378" spans="47:47" x14ac:dyDescent="0.25">
      <c r="AU1378" s="8" t="str">
        <f>IF(TRIM($G1378)="","",IF(COUNTIF(LISTS!$I$2:$I$16,TRIM($G1378))&gt;0,"COUNTED",IF(COUNTIF(LISTS!$J$2:$J$16,TRIM($G1378))&gt;0,"LEFT OUT","NEW")))</f>
        <v/>
      </c>
    </row>
    <row r="1379" spans="47:47" x14ac:dyDescent="0.25">
      <c r="AU1379" s="8" t="str">
        <f>IF(TRIM($G1379)="","",IF(COUNTIF(LISTS!$I$2:$I$16,TRIM($G1379))&gt;0,"COUNTED",IF(COUNTIF(LISTS!$J$2:$J$16,TRIM($G1379))&gt;0,"LEFT OUT","NEW")))</f>
        <v/>
      </c>
    </row>
    <row r="1380" spans="47:47" x14ac:dyDescent="0.25">
      <c r="AU1380" s="8" t="str">
        <f>IF(TRIM($G1380)="","",IF(COUNTIF(LISTS!$I$2:$I$16,TRIM($G1380))&gt;0,"COUNTED",IF(COUNTIF(LISTS!$J$2:$J$16,TRIM($G1380))&gt;0,"LEFT OUT","NEW")))</f>
        <v/>
      </c>
    </row>
    <row r="1381" spans="47:47" x14ac:dyDescent="0.25">
      <c r="AU1381" s="8" t="str">
        <f>IF(TRIM($G1381)="","",IF(COUNTIF(LISTS!$I$2:$I$16,TRIM($G1381))&gt;0,"COUNTED",IF(COUNTIF(LISTS!$J$2:$J$16,TRIM($G1381))&gt;0,"LEFT OUT","NEW")))</f>
        <v/>
      </c>
    </row>
    <row r="1382" spans="47:47" x14ac:dyDescent="0.25">
      <c r="AU1382" s="8" t="str">
        <f>IF(TRIM($G1382)="","",IF(COUNTIF(LISTS!$I$2:$I$16,TRIM($G1382))&gt;0,"COUNTED",IF(COUNTIF(LISTS!$J$2:$J$16,TRIM($G1382))&gt;0,"LEFT OUT","NEW")))</f>
        <v/>
      </c>
    </row>
    <row r="1383" spans="47:47" x14ac:dyDescent="0.25">
      <c r="AU1383" s="8" t="str">
        <f>IF(TRIM($G1383)="","",IF(COUNTIF(LISTS!$I$2:$I$16,TRIM($G1383))&gt;0,"COUNTED",IF(COUNTIF(LISTS!$J$2:$J$16,TRIM($G1383))&gt;0,"LEFT OUT","NEW")))</f>
        <v/>
      </c>
    </row>
    <row r="1384" spans="47:47" x14ac:dyDescent="0.25">
      <c r="AU1384" s="8" t="str">
        <f>IF(TRIM($G1384)="","",IF(COUNTIF(LISTS!$I$2:$I$16,TRIM($G1384))&gt;0,"COUNTED",IF(COUNTIF(LISTS!$J$2:$J$16,TRIM($G1384))&gt;0,"LEFT OUT","NEW")))</f>
        <v/>
      </c>
    </row>
    <row r="1385" spans="47:47" x14ac:dyDescent="0.25">
      <c r="AU1385" s="8" t="str">
        <f>IF(TRIM($G1385)="","",IF(COUNTIF(LISTS!$I$2:$I$16,TRIM($G1385))&gt;0,"COUNTED",IF(COUNTIF(LISTS!$J$2:$J$16,TRIM($G1385))&gt;0,"LEFT OUT","NEW")))</f>
        <v/>
      </c>
    </row>
    <row r="1386" spans="47:47" x14ac:dyDescent="0.25">
      <c r="AU1386" s="8" t="str">
        <f>IF(TRIM($G1386)="","",IF(COUNTIF(LISTS!$I$2:$I$16,TRIM($G1386))&gt;0,"COUNTED",IF(COUNTIF(LISTS!$J$2:$J$16,TRIM($G1386))&gt;0,"LEFT OUT","NEW")))</f>
        <v/>
      </c>
    </row>
    <row r="1387" spans="47:47" x14ac:dyDescent="0.25">
      <c r="AU1387" s="8" t="str">
        <f>IF(TRIM($G1387)="","",IF(COUNTIF(LISTS!$I$2:$I$16,TRIM($G1387))&gt;0,"COUNTED",IF(COUNTIF(LISTS!$J$2:$J$16,TRIM($G1387))&gt;0,"LEFT OUT","NEW")))</f>
        <v/>
      </c>
    </row>
    <row r="1388" spans="47:47" x14ac:dyDescent="0.25">
      <c r="AU1388" s="8" t="str">
        <f>IF(TRIM($G1388)="","",IF(COUNTIF(LISTS!$I$2:$I$16,TRIM($G1388))&gt;0,"COUNTED",IF(COUNTIF(LISTS!$J$2:$J$16,TRIM($G1388))&gt;0,"LEFT OUT","NEW")))</f>
        <v/>
      </c>
    </row>
    <row r="1389" spans="47:47" x14ac:dyDescent="0.25">
      <c r="AU1389" s="8" t="str">
        <f>IF(TRIM($G1389)="","",IF(COUNTIF(LISTS!$I$2:$I$16,TRIM($G1389))&gt;0,"COUNTED",IF(COUNTIF(LISTS!$J$2:$J$16,TRIM($G1389))&gt;0,"LEFT OUT","NEW")))</f>
        <v/>
      </c>
    </row>
    <row r="1390" spans="47:47" x14ac:dyDescent="0.25">
      <c r="AU1390" s="8" t="str">
        <f>IF(TRIM($G1390)="","",IF(COUNTIF(LISTS!$I$2:$I$16,TRIM($G1390))&gt;0,"COUNTED",IF(COUNTIF(LISTS!$J$2:$J$16,TRIM($G1390))&gt;0,"LEFT OUT","NEW")))</f>
        <v/>
      </c>
    </row>
    <row r="1391" spans="47:47" x14ac:dyDescent="0.25">
      <c r="AU1391" s="8" t="str">
        <f>IF(TRIM($G1391)="","",IF(COUNTIF(LISTS!$I$2:$I$16,TRIM($G1391))&gt;0,"COUNTED",IF(COUNTIF(LISTS!$J$2:$J$16,TRIM($G1391))&gt;0,"LEFT OUT","NEW")))</f>
        <v/>
      </c>
    </row>
    <row r="1392" spans="47:47" x14ac:dyDescent="0.25">
      <c r="AU1392" s="8" t="str">
        <f>IF(TRIM($G1392)="","",IF(COUNTIF(LISTS!$I$2:$I$16,TRIM($G1392))&gt;0,"COUNTED",IF(COUNTIF(LISTS!$J$2:$J$16,TRIM($G1392))&gt;0,"LEFT OUT","NEW")))</f>
        <v/>
      </c>
    </row>
    <row r="1393" spans="47:47" x14ac:dyDescent="0.25">
      <c r="AU1393" s="8" t="str">
        <f>IF(TRIM($G1393)="","",IF(COUNTIF(LISTS!$I$2:$I$16,TRIM($G1393))&gt;0,"COUNTED",IF(COUNTIF(LISTS!$J$2:$J$16,TRIM($G1393))&gt;0,"LEFT OUT","NEW")))</f>
        <v/>
      </c>
    </row>
    <row r="1394" spans="47:47" x14ac:dyDescent="0.25">
      <c r="AU1394" s="8" t="str">
        <f>IF(TRIM($G1394)="","",IF(COUNTIF(LISTS!$I$2:$I$16,TRIM($G1394))&gt;0,"COUNTED",IF(COUNTIF(LISTS!$J$2:$J$16,TRIM($G1394))&gt;0,"LEFT OUT","NEW")))</f>
        <v/>
      </c>
    </row>
    <row r="1395" spans="47:47" x14ac:dyDescent="0.25">
      <c r="AU1395" s="8" t="str">
        <f>IF(TRIM($G1395)="","",IF(COUNTIF(LISTS!$I$2:$I$16,TRIM($G1395))&gt;0,"COUNTED",IF(COUNTIF(LISTS!$J$2:$J$16,TRIM($G1395))&gt;0,"LEFT OUT","NEW")))</f>
        <v/>
      </c>
    </row>
    <row r="1396" spans="47:47" x14ac:dyDescent="0.25">
      <c r="AU1396" s="8" t="str">
        <f>IF(TRIM($G1396)="","",IF(COUNTIF(LISTS!$I$2:$I$16,TRIM($G1396))&gt;0,"COUNTED",IF(COUNTIF(LISTS!$J$2:$J$16,TRIM($G1396))&gt;0,"LEFT OUT","NEW")))</f>
        <v/>
      </c>
    </row>
    <row r="1397" spans="47:47" x14ac:dyDescent="0.25">
      <c r="AU1397" s="8" t="str">
        <f>IF(TRIM($G1397)="","",IF(COUNTIF(LISTS!$I$2:$I$16,TRIM($G1397))&gt;0,"COUNTED",IF(COUNTIF(LISTS!$J$2:$J$16,TRIM($G1397))&gt;0,"LEFT OUT","NEW")))</f>
        <v/>
      </c>
    </row>
    <row r="1398" spans="47:47" x14ac:dyDescent="0.25">
      <c r="AU1398" s="8" t="str">
        <f>IF(TRIM($G1398)="","",IF(COUNTIF(LISTS!$I$2:$I$16,TRIM($G1398))&gt;0,"COUNTED",IF(COUNTIF(LISTS!$J$2:$J$16,TRIM($G1398))&gt;0,"LEFT OUT","NEW")))</f>
        <v/>
      </c>
    </row>
    <row r="1399" spans="47:47" x14ac:dyDescent="0.25">
      <c r="AU1399" s="8" t="str">
        <f>IF(TRIM($G1399)="","",IF(COUNTIF(LISTS!$I$2:$I$16,TRIM($G1399))&gt;0,"COUNTED",IF(COUNTIF(LISTS!$J$2:$J$16,TRIM($G1399))&gt;0,"LEFT OUT","NEW")))</f>
        <v/>
      </c>
    </row>
    <row r="1400" spans="47:47" x14ac:dyDescent="0.25">
      <c r="AU1400" s="8" t="str">
        <f>IF(TRIM($G1400)="","",IF(COUNTIF(LISTS!$I$2:$I$16,TRIM($G1400))&gt;0,"COUNTED",IF(COUNTIF(LISTS!$J$2:$J$16,TRIM($G1400))&gt;0,"LEFT OUT","NEW")))</f>
        <v/>
      </c>
    </row>
    <row r="1401" spans="47:47" x14ac:dyDescent="0.25">
      <c r="AU1401" s="8" t="str">
        <f>IF(TRIM($G1401)="","",IF(COUNTIF(LISTS!$I$2:$I$16,TRIM($G1401))&gt;0,"COUNTED",IF(COUNTIF(LISTS!$J$2:$J$16,TRIM($G1401))&gt;0,"LEFT OUT","NEW")))</f>
        <v/>
      </c>
    </row>
    <row r="1402" spans="47:47" x14ac:dyDescent="0.25">
      <c r="AU1402" s="8" t="str">
        <f>IF(TRIM($G1402)="","",IF(COUNTIF(LISTS!$I$2:$I$16,TRIM($G1402))&gt;0,"COUNTED",IF(COUNTIF(LISTS!$J$2:$J$16,TRIM($G1402))&gt;0,"LEFT OUT","NEW")))</f>
        <v/>
      </c>
    </row>
    <row r="1403" spans="47:47" x14ac:dyDescent="0.25">
      <c r="AU1403" s="8" t="str">
        <f>IF(TRIM($G1403)="","",IF(COUNTIF(LISTS!$I$2:$I$16,TRIM($G1403))&gt;0,"COUNTED",IF(COUNTIF(LISTS!$J$2:$J$16,TRIM($G1403))&gt;0,"LEFT OUT","NEW")))</f>
        <v/>
      </c>
    </row>
    <row r="1404" spans="47:47" x14ac:dyDescent="0.25">
      <c r="AU1404" s="8" t="str">
        <f>IF(TRIM($G1404)="","",IF(COUNTIF(LISTS!$I$2:$I$16,TRIM($G1404))&gt;0,"COUNTED",IF(COUNTIF(LISTS!$J$2:$J$16,TRIM($G1404))&gt;0,"LEFT OUT","NEW")))</f>
        <v/>
      </c>
    </row>
    <row r="1405" spans="47:47" x14ac:dyDescent="0.25">
      <c r="AU1405" s="8" t="str">
        <f>IF(TRIM($G1405)="","",IF(COUNTIF(LISTS!$I$2:$I$16,TRIM($G1405))&gt;0,"COUNTED",IF(COUNTIF(LISTS!$J$2:$J$16,TRIM($G1405))&gt;0,"LEFT OUT","NEW")))</f>
        <v/>
      </c>
    </row>
    <row r="1406" spans="47:47" x14ac:dyDescent="0.25">
      <c r="AU1406" s="8" t="str">
        <f>IF(TRIM($G1406)="","",IF(COUNTIF(LISTS!$I$2:$I$16,TRIM($G1406))&gt;0,"COUNTED",IF(COUNTIF(LISTS!$J$2:$J$16,TRIM($G1406))&gt;0,"LEFT OUT","NEW")))</f>
        <v/>
      </c>
    </row>
    <row r="1407" spans="47:47" x14ac:dyDescent="0.25">
      <c r="AU1407" s="8" t="str">
        <f>IF(TRIM($G1407)="","",IF(COUNTIF(LISTS!$I$2:$I$16,TRIM($G1407))&gt;0,"COUNTED",IF(COUNTIF(LISTS!$J$2:$J$16,TRIM($G1407))&gt;0,"LEFT OUT","NEW")))</f>
        <v/>
      </c>
    </row>
    <row r="1408" spans="47:47" x14ac:dyDescent="0.25">
      <c r="AU1408" s="8" t="str">
        <f>IF(TRIM($G1408)="","",IF(COUNTIF(LISTS!$I$2:$I$16,TRIM($G1408))&gt;0,"COUNTED",IF(COUNTIF(LISTS!$J$2:$J$16,TRIM($G1408))&gt;0,"LEFT OUT","NEW")))</f>
        <v/>
      </c>
    </row>
    <row r="1409" spans="47:47" x14ac:dyDescent="0.25">
      <c r="AU1409" s="8" t="str">
        <f>IF(TRIM($G1409)="","",IF(COUNTIF(LISTS!$I$2:$I$16,TRIM($G1409))&gt;0,"COUNTED",IF(COUNTIF(LISTS!$J$2:$J$16,TRIM($G1409))&gt;0,"LEFT OUT","NEW")))</f>
        <v/>
      </c>
    </row>
    <row r="1410" spans="47:47" x14ac:dyDescent="0.25">
      <c r="AU1410" s="8" t="str">
        <f>IF(TRIM($G1410)="","",IF(COUNTIF(LISTS!$I$2:$I$16,TRIM($G1410))&gt;0,"COUNTED",IF(COUNTIF(LISTS!$J$2:$J$16,TRIM($G1410))&gt;0,"LEFT OUT","NEW")))</f>
        <v/>
      </c>
    </row>
    <row r="1411" spans="47:47" x14ac:dyDescent="0.25">
      <c r="AU1411" s="8" t="str">
        <f>IF(TRIM($G1411)="","",IF(COUNTIF(LISTS!$I$2:$I$16,TRIM($G1411))&gt;0,"COUNTED",IF(COUNTIF(LISTS!$J$2:$J$16,TRIM($G1411))&gt;0,"LEFT OUT","NEW")))</f>
        <v/>
      </c>
    </row>
    <row r="1412" spans="47:47" x14ac:dyDescent="0.25">
      <c r="AU1412" s="8" t="str">
        <f>IF(TRIM($G1412)="","",IF(COUNTIF(LISTS!$I$2:$I$16,TRIM($G1412))&gt;0,"COUNTED",IF(COUNTIF(LISTS!$J$2:$J$16,TRIM($G1412))&gt;0,"LEFT OUT","NEW")))</f>
        <v/>
      </c>
    </row>
    <row r="1413" spans="47:47" x14ac:dyDescent="0.25">
      <c r="AU1413" s="8" t="str">
        <f>IF(TRIM($G1413)="","",IF(COUNTIF(LISTS!$I$2:$I$16,TRIM($G1413))&gt;0,"COUNTED",IF(COUNTIF(LISTS!$J$2:$J$16,TRIM($G1413))&gt;0,"LEFT OUT","NEW")))</f>
        <v/>
      </c>
    </row>
    <row r="1414" spans="47:47" x14ac:dyDescent="0.25">
      <c r="AU1414" s="8" t="str">
        <f>IF(TRIM($G1414)="","",IF(COUNTIF(LISTS!$I$2:$I$16,TRIM($G1414))&gt;0,"COUNTED",IF(COUNTIF(LISTS!$J$2:$J$16,TRIM($G1414))&gt;0,"LEFT OUT","NEW")))</f>
        <v/>
      </c>
    </row>
    <row r="1415" spans="47:47" x14ac:dyDescent="0.25">
      <c r="AU1415" s="8" t="str">
        <f>IF(TRIM($G1415)="","",IF(COUNTIF(LISTS!$I$2:$I$16,TRIM($G1415))&gt;0,"COUNTED",IF(COUNTIF(LISTS!$J$2:$J$16,TRIM($G1415))&gt;0,"LEFT OUT","NEW")))</f>
        <v/>
      </c>
    </row>
    <row r="1416" spans="47:47" x14ac:dyDescent="0.25">
      <c r="AU1416" s="8" t="str">
        <f>IF(TRIM($G1416)="","",IF(COUNTIF(LISTS!$I$2:$I$16,TRIM($G1416))&gt;0,"COUNTED",IF(COUNTIF(LISTS!$J$2:$J$16,TRIM($G1416))&gt;0,"LEFT OUT","NEW")))</f>
        <v/>
      </c>
    </row>
    <row r="1417" spans="47:47" x14ac:dyDescent="0.25">
      <c r="AU1417" s="8" t="str">
        <f>IF(TRIM($G1417)="","",IF(COUNTIF(LISTS!$I$2:$I$16,TRIM($G1417))&gt;0,"COUNTED",IF(COUNTIF(LISTS!$J$2:$J$16,TRIM($G1417))&gt;0,"LEFT OUT","NEW")))</f>
        <v/>
      </c>
    </row>
    <row r="1418" spans="47:47" x14ac:dyDescent="0.25">
      <c r="AU1418" s="8" t="str">
        <f>IF(TRIM($G1418)="","",IF(COUNTIF(LISTS!$I$2:$I$16,TRIM($G1418))&gt;0,"COUNTED",IF(COUNTIF(LISTS!$J$2:$J$16,TRIM($G1418))&gt;0,"LEFT OUT","NEW")))</f>
        <v/>
      </c>
    </row>
    <row r="1419" spans="47:47" x14ac:dyDescent="0.25">
      <c r="AU1419" s="8" t="str">
        <f>IF(TRIM($G1419)="","",IF(COUNTIF(LISTS!$I$2:$I$16,TRIM($G1419))&gt;0,"COUNTED",IF(COUNTIF(LISTS!$J$2:$J$16,TRIM($G1419))&gt;0,"LEFT OUT","NEW")))</f>
        <v/>
      </c>
    </row>
    <row r="1420" spans="47:47" x14ac:dyDescent="0.25">
      <c r="AU1420" s="8" t="str">
        <f>IF(TRIM($G1420)="","",IF(COUNTIF(LISTS!$I$2:$I$16,TRIM($G1420))&gt;0,"COUNTED",IF(COUNTIF(LISTS!$J$2:$J$16,TRIM($G1420))&gt;0,"LEFT OUT","NEW")))</f>
        <v/>
      </c>
    </row>
    <row r="1421" spans="47:47" x14ac:dyDescent="0.25">
      <c r="AU1421" s="8" t="str">
        <f>IF(TRIM($G1421)="","",IF(COUNTIF(LISTS!$I$2:$I$16,TRIM($G1421))&gt;0,"COUNTED",IF(COUNTIF(LISTS!$J$2:$J$16,TRIM($G1421))&gt;0,"LEFT OUT","NEW")))</f>
        <v/>
      </c>
    </row>
    <row r="1422" spans="47:47" x14ac:dyDescent="0.25">
      <c r="AU1422" s="8" t="str">
        <f>IF(TRIM($G1422)="","",IF(COUNTIF(LISTS!$I$2:$I$16,TRIM($G1422))&gt;0,"COUNTED",IF(COUNTIF(LISTS!$J$2:$J$16,TRIM($G1422))&gt;0,"LEFT OUT","NEW")))</f>
        <v/>
      </c>
    </row>
    <row r="1423" spans="47:47" x14ac:dyDescent="0.25">
      <c r="AU1423" s="8" t="str">
        <f>IF(TRIM($G1423)="","",IF(COUNTIF(LISTS!$I$2:$I$16,TRIM($G1423))&gt;0,"COUNTED",IF(COUNTIF(LISTS!$J$2:$J$16,TRIM($G1423))&gt;0,"LEFT OUT","NEW")))</f>
        <v/>
      </c>
    </row>
    <row r="1424" spans="47:47" x14ac:dyDescent="0.25">
      <c r="AU1424" s="8" t="str">
        <f>IF(TRIM($G1424)="","",IF(COUNTIF(LISTS!$I$2:$I$16,TRIM($G1424))&gt;0,"COUNTED",IF(COUNTIF(LISTS!$J$2:$J$16,TRIM($G1424))&gt;0,"LEFT OUT","NEW")))</f>
        <v/>
      </c>
    </row>
    <row r="1425" spans="47:47" x14ac:dyDescent="0.25">
      <c r="AU1425" s="8" t="str">
        <f>IF(TRIM($G1425)="","",IF(COUNTIF(LISTS!$I$2:$I$16,TRIM($G1425))&gt;0,"COUNTED",IF(COUNTIF(LISTS!$J$2:$J$16,TRIM($G1425))&gt;0,"LEFT OUT","NEW")))</f>
        <v/>
      </c>
    </row>
    <row r="1426" spans="47:47" x14ac:dyDescent="0.25">
      <c r="AU1426" s="8" t="str">
        <f>IF(TRIM($G1426)="","",IF(COUNTIF(LISTS!$I$2:$I$16,TRIM($G1426))&gt;0,"COUNTED",IF(COUNTIF(LISTS!$J$2:$J$16,TRIM($G1426))&gt;0,"LEFT OUT","NEW")))</f>
        <v/>
      </c>
    </row>
    <row r="1427" spans="47:47" x14ac:dyDescent="0.25">
      <c r="AU1427" s="8" t="str">
        <f>IF(TRIM($G1427)="","",IF(COUNTIF(LISTS!$I$2:$I$16,TRIM($G1427))&gt;0,"COUNTED",IF(COUNTIF(LISTS!$J$2:$J$16,TRIM($G1427))&gt;0,"LEFT OUT","NEW")))</f>
        <v/>
      </c>
    </row>
    <row r="1428" spans="47:47" x14ac:dyDescent="0.25">
      <c r="AU1428" s="8" t="str">
        <f>IF(TRIM($G1428)="","",IF(COUNTIF(LISTS!$I$2:$I$16,TRIM($G1428))&gt;0,"COUNTED",IF(COUNTIF(LISTS!$J$2:$J$16,TRIM($G1428))&gt;0,"LEFT OUT","NEW")))</f>
        <v/>
      </c>
    </row>
    <row r="1429" spans="47:47" x14ac:dyDescent="0.25">
      <c r="AU1429" s="8" t="str">
        <f>IF(TRIM($G1429)="","",IF(COUNTIF(LISTS!$I$2:$I$16,TRIM($G1429))&gt;0,"COUNTED",IF(COUNTIF(LISTS!$J$2:$J$16,TRIM($G1429))&gt;0,"LEFT OUT","NEW")))</f>
        <v/>
      </c>
    </row>
    <row r="1430" spans="47:47" x14ac:dyDescent="0.25">
      <c r="AU1430" s="8" t="str">
        <f>IF(TRIM($G1430)="","",IF(COUNTIF(LISTS!$I$2:$I$16,TRIM($G1430))&gt;0,"COUNTED",IF(COUNTIF(LISTS!$J$2:$J$16,TRIM($G1430))&gt;0,"LEFT OUT","NEW")))</f>
        <v/>
      </c>
    </row>
    <row r="1431" spans="47:47" x14ac:dyDescent="0.25">
      <c r="AU1431" s="8" t="str">
        <f>IF(TRIM($G1431)="","",IF(COUNTIF(LISTS!$I$2:$I$16,TRIM($G1431))&gt;0,"COUNTED",IF(COUNTIF(LISTS!$J$2:$J$16,TRIM($G1431))&gt;0,"LEFT OUT","NEW")))</f>
        <v/>
      </c>
    </row>
    <row r="1432" spans="47:47" x14ac:dyDescent="0.25">
      <c r="AU1432" s="8" t="str">
        <f>IF(TRIM($G1432)="","",IF(COUNTIF(LISTS!$I$2:$I$16,TRIM($G1432))&gt;0,"COUNTED",IF(COUNTIF(LISTS!$J$2:$J$16,TRIM($G1432))&gt;0,"LEFT OUT","NEW")))</f>
        <v/>
      </c>
    </row>
    <row r="1433" spans="47:47" x14ac:dyDescent="0.25">
      <c r="AU1433" s="8" t="str">
        <f>IF(TRIM($G1433)="","",IF(COUNTIF(LISTS!$I$2:$I$16,TRIM($G1433))&gt;0,"COUNTED",IF(COUNTIF(LISTS!$J$2:$J$16,TRIM($G1433))&gt;0,"LEFT OUT","NEW")))</f>
        <v/>
      </c>
    </row>
    <row r="1434" spans="47:47" x14ac:dyDescent="0.25">
      <c r="AU1434" s="8" t="str">
        <f>IF(TRIM($G1434)="","",IF(COUNTIF(LISTS!$I$2:$I$16,TRIM($G1434))&gt;0,"COUNTED",IF(COUNTIF(LISTS!$J$2:$J$16,TRIM($G1434))&gt;0,"LEFT OUT","NEW")))</f>
        <v/>
      </c>
    </row>
    <row r="1435" spans="47:47" x14ac:dyDescent="0.25">
      <c r="AU1435" s="8" t="str">
        <f>IF(TRIM($G1435)="","",IF(COUNTIF(LISTS!$I$2:$I$16,TRIM($G1435))&gt;0,"COUNTED",IF(COUNTIF(LISTS!$J$2:$J$16,TRIM($G1435))&gt;0,"LEFT OUT","NEW")))</f>
        <v/>
      </c>
    </row>
    <row r="1436" spans="47:47" x14ac:dyDescent="0.25">
      <c r="AU1436" s="8" t="str">
        <f>IF(TRIM($G1436)="","",IF(COUNTIF(LISTS!$I$2:$I$16,TRIM($G1436))&gt;0,"COUNTED",IF(COUNTIF(LISTS!$J$2:$J$16,TRIM($G1436))&gt;0,"LEFT OUT","NEW")))</f>
        <v/>
      </c>
    </row>
    <row r="1437" spans="47:47" x14ac:dyDescent="0.25">
      <c r="AU1437" s="8" t="str">
        <f>IF(TRIM($G1437)="","",IF(COUNTIF(LISTS!$I$2:$I$16,TRIM($G1437))&gt;0,"COUNTED",IF(COUNTIF(LISTS!$J$2:$J$16,TRIM($G1437))&gt;0,"LEFT OUT","NEW")))</f>
        <v/>
      </c>
    </row>
    <row r="1438" spans="47:47" x14ac:dyDescent="0.25">
      <c r="AU1438" s="8" t="str">
        <f>IF(TRIM($G1438)="","",IF(COUNTIF(LISTS!$I$2:$I$16,TRIM($G1438))&gt;0,"COUNTED",IF(COUNTIF(LISTS!$J$2:$J$16,TRIM($G1438))&gt;0,"LEFT OUT","NEW")))</f>
        <v/>
      </c>
    </row>
    <row r="1439" spans="47:47" x14ac:dyDescent="0.25">
      <c r="AU1439" s="8" t="str">
        <f>IF(TRIM($G1439)="","",IF(COUNTIF(LISTS!$I$2:$I$16,TRIM($G1439))&gt;0,"COUNTED",IF(COUNTIF(LISTS!$J$2:$J$16,TRIM($G1439))&gt;0,"LEFT OUT","NEW")))</f>
        <v/>
      </c>
    </row>
    <row r="1440" spans="47:47" x14ac:dyDescent="0.25">
      <c r="AU1440" s="8" t="str">
        <f>IF(TRIM($G1440)="","",IF(COUNTIF(LISTS!$I$2:$I$16,TRIM($G1440))&gt;0,"COUNTED",IF(COUNTIF(LISTS!$J$2:$J$16,TRIM($G1440))&gt;0,"LEFT OUT","NEW")))</f>
        <v/>
      </c>
    </row>
    <row r="1441" spans="47:47" x14ac:dyDescent="0.25">
      <c r="AU1441" s="8" t="str">
        <f>IF(TRIM($G1441)="","",IF(COUNTIF(LISTS!$I$2:$I$16,TRIM($G1441))&gt;0,"COUNTED",IF(COUNTIF(LISTS!$J$2:$J$16,TRIM($G1441))&gt;0,"LEFT OUT","NEW")))</f>
        <v/>
      </c>
    </row>
    <row r="1442" spans="47:47" x14ac:dyDescent="0.25">
      <c r="AU1442" s="8" t="str">
        <f>IF(TRIM($G1442)="","",IF(COUNTIF(LISTS!$I$2:$I$16,TRIM($G1442))&gt;0,"COUNTED",IF(COUNTIF(LISTS!$J$2:$J$16,TRIM($G1442))&gt;0,"LEFT OUT","NEW")))</f>
        <v/>
      </c>
    </row>
    <row r="1443" spans="47:47" x14ac:dyDescent="0.25">
      <c r="AU1443" s="8" t="str">
        <f>IF(TRIM($G1443)="","",IF(COUNTIF(LISTS!$I$2:$I$16,TRIM($G1443))&gt;0,"COUNTED",IF(COUNTIF(LISTS!$J$2:$J$16,TRIM($G1443))&gt;0,"LEFT OUT","NEW")))</f>
        <v/>
      </c>
    </row>
    <row r="1444" spans="47:47" x14ac:dyDescent="0.25">
      <c r="AU1444" s="8" t="str">
        <f>IF(TRIM($G1444)="","",IF(COUNTIF(LISTS!$I$2:$I$16,TRIM($G1444))&gt;0,"COUNTED",IF(COUNTIF(LISTS!$J$2:$J$16,TRIM($G1444))&gt;0,"LEFT OUT","NEW")))</f>
        <v/>
      </c>
    </row>
    <row r="1445" spans="47:47" x14ac:dyDescent="0.25">
      <c r="AU1445" s="8" t="str">
        <f>IF(TRIM($G1445)="","",IF(COUNTIF(LISTS!$I$2:$I$16,TRIM($G1445))&gt;0,"COUNTED",IF(COUNTIF(LISTS!$J$2:$J$16,TRIM($G1445))&gt;0,"LEFT OUT","NEW")))</f>
        <v/>
      </c>
    </row>
    <row r="1446" spans="47:47" x14ac:dyDescent="0.25">
      <c r="AU1446" s="8" t="str">
        <f>IF(TRIM($G1446)="","",IF(COUNTIF(LISTS!$I$2:$I$16,TRIM($G1446))&gt;0,"COUNTED",IF(COUNTIF(LISTS!$J$2:$J$16,TRIM($G1446))&gt;0,"LEFT OUT","NEW")))</f>
        <v/>
      </c>
    </row>
    <row r="1447" spans="47:47" x14ac:dyDescent="0.25">
      <c r="AU1447" s="8" t="str">
        <f>IF(TRIM($G1447)="","",IF(COUNTIF(LISTS!$I$2:$I$16,TRIM($G1447))&gt;0,"COUNTED",IF(COUNTIF(LISTS!$J$2:$J$16,TRIM($G1447))&gt;0,"LEFT OUT","NEW")))</f>
        <v/>
      </c>
    </row>
    <row r="1448" spans="47:47" x14ac:dyDescent="0.25">
      <c r="AU1448" s="8" t="str">
        <f>IF(TRIM($G1448)="","",IF(COUNTIF(LISTS!$I$2:$I$16,TRIM($G1448))&gt;0,"COUNTED",IF(COUNTIF(LISTS!$J$2:$J$16,TRIM($G1448))&gt;0,"LEFT OUT","NEW")))</f>
        <v/>
      </c>
    </row>
    <row r="1449" spans="47:47" x14ac:dyDescent="0.25">
      <c r="AU1449" s="8" t="str">
        <f>IF(TRIM($G1449)="","",IF(COUNTIF(LISTS!$I$2:$I$16,TRIM($G1449))&gt;0,"COUNTED",IF(COUNTIF(LISTS!$J$2:$J$16,TRIM($G1449))&gt;0,"LEFT OUT","NEW")))</f>
        <v/>
      </c>
    </row>
    <row r="1450" spans="47:47" x14ac:dyDescent="0.25">
      <c r="AU1450" s="8" t="str">
        <f>IF(TRIM($G1450)="","",IF(COUNTIF(LISTS!$I$2:$I$16,TRIM($G1450))&gt;0,"COUNTED",IF(COUNTIF(LISTS!$J$2:$J$16,TRIM($G1450))&gt;0,"LEFT OUT","NEW")))</f>
        <v/>
      </c>
    </row>
    <row r="1451" spans="47:47" x14ac:dyDescent="0.25">
      <c r="AU1451" s="8" t="str">
        <f>IF(TRIM($G1451)="","",IF(COUNTIF(LISTS!$I$2:$I$16,TRIM($G1451))&gt;0,"COUNTED",IF(COUNTIF(LISTS!$J$2:$J$16,TRIM($G1451))&gt;0,"LEFT OUT","NEW")))</f>
        <v/>
      </c>
    </row>
    <row r="1452" spans="47:47" x14ac:dyDescent="0.25">
      <c r="AU1452" s="8" t="str">
        <f>IF(TRIM($G1452)="","",IF(COUNTIF(LISTS!$I$2:$I$16,TRIM($G1452))&gt;0,"COUNTED",IF(COUNTIF(LISTS!$J$2:$J$16,TRIM($G1452))&gt;0,"LEFT OUT","NEW")))</f>
        <v/>
      </c>
    </row>
    <row r="1453" spans="47:47" x14ac:dyDescent="0.25">
      <c r="AU1453" s="8" t="str">
        <f>IF(TRIM($G1453)="","",IF(COUNTIF(LISTS!$I$2:$I$16,TRIM($G1453))&gt;0,"COUNTED",IF(COUNTIF(LISTS!$J$2:$J$16,TRIM($G1453))&gt;0,"LEFT OUT","NEW")))</f>
        <v/>
      </c>
    </row>
    <row r="1454" spans="47:47" x14ac:dyDescent="0.25">
      <c r="AU1454" s="8" t="str">
        <f>IF(TRIM($G1454)="","",IF(COUNTIF(LISTS!$I$2:$I$16,TRIM($G1454))&gt;0,"COUNTED",IF(COUNTIF(LISTS!$J$2:$J$16,TRIM($G1454))&gt;0,"LEFT OUT","NEW")))</f>
        <v/>
      </c>
    </row>
    <row r="1455" spans="47:47" x14ac:dyDescent="0.25">
      <c r="AU1455" s="8" t="str">
        <f>IF(TRIM($G1455)="","",IF(COUNTIF(LISTS!$I$2:$I$16,TRIM($G1455))&gt;0,"COUNTED",IF(COUNTIF(LISTS!$J$2:$J$16,TRIM($G1455))&gt;0,"LEFT OUT","NEW")))</f>
        <v/>
      </c>
    </row>
    <row r="1456" spans="47:47" x14ac:dyDescent="0.25">
      <c r="AU1456" s="8" t="str">
        <f>IF(TRIM($G1456)="","",IF(COUNTIF(LISTS!$I$2:$I$16,TRIM($G1456))&gt;0,"COUNTED",IF(COUNTIF(LISTS!$J$2:$J$16,TRIM($G1456))&gt;0,"LEFT OUT","NEW")))</f>
        <v/>
      </c>
    </row>
    <row r="1457" spans="47:47" x14ac:dyDescent="0.25">
      <c r="AU1457" s="8" t="str">
        <f>IF(TRIM($G1457)="","",IF(COUNTIF(LISTS!$I$2:$I$16,TRIM($G1457))&gt;0,"COUNTED",IF(COUNTIF(LISTS!$J$2:$J$16,TRIM($G1457))&gt;0,"LEFT OUT","NEW")))</f>
        <v/>
      </c>
    </row>
    <row r="1458" spans="47:47" x14ac:dyDescent="0.25">
      <c r="AU1458" s="8" t="str">
        <f>IF(TRIM($G1458)="","",IF(COUNTIF(LISTS!$I$2:$I$16,TRIM($G1458))&gt;0,"COUNTED",IF(COUNTIF(LISTS!$J$2:$J$16,TRIM($G1458))&gt;0,"LEFT OUT","NEW")))</f>
        <v/>
      </c>
    </row>
    <row r="1459" spans="47:47" x14ac:dyDescent="0.25">
      <c r="AU1459" s="8" t="str">
        <f>IF(TRIM($G1459)="","",IF(COUNTIF(LISTS!$I$2:$I$16,TRIM($G1459))&gt;0,"COUNTED",IF(COUNTIF(LISTS!$J$2:$J$16,TRIM($G1459))&gt;0,"LEFT OUT","NEW")))</f>
        <v/>
      </c>
    </row>
    <row r="1460" spans="47:47" x14ac:dyDescent="0.25">
      <c r="AU1460" s="8" t="str">
        <f>IF(TRIM($G1460)="","",IF(COUNTIF(LISTS!$I$2:$I$16,TRIM($G1460))&gt;0,"COUNTED",IF(COUNTIF(LISTS!$J$2:$J$16,TRIM($G1460))&gt;0,"LEFT OUT","NEW")))</f>
        <v/>
      </c>
    </row>
    <row r="1461" spans="47:47" x14ac:dyDescent="0.25">
      <c r="AU1461" s="8" t="str">
        <f>IF(TRIM($G1461)="","",IF(COUNTIF(LISTS!$I$2:$I$16,TRIM($G1461))&gt;0,"COUNTED",IF(COUNTIF(LISTS!$J$2:$J$16,TRIM($G1461))&gt;0,"LEFT OUT","NEW")))</f>
        <v/>
      </c>
    </row>
    <row r="1462" spans="47:47" x14ac:dyDescent="0.25">
      <c r="AU1462" s="8" t="str">
        <f>IF(TRIM($G1462)="","",IF(COUNTIF(LISTS!$I$2:$I$16,TRIM($G1462))&gt;0,"COUNTED",IF(COUNTIF(LISTS!$J$2:$J$16,TRIM($G1462))&gt;0,"LEFT OUT","NEW")))</f>
        <v/>
      </c>
    </row>
    <row r="1463" spans="47:47" x14ac:dyDescent="0.25">
      <c r="AU1463" s="8" t="str">
        <f>IF(TRIM($G1463)="","",IF(COUNTIF(LISTS!$I$2:$I$16,TRIM($G1463))&gt;0,"COUNTED",IF(COUNTIF(LISTS!$J$2:$J$16,TRIM($G1463))&gt;0,"LEFT OUT","NEW")))</f>
        <v/>
      </c>
    </row>
    <row r="1464" spans="47:47" x14ac:dyDescent="0.25">
      <c r="AU1464" s="8" t="str">
        <f>IF(TRIM($G1464)="","",IF(COUNTIF(LISTS!$I$2:$I$16,TRIM($G1464))&gt;0,"COUNTED",IF(COUNTIF(LISTS!$J$2:$J$16,TRIM($G1464))&gt;0,"LEFT OUT","NEW")))</f>
        <v/>
      </c>
    </row>
    <row r="1465" spans="47:47" x14ac:dyDescent="0.25">
      <c r="AU1465" s="8" t="str">
        <f>IF(TRIM($G1465)="","",IF(COUNTIF(LISTS!$I$2:$I$16,TRIM($G1465))&gt;0,"COUNTED",IF(COUNTIF(LISTS!$J$2:$J$16,TRIM($G1465))&gt;0,"LEFT OUT","NEW")))</f>
        <v/>
      </c>
    </row>
    <row r="1466" spans="47:47" x14ac:dyDescent="0.25">
      <c r="AU1466" s="8" t="str">
        <f>IF(TRIM($G1466)="","",IF(COUNTIF(LISTS!$I$2:$I$16,TRIM($G1466))&gt;0,"COUNTED",IF(COUNTIF(LISTS!$J$2:$J$16,TRIM($G1466))&gt;0,"LEFT OUT","NEW")))</f>
        <v/>
      </c>
    </row>
    <row r="1467" spans="47:47" x14ac:dyDescent="0.25">
      <c r="AU1467" s="8" t="str">
        <f>IF(TRIM($G1467)="","",IF(COUNTIF(LISTS!$I$2:$I$16,TRIM($G1467))&gt;0,"COUNTED",IF(COUNTIF(LISTS!$J$2:$J$16,TRIM($G1467))&gt;0,"LEFT OUT","NEW")))</f>
        <v/>
      </c>
    </row>
    <row r="1468" spans="47:47" x14ac:dyDescent="0.25">
      <c r="AU1468" s="8" t="str">
        <f>IF(TRIM($G1468)="","",IF(COUNTIF(LISTS!$I$2:$I$16,TRIM($G1468))&gt;0,"COUNTED",IF(COUNTIF(LISTS!$J$2:$J$16,TRIM($G1468))&gt;0,"LEFT OUT","NEW")))</f>
        <v/>
      </c>
    </row>
    <row r="1469" spans="47:47" x14ac:dyDescent="0.25">
      <c r="AU1469" s="8" t="str">
        <f>IF(TRIM($G1469)="","",IF(COUNTIF(LISTS!$I$2:$I$16,TRIM($G1469))&gt;0,"COUNTED",IF(COUNTIF(LISTS!$J$2:$J$16,TRIM($G1469))&gt;0,"LEFT OUT","NEW")))</f>
        <v/>
      </c>
    </row>
    <row r="1470" spans="47:47" x14ac:dyDescent="0.25">
      <c r="AU1470" s="8" t="str">
        <f>IF(TRIM($G1470)="","",IF(COUNTIF(LISTS!$I$2:$I$16,TRIM($G1470))&gt;0,"COUNTED",IF(COUNTIF(LISTS!$J$2:$J$16,TRIM($G1470))&gt;0,"LEFT OUT","NEW")))</f>
        <v/>
      </c>
    </row>
    <row r="1471" spans="47:47" x14ac:dyDescent="0.25">
      <c r="AU1471" s="8" t="str">
        <f>IF(TRIM($G1471)="","",IF(COUNTIF(LISTS!$I$2:$I$16,TRIM($G1471))&gt;0,"COUNTED",IF(COUNTIF(LISTS!$J$2:$J$16,TRIM($G1471))&gt;0,"LEFT OUT","NEW")))</f>
        <v/>
      </c>
    </row>
    <row r="1472" spans="47:47" x14ac:dyDescent="0.25">
      <c r="AU1472" s="8" t="str">
        <f>IF(TRIM($G1472)="","",IF(COUNTIF(LISTS!$I$2:$I$16,TRIM($G1472))&gt;0,"COUNTED",IF(COUNTIF(LISTS!$J$2:$J$16,TRIM($G1472))&gt;0,"LEFT OUT","NEW")))</f>
        <v/>
      </c>
    </row>
    <row r="1473" spans="47:47" x14ac:dyDescent="0.25">
      <c r="AU1473" s="8" t="str">
        <f>IF(TRIM($G1473)="","",IF(COUNTIF(LISTS!$I$2:$I$16,TRIM($G1473))&gt;0,"COUNTED",IF(COUNTIF(LISTS!$J$2:$J$16,TRIM($G1473))&gt;0,"LEFT OUT","NEW")))</f>
        <v/>
      </c>
    </row>
    <row r="1474" spans="47:47" x14ac:dyDescent="0.25">
      <c r="AU1474" s="8" t="str">
        <f>IF(TRIM($G1474)="","",IF(COUNTIF(LISTS!$I$2:$I$16,TRIM($G1474))&gt;0,"COUNTED",IF(COUNTIF(LISTS!$J$2:$J$16,TRIM($G1474))&gt;0,"LEFT OUT","NEW")))</f>
        <v/>
      </c>
    </row>
    <row r="1475" spans="47:47" x14ac:dyDescent="0.25">
      <c r="AU1475" s="8" t="str">
        <f>IF(TRIM($G1475)="","",IF(COUNTIF(LISTS!$I$2:$I$16,TRIM($G1475))&gt;0,"COUNTED",IF(COUNTIF(LISTS!$J$2:$J$16,TRIM($G1475))&gt;0,"LEFT OUT","NEW")))</f>
        <v/>
      </c>
    </row>
    <row r="1476" spans="47:47" x14ac:dyDescent="0.25">
      <c r="AU1476" s="8" t="str">
        <f>IF(TRIM($G1476)="","",IF(COUNTIF(LISTS!$I$2:$I$16,TRIM($G1476))&gt;0,"COUNTED",IF(COUNTIF(LISTS!$J$2:$J$16,TRIM($G1476))&gt;0,"LEFT OUT","NEW")))</f>
        <v/>
      </c>
    </row>
    <row r="1477" spans="47:47" x14ac:dyDescent="0.25">
      <c r="AU1477" s="8" t="str">
        <f>IF(TRIM($G1477)="","",IF(COUNTIF(LISTS!$I$2:$I$16,TRIM($G1477))&gt;0,"COUNTED",IF(COUNTIF(LISTS!$J$2:$J$16,TRIM($G1477))&gt;0,"LEFT OUT","NEW")))</f>
        <v/>
      </c>
    </row>
    <row r="1478" spans="47:47" x14ac:dyDescent="0.25">
      <c r="AU1478" s="8" t="str">
        <f>IF(TRIM($G1478)="","",IF(COUNTIF(LISTS!$I$2:$I$16,TRIM($G1478))&gt;0,"COUNTED",IF(COUNTIF(LISTS!$J$2:$J$16,TRIM($G1478))&gt;0,"LEFT OUT","NEW")))</f>
        <v/>
      </c>
    </row>
    <row r="1479" spans="47:47" x14ac:dyDescent="0.25">
      <c r="AU1479" s="8" t="str">
        <f>IF(TRIM($G1479)="","",IF(COUNTIF(LISTS!$I$2:$I$16,TRIM($G1479))&gt;0,"COUNTED",IF(COUNTIF(LISTS!$J$2:$J$16,TRIM($G1479))&gt;0,"LEFT OUT","NEW")))</f>
        <v/>
      </c>
    </row>
    <row r="1480" spans="47:47" x14ac:dyDescent="0.25">
      <c r="AU1480" s="8" t="str">
        <f>IF(TRIM($G1480)="","",IF(COUNTIF(LISTS!$I$2:$I$16,TRIM($G1480))&gt;0,"COUNTED",IF(COUNTIF(LISTS!$J$2:$J$16,TRIM($G1480))&gt;0,"LEFT OUT","NEW")))</f>
        <v/>
      </c>
    </row>
    <row r="1481" spans="47:47" x14ac:dyDescent="0.25">
      <c r="AU1481" s="8" t="str">
        <f>IF(TRIM($G1481)="","",IF(COUNTIF(LISTS!$I$2:$I$16,TRIM($G1481))&gt;0,"COUNTED",IF(COUNTIF(LISTS!$J$2:$J$16,TRIM($G1481))&gt;0,"LEFT OUT","NEW")))</f>
        <v/>
      </c>
    </row>
    <row r="1482" spans="47:47" x14ac:dyDescent="0.25">
      <c r="AU1482" s="8" t="str">
        <f>IF(TRIM($G1482)="","",IF(COUNTIF(LISTS!$I$2:$I$16,TRIM($G1482))&gt;0,"COUNTED",IF(COUNTIF(LISTS!$J$2:$J$16,TRIM($G1482))&gt;0,"LEFT OUT","NEW")))</f>
        <v/>
      </c>
    </row>
    <row r="1483" spans="47:47" x14ac:dyDescent="0.25">
      <c r="AU1483" s="8" t="str">
        <f>IF(TRIM($G1483)="","",IF(COUNTIF(LISTS!$I$2:$I$16,TRIM($G1483))&gt;0,"COUNTED",IF(COUNTIF(LISTS!$J$2:$J$16,TRIM($G1483))&gt;0,"LEFT OUT","NEW")))</f>
        <v/>
      </c>
    </row>
    <row r="1484" spans="47:47" x14ac:dyDescent="0.25">
      <c r="AU1484" s="8" t="str">
        <f>IF(TRIM($G1484)="","",IF(COUNTIF(LISTS!$I$2:$I$16,TRIM($G1484))&gt;0,"COUNTED",IF(COUNTIF(LISTS!$J$2:$J$16,TRIM($G1484))&gt;0,"LEFT OUT","NEW")))</f>
        <v/>
      </c>
    </row>
    <row r="1485" spans="47:47" x14ac:dyDescent="0.25">
      <c r="AU1485" s="8" t="str">
        <f>IF(TRIM($G1485)="","",IF(COUNTIF(LISTS!$I$2:$I$16,TRIM($G1485))&gt;0,"COUNTED",IF(COUNTIF(LISTS!$J$2:$J$16,TRIM($G1485))&gt;0,"LEFT OUT","NEW")))</f>
        <v/>
      </c>
    </row>
    <row r="1486" spans="47:47" x14ac:dyDescent="0.25">
      <c r="AU1486" s="8" t="str">
        <f>IF(TRIM($G1486)="","",IF(COUNTIF(LISTS!$I$2:$I$16,TRIM($G1486))&gt;0,"COUNTED",IF(COUNTIF(LISTS!$J$2:$J$16,TRIM($G1486))&gt;0,"LEFT OUT","NEW")))</f>
        <v/>
      </c>
    </row>
    <row r="1487" spans="47:47" x14ac:dyDescent="0.25">
      <c r="AU1487" s="8" t="str">
        <f>IF(TRIM($G1487)="","",IF(COUNTIF(LISTS!$I$2:$I$16,TRIM($G1487))&gt;0,"COUNTED",IF(COUNTIF(LISTS!$J$2:$J$16,TRIM($G1487))&gt;0,"LEFT OUT","NEW")))</f>
        <v/>
      </c>
    </row>
    <row r="1488" spans="47:47" x14ac:dyDescent="0.25">
      <c r="AU1488" s="8" t="str">
        <f>IF(TRIM($G1488)="","",IF(COUNTIF(LISTS!$I$2:$I$16,TRIM($G1488))&gt;0,"COUNTED",IF(COUNTIF(LISTS!$J$2:$J$16,TRIM($G1488))&gt;0,"LEFT OUT","NEW")))</f>
        <v/>
      </c>
    </row>
    <row r="1489" spans="47:47" x14ac:dyDescent="0.25">
      <c r="AU1489" s="8" t="str">
        <f>IF(TRIM($G1489)="","",IF(COUNTIF(LISTS!$I$2:$I$16,TRIM($G1489))&gt;0,"COUNTED",IF(COUNTIF(LISTS!$J$2:$J$16,TRIM($G1489))&gt;0,"LEFT OUT","NEW")))</f>
        <v/>
      </c>
    </row>
    <row r="1490" spans="47:47" x14ac:dyDescent="0.25">
      <c r="AU1490" s="8" t="str">
        <f>IF(TRIM($G1490)="","",IF(COUNTIF(LISTS!$I$2:$I$16,TRIM($G1490))&gt;0,"COUNTED",IF(COUNTIF(LISTS!$J$2:$J$16,TRIM($G1490))&gt;0,"LEFT OUT","NEW")))</f>
        <v/>
      </c>
    </row>
    <row r="1491" spans="47:47" x14ac:dyDescent="0.25">
      <c r="AU1491" s="8" t="str">
        <f>IF(TRIM($G1491)="","",IF(COUNTIF(LISTS!$I$2:$I$16,TRIM($G1491))&gt;0,"COUNTED",IF(COUNTIF(LISTS!$J$2:$J$16,TRIM($G1491))&gt;0,"LEFT OUT","NEW")))</f>
        <v/>
      </c>
    </row>
    <row r="1492" spans="47:47" x14ac:dyDescent="0.25">
      <c r="AU1492" s="8" t="str">
        <f>IF(TRIM($G1492)="","",IF(COUNTIF(LISTS!$I$2:$I$16,TRIM($G1492))&gt;0,"COUNTED",IF(COUNTIF(LISTS!$J$2:$J$16,TRIM($G1492))&gt;0,"LEFT OUT","NEW")))</f>
        <v/>
      </c>
    </row>
    <row r="1493" spans="47:47" x14ac:dyDescent="0.25">
      <c r="AU1493" s="8" t="str">
        <f>IF(TRIM($G1493)="","",IF(COUNTIF(LISTS!$I$2:$I$16,TRIM($G1493))&gt;0,"COUNTED",IF(COUNTIF(LISTS!$J$2:$J$16,TRIM($G1493))&gt;0,"LEFT OUT","NEW")))</f>
        <v/>
      </c>
    </row>
    <row r="1494" spans="47:47" x14ac:dyDescent="0.25">
      <c r="AU1494" s="8" t="str">
        <f>IF(TRIM($G1494)="","",IF(COUNTIF(LISTS!$I$2:$I$16,TRIM($G1494))&gt;0,"COUNTED",IF(COUNTIF(LISTS!$J$2:$J$16,TRIM($G1494))&gt;0,"LEFT OUT","NEW")))</f>
        <v/>
      </c>
    </row>
    <row r="1495" spans="47:47" x14ac:dyDescent="0.25">
      <c r="AU1495" s="8" t="str">
        <f>IF(TRIM($G1495)="","",IF(COUNTIF(LISTS!$I$2:$I$16,TRIM($G1495))&gt;0,"COUNTED",IF(COUNTIF(LISTS!$J$2:$J$16,TRIM($G1495))&gt;0,"LEFT OUT","NEW")))</f>
        <v/>
      </c>
    </row>
    <row r="1496" spans="47:47" x14ac:dyDescent="0.25">
      <c r="AU1496" s="8" t="str">
        <f>IF(TRIM($G1496)="","",IF(COUNTIF(LISTS!$I$2:$I$16,TRIM($G1496))&gt;0,"COUNTED",IF(COUNTIF(LISTS!$J$2:$J$16,TRIM($G1496))&gt;0,"LEFT OUT","NEW")))</f>
        <v/>
      </c>
    </row>
    <row r="1497" spans="47:47" x14ac:dyDescent="0.25">
      <c r="AU1497" s="8" t="str">
        <f>IF(TRIM($G1497)="","",IF(COUNTIF(LISTS!$I$2:$I$16,TRIM($G1497))&gt;0,"COUNTED",IF(COUNTIF(LISTS!$J$2:$J$16,TRIM($G1497))&gt;0,"LEFT OUT","NEW")))</f>
        <v/>
      </c>
    </row>
    <row r="1498" spans="47:47" x14ac:dyDescent="0.25">
      <c r="AU1498" s="8" t="str">
        <f>IF(TRIM($G1498)="","",IF(COUNTIF(LISTS!$I$2:$I$16,TRIM($G1498))&gt;0,"COUNTED",IF(COUNTIF(LISTS!$J$2:$J$16,TRIM($G1498))&gt;0,"LEFT OUT","NEW")))</f>
        <v/>
      </c>
    </row>
    <row r="1499" spans="47:47" x14ac:dyDescent="0.25">
      <c r="AU1499" s="8" t="str">
        <f>IF(TRIM($G1499)="","",IF(COUNTIF(LISTS!$I$2:$I$16,TRIM($G1499))&gt;0,"COUNTED",IF(COUNTIF(LISTS!$J$2:$J$16,TRIM($G1499))&gt;0,"LEFT OUT","NEW")))</f>
        <v/>
      </c>
    </row>
    <row r="1500" spans="47:47" x14ac:dyDescent="0.25">
      <c r="AU1500" s="8" t="str">
        <f>IF(TRIM($G1500)="","",IF(COUNTIF(LISTS!$I$2:$I$16,TRIM($G1500))&gt;0,"COUNTED",IF(COUNTIF(LISTS!$J$2:$J$16,TRIM($G1500))&gt;0,"LEFT OUT","NEW")))</f>
        <v/>
      </c>
    </row>
    <row r="1501" spans="47:47" x14ac:dyDescent="0.25">
      <c r="AU1501" s="8" t="str">
        <f>IF(TRIM($G1501)="","",IF(COUNTIF(LISTS!$I$2:$I$16,TRIM($G1501))&gt;0,"COUNTED",IF(COUNTIF(LISTS!$J$2:$J$16,TRIM($G1501))&gt;0,"LEFT OUT","NEW")))</f>
        <v/>
      </c>
    </row>
    <row r="1502" spans="47:47" x14ac:dyDescent="0.25">
      <c r="AU1502" s="8" t="str">
        <f>IF(TRIM($G1502)="","",IF(COUNTIF(LISTS!$I$2:$I$16,TRIM($G1502))&gt;0,"COUNTED",IF(COUNTIF(LISTS!$J$2:$J$16,TRIM($G1502))&gt;0,"LEFT OUT","NEW")))</f>
        <v/>
      </c>
    </row>
    <row r="1503" spans="47:47" x14ac:dyDescent="0.25">
      <c r="AU1503" s="8" t="str">
        <f>IF(TRIM($G1503)="","",IF(COUNTIF(LISTS!$I$2:$I$16,TRIM($G1503))&gt;0,"COUNTED",IF(COUNTIF(LISTS!$J$2:$J$16,TRIM($G1503))&gt;0,"LEFT OUT","NEW")))</f>
        <v/>
      </c>
    </row>
    <row r="1504" spans="47:47" x14ac:dyDescent="0.25">
      <c r="AU1504" s="8" t="str">
        <f>IF(TRIM($G1504)="","",IF(COUNTIF(LISTS!$I$2:$I$16,TRIM($G1504))&gt;0,"COUNTED",IF(COUNTIF(LISTS!$J$2:$J$16,TRIM($G1504))&gt;0,"LEFT OUT","NEW")))</f>
        <v/>
      </c>
    </row>
    <row r="1505" spans="47:47" x14ac:dyDescent="0.25">
      <c r="AU1505" s="8" t="str">
        <f>IF(TRIM($G1505)="","",IF(COUNTIF(LISTS!$I$2:$I$16,TRIM($G1505))&gt;0,"COUNTED",IF(COUNTIF(LISTS!$J$2:$J$16,TRIM($G1505))&gt;0,"LEFT OUT","NEW")))</f>
        <v/>
      </c>
    </row>
    <row r="1506" spans="47:47" x14ac:dyDescent="0.25">
      <c r="AU1506" s="8" t="str">
        <f>IF(TRIM($G1506)="","",IF(COUNTIF(LISTS!$I$2:$I$16,TRIM($G1506))&gt;0,"COUNTED",IF(COUNTIF(LISTS!$J$2:$J$16,TRIM($G1506))&gt;0,"LEFT OUT","NEW")))</f>
        <v/>
      </c>
    </row>
    <row r="1507" spans="47:47" x14ac:dyDescent="0.25">
      <c r="AU1507" s="8" t="str">
        <f>IF(TRIM($G1507)="","",IF(COUNTIF(LISTS!$I$2:$I$16,TRIM($G1507))&gt;0,"COUNTED",IF(COUNTIF(LISTS!$J$2:$J$16,TRIM($G1507))&gt;0,"LEFT OUT","NEW")))</f>
        <v/>
      </c>
    </row>
    <row r="1508" spans="47:47" x14ac:dyDescent="0.25">
      <c r="AU1508" s="8" t="str">
        <f>IF(TRIM($G1508)="","",IF(COUNTIF(LISTS!$I$2:$I$16,TRIM($G1508))&gt;0,"COUNTED",IF(COUNTIF(LISTS!$J$2:$J$16,TRIM($G1508))&gt;0,"LEFT OUT","NEW")))</f>
        <v/>
      </c>
    </row>
    <row r="1509" spans="47:47" x14ac:dyDescent="0.25">
      <c r="AU1509" s="8" t="str">
        <f>IF(TRIM($G1509)="","",IF(COUNTIF(LISTS!$I$2:$I$16,TRIM($G1509))&gt;0,"COUNTED",IF(COUNTIF(LISTS!$J$2:$J$16,TRIM($G1509))&gt;0,"LEFT OUT","NEW")))</f>
        <v/>
      </c>
    </row>
    <row r="1510" spans="47:47" x14ac:dyDescent="0.25">
      <c r="AU1510" s="8" t="str">
        <f>IF(TRIM($G1510)="","",IF(COUNTIF(LISTS!$I$2:$I$16,TRIM($G1510))&gt;0,"COUNTED",IF(COUNTIF(LISTS!$J$2:$J$16,TRIM($G1510))&gt;0,"LEFT OUT","NEW")))</f>
        <v/>
      </c>
    </row>
    <row r="1511" spans="47:47" x14ac:dyDescent="0.25">
      <c r="AU1511" s="8" t="str">
        <f>IF(TRIM($G1511)="","",IF(COUNTIF(LISTS!$I$2:$I$16,TRIM($G1511))&gt;0,"COUNTED",IF(COUNTIF(LISTS!$J$2:$J$16,TRIM($G1511))&gt;0,"LEFT OUT","NEW")))</f>
        <v/>
      </c>
    </row>
    <row r="1512" spans="47:47" x14ac:dyDescent="0.25">
      <c r="AU1512" s="8" t="str">
        <f>IF(TRIM($G1512)="","",IF(COUNTIF(LISTS!$I$2:$I$16,TRIM($G1512))&gt;0,"COUNTED",IF(COUNTIF(LISTS!$J$2:$J$16,TRIM($G1512))&gt;0,"LEFT OUT","NEW")))</f>
        <v/>
      </c>
    </row>
    <row r="1513" spans="47:47" x14ac:dyDescent="0.25">
      <c r="AU1513" s="8" t="str">
        <f>IF(TRIM($G1513)="","",IF(COUNTIF(LISTS!$I$2:$I$16,TRIM($G1513))&gt;0,"COUNTED",IF(COUNTIF(LISTS!$J$2:$J$16,TRIM($G1513))&gt;0,"LEFT OUT","NEW")))</f>
        <v/>
      </c>
    </row>
    <row r="1514" spans="47:47" x14ac:dyDescent="0.25">
      <c r="AU1514" s="8" t="str">
        <f>IF(TRIM($G1514)="","",IF(COUNTIF(LISTS!$I$2:$I$16,TRIM($G1514))&gt;0,"COUNTED",IF(COUNTIF(LISTS!$J$2:$J$16,TRIM($G1514))&gt;0,"LEFT OUT","NEW")))</f>
        <v/>
      </c>
    </row>
    <row r="1515" spans="47:47" x14ac:dyDescent="0.25">
      <c r="AU1515" s="8" t="str">
        <f>IF(TRIM($G1515)="","",IF(COUNTIF(LISTS!$I$2:$I$16,TRIM($G1515))&gt;0,"COUNTED",IF(COUNTIF(LISTS!$J$2:$J$16,TRIM($G1515))&gt;0,"LEFT OUT","NEW")))</f>
        <v/>
      </c>
    </row>
    <row r="1516" spans="47:47" x14ac:dyDescent="0.25">
      <c r="AU1516" s="8" t="str">
        <f>IF(TRIM($G1516)="","",IF(COUNTIF(LISTS!$I$2:$I$16,TRIM($G1516))&gt;0,"COUNTED",IF(COUNTIF(LISTS!$J$2:$J$16,TRIM($G1516))&gt;0,"LEFT OUT","NEW")))</f>
        <v/>
      </c>
    </row>
    <row r="1517" spans="47:47" x14ac:dyDescent="0.25">
      <c r="AU1517" s="8" t="str">
        <f>IF(TRIM($G1517)="","",IF(COUNTIF(LISTS!$I$2:$I$16,TRIM($G1517))&gt;0,"COUNTED",IF(COUNTIF(LISTS!$J$2:$J$16,TRIM($G1517))&gt;0,"LEFT OUT","NEW")))</f>
        <v/>
      </c>
    </row>
    <row r="1518" spans="47:47" x14ac:dyDescent="0.25">
      <c r="AU1518" s="8" t="str">
        <f>IF(TRIM($G1518)="","",IF(COUNTIF(LISTS!$I$2:$I$16,TRIM($G1518))&gt;0,"COUNTED",IF(COUNTIF(LISTS!$J$2:$J$16,TRIM($G1518))&gt;0,"LEFT OUT","NEW")))</f>
        <v/>
      </c>
    </row>
    <row r="1519" spans="47:47" x14ac:dyDescent="0.25">
      <c r="AU1519" s="8" t="str">
        <f>IF(TRIM($G1519)="","",IF(COUNTIF(LISTS!$I$2:$I$16,TRIM($G1519))&gt;0,"COUNTED",IF(COUNTIF(LISTS!$J$2:$J$16,TRIM($G1519))&gt;0,"LEFT OUT","NEW")))</f>
        <v/>
      </c>
    </row>
    <row r="1520" spans="47:47" x14ac:dyDescent="0.25">
      <c r="AU1520" s="8" t="str">
        <f>IF(TRIM($G1520)="","",IF(COUNTIF(LISTS!$I$2:$I$16,TRIM($G1520))&gt;0,"COUNTED",IF(COUNTIF(LISTS!$J$2:$J$16,TRIM($G1520))&gt;0,"LEFT OUT","NEW")))</f>
        <v/>
      </c>
    </row>
    <row r="1521" spans="47:47" x14ac:dyDescent="0.25">
      <c r="AU1521" s="8" t="str">
        <f>IF(TRIM($G1521)="","",IF(COUNTIF(LISTS!$I$2:$I$16,TRIM($G1521))&gt;0,"COUNTED",IF(COUNTIF(LISTS!$J$2:$J$16,TRIM($G1521))&gt;0,"LEFT OUT","NEW")))</f>
        <v/>
      </c>
    </row>
    <row r="1522" spans="47:47" x14ac:dyDescent="0.25">
      <c r="AU1522" s="8" t="str">
        <f>IF(TRIM($G1522)="","",IF(COUNTIF(LISTS!$I$2:$I$16,TRIM($G1522))&gt;0,"COUNTED",IF(COUNTIF(LISTS!$J$2:$J$16,TRIM($G1522))&gt;0,"LEFT OUT","NEW")))</f>
        <v/>
      </c>
    </row>
    <row r="1523" spans="47:47" x14ac:dyDescent="0.25">
      <c r="AU1523" s="8" t="str">
        <f>IF(TRIM($G1523)="","",IF(COUNTIF(LISTS!$I$2:$I$16,TRIM($G1523))&gt;0,"COUNTED",IF(COUNTIF(LISTS!$J$2:$J$16,TRIM($G1523))&gt;0,"LEFT OUT","NEW")))</f>
        <v/>
      </c>
    </row>
    <row r="1524" spans="47:47" x14ac:dyDescent="0.25">
      <c r="AU1524" s="8" t="str">
        <f>IF(TRIM($G1524)="","",IF(COUNTIF(LISTS!$I$2:$I$16,TRIM($G1524))&gt;0,"COUNTED",IF(COUNTIF(LISTS!$J$2:$J$16,TRIM($G1524))&gt;0,"LEFT OUT","NEW")))</f>
        <v/>
      </c>
    </row>
    <row r="1525" spans="47:47" x14ac:dyDescent="0.25">
      <c r="AU1525" s="8" t="str">
        <f>IF(TRIM($G1525)="","",IF(COUNTIF(LISTS!$I$2:$I$16,TRIM($G1525))&gt;0,"COUNTED",IF(COUNTIF(LISTS!$J$2:$J$16,TRIM($G1525))&gt;0,"LEFT OUT","NEW")))</f>
        <v/>
      </c>
    </row>
    <row r="1526" spans="47:47" x14ac:dyDescent="0.25">
      <c r="AU1526" s="8" t="str">
        <f>IF(TRIM($G1526)="","",IF(COUNTIF(LISTS!$I$2:$I$16,TRIM($G1526))&gt;0,"COUNTED",IF(COUNTIF(LISTS!$J$2:$J$16,TRIM($G1526))&gt;0,"LEFT OUT","NEW")))</f>
        <v/>
      </c>
    </row>
    <row r="1527" spans="47:47" x14ac:dyDescent="0.25">
      <c r="AU1527" s="8" t="str">
        <f>IF(TRIM($G1527)="","",IF(COUNTIF(LISTS!$I$2:$I$16,TRIM($G1527))&gt;0,"COUNTED",IF(COUNTIF(LISTS!$J$2:$J$16,TRIM($G1527))&gt;0,"LEFT OUT","NEW")))</f>
        <v/>
      </c>
    </row>
    <row r="1528" spans="47:47" x14ac:dyDescent="0.25">
      <c r="AU1528" s="8" t="str">
        <f>IF(TRIM($G1528)="","",IF(COUNTIF(LISTS!$I$2:$I$16,TRIM($G1528))&gt;0,"COUNTED",IF(COUNTIF(LISTS!$J$2:$J$16,TRIM($G1528))&gt;0,"LEFT OUT","NEW")))</f>
        <v/>
      </c>
    </row>
    <row r="1529" spans="47:47" x14ac:dyDescent="0.25">
      <c r="AU1529" s="8" t="str">
        <f>IF(TRIM($G1529)="","",IF(COUNTIF(LISTS!$I$2:$I$16,TRIM($G1529))&gt;0,"COUNTED",IF(COUNTIF(LISTS!$J$2:$J$16,TRIM($G1529))&gt;0,"LEFT OUT","NEW")))</f>
        <v/>
      </c>
    </row>
    <row r="1530" spans="47:47" x14ac:dyDescent="0.25">
      <c r="AU1530" s="8" t="str">
        <f>IF(TRIM($G1530)="","",IF(COUNTIF(LISTS!$I$2:$I$16,TRIM($G1530))&gt;0,"COUNTED",IF(COUNTIF(LISTS!$J$2:$J$16,TRIM($G1530))&gt;0,"LEFT OUT","NEW")))</f>
        <v/>
      </c>
    </row>
    <row r="1531" spans="47:47" x14ac:dyDescent="0.25">
      <c r="AU1531" s="8" t="str">
        <f>IF(TRIM($G1531)="","",IF(COUNTIF(LISTS!$I$2:$I$16,TRIM($G1531))&gt;0,"COUNTED",IF(COUNTIF(LISTS!$J$2:$J$16,TRIM($G1531))&gt;0,"LEFT OUT","NEW")))</f>
        <v/>
      </c>
    </row>
    <row r="1532" spans="47:47" x14ac:dyDescent="0.25">
      <c r="AU1532" s="8" t="str">
        <f>IF(TRIM($G1532)="","",IF(COUNTIF(LISTS!$I$2:$I$16,TRIM($G1532))&gt;0,"COUNTED",IF(COUNTIF(LISTS!$J$2:$J$16,TRIM($G1532))&gt;0,"LEFT OUT","NEW")))</f>
        <v/>
      </c>
    </row>
    <row r="1533" spans="47:47" x14ac:dyDescent="0.25">
      <c r="AU1533" s="8" t="str">
        <f>IF(TRIM($G1533)="","",IF(COUNTIF(LISTS!$I$2:$I$16,TRIM($G1533))&gt;0,"COUNTED",IF(COUNTIF(LISTS!$J$2:$J$16,TRIM($G1533))&gt;0,"LEFT OUT","NEW")))</f>
        <v/>
      </c>
    </row>
    <row r="1534" spans="47:47" x14ac:dyDescent="0.25">
      <c r="AU1534" s="8" t="str">
        <f>IF(TRIM($G1534)="","",IF(COUNTIF(LISTS!$I$2:$I$16,TRIM($G1534))&gt;0,"COUNTED",IF(COUNTIF(LISTS!$J$2:$J$16,TRIM($G1534))&gt;0,"LEFT OUT","NEW")))</f>
        <v/>
      </c>
    </row>
    <row r="1535" spans="47:47" x14ac:dyDescent="0.25">
      <c r="AU1535" s="8" t="str">
        <f>IF(TRIM($G1535)="","",IF(COUNTIF(LISTS!$I$2:$I$16,TRIM($G1535))&gt;0,"COUNTED",IF(COUNTIF(LISTS!$J$2:$J$16,TRIM($G1535))&gt;0,"LEFT OUT","NEW")))</f>
        <v/>
      </c>
    </row>
    <row r="1536" spans="47:47" x14ac:dyDescent="0.25">
      <c r="AU1536" s="8" t="str">
        <f>IF(TRIM($G1536)="","",IF(COUNTIF(LISTS!$I$2:$I$16,TRIM($G1536))&gt;0,"COUNTED",IF(COUNTIF(LISTS!$J$2:$J$16,TRIM($G1536))&gt;0,"LEFT OUT","NEW")))</f>
        <v/>
      </c>
    </row>
    <row r="1537" spans="47:47" x14ac:dyDescent="0.25">
      <c r="AU1537" s="8" t="str">
        <f>IF(TRIM($G1537)="","",IF(COUNTIF(LISTS!$I$2:$I$16,TRIM($G1537))&gt;0,"COUNTED",IF(COUNTIF(LISTS!$J$2:$J$16,TRIM($G1537))&gt;0,"LEFT OUT","NEW")))</f>
        <v/>
      </c>
    </row>
    <row r="1538" spans="47:47" x14ac:dyDescent="0.25">
      <c r="AU1538" s="8" t="str">
        <f>IF(TRIM($G1538)="","",IF(COUNTIF(LISTS!$I$2:$I$16,TRIM($G1538))&gt;0,"COUNTED",IF(COUNTIF(LISTS!$J$2:$J$16,TRIM($G1538))&gt;0,"LEFT OUT","NEW")))</f>
        <v/>
      </c>
    </row>
    <row r="1539" spans="47:47" x14ac:dyDescent="0.25">
      <c r="AU1539" s="8" t="str">
        <f>IF(TRIM($G1539)="","",IF(COUNTIF(LISTS!$I$2:$I$16,TRIM($G1539))&gt;0,"COUNTED",IF(COUNTIF(LISTS!$J$2:$J$16,TRIM($G1539))&gt;0,"LEFT OUT","NEW")))</f>
        <v/>
      </c>
    </row>
    <row r="1540" spans="47:47" x14ac:dyDescent="0.25">
      <c r="AU1540" s="8" t="str">
        <f>IF(TRIM($G1540)="","",IF(COUNTIF(LISTS!$I$2:$I$16,TRIM($G1540))&gt;0,"COUNTED",IF(COUNTIF(LISTS!$J$2:$J$16,TRIM($G1540))&gt;0,"LEFT OUT","NEW")))</f>
        <v/>
      </c>
    </row>
    <row r="1541" spans="47:47" x14ac:dyDescent="0.25">
      <c r="AU1541" s="8" t="str">
        <f>IF(TRIM($G1541)="","",IF(COUNTIF(LISTS!$I$2:$I$16,TRIM($G1541))&gt;0,"COUNTED",IF(COUNTIF(LISTS!$J$2:$J$16,TRIM($G1541))&gt;0,"LEFT OUT","NEW")))</f>
        <v/>
      </c>
    </row>
    <row r="1542" spans="47:47" x14ac:dyDescent="0.25">
      <c r="AU1542" s="8" t="str">
        <f>IF(TRIM($G1542)="","",IF(COUNTIF(LISTS!$I$2:$I$16,TRIM($G1542))&gt;0,"COUNTED",IF(COUNTIF(LISTS!$J$2:$J$16,TRIM($G1542))&gt;0,"LEFT OUT","NEW")))</f>
        <v/>
      </c>
    </row>
    <row r="1543" spans="47:47" x14ac:dyDescent="0.25">
      <c r="AU1543" s="8" t="str">
        <f>IF(TRIM($G1543)="","",IF(COUNTIF(LISTS!$I$2:$I$16,TRIM($G1543))&gt;0,"COUNTED",IF(COUNTIF(LISTS!$J$2:$J$16,TRIM($G1543))&gt;0,"LEFT OUT","NEW")))</f>
        <v/>
      </c>
    </row>
    <row r="1544" spans="47:47" x14ac:dyDescent="0.25">
      <c r="AU1544" s="8" t="str">
        <f>IF(TRIM($G1544)="","",IF(COUNTIF(LISTS!$I$2:$I$16,TRIM($G1544))&gt;0,"COUNTED",IF(COUNTIF(LISTS!$J$2:$J$16,TRIM($G1544))&gt;0,"LEFT OUT","NEW")))</f>
        <v/>
      </c>
    </row>
    <row r="1545" spans="47:47" x14ac:dyDescent="0.25">
      <c r="AU1545" s="8" t="str">
        <f>IF(TRIM($G1545)="","",IF(COUNTIF(LISTS!$I$2:$I$16,TRIM($G1545))&gt;0,"COUNTED",IF(COUNTIF(LISTS!$J$2:$J$16,TRIM($G1545))&gt;0,"LEFT OUT","NEW")))</f>
        <v/>
      </c>
    </row>
    <row r="1546" spans="47:47" x14ac:dyDescent="0.25">
      <c r="AU1546" s="8" t="str">
        <f>IF(TRIM($G1546)="","",IF(COUNTIF(LISTS!$I$2:$I$16,TRIM($G1546))&gt;0,"COUNTED",IF(COUNTIF(LISTS!$J$2:$J$16,TRIM($G1546))&gt;0,"LEFT OUT","NEW")))</f>
        <v/>
      </c>
    </row>
    <row r="1547" spans="47:47" x14ac:dyDescent="0.25">
      <c r="AU1547" s="8" t="str">
        <f>IF(TRIM($G1547)="","",IF(COUNTIF(LISTS!$I$2:$I$16,TRIM($G1547))&gt;0,"COUNTED",IF(COUNTIF(LISTS!$J$2:$J$16,TRIM($G1547))&gt;0,"LEFT OUT","NEW")))</f>
        <v/>
      </c>
    </row>
    <row r="1548" spans="47:47" x14ac:dyDescent="0.25">
      <c r="AU1548" s="8" t="str">
        <f>IF(TRIM($G1548)="","",IF(COUNTIF(LISTS!$I$2:$I$16,TRIM($G1548))&gt;0,"COUNTED",IF(COUNTIF(LISTS!$J$2:$J$16,TRIM($G1548))&gt;0,"LEFT OUT","NEW")))</f>
        <v/>
      </c>
    </row>
    <row r="1549" spans="47:47" x14ac:dyDescent="0.25">
      <c r="AU1549" s="8" t="str">
        <f>IF(TRIM($G1549)="","",IF(COUNTIF(LISTS!$I$2:$I$16,TRIM($G1549))&gt;0,"COUNTED",IF(COUNTIF(LISTS!$J$2:$J$16,TRIM($G1549))&gt;0,"LEFT OUT","NEW")))</f>
        <v/>
      </c>
    </row>
    <row r="1550" spans="47:47" x14ac:dyDescent="0.25">
      <c r="AU1550" s="8" t="str">
        <f>IF(TRIM($G1550)="","",IF(COUNTIF(LISTS!$I$2:$I$16,TRIM($G1550))&gt;0,"COUNTED",IF(COUNTIF(LISTS!$J$2:$J$16,TRIM($G1550))&gt;0,"LEFT OUT","NEW")))</f>
        <v/>
      </c>
    </row>
    <row r="1551" spans="47:47" x14ac:dyDescent="0.25">
      <c r="AU1551" s="8" t="str">
        <f>IF(TRIM($G1551)="","",IF(COUNTIF(LISTS!$I$2:$I$16,TRIM($G1551))&gt;0,"COUNTED",IF(COUNTIF(LISTS!$J$2:$J$16,TRIM($G1551))&gt;0,"LEFT OUT","NEW")))</f>
        <v/>
      </c>
    </row>
    <row r="1552" spans="47:47" x14ac:dyDescent="0.25">
      <c r="AU1552" s="8" t="str">
        <f>IF(TRIM($G1552)="","",IF(COUNTIF(LISTS!$I$2:$I$16,TRIM($G1552))&gt;0,"COUNTED",IF(COUNTIF(LISTS!$J$2:$J$16,TRIM($G1552))&gt;0,"LEFT OUT","NEW")))</f>
        <v/>
      </c>
    </row>
    <row r="1553" spans="47:47" x14ac:dyDescent="0.25">
      <c r="AU1553" s="8" t="str">
        <f>IF(TRIM($G1553)="","",IF(COUNTIF(LISTS!$I$2:$I$16,TRIM($G1553))&gt;0,"COUNTED",IF(COUNTIF(LISTS!$J$2:$J$16,TRIM($G1553))&gt;0,"LEFT OUT","NEW")))</f>
        <v/>
      </c>
    </row>
    <row r="1554" spans="47:47" x14ac:dyDescent="0.25">
      <c r="AU1554" s="8" t="str">
        <f>IF(TRIM($G1554)="","",IF(COUNTIF(LISTS!$I$2:$I$16,TRIM($G1554))&gt;0,"COUNTED",IF(COUNTIF(LISTS!$J$2:$J$16,TRIM($G1554))&gt;0,"LEFT OUT","NEW")))</f>
        <v/>
      </c>
    </row>
    <row r="1555" spans="47:47" x14ac:dyDescent="0.25">
      <c r="AU1555" s="8" t="str">
        <f>IF(TRIM($G1555)="","",IF(COUNTIF(LISTS!$I$2:$I$16,TRIM($G1555))&gt;0,"COUNTED",IF(COUNTIF(LISTS!$J$2:$J$16,TRIM($G1555))&gt;0,"LEFT OUT","NEW")))</f>
        <v/>
      </c>
    </row>
    <row r="1556" spans="47:47" x14ac:dyDescent="0.25">
      <c r="AU1556" s="8" t="str">
        <f>IF(TRIM($G1556)="","",IF(COUNTIF(LISTS!$I$2:$I$16,TRIM($G1556))&gt;0,"COUNTED",IF(COUNTIF(LISTS!$J$2:$J$16,TRIM($G1556))&gt;0,"LEFT OUT","NEW")))</f>
        <v/>
      </c>
    </row>
    <row r="1557" spans="47:47" x14ac:dyDescent="0.25">
      <c r="AU1557" s="8" t="str">
        <f>IF(TRIM($G1557)="","",IF(COUNTIF(LISTS!$I$2:$I$16,TRIM($G1557))&gt;0,"COUNTED",IF(COUNTIF(LISTS!$J$2:$J$16,TRIM($G1557))&gt;0,"LEFT OUT","NEW")))</f>
        <v/>
      </c>
    </row>
    <row r="1558" spans="47:47" x14ac:dyDescent="0.25">
      <c r="AU1558" s="8" t="str">
        <f>IF(TRIM($G1558)="","",IF(COUNTIF(LISTS!$I$2:$I$16,TRIM($G1558))&gt;0,"COUNTED",IF(COUNTIF(LISTS!$J$2:$J$16,TRIM($G1558))&gt;0,"LEFT OUT","NEW")))</f>
        <v/>
      </c>
    </row>
    <row r="1559" spans="47:47" x14ac:dyDescent="0.25">
      <c r="AU1559" s="8" t="str">
        <f>IF(TRIM($G1559)="","",IF(COUNTIF(LISTS!$I$2:$I$16,TRIM($G1559))&gt;0,"COUNTED",IF(COUNTIF(LISTS!$J$2:$J$16,TRIM($G1559))&gt;0,"LEFT OUT","NEW")))</f>
        <v/>
      </c>
    </row>
    <row r="1560" spans="47:47" x14ac:dyDescent="0.25">
      <c r="AU1560" s="8" t="str">
        <f>IF(TRIM($G1560)="","",IF(COUNTIF(LISTS!$I$2:$I$16,TRIM($G1560))&gt;0,"COUNTED",IF(COUNTIF(LISTS!$J$2:$J$16,TRIM($G1560))&gt;0,"LEFT OUT","NEW")))</f>
        <v/>
      </c>
    </row>
    <row r="1561" spans="47:47" x14ac:dyDescent="0.25">
      <c r="AU1561" s="8" t="str">
        <f>IF(TRIM($G1561)="","",IF(COUNTIF(LISTS!$I$2:$I$16,TRIM($G1561))&gt;0,"COUNTED",IF(COUNTIF(LISTS!$J$2:$J$16,TRIM($G1561))&gt;0,"LEFT OUT","NEW")))</f>
        <v/>
      </c>
    </row>
    <row r="1562" spans="47:47" x14ac:dyDescent="0.25">
      <c r="AU1562" s="8" t="str">
        <f>IF(TRIM($G1562)="","",IF(COUNTIF(LISTS!$I$2:$I$16,TRIM($G1562))&gt;0,"COUNTED",IF(COUNTIF(LISTS!$J$2:$J$16,TRIM($G1562))&gt;0,"LEFT OUT","NEW")))</f>
        <v/>
      </c>
    </row>
    <row r="1563" spans="47:47" x14ac:dyDescent="0.25">
      <c r="AU1563" s="8" t="str">
        <f>IF(TRIM($G1563)="","",IF(COUNTIF(LISTS!$I$2:$I$16,TRIM($G1563))&gt;0,"COUNTED",IF(COUNTIF(LISTS!$J$2:$J$16,TRIM($G1563))&gt;0,"LEFT OUT","NEW")))</f>
        <v/>
      </c>
    </row>
    <row r="1564" spans="47:47" x14ac:dyDescent="0.25">
      <c r="AU1564" s="8" t="str">
        <f>IF(TRIM($G1564)="","",IF(COUNTIF(LISTS!$I$2:$I$16,TRIM($G1564))&gt;0,"COUNTED",IF(COUNTIF(LISTS!$J$2:$J$16,TRIM($G1564))&gt;0,"LEFT OUT","NEW")))</f>
        <v/>
      </c>
    </row>
    <row r="1565" spans="47:47" x14ac:dyDescent="0.25">
      <c r="AU1565" s="8" t="str">
        <f>IF(TRIM($G1565)="","",IF(COUNTIF(LISTS!$I$2:$I$16,TRIM($G1565))&gt;0,"COUNTED",IF(COUNTIF(LISTS!$J$2:$J$16,TRIM($G1565))&gt;0,"LEFT OUT","NEW")))</f>
        <v/>
      </c>
    </row>
    <row r="1566" spans="47:47" x14ac:dyDescent="0.25">
      <c r="AU1566" s="8" t="str">
        <f>IF(TRIM($G1566)="","",IF(COUNTIF(LISTS!$I$2:$I$16,TRIM($G1566))&gt;0,"COUNTED",IF(COUNTIF(LISTS!$J$2:$J$16,TRIM($G1566))&gt;0,"LEFT OUT","NEW")))</f>
        <v/>
      </c>
    </row>
    <row r="1567" spans="47:47" x14ac:dyDescent="0.25">
      <c r="AU1567" s="8" t="str">
        <f>IF(TRIM($G1567)="","",IF(COUNTIF(LISTS!$I$2:$I$16,TRIM($G1567))&gt;0,"COUNTED",IF(COUNTIF(LISTS!$J$2:$J$16,TRIM($G1567))&gt;0,"LEFT OUT","NEW")))</f>
        <v/>
      </c>
    </row>
    <row r="1568" spans="47:47" x14ac:dyDescent="0.25">
      <c r="AU1568" s="8" t="str">
        <f>IF(TRIM($G1568)="","",IF(COUNTIF(LISTS!$I$2:$I$16,TRIM($G1568))&gt;0,"COUNTED",IF(COUNTIF(LISTS!$J$2:$J$16,TRIM($G1568))&gt;0,"LEFT OUT","NEW")))</f>
        <v/>
      </c>
    </row>
    <row r="1569" spans="47:47" x14ac:dyDescent="0.25">
      <c r="AU1569" s="8" t="str">
        <f>IF(TRIM($G1569)="","",IF(COUNTIF(LISTS!$I$2:$I$16,TRIM($G1569))&gt;0,"COUNTED",IF(COUNTIF(LISTS!$J$2:$J$16,TRIM($G1569))&gt;0,"LEFT OUT","NEW")))</f>
        <v/>
      </c>
    </row>
    <row r="1570" spans="47:47" x14ac:dyDescent="0.25">
      <c r="AU1570" s="8" t="str">
        <f>IF(TRIM($G1570)="","",IF(COUNTIF(LISTS!$I$2:$I$16,TRIM($G1570))&gt;0,"COUNTED",IF(COUNTIF(LISTS!$J$2:$J$16,TRIM($G1570))&gt;0,"LEFT OUT","NEW")))</f>
        <v/>
      </c>
    </row>
    <row r="1571" spans="47:47" x14ac:dyDescent="0.25">
      <c r="AU1571" s="8" t="str">
        <f>IF(TRIM($G1571)="","",IF(COUNTIF(LISTS!$I$2:$I$16,TRIM($G1571))&gt;0,"COUNTED",IF(COUNTIF(LISTS!$J$2:$J$16,TRIM($G1571))&gt;0,"LEFT OUT","NEW")))</f>
        <v/>
      </c>
    </row>
    <row r="1572" spans="47:47" x14ac:dyDescent="0.25">
      <c r="AU1572" s="8" t="str">
        <f>IF(TRIM($G1572)="","",IF(COUNTIF(LISTS!$I$2:$I$16,TRIM($G1572))&gt;0,"COUNTED",IF(COUNTIF(LISTS!$J$2:$J$16,TRIM($G1572))&gt;0,"LEFT OUT","NEW")))</f>
        <v/>
      </c>
    </row>
    <row r="1573" spans="47:47" x14ac:dyDescent="0.25">
      <c r="AU1573" s="8" t="str">
        <f>IF(TRIM($G1573)="","",IF(COUNTIF(LISTS!$I$2:$I$16,TRIM($G1573))&gt;0,"COUNTED",IF(COUNTIF(LISTS!$J$2:$J$16,TRIM($G1573))&gt;0,"LEFT OUT","NEW")))</f>
        <v/>
      </c>
    </row>
    <row r="1574" spans="47:47" x14ac:dyDescent="0.25">
      <c r="AU1574" s="8" t="str">
        <f>IF(TRIM($G1574)="","",IF(COUNTIF(LISTS!$I$2:$I$16,TRIM($G1574))&gt;0,"COUNTED",IF(COUNTIF(LISTS!$J$2:$J$16,TRIM($G1574))&gt;0,"LEFT OUT","NEW")))</f>
        <v/>
      </c>
    </row>
    <row r="1575" spans="47:47" x14ac:dyDescent="0.25">
      <c r="AU1575" s="8" t="str">
        <f>IF(TRIM($G1575)="","",IF(COUNTIF(LISTS!$I$2:$I$16,TRIM($G1575))&gt;0,"COUNTED",IF(COUNTIF(LISTS!$J$2:$J$16,TRIM($G1575))&gt;0,"LEFT OUT","NEW")))</f>
        <v/>
      </c>
    </row>
    <row r="1576" spans="47:47" x14ac:dyDescent="0.25">
      <c r="AU1576" s="8" t="str">
        <f>IF(TRIM($G1576)="","",IF(COUNTIF(LISTS!$I$2:$I$16,TRIM($G1576))&gt;0,"COUNTED",IF(COUNTIF(LISTS!$J$2:$J$16,TRIM($G1576))&gt;0,"LEFT OUT","NEW")))</f>
        <v/>
      </c>
    </row>
    <row r="1577" spans="47:47" x14ac:dyDescent="0.25">
      <c r="AU1577" s="8" t="str">
        <f>IF(TRIM($G1577)="","",IF(COUNTIF(LISTS!$I$2:$I$16,TRIM($G1577))&gt;0,"COUNTED",IF(COUNTIF(LISTS!$J$2:$J$16,TRIM($G1577))&gt;0,"LEFT OUT","NEW")))</f>
        <v/>
      </c>
    </row>
    <row r="1578" spans="47:47" x14ac:dyDescent="0.25">
      <c r="AU1578" s="8" t="str">
        <f>IF(TRIM($G1578)="","",IF(COUNTIF(LISTS!$I$2:$I$16,TRIM($G1578))&gt;0,"COUNTED",IF(COUNTIF(LISTS!$J$2:$J$16,TRIM($G1578))&gt;0,"LEFT OUT","NEW")))</f>
        <v/>
      </c>
    </row>
    <row r="1579" spans="47:47" x14ac:dyDescent="0.25">
      <c r="AU1579" s="8" t="str">
        <f>IF(TRIM($G1579)="","",IF(COUNTIF(LISTS!$I$2:$I$16,TRIM($G1579))&gt;0,"COUNTED",IF(COUNTIF(LISTS!$J$2:$J$16,TRIM($G1579))&gt;0,"LEFT OUT","NEW")))</f>
        <v/>
      </c>
    </row>
    <row r="1580" spans="47:47" x14ac:dyDescent="0.25">
      <c r="AU1580" s="8" t="str">
        <f>IF(TRIM($G1580)="","",IF(COUNTIF(LISTS!$I$2:$I$16,TRIM($G1580))&gt;0,"COUNTED",IF(COUNTIF(LISTS!$J$2:$J$16,TRIM($G1580))&gt;0,"LEFT OUT","NEW")))</f>
        <v/>
      </c>
    </row>
    <row r="1581" spans="47:47" x14ac:dyDescent="0.25">
      <c r="AU1581" s="8" t="str">
        <f>IF(TRIM($G1581)="","",IF(COUNTIF(LISTS!$I$2:$I$16,TRIM($G1581))&gt;0,"COUNTED",IF(COUNTIF(LISTS!$J$2:$J$16,TRIM($G1581))&gt;0,"LEFT OUT","NEW")))</f>
        <v/>
      </c>
    </row>
    <row r="1582" spans="47:47" x14ac:dyDescent="0.25">
      <c r="AU1582" s="8" t="str">
        <f>IF(TRIM($G1582)="","",IF(COUNTIF(LISTS!$I$2:$I$16,TRIM($G1582))&gt;0,"COUNTED",IF(COUNTIF(LISTS!$J$2:$J$16,TRIM($G1582))&gt;0,"LEFT OUT","NEW")))</f>
        <v/>
      </c>
    </row>
    <row r="1583" spans="47:47" x14ac:dyDescent="0.25">
      <c r="AU1583" s="8" t="str">
        <f>IF(TRIM($G1583)="","",IF(COUNTIF(LISTS!$I$2:$I$16,TRIM($G1583))&gt;0,"COUNTED",IF(COUNTIF(LISTS!$J$2:$J$16,TRIM($G1583))&gt;0,"LEFT OUT","NEW")))</f>
        <v/>
      </c>
    </row>
    <row r="1584" spans="47:47" x14ac:dyDescent="0.25">
      <c r="AU1584" s="8" t="str">
        <f>IF(TRIM($G1584)="","",IF(COUNTIF(LISTS!$I$2:$I$16,TRIM($G1584))&gt;0,"COUNTED",IF(COUNTIF(LISTS!$J$2:$J$16,TRIM($G1584))&gt;0,"LEFT OUT","NEW")))</f>
        <v/>
      </c>
    </row>
    <row r="1585" spans="47:47" x14ac:dyDescent="0.25">
      <c r="AU1585" s="8" t="str">
        <f>IF(TRIM($G1585)="","",IF(COUNTIF(LISTS!$I$2:$I$16,TRIM($G1585))&gt;0,"COUNTED",IF(COUNTIF(LISTS!$J$2:$J$16,TRIM($G1585))&gt;0,"LEFT OUT","NEW")))</f>
        <v/>
      </c>
    </row>
    <row r="1586" spans="47:47" x14ac:dyDescent="0.25">
      <c r="AU1586" s="8" t="str">
        <f>IF(TRIM($G1586)="","",IF(COUNTIF(LISTS!$I$2:$I$16,TRIM($G1586))&gt;0,"COUNTED",IF(COUNTIF(LISTS!$J$2:$J$16,TRIM($G1586))&gt;0,"LEFT OUT","NEW")))</f>
        <v/>
      </c>
    </row>
    <row r="1587" spans="47:47" x14ac:dyDescent="0.25">
      <c r="AU1587" s="8" t="str">
        <f>IF(TRIM($G1587)="","",IF(COUNTIF(LISTS!$I$2:$I$16,TRIM($G1587))&gt;0,"COUNTED",IF(COUNTIF(LISTS!$J$2:$J$16,TRIM($G1587))&gt;0,"LEFT OUT","NEW")))</f>
        <v/>
      </c>
    </row>
    <row r="1588" spans="47:47" x14ac:dyDescent="0.25">
      <c r="AU1588" s="8" t="str">
        <f>IF(TRIM($G1588)="","",IF(COUNTIF(LISTS!$I$2:$I$16,TRIM($G1588))&gt;0,"COUNTED",IF(COUNTIF(LISTS!$J$2:$J$16,TRIM($G1588))&gt;0,"LEFT OUT","NEW")))</f>
        <v/>
      </c>
    </row>
    <row r="1589" spans="47:47" x14ac:dyDescent="0.25">
      <c r="AU1589" s="8" t="str">
        <f>IF(TRIM($G1589)="","",IF(COUNTIF(LISTS!$I$2:$I$16,TRIM($G1589))&gt;0,"COUNTED",IF(COUNTIF(LISTS!$J$2:$J$16,TRIM($G1589))&gt;0,"LEFT OUT","NEW")))</f>
        <v/>
      </c>
    </row>
    <row r="1590" spans="47:47" x14ac:dyDescent="0.25">
      <c r="AU1590" s="8" t="str">
        <f>IF(TRIM($G1590)="","",IF(COUNTIF(LISTS!$I$2:$I$16,TRIM($G1590))&gt;0,"COUNTED",IF(COUNTIF(LISTS!$J$2:$J$16,TRIM($G1590))&gt;0,"LEFT OUT","NEW")))</f>
        <v/>
      </c>
    </row>
    <row r="1591" spans="47:47" x14ac:dyDescent="0.25">
      <c r="AU1591" s="8" t="str">
        <f>IF(TRIM($G1591)="","",IF(COUNTIF(LISTS!$I$2:$I$16,TRIM($G1591))&gt;0,"COUNTED",IF(COUNTIF(LISTS!$J$2:$J$16,TRIM($G1591))&gt;0,"LEFT OUT","NEW")))</f>
        <v/>
      </c>
    </row>
    <row r="1592" spans="47:47" x14ac:dyDescent="0.25">
      <c r="AU1592" s="8" t="str">
        <f>IF(TRIM($G1592)="","",IF(COUNTIF(LISTS!$I$2:$I$16,TRIM($G1592))&gt;0,"COUNTED",IF(COUNTIF(LISTS!$J$2:$J$16,TRIM($G1592))&gt;0,"LEFT OUT","NEW")))</f>
        <v/>
      </c>
    </row>
    <row r="1593" spans="47:47" x14ac:dyDescent="0.25">
      <c r="AU1593" s="8" t="str">
        <f>IF(TRIM($G1593)="","",IF(COUNTIF(LISTS!$I$2:$I$16,TRIM($G1593))&gt;0,"COUNTED",IF(COUNTIF(LISTS!$J$2:$J$16,TRIM($G1593))&gt;0,"LEFT OUT","NEW")))</f>
        <v/>
      </c>
    </row>
    <row r="1594" spans="47:47" x14ac:dyDescent="0.25">
      <c r="AU1594" s="8" t="str">
        <f>IF(TRIM($G1594)="","",IF(COUNTIF(LISTS!$I$2:$I$16,TRIM($G1594))&gt;0,"COUNTED",IF(COUNTIF(LISTS!$J$2:$J$16,TRIM($G1594))&gt;0,"LEFT OUT","NEW")))</f>
        <v/>
      </c>
    </row>
    <row r="1595" spans="47:47" x14ac:dyDescent="0.25">
      <c r="AU1595" s="8" t="str">
        <f>IF(TRIM($G1595)="","",IF(COUNTIF(LISTS!$I$2:$I$16,TRIM($G1595))&gt;0,"COUNTED",IF(COUNTIF(LISTS!$J$2:$J$16,TRIM($G1595))&gt;0,"LEFT OUT","NEW")))</f>
        <v/>
      </c>
    </row>
    <row r="1596" spans="47:47" x14ac:dyDescent="0.25">
      <c r="AU1596" s="8" t="str">
        <f>IF(TRIM($G1596)="","",IF(COUNTIF(LISTS!$I$2:$I$16,TRIM($G1596))&gt;0,"COUNTED",IF(COUNTIF(LISTS!$J$2:$J$16,TRIM($G1596))&gt;0,"LEFT OUT","NEW")))</f>
        <v/>
      </c>
    </row>
    <row r="1597" spans="47:47" x14ac:dyDescent="0.25">
      <c r="AU1597" s="8" t="str">
        <f>IF(TRIM($G1597)="","",IF(COUNTIF(LISTS!$I$2:$I$16,TRIM($G1597))&gt;0,"COUNTED",IF(COUNTIF(LISTS!$J$2:$J$16,TRIM($G1597))&gt;0,"LEFT OUT","NEW")))</f>
        <v/>
      </c>
    </row>
    <row r="1598" spans="47:47" x14ac:dyDescent="0.25">
      <c r="AU1598" s="8" t="str">
        <f>IF(TRIM($G1598)="","",IF(COUNTIF(LISTS!$I$2:$I$16,TRIM($G1598))&gt;0,"COUNTED",IF(COUNTIF(LISTS!$J$2:$J$16,TRIM($G1598))&gt;0,"LEFT OUT","NEW")))</f>
        <v/>
      </c>
    </row>
    <row r="1599" spans="47:47" x14ac:dyDescent="0.25">
      <c r="AU1599" s="8" t="str">
        <f>IF(TRIM($G1599)="","",IF(COUNTIF(LISTS!$I$2:$I$16,TRIM($G1599))&gt;0,"COUNTED",IF(COUNTIF(LISTS!$J$2:$J$16,TRIM($G1599))&gt;0,"LEFT OUT","NEW")))</f>
        <v/>
      </c>
    </row>
    <row r="1600" spans="47:47" x14ac:dyDescent="0.25">
      <c r="AU1600" s="8" t="str">
        <f>IF(TRIM($G1600)="","",IF(COUNTIF(LISTS!$I$2:$I$16,TRIM($G1600))&gt;0,"COUNTED",IF(COUNTIF(LISTS!$J$2:$J$16,TRIM($G1600))&gt;0,"LEFT OUT","NEW")))</f>
        <v/>
      </c>
    </row>
    <row r="1601" spans="47:47" x14ac:dyDescent="0.25">
      <c r="AU1601" s="8" t="str">
        <f>IF(TRIM($G1601)="","",IF(COUNTIF(LISTS!$I$2:$I$16,TRIM($G1601))&gt;0,"COUNTED",IF(COUNTIF(LISTS!$J$2:$J$16,TRIM($G1601))&gt;0,"LEFT OUT","NEW")))</f>
        <v/>
      </c>
    </row>
    <row r="1602" spans="47:47" x14ac:dyDescent="0.25">
      <c r="AU1602" s="8" t="str">
        <f>IF(TRIM($G1602)="","",IF(COUNTIF(LISTS!$I$2:$I$16,TRIM($G1602))&gt;0,"COUNTED",IF(COUNTIF(LISTS!$J$2:$J$16,TRIM($G1602))&gt;0,"LEFT OUT","NEW")))</f>
        <v/>
      </c>
    </row>
    <row r="1603" spans="47:47" x14ac:dyDescent="0.25">
      <c r="AU1603" s="8" t="str">
        <f>IF(TRIM($G1603)="","",IF(COUNTIF(LISTS!$I$2:$I$16,TRIM($G1603))&gt;0,"COUNTED",IF(COUNTIF(LISTS!$J$2:$J$16,TRIM($G1603))&gt;0,"LEFT OUT","NEW")))</f>
        <v/>
      </c>
    </row>
    <row r="1604" spans="47:47" x14ac:dyDescent="0.25">
      <c r="AU1604" s="8" t="str">
        <f>IF(TRIM($G1604)="","",IF(COUNTIF(LISTS!$I$2:$I$16,TRIM($G1604))&gt;0,"COUNTED",IF(COUNTIF(LISTS!$J$2:$J$16,TRIM($G1604))&gt;0,"LEFT OUT","NEW")))</f>
        <v/>
      </c>
    </row>
    <row r="1605" spans="47:47" x14ac:dyDescent="0.25">
      <c r="AU1605" s="8" t="str">
        <f>IF(TRIM($G1605)="","",IF(COUNTIF(LISTS!$I$2:$I$16,TRIM($G1605))&gt;0,"COUNTED",IF(COUNTIF(LISTS!$J$2:$J$16,TRIM($G1605))&gt;0,"LEFT OUT","NEW")))</f>
        <v/>
      </c>
    </row>
    <row r="1606" spans="47:47" x14ac:dyDescent="0.25">
      <c r="AU1606" s="8" t="str">
        <f>IF(TRIM($G1606)="","",IF(COUNTIF(LISTS!$I$2:$I$16,TRIM($G1606))&gt;0,"COUNTED",IF(COUNTIF(LISTS!$J$2:$J$16,TRIM($G1606))&gt;0,"LEFT OUT","NEW")))</f>
        <v/>
      </c>
    </row>
    <row r="1607" spans="47:47" x14ac:dyDescent="0.25">
      <c r="AU1607" s="8" t="str">
        <f>IF(TRIM($G1607)="","",IF(COUNTIF(LISTS!$I$2:$I$16,TRIM($G1607))&gt;0,"COUNTED",IF(COUNTIF(LISTS!$J$2:$J$16,TRIM($G1607))&gt;0,"LEFT OUT","NEW")))</f>
        <v/>
      </c>
    </row>
    <row r="1608" spans="47:47" x14ac:dyDescent="0.25">
      <c r="AU1608" s="8" t="str">
        <f>IF(TRIM($G1608)="","",IF(COUNTIF(LISTS!$I$2:$I$16,TRIM($G1608))&gt;0,"COUNTED",IF(COUNTIF(LISTS!$J$2:$J$16,TRIM($G1608))&gt;0,"LEFT OUT","NEW")))</f>
        <v/>
      </c>
    </row>
    <row r="1609" spans="47:47" x14ac:dyDescent="0.25">
      <c r="AU1609" s="8" t="str">
        <f>IF(TRIM($G1609)="","",IF(COUNTIF(LISTS!$I$2:$I$16,TRIM($G1609))&gt;0,"COUNTED",IF(COUNTIF(LISTS!$J$2:$J$16,TRIM($G1609))&gt;0,"LEFT OUT","NEW")))</f>
        <v/>
      </c>
    </row>
    <row r="1610" spans="47:47" x14ac:dyDescent="0.25">
      <c r="AU1610" s="8" t="str">
        <f>IF(TRIM($G1610)="","",IF(COUNTIF(LISTS!$I$2:$I$16,TRIM($G1610))&gt;0,"COUNTED",IF(COUNTIF(LISTS!$J$2:$J$16,TRIM($G1610))&gt;0,"LEFT OUT","NEW")))</f>
        <v/>
      </c>
    </row>
    <row r="1611" spans="47:47" x14ac:dyDescent="0.25">
      <c r="AU1611" s="8" t="str">
        <f>IF(TRIM($G1611)="","",IF(COUNTIF(LISTS!$I$2:$I$16,TRIM($G1611))&gt;0,"COUNTED",IF(COUNTIF(LISTS!$J$2:$J$16,TRIM($G1611))&gt;0,"LEFT OUT","NEW")))</f>
        <v/>
      </c>
    </row>
    <row r="1612" spans="47:47" x14ac:dyDescent="0.25">
      <c r="AU1612" s="8" t="str">
        <f>IF(TRIM($G1612)="","",IF(COUNTIF(LISTS!$I$2:$I$16,TRIM($G1612))&gt;0,"COUNTED",IF(COUNTIF(LISTS!$J$2:$J$16,TRIM($G1612))&gt;0,"LEFT OUT","NEW")))</f>
        <v/>
      </c>
    </row>
    <row r="1613" spans="47:47" x14ac:dyDescent="0.25">
      <c r="AU1613" s="8" t="str">
        <f>IF(TRIM($G1613)="","",IF(COUNTIF(LISTS!$I$2:$I$16,TRIM($G1613))&gt;0,"COUNTED",IF(COUNTIF(LISTS!$J$2:$J$16,TRIM($G1613))&gt;0,"LEFT OUT","NEW")))</f>
        <v/>
      </c>
    </row>
    <row r="1614" spans="47:47" x14ac:dyDescent="0.25">
      <c r="AU1614" s="8" t="str">
        <f>IF(TRIM($G1614)="","",IF(COUNTIF(LISTS!$I$2:$I$16,TRIM($G1614))&gt;0,"COUNTED",IF(COUNTIF(LISTS!$J$2:$J$16,TRIM($G1614))&gt;0,"LEFT OUT","NEW")))</f>
        <v/>
      </c>
    </row>
    <row r="1615" spans="47:47" x14ac:dyDescent="0.25">
      <c r="AU1615" s="8" t="str">
        <f>IF(TRIM($G1615)="","",IF(COUNTIF(LISTS!$I$2:$I$16,TRIM($G1615))&gt;0,"COUNTED",IF(COUNTIF(LISTS!$J$2:$J$16,TRIM($G1615))&gt;0,"LEFT OUT","NEW")))</f>
        <v/>
      </c>
    </row>
    <row r="1616" spans="47:47" x14ac:dyDescent="0.25">
      <c r="AU1616" s="8" t="str">
        <f>IF(TRIM($G1616)="","",IF(COUNTIF(LISTS!$I$2:$I$16,TRIM($G1616))&gt;0,"COUNTED",IF(COUNTIF(LISTS!$J$2:$J$16,TRIM($G1616))&gt;0,"LEFT OUT","NEW")))</f>
        <v/>
      </c>
    </row>
    <row r="1617" spans="47:47" x14ac:dyDescent="0.25">
      <c r="AU1617" s="8" t="str">
        <f>IF(TRIM($G1617)="","",IF(COUNTIF(LISTS!$I$2:$I$16,TRIM($G1617))&gt;0,"COUNTED",IF(COUNTIF(LISTS!$J$2:$J$16,TRIM($G1617))&gt;0,"LEFT OUT","NEW")))</f>
        <v/>
      </c>
    </row>
    <row r="1618" spans="47:47" x14ac:dyDescent="0.25">
      <c r="AU1618" s="8" t="str">
        <f>IF(TRIM($G1618)="","",IF(COUNTIF(LISTS!$I$2:$I$16,TRIM($G1618))&gt;0,"COUNTED",IF(COUNTIF(LISTS!$J$2:$J$16,TRIM($G1618))&gt;0,"LEFT OUT","NEW")))</f>
        <v/>
      </c>
    </row>
    <row r="1619" spans="47:47" x14ac:dyDescent="0.25">
      <c r="AU1619" s="8" t="str">
        <f>IF(TRIM($G1619)="","",IF(COUNTIF(LISTS!$I$2:$I$16,TRIM($G1619))&gt;0,"COUNTED",IF(COUNTIF(LISTS!$J$2:$J$16,TRIM($G1619))&gt;0,"LEFT OUT","NEW")))</f>
        <v/>
      </c>
    </row>
    <row r="1620" spans="47:47" x14ac:dyDescent="0.25">
      <c r="AU1620" s="8" t="str">
        <f>IF(TRIM($G1620)="","",IF(COUNTIF(LISTS!$I$2:$I$16,TRIM($G1620))&gt;0,"COUNTED",IF(COUNTIF(LISTS!$J$2:$J$16,TRIM($G1620))&gt;0,"LEFT OUT","NEW")))</f>
        <v/>
      </c>
    </row>
    <row r="1621" spans="47:47" x14ac:dyDescent="0.25">
      <c r="AU1621" s="8" t="str">
        <f>IF(TRIM($G1621)="","",IF(COUNTIF(LISTS!$I$2:$I$16,TRIM($G1621))&gt;0,"COUNTED",IF(COUNTIF(LISTS!$J$2:$J$16,TRIM($G1621))&gt;0,"LEFT OUT","NEW")))</f>
        <v/>
      </c>
    </row>
    <row r="1622" spans="47:47" x14ac:dyDescent="0.25">
      <c r="AU1622" s="8" t="str">
        <f>IF(TRIM($G1622)="","",IF(COUNTIF(LISTS!$I$2:$I$16,TRIM($G1622))&gt;0,"COUNTED",IF(COUNTIF(LISTS!$J$2:$J$16,TRIM($G1622))&gt;0,"LEFT OUT","NEW")))</f>
        <v/>
      </c>
    </row>
    <row r="1623" spans="47:47" x14ac:dyDescent="0.25">
      <c r="AU1623" s="8" t="str">
        <f>IF(TRIM($G1623)="","",IF(COUNTIF(LISTS!$I$2:$I$16,TRIM($G1623))&gt;0,"COUNTED",IF(COUNTIF(LISTS!$J$2:$J$16,TRIM($G1623))&gt;0,"LEFT OUT","NEW")))</f>
        <v/>
      </c>
    </row>
    <row r="1624" spans="47:47" x14ac:dyDescent="0.25">
      <c r="AU1624" s="8" t="str">
        <f>IF(TRIM($G1624)="","",IF(COUNTIF(LISTS!$I$2:$I$16,TRIM($G1624))&gt;0,"COUNTED",IF(COUNTIF(LISTS!$J$2:$J$16,TRIM($G1624))&gt;0,"LEFT OUT","NEW")))</f>
        <v/>
      </c>
    </row>
    <row r="1625" spans="47:47" x14ac:dyDescent="0.25">
      <c r="AU1625" s="8" t="str">
        <f>IF(TRIM($G1625)="","",IF(COUNTIF(LISTS!$I$2:$I$16,TRIM($G1625))&gt;0,"COUNTED",IF(COUNTIF(LISTS!$J$2:$J$16,TRIM($G1625))&gt;0,"LEFT OUT","NEW")))</f>
        <v/>
      </c>
    </row>
    <row r="1626" spans="47:47" x14ac:dyDescent="0.25">
      <c r="AU1626" s="8" t="str">
        <f>IF(TRIM($G1626)="","",IF(COUNTIF(LISTS!$I$2:$I$16,TRIM($G1626))&gt;0,"COUNTED",IF(COUNTIF(LISTS!$J$2:$J$16,TRIM($G1626))&gt;0,"LEFT OUT","NEW")))</f>
        <v/>
      </c>
    </row>
    <row r="1627" spans="47:47" x14ac:dyDescent="0.25">
      <c r="AU1627" s="8" t="str">
        <f>IF(TRIM($G1627)="","",IF(COUNTIF(LISTS!$I$2:$I$16,TRIM($G1627))&gt;0,"COUNTED",IF(COUNTIF(LISTS!$J$2:$J$16,TRIM($G1627))&gt;0,"LEFT OUT","NEW")))</f>
        <v/>
      </c>
    </row>
    <row r="1628" spans="47:47" x14ac:dyDescent="0.25">
      <c r="AU1628" s="8" t="str">
        <f>IF(TRIM($G1628)="","",IF(COUNTIF(LISTS!$I$2:$I$16,TRIM($G1628))&gt;0,"COUNTED",IF(COUNTIF(LISTS!$J$2:$J$16,TRIM($G1628))&gt;0,"LEFT OUT","NEW")))</f>
        <v/>
      </c>
    </row>
    <row r="1629" spans="47:47" x14ac:dyDescent="0.25">
      <c r="AU1629" s="8" t="str">
        <f>IF(TRIM($G1629)="","",IF(COUNTIF(LISTS!$I$2:$I$16,TRIM($G1629))&gt;0,"COUNTED",IF(COUNTIF(LISTS!$J$2:$J$16,TRIM($G1629))&gt;0,"LEFT OUT","NEW")))</f>
        <v/>
      </c>
    </row>
    <row r="1630" spans="47:47" x14ac:dyDescent="0.25">
      <c r="AU1630" s="8" t="str">
        <f>IF(TRIM($G1630)="","",IF(COUNTIF(LISTS!$I$2:$I$16,TRIM($G1630))&gt;0,"COUNTED",IF(COUNTIF(LISTS!$J$2:$J$16,TRIM($G1630))&gt;0,"LEFT OUT","NEW")))</f>
        <v/>
      </c>
    </row>
    <row r="1631" spans="47:47" x14ac:dyDescent="0.25">
      <c r="AU1631" s="8" t="str">
        <f>IF(TRIM($G1631)="","",IF(COUNTIF(LISTS!$I$2:$I$16,TRIM($G1631))&gt;0,"COUNTED",IF(COUNTIF(LISTS!$J$2:$J$16,TRIM($G1631))&gt;0,"LEFT OUT","NEW")))</f>
        <v/>
      </c>
    </row>
    <row r="1632" spans="47:47" x14ac:dyDescent="0.25">
      <c r="AU1632" s="8" t="str">
        <f>IF(TRIM($G1632)="","",IF(COUNTIF(LISTS!$I$2:$I$16,TRIM($G1632))&gt;0,"COUNTED",IF(COUNTIF(LISTS!$J$2:$J$16,TRIM($G1632))&gt;0,"LEFT OUT","NEW")))</f>
        <v/>
      </c>
    </row>
    <row r="1633" spans="47:47" x14ac:dyDescent="0.25">
      <c r="AU1633" s="8" t="str">
        <f>IF(TRIM($G1633)="","",IF(COUNTIF(LISTS!$I$2:$I$16,TRIM($G1633))&gt;0,"COUNTED",IF(COUNTIF(LISTS!$J$2:$J$16,TRIM($G1633))&gt;0,"LEFT OUT","NEW")))</f>
        <v/>
      </c>
    </row>
    <row r="1634" spans="47:47" x14ac:dyDescent="0.25">
      <c r="AU1634" s="8" t="str">
        <f>IF(TRIM($G1634)="","",IF(COUNTIF(LISTS!$I$2:$I$16,TRIM($G1634))&gt;0,"COUNTED",IF(COUNTIF(LISTS!$J$2:$J$16,TRIM($G1634))&gt;0,"LEFT OUT","NEW")))</f>
        <v/>
      </c>
    </row>
    <row r="1635" spans="47:47" x14ac:dyDescent="0.25">
      <c r="AU1635" s="8" t="str">
        <f>IF(TRIM($G1635)="","",IF(COUNTIF(LISTS!$I$2:$I$16,TRIM($G1635))&gt;0,"COUNTED",IF(COUNTIF(LISTS!$J$2:$J$16,TRIM($G1635))&gt;0,"LEFT OUT","NEW")))</f>
        <v/>
      </c>
    </row>
    <row r="1636" spans="47:47" x14ac:dyDescent="0.25">
      <c r="AU1636" s="8" t="str">
        <f>IF(TRIM($G1636)="","",IF(COUNTIF(LISTS!$I$2:$I$16,TRIM($G1636))&gt;0,"COUNTED",IF(COUNTIF(LISTS!$J$2:$J$16,TRIM($G1636))&gt;0,"LEFT OUT","NEW")))</f>
        <v/>
      </c>
    </row>
    <row r="1637" spans="47:47" x14ac:dyDescent="0.25">
      <c r="AU1637" s="8" t="str">
        <f>IF(TRIM($G1637)="","",IF(COUNTIF(LISTS!$I$2:$I$16,TRIM($G1637))&gt;0,"COUNTED",IF(COUNTIF(LISTS!$J$2:$J$16,TRIM($G1637))&gt;0,"LEFT OUT","NEW")))</f>
        <v/>
      </c>
    </row>
    <row r="1638" spans="47:47" x14ac:dyDescent="0.25">
      <c r="AU1638" s="8" t="str">
        <f>IF(TRIM($G1638)="","",IF(COUNTIF(LISTS!$I$2:$I$16,TRIM($G1638))&gt;0,"COUNTED",IF(COUNTIF(LISTS!$J$2:$J$16,TRIM($G1638))&gt;0,"LEFT OUT","NEW")))</f>
        <v/>
      </c>
    </row>
    <row r="1639" spans="47:47" x14ac:dyDescent="0.25">
      <c r="AU1639" s="8" t="str">
        <f>IF(TRIM($G1639)="","",IF(COUNTIF(LISTS!$I$2:$I$16,TRIM($G1639))&gt;0,"COUNTED",IF(COUNTIF(LISTS!$J$2:$J$16,TRIM($G1639))&gt;0,"LEFT OUT","NEW")))</f>
        <v/>
      </c>
    </row>
    <row r="1640" spans="47:47" x14ac:dyDescent="0.25">
      <c r="AU1640" s="8" t="str">
        <f>IF(TRIM($G1640)="","",IF(COUNTIF(LISTS!$I$2:$I$16,TRIM($G1640))&gt;0,"COUNTED",IF(COUNTIF(LISTS!$J$2:$J$16,TRIM($G1640))&gt;0,"LEFT OUT","NEW")))</f>
        <v/>
      </c>
    </row>
    <row r="1641" spans="47:47" x14ac:dyDescent="0.25">
      <c r="AU1641" s="8" t="str">
        <f>IF(TRIM($G1641)="","",IF(COUNTIF(LISTS!$I$2:$I$16,TRIM($G1641))&gt;0,"COUNTED",IF(COUNTIF(LISTS!$J$2:$J$16,TRIM($G1641))&gt;0,"LEFT OUT","NEW")))</f>
        <v/>
      </c>
    </row>
    <row r="1642" spans="47:47" x14ac:dyDescent="0.25">
      <c r="AU1642" s="8" t="str">
        <f>IF(TRIM($G1642)="","",IF(COUNTIF(LISTS!$I$2:$I$16,TRIM($G1642))&gt;0,"COUNTED",IF(COUNTIF(LISTS!$J$2:$J$16,TRIM($G1642))&gt;0,"LEFT OUT","NEW")))</f>
        <v/>
      </c>
    </row>
    <row r="1643" spans="47:47" x14ac:dyDescent="0.25">
      <c r="AU1643" s="8" t="str">
        <f>IF(TRIM($G1643)="","",IF(COUNTIF(LISTS!$I$2:$I$16,TRIM($G1643))&gt;0,"COUNTED",IF(COUNTIF(LISTS!$J$2:$J$16,TRIM($G1643))&gt;0,"LEFT OUT","NEW")))</f>
        <v/>
      </c>
    </row>
    <row r="1644" spans="47:47" x14ac:dyDescent="0.25">
      <c r="AU1644" s="8" t="str">
        <f>IF(TRIM($G1644)="","",IF(COUNTIF(LISTS!$I$2:$I$16,TRIM($G1644))&gt;0,"COUNTED",IF(COUNTIF(LISTS!$J$2:$J$16,TRIM($G1644))&gt;0,"LEFT OUT","NEW")))</f>
        <v/>
      </c>
    </row>
    <row r="1645" spans="47:47" x14ac:dyDescent="0.25">
      <c r="AU1645" s="8" t="str">
        <f>IF(TRIM($G1645)="","",IF(COUNTIF(LISTS!$I$2:$I$16,TRIM($G1645))&gt;0,"COUNTED",IF(COUNTIF(LISTS!$J$2:$J$16,TRIM($G1645))&gt;0,"LEFT OUT","NEW")))</f>
        <v/>
      </c>
    </row>
    <row r="1646" spans="47:47" x14ac:dyDescent="0.25">
      <c r="AU1646" s="8" t="str">
        <f>IF(TRIM($G1646)="","",IF(COUNTIF(LISTS!$I$2:$I$16,TRIM($G1646))&gt;0,"COUNTED",IF(COUNTIF(LISTS!$J$2:$J$16,TRIM($G1646))&gt;0,"LEFT OUT","NEW")))</f>
        <v/>
      </c>
    </row>
    <row r="1647" spans="47:47" x14ac:dyDescent="0.25">
      <c r="AU1647" s="8" t="str">
        <f>IF(TRIM($G1647)="","",IF(COUNTIF(LISTS!$I$2:$I$16,TRIM($G1647))&gt;0,"COUNTED",IF(COUNTIF(LISTS!$J$2:$J$16,TRIM($G1647))&gt;0,"LEFT OUT","NEW")))</f>
        <v/>
      </c>
    </row>
    <row r="1648" spans="47:47" x14ac:dyDescent="0.25">
      <c r="AU1648" s="8" t="str">
        <f>IF(TRIM($G1648)="","",IF(COUNTIF(LISTS!$I$2:$I$16,TRIM($G1648))&gt;0,"COUNTED",IF(COUNTIF(LISTS!$J$2:$J$16,TRIM($G1648))&gt;0,"LEFT OUT","NEW")))</f>
        <v/>
      </c>
    </row>
    <row r="1649" spans="47:47" x14ac:dyDescent="0.25">
      <c r="AU1649" s="8" t="str">
        <f>IF(TRIM($G1649)="","",IF(COUNTIF(LISTS!$I$2:$I$16,TRIM($G1649))&gt;0,"COUNTED",IF(COUNTIF(LISTS!$J$2:$J$16,TRIM($G1649))&gt;0,"LEFT OUT","NEW")))</f>
        <v/>
      </c>
    </row>
    <row r="1650" spans="47:47" x14ac:dyDescent="0.25">
      <c r="AU1650" s="8" t="str">
        <f>IF(TRIM($G1650)="","",IF(COUNTIF(LISTS!$I$2:$I$16,TRIM($G1650))&gt;0,"COUNTED",IF(COUNTIF(LISTS!$J$2:$J$16,TRIM($G1650))&gt;0,"LEFT OUT","NEW")))</f>
        <v/>
      </c>
    </row>
    <row r="1651" spans="47:47" x14ac:dyDescent="0.25">
      <c r="AU1651" s="8" t="str">
        <f>IF(TRIM($G1651)="","",IF(COUNTIF(LISTS!$I$2:$I$16,TRIM($G1651))&gt;0,"COUNTED",IF(COUNTIF(LISTS!$J$2:$J$16,TRIM($G1651))&gt;0,"LEFT OUT","NEW")))</f>
        <v/>
      </c>
    </row>
    <row r="1652" spans="47:47" x14ac:dyDescent="0.25">
      <c r="AU1652" s="8" t="str">
        <f>IF(TRIM($G1652)="","",IF(COUNTIF(LISTS!$I$2:$I$16,TRIM($G1652))&gt;0,"COUNTED",IF(COUNTIF(LISTS!$J$2:$J$16,TRIM($G1652))&gt;0,"LEFT OUT","NEW")))</f>
        <v/>
      </c>
    </row>
    <row r="1653" spans="47:47" x14ac:dyDescent="0.25">
      <c r="AU1653" s="8" t="str">
        <f>IF(TRIM($G1653)="","",IF(COUNTIF(LISTS!$I$2:$I$16,TRIM($G1653))&gt;0,"COUNTED",IF(COUNTIF(LISTS!$J$2:$J$16,TRIM($G1653))&gt;0,"LEFT OUT","NEW")))</f>
        <v/>
      </c>
    </row>
    <row r="1654" spans="47:47" x14ac:dyDescent="0.25">
      <c r="AU1654" s="8" t="str">
        <f>IF(TRIM($G1654)="","",IF(COUNTIF(LISTS!$I$2:$I$16,TRIM($G1654))&gt;0,"COUNTED",IF(COUNTIF(LISTS!$J$2:$J$16,TRIM($G1654))&gt;0,"LEFT OUT","NEW")))</f>
        <v/>
      </c>
    </row>
    <row r="1655" spans="47:47" x14ac:dyDescent="0.25">
      <c r="AU1655" s="8" t="str">
        <f>IF(TRIM($G1655)="","",IF(COUNTIF(LISTS!$I$2:$I$16,TRIM($G1655))&gt;0,"COUNTED",IF(COUNTIF(LISTS!$J$2:$J$16,TRIM($G1655))&gt;0,"LEFT OUT","NEW")))</f>
        <v/>
      </c>
    </row>
    <row r="1656" spans="47:47" x14ac:dyDescent="0.25">
      <c r="AU1656" s="8" t="str">
        <f>IF(TRIM($G1656)="","",IF(COUNTIF(LISTS!$I$2:$I$16,TRIM($G1656))&gt;0,"COUNTED",IF(COUNTIF(LISTS!$J$2:$J$16,TRIM($G1656))&gt;0,"LEFT OUT","NEW")))</f>
        <v/>
      </c>
    </row>
    <row r="1657" spans="47:47" x14ac:dyDescent="0.25">
      <c r="AU1657" s="8" t="str">
        <f>IF(TRIM($G1657)="","",IF(COUNTIF(LISTS!$I$2:$I$16,TRIM($G1657))&gt;0,"COUNTED",IF(COUNTIF(LISTS!$J$2:$J$16,TRIM($G1657))&gt;0,"LEFT OUT","NEW")))</f>
        <v/>
      </c>
    </row>
    <row r="1658" spans="47:47" x14ac:dyDescent="0.25">
      <c r="AU1658" s="8" t="str">
        <f>IF(TRIM($G1658)="","",IF(COUNTIF(LISTS!$I$2:$I$16,TRIM($G1658))&gt;0,"COUNTED",IF(COUNTIF(LISTS!$J$2:$J$16,TRIM($G1658))&gt;0,"LEFT OUT","NEW")))</f>
        <v/>
      </c>
    </row>
    <row r="1659" spans="47:47" x14ac:dyDescent="0.25">
      <c r="AU1659" s="8" t="str">
        <f>IF(TRIM($G1659)="","",IF(COUNTIF(LISTS!$I$2:$I$16,TRIM($G1659))&gt;0,"COUNTED",IF(COUNTIF(LISTS!$J$2:$J$16,TRIM($G1659))&gt;0,"LEFT OUT","NEW")))</f>
        <v/>
      </c>
    </row>
    <row r="1660" spans="47:47" x14ac:dyDescent="0.25">
      <c r="AU1660" s="8" t="str">
        <f>IF(TRIM($G1660)="","",IF(COUNTIF(LISTS!$I$2:$I$16,TRIM($G1660))&gt;0,"COUNTED",IF(COUNTIF(LISTS!$J$2:$J$16,TRIM($G1660))&gt;0,"LEFT OUT","NEW")))</f>
        <v/>
      </c>
    </row>
    <row r="1661" spans="47:47" x14ac:dyDescent="0.25">
      <c r="AU1661" s="8" t="str">
        <f>IF(TRIM($G1661)="","",IF(COUNTIF(LISTS!$I$2:$I$16,TRIM($G1661))&gt;0,"COUNTED",IF(COUNTIF(LISTS!$J$2:$J$16,TRIM($G1661))&gt;0,"LEFT OUT","NEW")))</f>
        <v/>
      </c>
    </row>
    <row r="1662" spans="47:47" x14ac:dyDescent="0.25">
      <c r="AU1662" s="8" t="str">
        <f>IF(TRIM($G1662)="","",IF(COUNTIF(LISTS!$I$2:$I$16,TRIM($G1662))&gt;0,"COUNTED",IF(COUNTIF(LISTS!$J$2:$J$16,TRIM($G1662))&gt;0,"LEFT OUT","NEW")))</f>
        <v/>
      </c>
    </row>
    <row r="1663" spans="47:47" x14ac:dyDescent="0.25">
      <c r="AU1663" s="8" t="str">
        <f>IF(TRIM($G1663)="","",IF(COUNTIF(LISTS!$I$2:$I$16,TRIM($G1663))&gt;0,"COUNTED",IF(COUNTIF(LISTS!$J$2:$J$16,TRIM($G1663))&gt;0,"LEFT OUT","NEW")))</f>
        <v/>
      </c>
    </row>
    <row r="1664" spans="47:47" x14ac:dyDescent="0.25">
      <c r="AU1664" s="8" t="str">
        <f>IF(TRIM($G1664)="","",IF(COUNTIF(LISTS!$I$2:$I$16,TRIM($G1664))&gt;0,"COUNTED",IF(COUNTIF(LISTS!$J$2:$J$16,TRIM($G1664))&gt;0,"LEFT OUT","NEW")))</f>
        <v/>
      </c>
    </row>
    <row r="1665" spans="47:47" x14ac:dyDescent="0.25">
      <c r="AU1665" s="8" t="str">
        <f>IF(TRIM($G1665)="","",IF(COUNTIF(LISTS!$I$2:$I$16,TRIM($G1665))&gt;0,"COUNTED",IF(COUNTIF(LISTS!$J$2:$J$16,TRIM($G1665))&gt;0,"LEFT OUT","NEW")))</f>
        <v/>
      </c>
    </row>
    <row r="1666" spans="47:47" x14ac:dyDescent="0.25">
      <c r="AU1666" s="8" t="str">
        <f>IF(TRIM($G1666)="","",IF(COUNTIF(LISTS!$I$2:$I$16,TRIM($G1666))&gt;0,"COUNTED",IF(COUNTIF(LISTS!$J$2:$J$16,TRIM($G1666))&gt;0,"LEFT OUT","NEW")))</f>
        <v/>
      </c>
    </row>
    <row r="1667" spans="47:47" x14ac:dyDescent="0.25">
      <c r="AU1667" s="8" t="str">
        <f>IF(TRIM($G1667)="","",IF(COUNTIF(LISTS!$I$2:$I$16,TRIM($G1667))&gt;0,"COUNTED",IF(COUNTIF(LISTS!$J$2:$J$16,TRIM($G1667))&gt;0,"LEFT OUT","NEW")))</f>
        <v/>
      </c>
    </row>
    <row r="1668" spans="47:47" x14ac:dyDescent="0.25">
      <c r="AU1668" s="8" t="str">
        <f>IF(TRIM($G1668)="","",IF(COUNTIF(LISTS!$I$2:$I$16,TRIM($G1668))&gt;0,"COUNTED",IF(COUNTIF(LISTS!$J$2:$J$16,TRIM($G1668))&gt;0,"LEFT OUT","NEW")))</f>
        <v/>
      </c>
    </row>
    <row r="1669" spans="47:47" x14ac:dyDescent="0.25">
      <c r="AU1669" s="8" t="str">
        <f>IF(TRIM($G1669)="","",IF(COUNTIF(LISTS!$I$2:$I$16,TRIM($G1669))&gt;0,"COUNTED",IF(COUNTIF(LISTS!$J$2:$J$16,TRIM($G1669))&gt;0,"LEFT OUT","NEW")))</f>
        <v/>
      </c>
    </row>
    <row r="1670" spans="47:47" x14ac:dyDescent="0.25">
      <c r="AU1670" s="8" t="str">
        <f>IF(TRIM($G1670)="","",IF(COUNTIF(LISTS!$I$2:$I$16,TRIM($G1670))&gt;0,"COUNTED",IF(COUNTIF(LISTS!$J$2:$J$16,TRIM($G1670))&gt;0,"LEFT OUT","NEW")))</f>
        <v/>
      </c>
    </row>
    <row r="1671" spans="47:47" x14ac:dyDescent="0.25">
      <c r="AU1671" s="8" t="str">
        <f>IF(TRIM($G1671)="","",IF(COUNTIF(LISTS!$I$2:$I$16,TRIM($G1671))&gt;0,"COUNTED",IF(COUNTIF(LISTS!$J$2:$J$16,TRIM($G1671))&gt;0,"LEFT OUT","NEW")))</f>
        <v/>
      </c>
    </row>
    <row r="1672" spans="47:47" x14ac:dyDescent="0.25">
      <c r="AU1672" s="8" t="str">
        <f>IF(TRIM($G1672)="","",IF(COUNTIF(LISTS!$I$2:$I$16,TRIM($G1672))&gt;0,"COUNTED",IF(COUNTIF(LISTS!$J$2:$J$16,TRIM($G1672))&gt;0,"LEFT OUT","NEW")))</f>
        <v/>
      </c>
    </row>
    <row r="1673" spans="47:47" x14ac:dyDescent="0.25">
      <c r="AU1673" s="8" t="str">
        <f>IF(TRIM($G1673)="","",IF(COUNTIF(LISTS!$I$2:$I$16,TRIM($G1673))&gt;0,"COUNTED",IF(COUNTIF(LISTS!$J$2:$J$16,TRIM($G1673))&gt;0,"LEFT OUT","NEW")))</f>
        <v/>
      </c>
    </row>
    <row r="1674" spans="47:47" x14ac:dyDescent="0.25">
      <c r="AU1674" s="8" t="str">
        <f>IF(TRIM($G1674)="","",IF(COUNTIF(LISTS!$I$2:$I$16,TRIM($G1674))&gt;0,"COUNTED",IF(COUNTIF(LISTS!$J$2:$J$16,TRIM($G1674))&gt;0,"LEFT OUT","NEW")))</f>
        <v/>
      </c>
    </row>
    <row r="1675" spans="47:47" x14ac:dyDescent="0.25">
      <c r="AU1675" s="8" t="str">
        <f>IF(TRIM($G1675)="","",IF(COUNTIF(LISTS!$I$2:$I$16,TRIM($G1675))&gt;0,"COUNTED",IF(COUNTIF(LISTS!$J$2:$J$16,TRIM($G1675))&gt;0,"LEFT OUT","NEW")))</f>
        <v/>
      </c>
    </row>
    <row r="1676" spans="47:47" x14ac:dyDescent="0.25">
      <c r="AU1676" s="8" t="str">
        <f>IF(TRIM($G1676)="","",IF(COUNTIF(LISTS!$I$2:$I$16,TRIM($G1676))&gt;0,"COUNTED",IF(COUNTIF(LISTS!$J$2:$J$16,TRIM($G1676))&gt;0,"LEFT OUT","NEW")))</f>
        <v/>
      </c>
    </row>
    <row r="1677" spans="47:47" x14ac:dyDescent="0.25">
      <c r="AU1677" s="8" t="str">
        <f>IF(TRIM($G1677)="","",IF(COUNTIF(LISTS!$I$2:$I$16,TRIM($G1677))&gt;0,"COUNTED",IF(COUNTIF(LISTS!$J$2:$J$16,TRIM($G1677))&gt;0,"LEFT OUT","NEW")))</f>
        <v/>
      </c>
    </row>
    <row r="1678" spans="47:47" x14ac:dyDescent="0.25">
      <c r="AU1678" s="8" t="str">
        <f>IF(TRIM($G1678)="","",IF(COUNTIF(LISTS!$I$2:$I$16,TRIM($G1678))&gt;0,"COUNTED",IF(COUNTIF(LISTS!$J$2:$J$16,TRIM($G1678))&gt;0,"LEFT OUT","NEW")))</f>
        <v/>
      </c>
    </row>
    <row r="1679" spans="47:47" x14ac:dyDescent="0.25">
      <c r="AU1679" s="8" t="str">
        <f>IF(TRIM($G1679)="","",IF(COUNTIF(LISTS!$I$2:$I$16,TRIM($G1679))&gt;0,"COUNTED",IF(COUNTIF(LISTS!$J$2:$J$16,TRIM($G1679))&gt;0,"LEFT OUT","NEW")))</f>
        <v/>
      </c>
    </row>
    <row r="1680" spans="47:47" x14ac:dyDescent="0.25">
      <c r="AU1680" s="8" t="str">
        <f>IF(TRIM($G1680)="","",IF(COUNTIF(LISTS!$I$2:$I$16,TRIM($G1680))&gt;0,"COUNTED",IF(COUNTIF(LISTS!$J$2:$J$16,TRIM($G1680))&gt;0,"LEFT OUT","NEW")))</f>
        <v/>
      </c>
    </row>
    <row r="1681" spans="47:47" x14ac:dyDescent="0.25">
      <c r="AU1681" s="8" t="str">
        <f>IF(TRIM($G1681)="","",IF(COUNTIF(LISTS!$I$2:$I$16,TRIM($G1681))&gt;0,"COUNTED",IF(COUNTIF(LISTS!$J$2:$J$16,TRIM($G1681))&gt;0,"LEFT OUT","NEW")))</f>
        <v/>
      </c>
    </row>
    <row r="1682" spans="47:47" x14ac:dyDescent="0.25">
      <c r="AU1682" s="8" t="str">
        <f>IF(TRIM($G1682)="","",IF(COUNTIF(LISTS!$I$2:$I$16,TRIM($G1682))&gt;0,"COUNTED",IF(COUNTIF(LISTS!$J$2:$J$16,TRIM($G1682))&gt;0,"LEFT OUT","NEW")))</f>
        <v/>
      </c>
    </row>
    <row r="1683" spans="47:47" x14ac:dyDescent="0.25">
      <c r="AU1683" s="8" t="str">
        <f>IF(TRIM($G1683)="","",IF(COUNTIF(LISTS!$I$2:$I$16,TRIM($G1683))&gt;0,"COUNTED",IF(COUNTIF(LISTS!$J$2:$J$16,TRIM($G1683))&gt;0,"LEFT OUT","NEW")))</f>
        <v/>
      </c>
    </row>
    <row r="1684" spans="47:47" x14ac:dyDescent="0.25">
      <c r="AU1684" s="8" t="str">
        <f>IF(TRIM($G1684)="","",IF(COUNTIF(LISTS!$I$2:$I$16,TRIM($G1684))&gt;0,"COUNTED",IF(COUNTIF(LISTS!$J$2:$J$16,TRIM($G1684))&gt;0,"LEFT OUT","NEW")))</f>
        <v/>
      </c>
    </row>
    <row r="1685" spans="47:47" x14ac:dyDescent="0.25">
      <c r="AU1685" s="8" t="str">
        <f>IF(TRIM($G1685)="","",IF(COUNTIF(LISTS!$I$2:$I$16,TRIM($G1685))&gt;0,"COUNTED",IF(COUNTIF(LISTS!$J$2:$J$16,TRIM($G1685))&gt;0,"LEFT OUT","NEW")))</f>
        <v/>
      </c>
    </row>
    <row r="1686" spans="47:47" x14ac:dyDescent="0.25">
      <c r="AU1686" s="8" t="str">
        <f>IF(TRIM($G1686)="","",IF(COUNTIF(LISTS!$I$2:$I$16,TRIM($G1686))&gt;0,"COUNTED",IF(COUNTIF(LISTS!$J$2:$J$16,TRIM($G1686))&gt;0,"LEFT OUT","NEW")))</f>
        <v/>
      </c>
    </row>
    <row r="1687" spans="47:47" x14ac:dyDescent="0.25">
      <c r="AU1687" s="8" t="str">
        <f>IF(TRIM($G1687)="","",IF(COUNTIF(LISTS!$I$2:$I$16,TRIM($G1687))&gt;0,"COUNTED",IF(COUNTIF(LISTS!$J$2:$J$16,TRIM($G1687))&gt;0,"LEFT OUT","NEW")))</f>
        <v/>
      </c>
    </row>
    <row r="1688" spans="47:47" x14ac:dyDescent="0.25">
      <c r="AU1688" s="8" t="str">
        <f>IF(TRIM($G1688)="","",IF(COUNTIF(LISTS!$I$2:$I$16,TRIM($G1688))&gt;0,"COUNTED",IF(COUNTIF(LISTS!$J$2:$J$16,TRIM($G1688))&gt;0,"LEFT OUT","NEW")))</f>
        <v/>
      </c>
    </row>
    <row r="1689" spans="47:47" x14ac:dyDescent="0.25">
      <c r="AU1689" s="8" t="str">
        <f>IF(TRIM($G1689)="","",IF(COUNTIF(LISTS!$I$2:$I$16,TRIM($G1689))&gt;0,"COUNTED",IF(COUNTIF(LISTS!$J$2:$J$16,TRIM($G1689))&gt;0,"LEFT OUT","NEW")))</f>
        <v/>
      </c>
    </row>
    <row r="1690" spans="47:47" x14ac:dyDescent="0.25">
      <c r="AU1690" s="8" t="str">
        <f>IF(TRIM($G1690)="","",IF(COUNTIF(LISTS!$I$2:$I$16,TRIM($G1690))&gt;0,"COUNTED",IF(COUNTIF(LISTS!$J$2:$J$16,TRIM($G1690))&gt;0,"LEFT OUT","NEW")))</f>
        <v/>
      </c>
    </row>
    <row r="1691" spans="47:47" x14ac:dyDescent="0.25">
      <c r="AU1691" s="8" t="str">
        <f>IF(TRIM($G1691)="","",IF(COUNTIF(LISTS!$I$2:$I$16,TRIM($G1691))&gt;0,"COUNTED",IF(COUNTIF(LISTS!$J$2:$J$16,TRIM($G1691))&gt;0,"LEFT OUT","NEW")))</f>
        <v/>
      </c>
    </row>
    <row r="1692" spans="47:47" x14ac:dyDescent="0.25">
      <c r="AU1692" s="8" t="str">
        <f>IF(TRIM($G1692)="","",IF(COUNTIF(LISTS!$I$2:$I$16,TRIM($G1692))&gt;0,"COUNTED",IF(COUNTIF(LISTS!$J$2:$J$16,TRIM($G1692))&gt;0,"LEFT OUT","NEW")))</f>
        <v/>
      </c>
    </row>
    <row r="1693" spans="47:47" x14ac:dyDescent="0.25">
      <c r="AU1693" s="8" t="str">
        <f>IF(TRIM($G1693)="","",IF(COUNTIF(LISTS!$I$2:$I$16,TRIM($G1693))&gt;0,"COUNTED",IF(COUNTIF(LISTS!$J$2:$J$16,TRIM($G1693))&gt;0,"LEFT OUT","NEW")))</f>
        <v/>
      </c>
    </row>
    <row r="1694" spans="47:47" x14ac:dyDescent="0.25">
      <c r="AU1694" s="8" t="str">
        <f>IF(TRIM($G1694)="","",IF(COUNTIF(LISTS!$I$2:$I$16,TRIM($G1694))&gt;0,"COUNTED",IF(COUNTIF(LISTS!$J$2:$J$16,TRIM($G1694))&gt;0,"LEFT OUT","NEW")))</f>
        <v/>
      </c>
    </row>
    <row r="1695" spans="47:47" x14ac:dyDescent="0.25">
      <c r="AU1695" s="8" t="str">
        <f>IF(TRIM($G1695)="","",IF(COUNTIF(LISTS!$I$2:$I$16,TRIM($G1695))&gt;0,"COUNTED",IF(COUNTIF(LISTS!$J$2:$J$16,TRIM($G1695))&gt;0,"LEFT OUT","NEW")))</f>
        <v/>
      </c>
    </row>
    <row r="1696" spans="47:47" x14ac:dyDescent="0.25">
      <c r="AU1696" s="8" t="str">
        <f>IF(TRIM($G1696)="","",IF(COUNTIF(LISTS!$I$2:$I$16,TRIM($G1696))&gt;0,"COUNTED",IF(COUNTIF(LISTS!$J$2:$J$16,TRIM($G1696))&gt;0,"LEFT OUT","NEW")))</f>
        <v/>
      </c>
    </row>
    <row r="1697" spans="47:47" x14ac:dyDescent="0.25">
      <c r="AU1697" s="8" t="str">
        <f>IF(TRIM($G1697)="","",IF(COUNTIF(LISTS!$I$2:$I$16,TRIM($G1697))&gt;0,"COUNTED",IF(COUNTIF(LISTS!$J$2:$J$16,TRIM($G1697))&gt;0,"LEFT OUT","NEW")))</f>
        <v/>
      </c>
    </row>
    <row r="1698" spans="47:47" x14ac:dyDescent="0.25">
      <c r="AU1698" s="8" t="str">
        <f>IF(TRIM($G1698)="","",IF(COUNTIF(LISTS!$I$2:$I$16,TRIM($G1698))&gt;0,"COUNTED",IF(COUNTIF(LISTS!$J$2:$J$16,TRIM($G1698))&gt;0,"LEFT OUT","NEW")))</f>
        <v/>
      </c>
    </row>
    <row r="1699" spans="47:47" x14ac:dyDescent="0.25">
      <c r="AU1699" s="8" t="str">
        <f>IF(TRIM($G1699)="","",IF(COUNTIF(LISTS!$I$2:$I$16,TRIM($G1699))&gt;0,"COUNTED",IF(COUNTIF(LISTS!$J$2:$J$16,TRIM($G1699))&gt;0,"LEFT OUT","NEW")))</f>
        <v/>
      </c>
    </row>
    <row r="1700" spans="47:47" x14ac:dyDescent="0.25">
      <c r="AU1700" s="8" t="str">
        <f>IF(TRIM($G1700)="","",IF(COUNTIF(LISTS!$I$2:$I$16,TRIM($G1700))&gt;0,"COUNTED",IF(COUNTIF(LISTS!$J$2:$J$16,TRIM($G1700))&gt;0,"LEFT OUT","NEW")))</f>
        <v/>
      </c>
    </row>
    <row r="1701" spans="47:47" x14ac:dyDescent="0.25">
      <c r="AU1701" s="8" t="str">
        <f>IF(TRIM($G1701)="","",IF(COUNTIF(LISTS!$I$2:$I$16,TRIM($G1701))&gt;0,"COUNTED",IF(COUNTIF(LISTS!$J$2:$J$16,TRIM($G1701))&gt;0,"LEFT OUT","NEW")))</f>
        <v/>
      </c>
    </row>
    <row r="1702" spans="47:47" x14ac:dyDescent="0.25">
      <c r="AU1702" s="8" t="str">
        <f>IF(TRIM($G1702)="","",IF(COUNTIF(LISTS!$I$2:$I$16,TRIM($G1702))&gt;0,"COUNTED",IF(COUNTIF(LISTS!$J$2:$J$16,TRIM($G1702))&gt;0,"LEFT OUT","NEW")))</f>
        <v/>
      </c>
    </row>
    <row r="1703" spans="47:47" x14ac:dyDescent="0.25">
      <c r="AU1703" s="8" t="str">
        <f>IF(TRIM($G1703)="","",IF(COUNTIF(LISTS!$I$2:$I$16,TRIM($G1703))&gt;0,"COUNTED",IF(COUNTIF(LISTS!$J$2:$J$16,TRIM($G1703))&gt;0,"LEFT OUT","NEW")))</f>
        <v/>
      </c>
    </row>
    <row r="1704" spans="47:47" x14ac:dyDescent="0.25">
      <c r="AU1704" s="8" t="str">
        <f>IF(TRIM($G1704)="","",IF(COUNTIF(LISTS!$I$2:$I$16,TRIM($G1704))&gt;0,"COUNTED",IF(COUNTIF(LISTS!$J$2:$J$16,TRIM($G1704))&gt;0,"LEFT OUT","NEW")))</f>
        <v/>
      </c>
    </row>
    <row r="1705" spans="47:47" x14ac:dyDescent="0.25">
      <c r="AU1705" s="8" t="str">
        <f>IF(TRIM($G1705)="","",IF(COUNTIF(LISTS!$I$2:$I$16,TRIM($G1705))&gt;0,"COUNTED",IF(COUNTIF(LISTS!$J$2:$J$16,TRIM($G1705))&gt;0,"LEFT OUT","NEW")))</f>
        <v/>
      </c>
    </row>
    <row r="1706" spans="47:47" x14ac:dyDescent="0.25">
      <c r="AU1706" s="8" t="str">
        <f>IF(TRIM($G1706)="","",IF(COUNTIF(LISTS!$I$2:$I$16,TRIM($G1706))&gt;0,"COUNTED",IF(COUNTIF(LISTS!$J$2:$J$16,TRIM($G1706))&gt;0,"LEFT OUT","NEW")))</f>
        <v/>
      </c>
    </row>
    <row r="1707" spans="47:47" x14ac:dyDescent="0.25">
      <c r="AU1707" s="8" t="str">
        <f>IF(TRIM($G1707)="","",IF(COUNTIF(LISTS!$I$2:$I$16,TRIM($G1707))&gt;0,"COUNTED",IF(COUNTIF(LISTS!$J$2:$J$16,TRIM($G1707))&gt;0,"LEFT OUT","NEW")))</f>
        <v/>
      </c>
    </row>
    <row r="1708" spans="47:47" x14ac:dyDescent="0.25">
      <c r="AU1708" s="8" t="str">
        <f>IF(TRIM($G1708)="","",IF(COUNTIF(LISTS!$I$2:$I$16,TRIM($G1708))&gt;0,"COUNTED",IF(COUNTIF(LISTS!$J$2:$J$16,TRIM($G1708))&gt;0,"LEFT OUT","NEW")))</f>
        <v/>
      </c>
    </row>
    <row r="1709" spans="47:47" x14ac:dyDescent="0.25">
      <c r="AU1709" s="8" t="str">
        <f>IF(TRIM($G1709)="","",IF(COUNTIF(LISTS!$I$2:$I$16,TRIM($G1709))&gt;0,"COUNTED",IF(COUNTIF(LISTS!$J$2:$J$16,TRIM($G1709))&gt;0,"LEFT OUT","NEW")))</f>
        <v/>
      </c>
    </row>
    <row r="1710" spans="47:47" x14ac:dyDescent="0.25">
      <c r="AU1710" s="8" t="str">
        <f>IF(TRIM($G1710)="","",IF(COUNTIF(LISTS!$I$2:$I$16,TRIM($G1710))&gt;0,"COUNTED",IF(COUNTIF(LISTS!$J$2:$J$16,TRIM($G1710))&gt;0,"LEFT OUT","NEW")))</f>
        <v/>
      </c>
    </row>
    <row r="1711" spans="47:47" x14ac:dyDescent="0.25">
      <c r="AU1711" s="8" t="str">
        <f>IF(TRIM($G1711)="","",IF(COUNTIF(LISTS!$I$2:$I$16,TRIM($G1711))&gt;0,"COUNTED",IF(COUNTIF(LISTS!$J$2:$J$16,TRIM($G1711))&gt;0,"LEFT OUT","NEW")))</f>
        <v/>
      </c>
    </row>
    <row r="1712" spans="47:47" x14ac:dyDescent="0.25">
      <c r="AU1712" s="8" t="str">
        <f>IF(TRIM($G1712)="","",IF(COUNTIF(LISTS!$I$2:$I$16,TRIM($G1712))&gt;0,"COUNTED",IF(COUNTIF(LISTS!$J$2:$J$16,TRIM($G1712))&gt;0,"LEFT OUT","NEW")))</f>
        <v/>
      </c>
    </row>
    <row r="1713" spans="47:47" x14ac:dyDescent="0.25">
      <c r="AU1713" s="8" t="str">
        <f>IF(TRIM($G1713)="","",IF(COUNTIF(LISTS!$I$2:$I$16,TRIM($G1713))&gt;0,"COUNTED",IF(COUNTIF(LISTS!$J$2:$J$16,TRIM($G1713))&gt;0,"LEFT OUT","NEW")))</f>
        <v/>
      </c>
    </row>
    <row r="1714" spans="47:47" x14ac:dyDescent="0.25">
      <c r="AU1714" s="8" t="str">
        <f>IF(TRIM($G1714)="","",IF(COUNTIF(LISTS!$I$2:$I$16,TRIM($G1714))&gt;0,"COUNTED",IF(COUNTIF(LISTS!$J$2:$J$16,TRIM($G1714))&gt;0,"LEFT OUT","NEW")))</f>
        <v/>
      </c>
    </row>
    <row r="1715" spans="47:47" x14ac:dyDescent="0.25">
      <c r="AU1715" s="8" t="str">
        <f>IF(TRIM($G1715)="","",IF(COUNTIF(LISTS!$I$2:$I$16,TRIM($G1715))&gt;0,"COUNTED",IF(COUNTIF(LISTS!$J$2:$J$16,TRIM($G1715))&gt;0,"LEFT OUT","NEW")))</f>
        <v/>
      </c>
    </row>
    <row r="1716" spans="47:47" x14ac:dyDescent="0.25">
      <c r="AU1716" s="8" t="str">
        <f>IF(TRIM($G1716)="","",IF(COUNTIF(LISTS!$I$2:$I$16,TRIM($G1716))&gt;0,"COUNTED",IF(COUNTIF(LISTS!$J$2:$J$16,TRIM($G1716))&gt;0,"LEFT OUT","NEW")))</f>
        <v/>
      </c>
    </row>
    <row r="1717" spans="47:47" x14ac:dyDescent="0.25">
      <c r="AU1717" s="8" t="str">
        <f>IF(TRIM($G1717)="","",IF(COUNTIF(LISTS!$I$2:$I$16,TRIM($G1717))&gt;0,"COUNTED",IF(COUNTIF(LISTS!$J$2:$J$16,TRIM($G1717))&gt;0,"LEFT OUT","NEW")))</f>
        <v/>
      </c>
    </row>
    <row r="1718" spans="47:47" x14ac:dyDescent="0.25">
      <c r="AU1718" s="8" t="str">
        <f>IF(TRIM($G1718)="","",IF(COUNTIF(LISTS!$I$2:$I$16,TRIM($G1718))&gt;0,"COUNTED",IF(COUNTIF(LISTS!$J$2:$J$16,TRIM($G1718))&gt;0,"LEFT OUT","NEW")))</f>
        <v/>
      </c>
    </row>
    <row r="1719" spans="47:47" x14ac:dyDescent="0.25">
      <c r="AU1719" s="8" t="str">
        <f>IF(TRIM($G1719)="","",IF(COUNTIF(LISTS!$I$2:$I$16,TRIM($G1719))&gt;0,"COUNTED",IF(COUNTIF(LISTS!$J$2:$J$16,TRIM($G1719))&gt;0,"LEFT OUT","NEW")))</f>
        <v/>
      </c>
    </row>
    <row r="1720" spans="47:47" x14ac:dyDescent="0.25">
      <c r="AU1720" s="8" t="str">
        <f>IF(TRIM($G1720)="","",IF(COUNTIF(LISTS!$I$2:$I$16,TRIM($G1720))&gt;0,"COUNTED",IF(COUNTIF(LISTS!$J$2:$J$16,TRIM($G1720))&gt;0,"LEFT OUT","NEW")))</f>
        <v/>
      </c>
    </row>
    <row r="1721" spans="47:47" x14ac:dyDescent="0.25">
      <c r="AU1721" s="8" t="str">
        <f>IF(TRIM($G1721)="","",IF(COUNTIF(LISTS!$I$2:$I$16,TRIM($G1721))&gt;0,"COUNTED",IF(COUNTIF(LISTS!$J$2:$J$16,TRIM($G1721))&gt;0,"LEFT OUT","NEW")))</f>
        <v/>
      </c>
    </row>
    <row r="1722" spans="47:47" x14ac:dyDescent="0.25">
      <c r="AU1722" s="8" t="str">
        <f>IF(TRIM($G1722)="","",IF(COUNTIF(LISTS!$I$2:$I$16,TRIM($G1722))&gt;0,"COUNTED",IF(COUNTIF(LISTS!$J$2:$J$16,TRIM($G1722))&gt;0,"LEFT OUT","NEW")))</f>
        <v/>
      </c>
    </row>
    <row r="1723" spans="47:47" x14ac:dyDescent="0.25">
      <c r="AU1723" s="8" t="str">
        <f>IF(TRIM($G1723)="","",IF(COUNTIF(LISTS!$I$2:$I$16,TRIM($G1723))&gt;0,"COUNTED",IF(COUNTIF(LISTS!$J$2:$J$16,TRIM($G1723))&gt;0,"LEFT OUT","NEW")))</f>
        <v/>
      </c>
    </row>
    <row r="1724" spans="47:47" x14ac:dyDescent="0.25">
      <c r="AU1724" s="8" t="str">
        <f>IF(TRIM($G1724)="","",IF(COUNTIF(LISTS!$I$2:$I$16,TRIM($G1724))&gt;0,"COUNTED",IF(COUNTIF(LISTS!$J$2:$J$16,TRIM($G1724))&gt;0,"LEFT OUT","NEW")))</f>
        <v/>
      </c>
    </row>
    <row r="1725" spans="47:47" x14ac:dyDescent="0.25">
      <c r="AU1725" s="8" t="str">
        <f>IF(TRIM($G1725)="","",IF(COUNTIF(LISTS!$I$2:$I$16,TRIM($G1725))&gt;0,"COUNTED",IF(COUNTIF(LISTS!$J$2:$J$16,TRIM($G1725))&gt;0,"LEFT OUT","NEW")))</f>
        <v/>
      </c>
    </row>
    <row r="1726" spans="47:47" x14ac:dyDescent="0.25">
      <c r="AU1726" s="8" t="str">
        <f>IF(TRIM($G1726)="","",IF(COUNTIF(LISTS!$I$2:$I$16,TRIM($G1726))&gt;0,"COUNTED",IF(COUNTIF(LISTS!$J$2:$J$16,TRIM($G1726))&gt;0,"LEFT OUT","NEW")))</f>
        <v/>
      </c>
    </row>
    <row r="1727" spans="47:47" x14ac:dyDescent="0.25">
      <c r="AU1727" s="8" t="str">
        <f>IF(TRIM($G1727)="","",IF(COUNTIF(LISTS!$I$2:$I$16,TRIM($G1727))&gt;0,"COUNTED",IF(COUNTIF(LISTS!$J$2:$J$16,TRIM($G1727))&gt;0,"LEFT OUT","NEW")))</f>
        <v/>
      </c>
    </row>
    <row r="1728" spans="47:47" x14ac:dyDescent="0.25">
      <c r="AU1728" s="8" t="str">
        <f>IF(TRIM($G1728)="","",IF(COUNTIF(LISTS!$I$2:$I$16,TRIM($G1728))&gt;0,"COUNTED",IF(COUNTIF(LISTS!$J$2:$J$16,TRIM($G1728))&gt;0,"LEFT OUT","NEW")))</f>
        <v/>
      </c>
    </row>
    <row r="1729" spans="47:47" x14ac:dyDescent="0.25">
      <c r="AU1729" s="8" t="str">
        <f>IF(TRIM($G1729)="","",IF(COUNTIF(LISTS!$I$2:$I$16,TRIM($G1729))&gt;0,"COUNTED",IF(COUNTIF(LISTS!$J$2:$J$16,TRIM($G1729))&gt;0,"LEFT OUT","NEW")))</f>
        <v/>
      </c>
    </row>
    <row r="1730" spans="47:47" x14ac:dyDescent="0.25">
      <c r="AU1730" s="8" t="str">
        <f>IF(TRIM($G1730)="","",IF(COUNTIF(LISTS!$I$2:$I$16,TRIM($G1730))&gt;0,"COUNTED",IF(COUNTIF(LISTS!$J$2:$J$16,TRIM($G1730))&gt;0,"LEFT OUT","NEW")))</f>
        <v/>
      </c>
    </row>
    <row r="1731" spans="47:47" x14ac:dyDescent="0.25">
      <c r="AU1731" s="8" t="str">
        <f>IF(TRIM($G1731)="","",IF(COUNTIF(LISTS!$I$2:$I$16,TRIM($G1731))&gt;0,"COUNTED",IF(COUNTIF(LISTS!$J$2:$J$16,TRIM($G1731))&gt;0,"LEFT OUT","NEW")))</f>
        <v/>
      </c>
    </row>
    <row r="1732" spans="47:47" x14ac:dyDescent="0.25">
      <c r="AU1732" s="8" t="str">
        <f>IF(TRIM($G1732)="","",IF(COUNTIF(LISTS!$I$2:$I$16,TRIM($G1732))&gt;0,"COUNTED",IF(COUNTIF(LISTS!$J$2:$J$16,TRIM($G1732))&gt;0,"LEFT OUT","NEW")))</f>
        <v/>
      </c>
    </row>
    <row r="1733" spans="47:47" x14ac:dyDescent="0.25">
      <c r="AU1733" s="8" t="str">
        <f>IF(TRIM($G1733)="","",IF(COUNTIF(LISTS!$I$2:$I$16,TRIM($G1733))&gt;0,"COUNTED",IF(COUNTIF(LISTS!$J$2:$J$16,TRIM($G1733))&gt;0,"LEFT OUT","NEW")))</f>
        <v/>
      </c>
    </row>
    <row r="1734" spans="47:47" x14ac:dyDescent="0.25">
      <c r="AU1734" s="8" t="str">
        <f>IF(TRIM($G1734)="","",IF(COUNTIF(LISTS!$I$2:$I$16,TRIM($G1734))&gt;0,"COUNTED",IF(COUNTIF(LISTS!$J$2:$J$16,TRIM($G1734))&gt;0,"LEFT OUT","NEW")))</f>
        <v/>
      </c>
    </row>
    <row r="1735" spans="47:47" x14ac:dyDescent="0.25">
      <c r="AU1735" s="8" t="str">
        <f>IF(TRIM($G1735)="","",IF(COUNTIF(LISTS!$I$2:$I$16,TRIM($G1735))&gt;0,"COUNTED",IF(COUNTIF(LISTS!$J$2:$J$16,TRIM($G1735))&gt;0,"LEFT OUT","NEW")))</f>
        <v/>
      </c>
    </row>
    <row r="1736" spans="47:47" x14ac:dyDescent="0.25">
      <c r="AU1736" s="8" t="str">
        <f>IF(TRIM($G1736)="","",IF(COUNTIF(LISTS!$I$2:$I$16,TRIM($G1736))&gt;0,"COUNTED",IF(COUNTIF(LISTS!$J$2:$J$16,TRIM($G1736))&gt;0,"LEFT OUT","NEW")))</f>
        <v/>
      </c>
    </row>
    <row r="1737" spans="47:47" x14ac:dyDescent="0.25">
      <c r="AU1737" s="8" t="str">
        <f>IF(TRIM($G1737)="","",IF(COUNTIF(LISTS!$I$2:$I$16,TRIM($G1737))&gt;0,"COUNTED",IF(COUNTIF(LISTS!$J$2:$J$16,TRIM($G1737))&gt;0,"LEFT OUT","NEW")))</f>
        <v/>
      </c>
    </row>
    <row r="1738" spans="47:47" x14ac:dyDescent="0.25">
      <c r="AU1738" s="8" t="str">
        <f>IF(TRIM($G1738)="","",IF(COUNTIF(LISTS!$I$2:$I$16,TRIM($G1738))&gt;0,"COUNTED",IF(COUNTIF(LISTS!$J$2:$J$16,TRIM($G1738))&gt;0,"LEFT OUT","NEW")))</f>
        <v/>
      </c>
    </row>
    <row r="1739" spans="47:47" x14ac:dyDescent="0.25">
      <c r="AU1739" s="8" t="str">
        <f>IF(TRIM($G1739)="","",IF(COUNTIF(LISTS!$I$2:$I$16,TRIM($G1739))&gt;0,"COUNTED",IF(COUNTIF(LISTS!$J$2:$J$16,TRIM($G1739))&gt;0,"LEFT OUT","NEW")))</f>
        <v/>
      </c>
    </row>
    <row r="1740" spans="47:47" x14ac:dyDescent="0.25">
      <c r="AU1740" s="8" t="str">
        <f>IF(TRIM($G1740)="","",IF(COUNTIF(LISTS!$I$2:$I$16,TRIM($G1740))&gt;0,"COUNTED",IF(COUNTIF(LISTS!$J$2:$J$16,TRIM($G1740))&gt;0,"LEFT OUT","NEW")))</f>
        <v/>
      </c>
    </row>
    <row r="1741" spans="47:47" x14ac:dyDescent="0.25">
      <c r="AU1741" s="8" t="str">
        <f>IF(TRIM($G1741)="","",IF(COUNTIF(LISTS!$I$2:$I$16,TRIM($G1741))&gt;0,"COUNTED",IF(COUNTIF(LISTS!$J$2:$J$16,TRIM($G1741))&gt;0,"LEFT OUT","NEW")))</f>
        <v/>
      </c>
    </row>
    <row r="1742" spans="47:47" x14ac:dyDescent="0.25">
      <c r="AU1742" s="8" t="str">
        <f>IF(TRIM($G1742)="","",IF(COUNTIF(LISTS!$I$2:$I$16,TRIM($G1742))&gt;0,"COUNTED",IF(COUNTIF(LISTS!$J$2:$J$16,TRIM($G1742))&gt;0,"LEFT OUT","NEW")))</f>
        <v/>
      </c>
    </row>
    <row r="1743" spans="47:47" x14ac:dyDescent="0.25">
      <c r="AU1743" s="8" t="str">
        <f>IF(TRIM($G1743)="","",IF(COUNTIF(LISTS!$I$2:$I$16,TRIM($G1743))&gt;0,"COUNTED",IF(COUNTIF(LISTS!$J$2:$J$16,TRIM($G1743))&gt;0,"LEFT OUT","NEW")))</f>
        <v/>
      </c>
    </row>
    <row r="1744" spans="47:47" x14ac:dyDescent="0.25">
      <c r="AU1744" s="8" t="str">
        <f>IF(TRIM($G1744)="","",IF(COUNTIF(LISTS!$I$2:$I$16,TRIM($G1744))&gt;0,"COUNTED",IF(COUNTIF(LISTS!$J$2:$J$16,TRIM($G1744))&gt;0,"LEFT OUT","NEW")))</f>
        <v/>
      </c>
    </row>
    <row r="1745" spans="47:47" x14ac:dyDescent="0.25">
      <c r="AU1745" s="8" t="str">
        <f>IF(TRIM($G1745)="","",IF(COUNTIF(LISTS!$I$2:$I$16,TRIM($G1745))&gt;0,"COUNTED",IF(COUNTIF(LISTS!$J$2:$J$16,TRIM($G1745))&gt;0,"LEFT OUT","NEW")))</f>
        <v/>
      </c>
    </row>
    <row r="1746" spans="47:47" x14ac:dyDescent="0.25">
      <c r="AU1746" s="8" t="str">
        <f>IF(TRIM($G1746)="","",IF(COUNTIF(LISTS!$I$2:$I$16,TRIM($G1746))&gt;0,"COUNTED",IF(COUNTIF(LISTS!$J$2:$J$16,TRIM($G1746))&gt;0,"LEFT OUT","NEW")))</f>
        <v/>
      </c>
    </row>
    <row r="1747" spans="47:47" x14ac:dyDescent="0.25">
      <c r="AU1747" s="8" t="str">
        <f>IF(TRIM($G1747)="","",IF(COUNTIF(LISTS!$I$2:$I$16,TRIM($G1747))&gt;0,"COUNTED",IF(COUNTIF(LISTS!$J$2:$J$16,TRIM($G1747))&gt;0,"LEFT OUT","NEW")))</f>
        <v/>
      </c>
    </row>
    <row r="1748" spans="47:47" x14ac:dyDescent="0.25">
      <c r="AU1748" s="8" t="str">
        <f>IF(TRIM($G1748)="","",IF(COUNTIF(LISTS!$I$2:$I$16,TRIM($G1748))&gt;0,"COUNTED",IF(COUNTIF(LISTS!$J$2:$J$16,TRIM($G1748))&gt;0,"LEFT OUT","NEW")))</f>
        <v/>
      </c>
    </row>
    <row r="1749" spans="47:47" x14ac:dyDescent="0.25">
      <c r="AU1749" s="8" t="str">
        <f>IF(TRIM($G1749)="","",IF(COUNTIF(LISTS!$I$2:$I$16,TRIM($G1749))&gt;0,"COUNTED",IF(COUNTIF(LISTS!$J$2:$J$16,TRIM($G1749))&gt;0,"LEFT OUT","NEW")))</f>
        <v/>
      </c>
    </row>
    <row r="1750" spans="47:47" x14ac:dyDescent="0.25">
      <c r="AU1750" s="8" t="str">
        <f>IF(TRIM($G1750)="","",IF(COUNTIF(LISTS!$I$2:$I$16,TRIM($G1750))&gt;0,"COUNTED",IF(COUNTIF(LISTS!$J$2:$J$16,TRIM($G1750))&gt;0,"LEFT OUT","NEW")))</f>
        <v/>
      </c>
    </row>
    <row r="1751" spans="47:47" x14ac:dyDescent="0.25">
      <c r="AU1751" s="8" t="str">
        <f>IF(TRIM($G1751)="","",IF(COUNTIF(LISTS!$I$2:$I$16,TRIM($G1751))&gt;0,"COUNTED",IF(COUNTIF(LISTS!$J$2:$J$16,TRIM($G1751))&gt;0,"LEFT OUT","NEW")))</f>
        <v/>
      </c>
    </row>
    <row r="1752" spans="47:47" x14ac:dyDescent="0.25">
      <c r="AU1752" s="8" t="str">
        <f>IF(TRIM($G1752)="","",IF(COUNTIF(LISTS!$I$2:$I$16,TRIM($G1752))&gt;0,"COUNTED",IF(COUNTIF(LISTS!$J$2:$J$16,TRIM($G1752))&gt;0,"LEFT OUT","NEW")))</f>
        <v/>
      </c>
    </row>
    <row r="1753" spans="47:47" x14ac:dyDescent="0.25">
      <c r="AU1753" s="8" t="str">
        <f>IF(TRIM($G1753)="","",IF(COUNTIF(LISTS!$I$2:$I$16,TRIM($G1753))&gt;0,"COUNTED",IF(COUNTIF(LISTS!$J$2:$J$16,TRIM($G1753))&gt;0,"LEFT OUT","NEW")))</f>
        <v/>
      </c>
    </row>
    <row r="1754" spans="47:47" x14ac:dyDescent="0.25">
      <c r="AU1754" s="8" t="str">
        <f>IF(TRIM($G1754)="","",IF(COUNTIF(LISTS!$I$2:$I$16,TRIM($G1754))&gt;0,"COUNTED",IF(COUNTIF(LISTS!$J$2:$J$16,TRIM($G1754))&gt;0,"LEFT OUT","NEW")))</f>
        <v/>
      </c>
    </row>
    <row r="1755" spans="47:47" x14ac:dyDescent="0.25">
      <c r="AU1755" s="8" t="str">
        <f>IF(TRIM($G1755)="","",IF(COUNTIF(LISTS!$I$2:$I$16,TRIM($G1755))&gt;0,"COUNTED",IF(COUNTIF(LISTS!$J$2:$J$16,TRIM($G1755))&gt;0,"LEFT OUT","NEW")))</f>
        <v/>
      </c>
    </row>
    <row r="1756" spans="47:47" x14ac:dyDescent="0.25">
      <c r="AU1756" s="8" t="str">
        <f>IF(TRIM($G1756)="","",IF(COUNTIF(LISTS!$I$2:$I$16,TRIM($G1756))&gt;0,"COUNTED",IF(COUNTIF(LISTS!$J$2:$J$16,TRIM($G1756))&gt;0,"LEFT OUT","NEW")))</f>
        <v/>
      </c>
    </row>
    <row r="1757" spans="47:47" x14ac:dyDescent="0.25">
      <c r="AU1757" s="8" t="str">
        <f>IF(TRIM($G1757)="","",IF(COUNTIF(LISTS!$I$2:$I$16,TRIM($G1757))&gt;0,"COUNTED",IF(COUNTIF(LISTS!$J$2:$J$16,TRIM($G1757))&gt;0,"LEFT OUT","NEW")))</f>
        <v/>
      </c>
    </row>
    <row r="1758" spans="47:47" x14ac:dyDescent="0.25">
      <c r="AU1758" s="8" t="str">
        <f>IF(TRIM($G1758)="","",IF(COUNTIF(LISTS!$I$2:$I$16,TRIM($G1758))&gt;0,"COUNTED",IF(COUNTIF(LISTS!$J$2:$J$16,TRIM($G1758))&gt;0,"LEFT OUT","NEW")))</f>
        <v/>
      </c>
    </row>
    <row r="1759" spans="47:47" x14ac:dyDescent="0.25">
      <c r="AU1759" s="8" t="str">
        <f>IF(TRIM($G1759)="","",IF(COUNTIF(LISTS!$I$2:$I$16,TRIM($G1759))&gt;0,"COUNTED",IF(COUNTIF(LISTS!$J$2:$J$16,TRIM($G1759))&gt;0,"LEFT OUT","NEW")))</f>
        <v/>
      </c>
    </row>
    <row r="1760" spans="47:47" x14ac:dyDescent="0.25">
      <c r="AU1760" s="8" t="str">
        <f>IF(TRIM($G1760)="","",IF(COUNTIF(LISTS!$I$2:$I$16,TRIM($G1760))&gt;0,"COUNTED",IF(COUNTIF(LISTS!$J$2:$J$16,TRIM($G1760))&gt;0,"LEFT OUT","NEW")))</f>
        <v/>
      </c>
    </row>
    <row r="1761" spans="47:47" x14ac:dyDescent="0.25">
      <c r="AU1761" s="8" t="str">
        <f>IF(TRIM($G1761)="","",IF(COUNTIF(LISTS!$I$2:$I$16,TRIM($G1761))&gt;0,"COUNTED",IF(COUNTIF(LISTS!$J$2:$J$16,TRIM($G1761))&gt;0,"LEFT OUT","NEW")))</f>
        <v/>
      </c>
    </row>
    <row r="1762" spans="47:47" x14ac:dyDescent="0.25">
      <c r="AU1762" s="8" t="str">
        <f>IF(TRIM($G1762)="","",IF(COUNTIF(LISTS!$I$2:$I$16,TRIM($G1762))&gt;0,"COUNTED",IF(COUNTIF(LISTS!$J$2:$J$16,TRIM($G1762))&gt;0,"LEFT OUT","NEW")))</f>
        <v/>
      </c>
    </row>
    <row r="1763" spans="47:47" x14ac:dyDescent="0.25">
      <c r="AU1763" s="8" t="str">
        <f>IF(TRIM($G1763)="","",IF(COUNTIF(LISTS!$I$2:$I$16,TRIM($G1763))&gt;0,"COUNTED",IF(COUNTIF(LISTS!$J$2:$J$16,TRIM($G1763))&gt;0,"LEFT OUT","NEW")))</f>
        <v/>
      </c>
    </row>
    <row r="1764" spans="47:47" x14ac:dyDescent="0.25">
      <c r="AU1764" s="8" t="str">
        <f>IF(TRIM($G1764)="","",IF(COUNTIF(LISTS!$I$2:$I$16,TRIM($G1764))&gt;0,"COUNTED",IF(COUNTIF(LISTS!$J$2:$J$16,TRIM($G1764))&gt;0,"LEFT OUT","NEW")))</f>
        <v/>
      </c>
    </row>
    <row r="1765" spans="47:47" x14ac:dyDescent="0.25">
      <c r="AU1765" s="8" t="str">
        <f>IF(TRIM($G1765)="","",IF(COUNTIF(LISTS!$I$2:$I$16,TRIM($G1765))&gt;0,"COUNTED",IF(COUNTIF(LISTS!$J$2:$J$16,TRIM($G1765))&gt;0,"LEFT OUT","NEW")))</f>
        <v/>
      </c>
    </row>
    <row r="1766" spans="47:47" x14ac:dyDescent="0.25">
      <c r="AU1766" s="8" t="str">
        <f>IF(TRIM($G1766)="","",IF(COUNTIF(LISTS!$I$2:$I$16,TRIM($G1766))&gt;0,"COUNTED",IF(COUNTIF(LISTS!$J$2:$J$16,TRIM($G1766))&gt;0,"LEFT OUT","NEW")))</f>
        <v/>
      </c>
    </row>
    <row r="1767" spans="47:47" x14ac:dyDescent="0.25">
      <c r="AU1767" s="8" t="str">
        <f>IF(TRIM($G1767)="","",IF(COUNTIF(LISTS!$I$2:$I$16,TRIM($G1767))&gt;0,"COUNTED",IF(COUNTIF(LISTS!$J$2:$J$16,TRIM($G1767))&gt;0,"LEFT OUT","NEW")))</f>
        <v/>
      </c>
    </row>
    <row r="1768" spans="47:47" x14ac:dyDescent="0.25">
      <c r="AU1768" s="8" t="str">
        <f>IF(TRIM($G1768)="","",IF(COUNTIF(LISTS!$I$2:$I$16,TRIM($G1768))&gt;0,"COUNTED",IF(COUNTIF(LISTS!$J$2:$J$16,TRIM($G1768))&gt;0,"LEFT OUT","NEW")))</f>
        <v/>
      </c>
    </row>
    <row r="1769" spans="47:47" x14ac:dyDescent="0.25">
      <c r="AU1769" s="8" t="str">
        <f>IF(TRIM($G1769)="","",IF(COUNTIF(LISTS!$I$2:$I$16,TRIM($G1769))&gt;0,"COUNTED",IF(COUNTIF(LISTS!$J$2:$J$16,TRIM($G1769))&gt;0,"LEFT OUT","NEW")))</f>
        <v/>
      </c>
    </row>
    <row r="1770" spans="47:47" x14ac:dyDescent="0.25">
      <c r="AU1770" s="8" t="str">
        <f>IF(TRIM($G1770)="","",IF(COUNTIF(LISTS!$I$2:$I$16,TRIM($G1770))&gt;0,"COUNTED",IF(COUNTIF(LISTS!$J$2:$J$16,TRIM($G1770))&gt;0,"LEFT OUT","NEW")))</f>
        <v/>
      </c>
    </row>
    <row r="1771" spans="47:47" x14ac:dyDescent="0.25">
      <c r="AU1771" s="8" t="str">
        <f>IF(TRIM($G1771)="","",IF(COUNTIF(LISTS!$I$2:$I$16,TRIM($G1771))&gt;0,"COUNTED",IF(COUNTIF(LISTS!$J$2:$J$16,TRIM($G1771))&gt;0,"LEFT OUT","NEW")))</f>
        <v/>
      </c>
    </row>
    <row r="1772" spans="47:47" x14ac:dyDescent="0.25">
      <c r="AU1772" s="8" t="str">
        <f>IF(TRIM($G1772)="","",IF(COUNTIF(LISTS!$I$2:$I$16,TRIM($G1772))&gt;0,"COUNTED",IF(COUNTIF(LISTS!$J$2:$J$16,TRIM($G1772))&gt;0,"LEFT OUT","NEW")))</f>
        <v/>
      </c>
    </row>
    <row r="1773" spans="47:47" x14ac:dyDescent="0.25">
      <c r="AU1773" s="8" t="str">
        <f>IF(TRIM($G1773)="","",IF(COUNTIF(LISTS!$I$2:$I$16,TRIM($G1773))&gt;0,"COUNTED",IF(COUNTIF(LISTS!$J$2:$J$16,TRIM($G1773))&gt;0,"LEFT OUT","NEW")))</f>
        <v/>
      </c>
    </row>
    <row r="1774" spans="47:47" x14ac:dyDescent="0.25">
      <c r="AU1774" s="8" t="str">
        <f>IF(TRIM($G1774)="","",IF(COUNTIF(LISTS!$I$2:$I$16,TRIM($G1774))&gt;0,"COUNTED",IF(COUNTIF(LISTS!$J$2:$J$16,TRIM($G1774))&gt;0,"LEFT OUT","NEW")))</f>
        <v/>
      </c>
    </row>
    <row r="1775" spans="47:47" x14ac:dyDescent="0.25">
      <c r="AU1775" s="8" t="str">
        <f>IF(TRIM($G1775)="","",IF(COUNTIF(LISTS!$I$2:$I$16,TRIM($G1775))&gt;0,"COUNTED",IF(COUNTIF(LISTS!$J$2:$J$16,TRIM($G1775))&gt;0,"LEFT OUT","NEW")))</f>
        <v/>
      </c>
    </row>
    <row r="1776" spans="47:47" x14ac:dyDescent="0.25">
      <c r="AU1776" s="8" t="str">
        <f>IF(TRIM($G1776)="","",IF(COUNTIF(LISTS!$I$2:$I$16,TRIM($G1776))&gt;0,"COUNTED",IF(COUNTIF(LISTS!$J$2:$J$16,TRIM($G1776))&gt;0,"LEFT OUT","NEW")))</f>
        <v/>
      </c>
    </row>
    <row r="1777" spans="47:47" x14ac:dyDescent="0.25">
      <c r="AU1777" s="8" t="str">
        <f>IF(TRIM($G1777)="","",IF(COUNTIF(LISTS!$I$2:$I$16,TRIM($G1777))&gt;0,"COUNTED",IF(COUNTIF(LISTS!$J$2:$J$16,TRIM($G1777))&gt;0,"LEFT OUT","NEW")))</f>
        <v/>
      </c>
    </row>
    <row r="1778" spans="47:47" x14ac:dyDescent="0.25">
      <c r="AU1778" s="8" t="str">
        <f>IF(TRIM($G1778)="","",IF(COUNTIF(LISTS!$I$2:$I$16,TRIM($G1778))&gt;0,"COUNTED",IF(COUNTIF(LISTS!$J$2:$J$16,TRIM($G1778))&gt;0,"LEFT OUT","NEW")))</f>
        <v/>
      </c>
    </row>
    <row r="1779" spans="47:47" x14ac:dyDescent="0.25">
      <c r="AU1779" s="8" t="str">
        <f>IF(TRIM($G1779)="","",IF(COUNTIF(LISTS!$I$2:$I$16,TRIM($G1779))&gt;0,"COUNTED",IF(COUNTIF(LISTS!$J$2:$J$16,TRIM($G1779))&gt;0,"LEFT OUT","NEW")))</f>
        <v/>
      </c>
    </row>
    <row r="1780" spans="47:47" x14ac:dyDescent="0.25">
      <c r="AU1780" s="8" t="str">
        <f>IF(TRIM($G1780)="","",IF(COUNTIF(LISTS!$I$2:$I$16,TRIM($G1780))&gt;0,"COUNTED",IF(COUNTIF(LISTS!$J$2:$J$16,TRIM($G1780))&gt;0,"LEFT OUT","NEW")))</f>
        <v/>
      </c>
    </row>
    <row r="1781" spans="47:47" x14ac:dyDescent="0.25">
      <c r="AU1781" s="8" t="str">
        <f>IF(TRIM($G1781)="","",IF(COUNTIF(LISTS!$I$2:$I$16,TRIM($G1781))&gt;0,"COUNTED",IF(COUNTIF(LISTS!$J$2:$J$16,TRIM($G1781))&gt;0,"LEFT OUT","NEW")))</f>
        <v/>
      </c>
    </row>
    <row r="1782" spans="47:47" x14ac:dyDescent="0.25">
      <c r="AU1782" s="8" t="str">
        <f>IF(TRIM($G1782)="","",IF(COUNTIF(LISTS!$I$2:$I$16,TRIM($G1782))&gt;0,"COUNTED",IF(COUNTIF(LISTS!$J$2:$J$16,TRIM($G1782))&gt;0,"LEFT OUT","NEW")))</f>
        <v/>
      </c>
    </row>
    <row r="1783" spans="47:47" x14ac:dyDescent="0.25">
      <c r="AU1783" s="8" t="str">
        <f>IF(TRIM($G1783)="","",IF(COUNTIF(LISTS!$I$2:$I$16,TRIM($G1783))&gt;0,"COUNTED",IF(COUNTIF(LISTS!$J$2:$J$16,TRIM($G1783))&gt;0,"LEFT OUT","NEW")))</f>
        <v/>
      </c>
    </row>
    <row r="1784" spans="47:47" x14ac:dyDescent="0.25">
      <c r="AU1784" s="8" t="str">
        <f>IF(TRIM($G1784)="","",IF(COUNTIF(LISTS!$I$2:$I$16,TRIM($G1784))&gt;0,"COUNTED",IF(COUNTIF(LISTS!$J$2:$J$16,TRIM($G1784))&gt;0,"LEFT OUT","NEW")))</f>
        <v/>
      </c>
    </row>
    <row r="1785" spans="47:47" x14ac:dyDescent="0.25">
      <c r="AU1785" s="8" t="str">
        <f>IF(TRIM($G1785)="","",IF(COUNTIF(LISTS!$I$2:$I$16,TRIM($G1785))&gt;0,"COUNTED",IF(COUNTIF(LISTS!$J$2:$J$16,TRIM($G1785))&gt;0,"LEFT OUT","NEW")))</f>
        <v/>
      </c>
    </row>
    <row r="1786" spans="47:47" x14ac:dyDescent="0.25">
      <c r="AU1786" s="8" t="str">
        <f>IF(TRIM($G1786)="","",IF(COUNTIF(LISTS!$I$2:$I$16,TRIM($G1786))&gt;0,"COUNTED",IF(COUNTIF(LISTS!$J$2:$J$16,TRIM($G1786))&gt;0,"LEFT OUT","NEW")))</f>
        <v/>
      </c>
    </row>
    <row r="1787" spans="47:47" x14ac:dyDescent="0.25">
      <c r="AU1787" s="8" t="str">
        <f>IF(TRIM($G1787)="","",IF(COUNTIF(LISTS!$I$2:$I$16,TRIM($G1787))&gt;0,"COUNTED",IF(COUNTIF(LISTS!$J$2:$J$16,TRIM($G1787))&gt;0,"LEFT OUT","NEW")))</f>
        <v/>
      </c>
    </row>
    <row r="1788" spans="47:47" x14ac:dyDescent="0.25">
      <c r="AU1788" s="8" t="str">
        <f>IF(TRIM($G1788)="","",IF(COUNTIF(LISTS!$I$2:$I$16,TRIM($G1788))&gt;0,"COUNTED",IF(COUNTIF(LISTS!$J$2:$J$16,TRIM($G1788))&gt;0,"LEFT OUT","NEW")))</f>
        <v/>
      </c>
    </row>
    <row r="1789" spans="47:47" x14ac:dyDescent="0.25">
      <c r="AU1789" s="8" t="str">
        <f>IF(TRIM($G1789)="","",IF(COUNTIF(LISTS!$I$2:$I$16,TRIM($G1789))&gt;0,"COUNTED",IF(COUNTIF(LISTS!$J$2:$J$16,TRIM($G1789))&gt;0,"LEFT OUT","NEW")))</f>
        <v/>
      </c>
    </row>
    <row r="1790" spans="47:47" x14ac:dyDescent="0.25">
      <c r="AU1790" s="8" t="str">
        <f>IF(TRIM($G1790)="","",IF(COUNTIF(LISTS!$I$2:$I$16,TRIM($G1790))&gt;0,"COUNTED",IF(COUNTIF(LISTS!$J$2:$J$16,TRIM($G1790))&gt;0,"LEFT OUT","NEW")))</f>
        <v/>
      </c>
    </row>
    <row r="1791" spans="47:47" x14ac:dyDescent="0.25">
      <c r="AU1791" s="8" t="str">
        <f>IF(TRIM($G1791)="","",IF(COUNTIF(LISTS!$I$2:$I$16,TRIM($G1791))&gt;0,"COUNTED",IF(COUNTIF(LISTS!$J$2:$J$16,TRIM($G1791))&gt;0,"LEFT OUT","NEW")))</f>
        <v/>
      </c>
    </row>
    <row r="1792" spans="47:47" x14ac:dyDescent="0.25">
      <c r="AU1792" s="8" t="str">
        <f>IF(TRIM($G1792)="","",IF(COUNTIF(LISTS!$I$2:$I$16,TRIM($G1792))&gt;0,"COUNTED",IF(COUNTIF(LISTS!$J$2:$J$16,TRIM($G1792))&gt;0,"LEFT OUT","NEW")))</f>
        <v/>
      </c>
    </row>
    <row r="1793" spans="47:47" x14ac:dyDescent="0.25">
      <c r="AU1793" s="8" t="str">
        <f>IF(TRIM($G1793)="","",IF(COUNTIF(LISTS!$I$2:$I$16,TRIM($G1793))&gt;0,"COUNTED",IF(COUNTIF(LISTS!$J$2:$J$16,TRIM($G1793))&gt;0,"LEFT OUT","NEW")))</f>
        <v/>
      </c>
    </row>
    <row r="1794" spans="47:47" x14ac:dyDescent="0.25">
      <c r="AU1794" s="8" t="str">
        <f>IF(TRIM($G1794)="","",IF(COUNTIF(LISTS!$I$2:$I$16,TRIM($G1794))&gt;0,"COUNTED",IF(COUNTIF(LISTS!$J$2:$J$16,TRIM($G1794))&gt;0,"LEFT OUT","NEW")))</f>
        <v/>
      </c>
    </row>
    <row r="1795" spans="47:47" x14ac:dyDescent="0.25">
      <c r="AU1795" s="8" t="str">
        <f>IF(TRIM($G1795)="","",IF(COUNTIF(LISTS!$I$2:$I$16,TRIM($G1795))&gt;0,"COUNTED",IF(COUNTIF(LISTS!$J$2:$J$16,TRIM($G1795))&gt;0,"LEFT OUT","NEW")))</f>
        <v/>
      </c>
    </row>
    <row r="1796" spans="47:47" x14ac:dyDescent="0.25">
      <c r="AU1796" s="8" t="str">
        <f>IF(TRIM($G1796)="","",IF(COUNTIF(LISTS!$I$2:$I$16,TRIM($G1796))&gt;0,"COUNTED",IF(COUNTIF(LISTS!$J$2:$J$16,TRIM($G1796))&gt;0,"LEFT OUT","NEW")))</f>
        <v/>
      </c>
    </row>
    <row r="1797" spans="47:47" x14ac:dyDescent="0.25">
      <c r="AU1797" s="8" t="str">
        <f>IF(TRIM($G1797)="","",IF(COUNTIF(LISTS!$I$2:$I$16,TRIM($G1797))&gt;0,"COUNTED",IF(COUNTIF(LISTS!$J$2:$J$16,TRIM($G1797))&gt;0,"LEFT OUT","NEW")))</f>
        <v/>
      </c>
    </row>
    <row r="1798" spans="47:47" x14ac:dyDescent="0.25">
      <c r="AU1798" s="8" t="str">
        <f>IF(TRIM($G1798)="","",IF(COUNTIF(LISTS!$I$2:$I$16,TRIM($G1798))&gt;0,"COUNTED",IF(COUNTIF(LISTS!$J$2:$J$16,TRIM($G1798))&gt;0,"LEFT OUT","NEW")))</f>
        <v/>
      </c>
    </row>
    <row r="1799" spans="47:47" x14ac:dyDescent="0.25">
      <c r="AU1799" s="8" t="str">
        <f>IF(TRIM($G1799)="","",IF(COUNTIF(LISTS!$I$2:$I$16,TRIM($G1799))&gt;0,"COUNTED",IF(COUNTIF(LISTS!$J$2:$J$16,TRIM($G1799))&gt;0,"LEFT OUT","NEW")))</f>
        <v/>
      </c>
    </row>
    <row r="1800" spans="47:47" x14ac:dyDescent="0.25">
      <c r="AU1800" s="8" t="str">
        <f>IF(TRIM($G1800)="","",IF(COUNTIF(LISTS!$I$2:$I$16,TRIM($G1800))&gt;0,"COUNTED",IF(COUNTIF(LISTS!$J$2:$J$16,TRIM($G1800))&gt;0,"LEFT OUT","NEW")))</f>
        <v/>
      </c>
    </row>
    <row r="1801" spans="47:47" x14ac:dyDescent="0.25">
      <c r="AU1801" s="8" t="str">
        <f>IF(TRIM($G1801)="","",IF(COUNTIF(LISTS!$I$2:$I$16,TRIM($G1801))&gt;0,"COUNTED",IF(COUNTIF(LISTS!$J$2:$J$16,TRIM($G1801))&gt;0,"LEFT OUT","NEW")))</f>
        <v/>
      </c>
    </row>
    <row r="1802" spans="47:47" x14ac:dyDescent="0.25">
      <c r="AU1802" s="8" t="str">
        <f>IF(TRIM($G1802)="","",IF(COUNTIF(LISTS!$I$2:$I$16,TRIM($G1802))&gt;0,"COUNTED",IF(COUNTIF(LISTS!$J$2:$J$16,TRIM($G1802))&gt;0,"LEFT OUT","NEW")))</f>
        <v/>
      </c>
    </row>
    <row r="1803" spans="47:47" x14ac:dyDescent="0.25">
      <c r="AU1803" s="8" t="str">
        <f>IF(TRIM($G1803)="","",IF(COUNTIF(LISTS!$I$2:$I$16,TRIM($G1803))&gt;0,"COUNTED",IF(COUNTIF(LISTS!$J$2:$J$16,TRIM($G1803))&gt;0,"LEFT OUT","NEW")))</f>
        <v/>
      </c>
    </row>
    <row r="1804" spans="47:47" x14ac:dyDescent="0.25">
      <c r="AU1804" s="8" t="str">
        <f>IF(TRIM($G1804)="","",IF(COUNTIF(LISTS!$I$2:$I$16,TRIM($G1804))&gt;0,"COUNTED",IF(COUNTIF(LISTS!$J$2:$J$16,TRIM($G1804))&gt;0,"LEFT OUT","NEW")))</f>
        <v/>
      </c>
    </row>
    <row r="1805" spans="47:47" x14ac:dyDescent="0.25">
      <c r="AU1805" s="8" t="str">
        <f>IF(TRIM($G1805)="","",IF(COUNTIF(LISTS!$I$2:$I$16,TRIM($G1805))&gt;0,"COUNTED",IF(COUNTIF(LISTS!$J$2:$J$16,TRIM($G1805))&gt;0,"LEFT OUT","NEW")))</f>
        <v/>
      </c>
    </row>
    <row r="1806" spans="47:47" x14ac:dyDescent="0.25">
      <c r="AU1806" s="8" t="str">
        <f>IF(TRIM($G1806)="","",IF(COUNTIF(LISTS!$I$2:$I$16,TRIM($G1806))&gt;0,"COUNTED",IF(COUNTIF(LISTS!$J$2:$J$16,TRIM($G1806))&gt;0,"LEFT OUT","NEW")))</f>
        <v/>
      </c>
    </row>
    <row r="1807" spans="47:47" x14ac:dyDescent="0.25">
      <c r="AU1807" s="8" t="str">
        <f>IF(TRIM($G1807)="","",IF(COUNTIF(LISTS!$I$2:$I$16,TRIM($G1807))&gt;0,"COUNTED",IF(COUNTIF(LISTS!$J$2:$J$16,TRIM($G1807))&gt;0,"LEFT OUT","NEW")))</f>
        <v/>
      </c>
    </row>
    <row r="1808" spans="47:47" x14ac:dyDescent="0.25">
      <c r="AU1808" s="8" t="str">
        <f>IF(TRIM($G1808)="","",IF(COUNTIF(LISTS!$I$2:$I$16,TRIM($G1808))&gt;0,"COUNTED",IF(COUNTIF(LISTS!$J$2:$J$16,TRIM($G1808))&gt;0,"LEFT OUT","NEW")))</f>
        <v/>
      </c>
    </row>
    <row r="1809" spans="47:47" x14ac:dyDescent="0.25">
      <c r="AU1809" s="8" t="str">
        <f>IF(TRIM($G1809)="","",IF(COUNTIF(LISTS!$I$2:$I$16,TRIM($G1809))&gt;0,"COUNTED",IF(COUNTIF(LISTS!$J$2:$J$16,TRIM($G1809))&gt;0,"LEFT OUT","NEW")))</f>
        <v/>
      </c>
    </row>
    <row r="1810" spans="47:47" x14ac:dyDescent="0.25">
      <c r="AU1810" s="8" t="str">
        <f>IF(TRIM($G1810)="","",IF(COUNTIF(LISTS!$I$2:$I$16,TRIM($G1810))&gt;0,"COUNTED",IF(COUNTIF(LISTS!$J$2:$J$16,TRIM($G1810))&gt;0,"LEFT OUT","NEW")))</f>
        <v/>
      </c>
    </row>
    <row r="1811" spans="47:47" x14ac:dyDescent="0.25">
      <c r="AU1811" s="8" t="str">
        <f>IF(TRIM($G1811)="","",IF(COUNTIF(LISTS!$I$2:$I$16,TRIM($G1811))&gt;0,"COUNTED",IF(COUNTIF(LISTS!$J$2:$J$16,TRIM($G1811))&gt;0,"LEFT OUT","NEW")))</f>
        <v/>
      </c>
    </row>
    <row r="1812" spans="47:47" x14ac:dyDescent="0.25">
      <c r="AU1812" s="8" t="str">
        <f>IF(TRIM($G1812)="","",IF(COUNTIF(LISTS!$I$2:$I$16,TRIM($G1812))&gt;0,"COUNTED",IF(COUNTIF(LISTS!$J$2:$J$16,TRIM($G1812))&gt;0,"LEFT OUT","NEW")))</f>
        <v/>
      </c>
    </row>
    <row r="1813" spans="47:47" x14ac:dyDescent="0.25">
      <c r="AU1813" s="8" t="str">
        <f>IF(TRIM($G1813)="","",IF(COUNTIF(LISTS!$I$2:$I$16,TRIM($G1813))&gt;0,"COUNTED",IF(COUNTIF(LISTS!$J$2:$J$16,TRIM($G1813))&gt;0,"LEFT OUT","NEW")))</f>
        <v/>
      </c>
    </row>
    <row r="1814" spans="47:47" x14ac:dyDescent="0.25">
      <c r="AU1814" s="8" t="str">
        <f>IF(TRIM($G1814)="","",IF(COUNTIF(LISTS!$I$2:$I$16,TRIM($G1814))&gt;0,"COUNTED",IF(COUNTIF(LISTS!$J$2:$J$16,TRIM($G1814))&gt;0,"LEFT OUT","NEW")))</f>
        <v/>
      </c>
    </row>
    <row r="1815" spans="47:47" x14ac:dyDescent="0.25">
      <c r="AU1815" s="8" t="str">
        <f>IF(TRIM($G1815)="","",IF(COUNTIF(LISTS!$I$2:$I$16,TRIM($G1815))&gt;0,"COUNTED",IF(COUNTIF(LISTS!$J$2:$J$16,TRIM($G1815))&gt;0,"LEFT OUT","NEW")))</f>
        <v/>
      </c>
    </row>
    <row r="1816" spans="47:47" x14ac:dyDescent="0.25">
      <c r="AU1816" s="8" t="str">
        <f>IF(TRIM($G1816)="","",IF(COUNTIF(LISTS!$I$2:$I$16,TRIM($G1816))&gt;0,"COUNTED",IF(COUNTIF(LISTS!$J$2:$J$16,TRIM($G1816))&gt;0,"LEFT OUT","NEW")))</f>
        <v/>
      </c>
    </row>
    <row r="1817" spans="47:47" x14ac:dyDescent="0.25">
      <c r="AU1817" s="8" t="str">
        <f>IF(TRIM($G1817)="","",IF(COUNTIF(LISTS!$I$2:$I$16,TRIM($G1817))&gt;0,"COUNTED",IF(COUNTIF(LISTS!$J$2:$J$16,TRIM($G1817))&gt;0,"LEFT OUT","NEW")))</f>
        <v/>
      </c>
    </row>
    <row r="1818" spans="47:47" x14ac:dyDescent="0.25">
      <c r="AU1818" s="8" t="str">
        <f>IF(TRIM($G1818)="","",IF(COUNTIF(LISTS!$I$2:$I$16,TRIM($G1818))&gt;0,"COUNTED",IF(COUNTIF(LISTS!$J$2:$J$16,TRIM($G1818))&gt;0,"LEFT OUT","NEW")))</f>
        <v/>
      </c>
    </row>
    <row r="1819" spans="47:47" x14ac:dyDescent="0.25">
      <c r="AU1819" s="8" t="str">
        <f>IF(TRIM($G1819)="","",IF(COUNTIF(LISTS!$I$2:$I$16,TRIM($G1819))&gt;0,"COUNTED",IF(COUNTIF(LISTS!$J$2:$J$16,TRIM($G1819))&gt;0,"LEFT OUT","NEW")))</f>
        <v/>
      </c>
    </row>
    <row r="1820" spans="47:47" x14ac:dyDescent="0.25">
      <c r="AU1820" s="8" t="str">
        <f>IF(TRIM($G1820)="","",IF(COUNTIF(LISTS!$I$2:$I$16,TRIM($G1820))&gt;0,"COUNTED",IF(COUNTIF(LISTS!$J$2:$J$16,TRIM($G1820))&gt;0,"LEFT OUT","NEW")))</f>
        <v/>
      </c>
    </row>
    <row r="1821" spans="47:47" x14ac:dyDescent="0.25">
      <c r="AU1821" s="8" t="str">
        <f>IF(TRIM($G1821)="","",IF(COUNTIF(LISTS!$I$2:$I$16,TRIM($G1821))&gt;0,"COUNTED",IF(COUNTIF(LISTS!$J$2:$J$16,TRIM($G1821))&gt;0,"LEFT OUT","NEW")))</f>
        <v/>
      </c>
    </row>
    <row r="1822" spans="47:47" x14ac:dyDescent="0.25">
      <c r="AU1822" s="8" t="str">
        <f>IF(TRIM($G1822)="","",IF(COUNTIF(LISTS!$I$2:$I$16,TRIM($G1822))&gt;0,"COUNTED",IF(COUNTIF(LISTS!$J$2:$J$16,TRIM($G1822))&gt;0,"LEFT OUT","NEW")))</f>
        <v/>
      </c>
    </row>
    <row r="1823" spans="47:47" x14ac:dyDescent="0.25">
      <c r="AU1823" s="8" t="str">
        <f>IF(TRIM($G1823)="","",IF(COUNTIF(LISTS!$I$2:$I$16,TRIM($G1823))&gt;0,"COUNTED",IF(COUNTIF(LISTS!$J$2:$J$16,TRIM($G1823))&gt;0,"LEFT OUT","NEW")))</f>
        <v/>
      </c>
    </row>
    <row r="1824" spans="47:47" x14ac:dyDescent="0.25">
      <c r="AU1824" s="8" t="str">
        <f>IF(TRIM($G1824)="","",IF(COUNTIF(LISTS!$I$2:$I$16,TRIM($G1824))&gt;0,"COUNTED",IF(COUNTIF(LISTS!$J$2:$J$16,TRIM($G1824))&gt;0,"LEFT OUT","NEW")))</f>
        <v/>
      </c>
    </row>
    <row r="1825" spans="47:47" x14ac:dyDescent="0.25">
      <c r="AU1825" s="8" t="str">
        <f>IF(TRIM($G1825)="","",IF(COUNTIF(LISTS!$I$2:$I$16,TRIM($G1825))&gt;0,"COUNTED",IF(COUNTIF(LISTS!$J$2:$J$16,TRIM($G1825))&gt;0,"LEFT OUT","NEW")))</f>
        <v/>
      </c>
    </row>
    <row r="1826" spans="47:47" x14ac:dyDescent="0.25">
      <c r="AU1826" s="8" t="str">
        <f>IF(TRIM($G1826)="","",IF(COUNTIF(LISTS!$I$2:$I$16,TRIM($G1826))&gt;0,"COUNTED",IF(COUNTIF(LISTS!$J$2:$J$16,TRIM($G1826))&gt;0,"LEFT OUT","NEW")))</f>
        <v/>
      </c>
    </row>
    <row r="1827" spans="47:47" x14ac:dyDescent="0.25">
      <c r="AU1827" s="8" t="str">
        <f>IF(TRIM($G1827)="","",IF(COUNTIF(LISTS!$I$2:$I$16,TRIM($G1827))&gt;0,"COUNTED",IF(COUNTIF(LISTS!$J$2:$J$16,TRIM($G1827))&gt;0,"LEFT OUT","NEW")))</f>
        <v/>
      </c>
    </row>
    <row r="1828" spans="47:47" x14ac:dyDescent="0.25">
      <c r="AU1828" s="8" t="str">
        <f>IF(TRIM($G1828)="","",IF(COUNTIF(LISTS!$I$2:$I$16,TRIM($G1828))&gt;0,"COUNTED",IF(COUNTIF(LISTS!$J$2:$J$16,TRIM($G1828))&gt;0,"LEFT OUT","NEW")))</f>
        <v/>
      </c>
    </row>
    <row r="1829" spans="47:47" x14ac:dyDescent="0.25">
      <c r="AU1829" s="8" t="str">
        <f>IF(TRIM($G1829)="","",IF(COUNTIF(LISTS!$I$2:$I$16,TRIM($G1829))&gt;0,"COUNTED",IF(COUNTIF(LISTS!$J$2:$J$16,TRIM($G1829))&gt;0,"LEFT OUT","NEW")))</f>
        <v/>
      </c>
    </row>
    <row r="1830" spans="47:47" x14ac:dyDescent="0.25">
      <c r="AU1830" s="8" t="str">
        <f>IF(TRIM($G1830)="","",IF(COUNTIF(LISTS!$I$2:$I$16,TRIM($G1830))&gt;0,"COUNTED",IF(COUNTIF(LISTS!$J$2:$J$16,TRIM($G1830))&gt;0,"LEFT OUT","NEW")))</f>
        <v/>
      </c>
    </row>
    <row r="1831" spans="47:47" x14ac:dyDescent="0.25">
      <c r="AU1831" s="8" t="str">
        <f>IF(TRIM($G1831)="","",IF(COUNTIF(LISTS!$I$2:$I$16,TRIM($G1831))&gt;0,"COUNTED",IF(COUNTIF(LISTS!$J$2:$J$16,TRIM($G1831))&gt;0,"LEFT OUT","NEW")))</f>
        <v/>
      </c>
    </row>
    <row r="1832" spans="47:47" x14ac:dyDescent="0.25">
      <c r="AU1832" s="8" t="str">
        <f>IF(TRIM($G1832)="","",IF(COUNTIF(LISTS!$I$2:$I$16,TRIM($G1832))&gt;0,"COUNTED",IF(COUNTIF(LISTS!$J$2:$J$16,TRIM($G1832))&gt;0,"LEFT OUT","NEW")))</f>
        <v/>
      </c>
    </row>
    <row r="1833" spans="47:47" x14ac:dyDescent="0.25">
      <c r="AU1833" s="8" t="str">
        <f>IF(TRIM($G1833)="","",IF(COUNTIF(LISTS!$I$2:$I$16,TRIM($G1833))&gt;0,"COUNTED",IF(COUNTIF(LISTS!$J$2:$J$16,TRIM($G1833))&gt;0,"LEFT OUT","NEW")))</f>
        <v/>
      </c>
    </row>
    <row r="1834" spans="47:47" x14ac:dyDescent="0.25">
      <c r="AU1834" s="8" t="str">
        <f>IF(TRIM($G1834)="","",IF(COUNTIF(LISTS!$I$2:$I$16,TRIM($G1834))&gt;0,"COUNTED",IF(COUNTIF(LISTS!$J$2:$J$16,TRIM($G1834))&gt;0,"LEFT OUT","NEW")))</f>
        <v/>
      </c>
    </row>
    <row r="1835" spans="47:47" x14ac:dyDescent="0.25">
      <c r="AU1835" s="8" t="str">
        <f>IF(TRIM($G1835)="","",IF(COUNTIF(LISTS!$I$2:$I$16,TRIM($G1835))&gt;0,"COUNTED",IF(COUNTIF(LISTS!$J$2:$J$16,TRIM($G1835))&gt;0,"LEFT OUT","NEW")))</f>
        <v/>
      </c>
    </row>
    <row r="1836" spans="47:47" x14ac:dyDescent="0.25">
      <c r="AU1836" s="8" t="str">
        <f>IF(TRIM($G1836)="","",IF(COUNTIF(LISTS!$I$2:$I$16,TRIM($G1836))&gt;0,"COUNTED",IF(COUNTIF(LISTS!$J$2:$J$16,TRIM($G1836))&gt;0,"LEFT OUT","NEW")))</f>
        <v/>
      </c>
    </row>
    <row r="1837" spans="47:47" x14ac:dyDescent="0.25">
      <c r="AU1837" s="8" t="str">
        <f>IF(TRIM($G1837)="","",IF(COUNTIF(LISTS!$I$2:$I$16,TRIM($G1837))&gt;0,"COUNTED",IF(COUNTIF(LISTS!$J$2:$J$16,TRIM($G1837))&gt;0,"LEFT OUT","NEW")))</f>
        <v/>
      </c>
    </row>
    <row r="1838" spans="47:47" x14ac:dyDescent="0.25">
      <c r="AU1838" s="8" t="str">
        <f>IF(TRIM($G1838)="","",IF(COUNTIF(LISTS!$I$2:$I$16,TRIM($G1838))&gt;0,"COUNTED",IF(COUNTIF(LISTS!$J$2:$J$16,TRIM($G1838))&gt;0,"LEFT OUT","NEW")))</f>
        <v/>
      </c>
    </row>
    <row r="1839" spans="47:47" x14ac:dyDescent="0.25">
      <c r="AU1839" s="8" t="str">
        <f>IF(TRIM($G1839)="","",IF(COUNTIF(LISTS!$I$2:$I$16,TRIM($G1839))&gt;0,"COUNTED",IF(COUNTIF(LISTS!$J$2:$J$16,TRIM($G1839))&gt;0,"LEFT OUT","NEW")))</f>
        <v/>
      </c>
    </row>
    <row r="1840" spans="47:47" x14ac:dyDescent="0.25">
      <c r="AU1840" s="8" t="str">
        <f>IF(TRIM($G1840)="","",IF(COUNTIF(LISTS!$I$2:$I$16,TRIM($G1840))&gt;0,"COUNTED",IF(COUNTIF(LISTS!$J$2:$J$16,TRIM($G1840))&gt;0,"LEFT OUT","NEW")))</f>
        <v/>
      </c>
    </row>
    <row r="1841" spans="47:47" x14ac:dyDescent="0.25">
      <c r="AU1841" s="8" t="str">
        <f>IF(TRIM($G1841)="","",IF(COUNTIF(LISTS!$I$2:$I$16,TRIM($G1841))&gt;0,"COUNTED",IF(COUNTIF(LISTS!$J$2:$J$16,TRIM($G1841))&gt;0,"LEFT OUT","NEW")))</f>
        <v/>
      </c>
    </row>
    <row r="1842" spans="47:47" x14ac:dyDescent="0.25">
      <c r="AU1842" s="8" t="str">
        <f>IF(TRIM($G1842)="","",IF(COUNTIF(LISTS!$I$2:$I$16,TRIM($G1842))&gt;0,"COUNTED",IF(COUNTIF(LISTS!$J$2:$J$16,TRIM($G1842))&gt;0,"LEFT OUT","NEW")))</f>
        <v/>
      </c>
    </row>
    <row r="1843" spans="47:47" x14ac:dyDescent="0.25">
      <c r="AU1843" s="8" t="str">
        <f>IF(TRIM($G1843)="","",IF(COUNTIF(LISTS!$I$2:$I$16,TRIM($G1843))&gt;0,"COUNTED",IF(COUNTIF(LISTS!$J$2:$J$16,TRIM($G1843))&gt;0,"LEFT OUT","NEW")))</f>
        <v/>
      </c>
    </row>
    <row r="1844" spans="47:47" x14ac:dyDescent="0.25">
      <c r="AU1844" s="8" t="str">
        <f>IF(TRIM($G1844)="","",IF(COUNTIF(LISTS!$I$2:$I$16,TRIM($G1844))&gt;0,"COUNTED",IF(COUNTIF(LISTS!$J$2:$J$16,TRIM($G1844))&gt;0,"LEFT OUT","NEW")))</f>
        <v/>
      </c>
    </row>
    <row r="1845" spans="47:47" x14ac:dyDescent="0.25">
      <c r="AU1845" s="8" t="str">
        <f>IF(TRIM($G1845)="","",IF(COUNTIF(LISTS!$I$2:$I$16,TRIM($G1845))&gt;0,"COUNTED",IF(COUNTIF(LISTS!$J$2:$J$16,TRIM($G1845))&gt;0,"LEFT OUT","NEW")))</f>
        <v/>
      </c>
    </row>
    <row r="1846" spans="47:47" x14ac:dyDescent="0.25">
      <c r="AU1846" s="8" t="str">
        <f>IF(TRIM($G1846)="","",IF(COUNTIF(LISTS!$I$2:$I$16,TRIM($G1846))&gt;0,"COUNTED",IF(COUNTIF(LISTS!$J$2:$J$16,TRIM($G1846))&gt;0,"LEFT OUT","NEW")))</f>
        <v/>
      </c>
    </row>
    <row r="1847" spans="47:47" x14ac:dyDescent="0.25">
      <c r="AU1847" s="8" t="str">
        <f>IF(TRIM($G1847)="","",IF(COUNTIF(LISTS!$I$2:$I$16,TRIM($G1847))&gt;0,"COUNTED",IF(COUNTIF(LISTS!$J$2:$J$16,TRIM($G1847))&gt;0,"LEFT OUT","NEW")))</f>
        <v/>
      </c>
    </row>
    <row r="1848" spans="47:47" x14ac:dyDescent="0.25">
      <c r="AU1848" s="8" t="str">
        <f>IF(TRIM($G1848)="","",IF(COUNTIF(LISTS!$I$2:$I$16,TRIM($G1848))&gt;0,"COUNTED",IF(COUNTIF(LISTS!$J$2:$J$16,TRIM($G1848))&gt;0,"LEFT OUT","NEW")))</f>
        <v/>
      </c>
    </row>
    <row r="1849" spans="47:47" x14ac:dyDescent="0.25">
      <c r="AU1849" s="8" t="str">
        <f>IF(TRIM($G1849)="","",IF(COUNTIF(LISTS!$I$2:$I$16,TRIM($G1849))&gt;0,"COUNTED",IF(COUNTIF(LISTS!$J$2:$J$16,TRIM($G1849))&gt;0,"LEFT OUT","NEW")))</f>
        <v/>
      </c>
    </row>
    <row r="1850" spans="47:47" x14ac:dyDescent="0.25">
      <c r="AU1850" s="8" t="str">
        <f>IF(TRIM($G1850)="","",IF(COUNTIF(LISTS!$I$2:$I$16,TRIM($G1850))&gt;0,"COUNTED",IF(COUNTIF(LISTS!$J$2:$J$16,TRIM($G1850))&gt;0,"LEFT OUT","NEW")))</f>
        <v/>
      </c>
    </row>
    <row r="1851" spans="47:47" x14ac:dyDescent="0.25">
      <c r="AU1851" s="8" t="str">
        <f>IF(TRIM($G1851)="","",IF(COUNTIF(LISTS!$I$2:$I$16,TRIM($G1851))&gt;0,"COUNTED",IF(COUNTIF(LISTS!$J$2:$J$16,TRIM($G1851))&gt;0,"LEFT OUT","NEW")))</f>
        <v/>
      </c>
    </row>
    <row r="1852" spans="47:47" x14ac:dyDescent="0.25">
      <c r="AU1852" s="8" t="str">
        <f>IF(TRIM($G1852)="","",IF(COUNTIF(LISTS!$I$2:$I$16,TRIM($G1852))&gt;0,"COUNTED",IF(COUNTIF(LISTS!$J$2:$J$16,TRIM($G1852))&gt;0,"LEFT OUT","NEW")))</f>
        <v/>
      </c>
    </row>
    <row r="1853" spans="47:47" x14ac:dyDescent="0.25">
      <c r="AU1853" s="8" t="str">
        <f>IF(TRIM($G1853)="","",IF(COUNTIF(LISTS!$I$2:$I$16,TRIM($G1853))&gt;0,"COUNTED",IF(COUNTIF(LISTS!$J$2:$J$16,TRIM($G1853))&gt;0,"LEFT OUT","NEW")))</f>
        <v/>
      </c>
    </row>
    <row r="1854" spans="47:47" x14ac:dyDescent="0.25">
      <c r="AU1854" s="8" t="str">
        <f>IF(TRIM($G1854)="","",IF(COUNTIF(LISTS!$I$2:$I$16,TRIM($G1854))&gt;0,"COUNTED",IF(COUNTIF(LISTS!$J$2:$J$16,TRIM($G1854))&gt;0,"LEFT OUT","NEW")))</f>
        <v/>
      </c>
    </row>
    <row r="1855" spans="47:47" x14ac:dyDescent="0.25">
      <c r="AU1855" s="8" t="str">
        <f>IF(TRIM($G1855)="","",IF(COUNTIF(LISTS!$I$2:$I$16,TRIM($G1855))&gt;0,"COUNTED",IF(COUNTIF(LISTS!$J$2:$J$16,TRIM($G1855))&gt;0,"LEFT OUT","NEW")))</f>
        <v/>
      </c>
    </row>
    <row r="1856" spans="47:47" x14ac:dyDescent="0.25">
      <c r="AU1856" s="8" t="str">
        <f>IF(TRIM($G1856)="","",IF(COUNTIF(LISTS!$I$2:$I$16,TRIM($G1856))&gt;0,"COUNTED",IF(COUNTIF(LISTS!$J$2:$J$16,TRIM($G1856))&gt;0,"LEFT OUT","NEW")))</f>
        <v/>
      </c>
    </row>
    <row r="1857" spans="47:47" x14ac:dyDescent="0.25">
      <c r="AU1857" s="8" t="str">
        <f>IF(TRIM($G1857)="","",IF(COUNTIF(LISTS!$I$2:$I$16,TRIM($G1857))&gt;0,"COUNTED",IF(COUNTIF(LISTS!$J$2:$J$16,TRIM($G1857))&gt;0,"LEFT OUT","NEW")))</f>
        <v/>
      </c>
    </row>
    <row r="1858" spans="47:47" x14ac:dyDescent="0.25">
      <c r="AU1858" s="8" t="str">
        <f>IF(TRIM($G1858)="","",IF(COUNTIF(LISTS!$I$2:$I$16,TRIM($G1858))&gt;0,"COUNTED",IF(COUNTIF(LISTS!$J$2:$J$16,TRIM($G1858))&gt;0,"LEFT OUT","NEW")))</f>
        <v/>
      </c>
    </row>
    <row r="1859" spans="47:47" x14ac:dyDescent="0.25">
      <c r="AU1859" s="8" t="str">
        <f>IF(TRIM($G1859)="","",IF(COUNTIF(LISTS!$I$2:$I$16,TRIM($G1859))&gt;0,"COUNTED",IF(COUNTIF(LISTS!$J$2:$J$16,TRIM($G1859))&gt;0,"LEFT OUT","NEW")))</f>
        <v/>
      </c>
    </row>
    <row r="1860" spans="47:47" x14ac:dyDescent="0.25">
      <c r="AU1860" s="8" t="str">
        <f>IF(TRIM($G1860)="","",IF(COUNTIF(LISTS!$I$2:$I$16,TRIM($G1860))&gt;0,"COUNTED",IF(COUNTIF(LISTS!$J$2:$J$16,TRIM($G1860))&gt;0,"LEFT OUT","NEW")))</f>
        <v/>
      </c>
    </row>
    <row r="1861" spans="47:47" x14ac:dyDescent="0.25">
      <c r="AU1861" s="8" t="str">
        <f>IF(TRIM($G1861)="","",IF(COUNTIF(LISTS!$I$2:$I$16,TRIM($G1861))&gt;0,"COUNTED",IF(COUNTIF(LISTS!$J$2:$J$16,TRIM($G1861))&gt;0,"LEFT OUT","NEW")))</f>
        <v/>
      </c>
    </row>
    <row r="1862" spans="47:47" x14ac:dyDescent="0.25">
      <c r="AU1862" s="8" t="str">
        <f>IF(TRIM($G1862)="","",IF(COUNTIF(LISTS!$I$2:$I$16,TRIM($G1862))&gt;0,"COUNTED",IF(COUNTIF(LISTS!$J$2:$J$16,TRIM($G1862))&gt;0,"LEFT OUT","NEW")))</f>
        <v/>
      </c>
    </row>
    <row r="1863" spans="47:47" x14ac:dyDescent="0.25">
      <c r="AU1863" s="8" t="str">
        <f>IF(TRIM($G1863)="","",IF(COUNTIF(LISTS!$I$2:$I$16,TRIM($G1863))&gt;0,"COUNTED",IF(COUNTIF(LISTS!$J$2:$J$16,TRIM($G1863))&gt;0,"LEFT OUT","NEW")))</f>
        <v/>
      </c>
    </row>
    <row r="1864" spans="47:47" x14ac:dyDescent="0.25">
      <c r="AU1864" s="8" t="str">
        <f>IF(TRIM($G1864)="","",IF(COUNTIF(LISTS!$I$2:$I$16,TRIM($G1864))&gt;0,"COUNTED",IF(COUNTIF(LISTS!$J$2:$J$16,TRIM($G1864))&gt;0,"LEFT OUT","NEW")))</f>
        <v/>
      </c>
    </row>
    <row r="1865" spans="47:47" x14ac:dyDescent="0.25">
      <c r="AU1865" s="8" t="str">
        <f>IF(TRIM($G1865)="","",IF(COUNTIF(LISTS!$I$2:$I$16,TRIM($G1865))&gt;0,"COUNTED",IF(COUNTIF(LISTS!$J$2:$J$16,TRIM($G1865))&gt;0,"LEFT OUT","NEW")))</f>
        <v/>
      </c>
    </row>
    <row r="1866" spans="47:47" x14ac:dyDescent="0.25">
      <c r="AU1866" s="8" t="str">
        <f>IF(TRIM($G1866)="","",IF(COUNTIF(LISTS!$I$2:$I$16,TRIM($G1866))&gt;0,"COUNTED",IF(COUNTIF(LISTS!$J$2:$J$16,TRIM($G1866))&gt;0,"LEFT OUT","NEW")))</f>
        <v/>
      </c>
    </row>
    <row r="1867" spans="47:47" x14ac:dyDescent="0.25">
      <c r="AU1867" s="8" t="str">
        <f>IF(TRIM($G1867)="","",IF(COUNTIF(LISTS!$I$2:$I$16,TRIM($G1867))&gt;0,"COUNTED",IF(COUNTIF(LISTS!$J$2:$J$16,TRIM($G1867))&gt;0,"LEFT OUT","NEW")))</f>
        <v/>
      </c>
    </row>
    <row r="1868" spans="47:47" x14ac:dyDescent="0.25">
      <c r="AU1868" s="8" t="str">
        <f>IF(TRIM($G1868)="","",IF(COUNTIF(LISTS!$I$2:$I$16,TRIM($G1868))&gt;0,"COUNTED",IF(COUNTIF(LISTS!$J$2:$J$16,TRIM($G1868))&gt;0,"LEFT OUT","NEW")))</f>
        <v/>
      </c>
    </row>
    <row r="1869" spans="47:47" x14ac:dyDescent="0.25">
      <c r="AU1869" s="8" t="str">
        <f>IF(TRIM($G1869)="","",IF(COUNTIF(LISTS!$I$2:$I$16,TRIM($G1869))&gt;0,"COUNTED",IF(COUNTIF(LISTS!$J$2:$J$16,TRIM($G1869))&gt;0,"LEFT OUT","NEW")))</f>
        <v/>
      </c>
    </row>
    <row r="1870" spans="47:47" x14ac:dyDescent="0.25">
      <c r="AU1870" s="8" t="str">
        <f>IF(TRIM($G1870)="","",IF(COUNTIF(LISTS!$I$2:$I$16,TRIM($G1870))&gt;0,"COUNTED",IF(COUNTIF(LISTS!$J$2:$J$16,TRIM($G1870))&gt;0,"LEFT OUT","NEW")))</f>
        <v/>
      </c>
    </row>
    <row r="1871" spans="47:47" x14ac:dyDescent="0.25">
      <c r="AU1871" s="8" t="str">
        <f>IF(TRIM($G1871)="","",IF(COUNTIF(LISTS!$I$2:$I$16,TRIM($G1871))&gt;0,"COUNTED",IF(COUNTIF(LISTS!$J$2:$J$16,TRIM($G1871))&gt;0,"LEFT OUT","NEW")))</f>
        <v/>
      </c>
    </row>
    <row r="1872" spans="47:47" x14ac:dyDescent="0.25">
      <c r="AU1872" s="8" t="str">
        <f>IF(TRIM($G1872)="","",IF(COUNTIF(LISTS!$I$2:$I$16,TRIM($G1872))&gt;0,"COUNTED",IF(COUNTIF(LISTS!$J$2:$J$16,TRIM($G1872))&gt;0,"LEFT OUT","NEW")))</f>
        <v/>
      </c>
    </row>
    <row r="1873" spans="47:47" x14ac:dyDescent="0.25">
      <c r="AU1873" s="8" t="str">
        <f>IF(TRIM($G1873)="","",IF(COUNTIF(LISTS!$I$2:$I$16,TRIM($G1873))&gt;0,"COUNTED",IF(COUNTIF(LISTS!$J$2:$J$16,TRIM($G1873))&gt;0,"LEFT OUT","NEW")))</f>
        <v/>
      </c>
    </row>
    <row r="1874" spans="47:47" x14ac:dyDescent="0.25">
      <c r="AU1874" s="8" t="str">
        <f>IF(TRIM($G1874)="","",IF(COUNTIF(LISTS!$I$2:$I$16,TRIM($G1874))&gt;0,"COUNTED",IF(COUNTIF(LISTS!$J$2:$J$16,TRIM($G1874))&gt;0,"LEFT OUT","NEW")))</f>
        <v/>
      </c>
    </row>
    <row r="1875" spans="47:47" x14ac:dyDescent="0.25">
      <c r="AU1875" s="8" t="str">
        <f>IF(TRIM($G1875)="","",IF(COUNTIF(LISTS!$I$2:$I$16,TRIM($G1875))&gt;0,"COUNTED",IF(COUNTIF(LISTS!$J$2:$J$16,TRIM($G1875))&gt;0,"LEFT OUT","NEW")))</f>
        <v/>
      </c>
    </row>
    <row r="1876" spans="47:47" x14ac:dyDescent="0.25">
      <c r="AU1876" s="8" t="str">
        <f>IF(TRIM($G1876)="","",IF(COUNTIF(LISTS!$I$2:$I$16,TRIM($G1876))&gt;0,"COUNTED",IF(COUNTIF(LISTS!$J$2:$J$16,TRIM($G1876))&gt;0,"LEFT OUT","NEW")))</f>
        <v/>
      </c>
    </row>
    <row r="1877" spans="47:47" x14ac:dyDescent="0.25">
      <c r="AU1877" s="8" t="str">
        <f>IF(TRIM($G1877)="","",IF(COUNTIF(LISTS!$I$2:$I$16,TRIM($G1877))&gt;0,"COUNTED",IF(COUNTIF(LISTS!$J$2:$J$16,TRIM($G1877))&gt;0,"LEFT OUT","NEW")))</f>
        <v/>
      </c>
    </row>
    <row r="1878" spans="47:47" x14ac:dyDescent="0.25">
      <c r="AU1878" s="8" t="str">
        <f>IF(TRIM($G1878)="","",IF(COUNTIF(LISTS!$I$2:$I$16,TRIM($G1878))&gt;0,"COUNTED",IF(COUNTIF(LISTS!$J$2:$J$16,TRIM($G1878))&gt;0,"LEFT OUT","NEW")))</f>
        <v/>
      </c>
    </row>
    <row r="1879" spans="47:47" x14ac:dyDescent="0.25">
      <c r="AU1879" s="8" t="str">
        <f>IF(TRIM($G1879)="","",IF(COUNTIF(LISTS!$I$2:$I$16,TRIM($G1879))&gt;0,"COUNTED",IF(COUNTIF(LISTS!$J$2:$J$16,TRIM($G1879))&gt;0,"LEFT OUT","NEW")))</f>
        <v/>
      </c>
    </row>
    <row r="1880" spans="47:47" x14ac:dyDescent="0.25">
      <c r="AU1880" s="8" t="str">
        <f>IF(TRIM($G1880)="","",IF(COUNTIF(LISTS!$I$2:$I$16,TRIM($G1880))&gt;0,"COUNTED",IF(COUNTIF(LISTS!$J$2:$J$16,TRIM($G1880))&gt;0,"LEFT OUT","NEW")))</f>
        <v/>
      </c>
    </row>
    <row r="1881" spans="47:47" x14ac:dyDescent="0.25">
      <c r="AU1881" s="8" t="str">
        <f>IF(TRIM($G1881)="","",IF(COUNTIF(LISTS!$I$2:$I$16,TRIM($G1881))&gt;0,"COUNTED",IF(COUNTIF(LISTS!$J$2:$J$16,TRIM($G1881))&gt;0,"LEFT OUT","NEW")))</f>
        <v/>
      </c>
    </row>
    <row r="1882" spans="47:47" x14ac:dyDescent="0.25">
      <c r="AU1882" s="8" t="str">
        <f>IF(TRIM($G1882)="","",IF(COUNTIF(LISTS!$I$2:$I$16,TRIM($G1882))&gt;0,"COUNTED",IF(COUNTIF(LISTS!$J$2:$J$16,TRIM($G1882))&gt;0,"LEFT OUT","NEW")))</f>
        <v/>
      </c>
    </row>
    <row r="1883" spans="47:47" x14ac:dyDescent="0.25">
      <c r="AU1883" s="8" t="str">
        <f>IF(TRIM($G1883)="","",IF(COUNTIF(LISTS!$I$2:$I$16,TRIM($G1883))&gt;0,"COUNTED",IF(COUNTIF(LISTS!$J$2:$J$16,TRIM($G1883))&gt;0,"LEFT OUT","NEW")))</f>
        <v/>
      </c>
    </row>
    <row r="1884" spans="47:47" x14ac:dyDescent="0.25">
      <c r="AU1884" s="8" t="str">
        <f>IF(TRIM($G1884)="","",IF(COUNTIF(LISTS!$I$2:$I$16,TRIM($G1884))&gt;0,"COUNTED",IF(COUNTIF(LISTS!$J$2:$J$16,TRIM($G1884))&gt;0,"LEFT OUT","NEW")))</f>
        <v/>
      </c>
    </row>
    <row r="1885" spans="47:47" x14ac:dyDescent="0.25">
      <c r="AU1885" s="8" t="str">
        <f>IF(TRIM($G1885)="","",IF(COUNTIF(LISTS!$I$2:$I$16,TRIM($G1885))&gt;0,"COUNTED",IF(COUNTIF(LISTS!$J$2:$J$16,TRIM($G1885))&gt;0,"LEFT OUT","NEW")))</f>
        <v/>
      </c>
    </row>
    <row r="1886" spans="47:47" x14ac:dyDescent="0.25">
      <c r="AU1886" s="8" t="str">
        <f>IF(TRIM($G1886)="","",IF(COUNTIF(LISTS!$I$2:$I$16,TRIM($G1886))&gt;0,"COUNTED",IF(COUNTIF(LISTS!$J$2:$J$16,TRIM($G1886))&gt;0,"LEFT OUT","NEW")))</f>
        <v/>
      </c>
    </row>
    <row r="1887" spans="47:47" x14ac:dyDescent="0.25">
      <c r="AU1887" s="8" t="str">
        <f>IF(TRIM($G1887)="","",IF(COUNTIF(LISTS!$I$2:$I$16,TRIM($G1887))&gt;0,"COUNTED",IF(COUNTIF(LISTS!$J$2:$J$16,TRIM($G1887))&gt;0,"LEFT OUT","NEW")))</f>
        <v/>
      </c>
    </row>
    <row r="1888" spans="47:47" x14ac:dyDescent="0.25">
      <c r="AU1888" s="8" t="str">
        <f>IF(TRIM($G1888)="","",IF(COUNTIF(LISTS!$I$2:$I$16,TRIM($G1888))&gt;0,"COUNTED",IF(COUNTIF(LISTS!$J$2:$J$16,TRIM($G1888))&gt;0,"LEFT OUT","NEW")))</f>
        <v/>
      </c>
    </row>
    <row r="1889" spans="47:47" x14ac:dyDescent="0.25">
      <c r="AU1889" s="8" t="str">
        <f>IF(TRIM($G1889)="","",IF(COUNTIF(LISTS!$I$2:$I$16,TRIM($G1889))&gt;0,"COUNTED",IF(COUNTIF(LISTS!$J$2:$J$16,TRIM($G1889))&gt;0,"LEFT OUT","NEW")))</f>
        <v/>
      </c>
    </row>
    <row r="1890" spans="47:47" x14ac:dyDescent="0.25">
      <c r="AU1890" s="8" t="str">
        <f>IF(TRIM($G1890)="","",IF(COUNTIF(LISTS!$I$2:$I$16,TRIM($G1890))&gt;0,"COUNTED",IF(COUNTIF(LISTS!$J$2:$J$16,TRIM($G1890))&gt;0,"LEFT OUT","NEW")))</f>
        <v/>
      </c>
    </row>
    <row r="1891" spans="47:47" x14ac:dyDescent="0.25">
      <c r="AU1891" s="8" t="str">
        <f>IF(TRIM($G1891)="","",IF(COUNTIF(LISTS!$I$2:$I$16,TRIM($G1891))&gt;0,"COUNTED",IF(COUNTIF(LISTS!$J$2:$J$16,TRIM($G1891))&gt;0,"LEFT OUT","NEW")))</f>
        <v/>
      </c>
    </row>
    <row r="1892" spans="47:47" x14ac:dyDescent="0.25">
      <c r="AU1892" s="8" t="str">
        <f>IF(TRIM($G1892)="","",IF(COUNTIF(LISTS!$I$2:$I$16,TRIM($G1892))&gt;0,"COUNTED",IF(COUNTIF(LISTS!$J$2:$J$16,TRIM($G1892))&gt;0,"LEFT OUT","NEW")))</f>
        <v/>
      </c>
    </row>
    <row r="1893" spans="47:47" x14ac:dyDescent="0.25">
      <c r="AU1893" s="8" t="str">
        <f>IF(TRIM($G1893)="","",IF(COUNTIF(LISTS!$I$2:$I$16,TRIM($G1893))&gt;0,"COUNTED",IF(COUNTIF(LISTS!$J$2:$J$16,TRIM($G1893))&gt;0,"LEFT OUT","NEW")))</f>
        <v/>
      </c>
    </row>
    <row r="1894" spans="47:47" x14ac:dyDescent="0.25">
      <c r="AU1894" s="8" t="str">
        <f>IF(TRIM($G1894)="","",IF(COUNTIF(LISTS!$I$2:$I$16,TRIM($G1894))&gt;0,"COUNTED",IF(COUNTIF(LISTS!$J$2:$J$16,TRIM($G1894))&gt;0,"LEFT OUT","NEW")))</f>
        <v/>
      </c>
    </row>
    <row r="1895" spans="47:47" x14ac:dyDescent="0.25">
      <c r="AU1895" s="8" t="str">
        <f>IF(TRIM($G1895)="","",IF(COUNTIF(LISTS!$I$2:$I$16,TRIM($G1895))&gt;0,"COUNTED",IF(COUNTIF(LISTS!$J$2:$J$16,TRIM($G1895))&gt;0,"LEFT OUT","NEW")))</f>
        <v/>
      </c>
    </row>
    <row r="1896" spans="47:47" x14ac:dyDescent="0.25">
      <c r="AU1896" s="8" t="str">
        <f>IF(TRIM($G1896)="","",IF(COUNTIF(LISTS!$I$2:$I$16,TRIM($G1896))&gt;0,"COUNTED",IF(COUNTIF(LISTS!$J$2:$J$16,TRIM($G1896))&gt;0,"LEFT OUT","NEW")))</f>
        <v/>
      </c>
    </row>
    <row r="1897" spans="47:47" x14ac:dyDescent="0.25">
      <c r="AU1897" s="8" t="str">
        <f>IF(TRIM($G1897)="","",IF(COUNTIF(LISTS!$I$2:$I$16,TRIM($G1897))&gt;0,"COUNTED",IF(COUNTIF(LISTS!$J$2:$J$16,TRIM($G1897))&gt;0,"LEFT OUT","NEW")))</f>
        <v/>
      </c>
    </row>
    <row r="1898" spans="47:47" x14ac:dyDescent="0.25">
      <c r="AU1898" s="8" t="str">
        <f>IF(TRIM($G1898)="","",IF(COUNTIF(LISTS!$I$2:$I$16,TRIM($G1898))&gt;0,"COUNTED",IF(COUNTIF(LISTS!$J$2:$J$16,TRIM($G1898))&gt;0,"LEFT OUT","NEW")))</f>
        <v/>
      </c>
    </row>
    <row r="1899" spans="47:47" x14ac:dyDescent="0.25">
      <c r="AU1899" s="8" t="str">
        <f>IF(TRIM($G1899)="","",IF(COUNTIF(LISTS!$I$2:$I$16,TRIM($G1899))&gt;0,"COUNTED",IF(COUNTIF(LISTS!$J$2:$J$16,TRIM($G1899))&gt;0,"LEFT OUT","NEW")))</f>
        <v/>
      </c>
    </row>
    <row r="1900" spans="47:47" x14ac:dyDescent="0.25">
      <c r="AU1900" s="8" t="str">
        <f>IF(TRIM($G1900)="","",IF(COUNTIF(LISTS!$I$2:$I$16,TRIM($G1900))&gt;0,"COUNTED",IF(COUNTIF(LISTS!$J$2:$J$16,TRIM($G1900))&gt;0,"LEFT OUT","NEW")))</f>
        <v/>
      </c>
    </row>
    <row r="1901" spans="47:47" x14ac:dyDescent="0.25">
      <c r="AU1901" s="8" t="str">
        <f>IF(TRIM($G1901)="","",IF(COUNTIF(LISTS!$I$2:$I$16,TRIM($G1901))&gt;0,"COUNTED",IF(COUNTIF(LISTS!$J$2:$J$16,TRIM($G1901))&gt;0,"LEFT OUT","NEW")))</f>
        <v/>
      </c>
    </row>
    <row r="1902" spans="47:47" x14ac:dyDescent="0.25">
      <c r="AU1902" s="8" t="str">
        <f>IF(TRIM($G1902)="","",IF(COUNTIF(LISTS!$I$2:$I$16,TRIM($G1902))&gt;0,"COUNTED",IF(COUNTIF(LISTS!$J$2:$J$16,TRIM($G1902))&gt;0,"LEFT OUT","NEW")))</f>
        <v/>
      </c>
    </row>
    <row r="1903" spans="47:47" x14ac:dyDescent="0.25">
      <c r="AU1903" s="8" t="str">
        <f>IF(TRIM($G1903)="","",IF(COUNTIF(LISTS!$I$2:$I$16,TRIM($G1903))&gt;0,"COUNTED",IF(COUNTIF(LISTS!$J$2:$J$16,TRIM($G1903))&gt;0,"LEFT OUT","NEW")))</f>
        <v/>
      </c>
    </row>
    <row r="1904" spans="47:47" x14ac:dyDescent="0.25">
      <c r="AU1904" s="8" t="str">
        <f>IF(TRIM($G1904)="","",IF(COUNTIF(LISTS!$I$2:$I$16,TRIM($G1904))&gt;0,"COUNTED",IF(COUNTIF(LISTS!$J$2:$J$16,TRIM($G1904))&gt;0,"LEFT OUT","NEW")))</f>
        <v/>
      </c>
    </row>
    <row r="1905" spans="47:47" x14ac:dyDescent="0.25">
      <c r="AU1905" s="8" t="str">
        <f>IF(TRIM($G1905)="","",IF(COUNTIF(LISTS!$I$2:$I$16,TRIM($G1905))&gt;0,"COUNTED",IF(COUNTIF(LISTS!$J$2:$J$16,TRIM($G1905))&gt;0,"LEFT OUT","NEW")))</f>
        <v/>
      </c>
    </row>
    <row r="1906" spans="47:47" x14ac:dyDescent="0.25">
      <c r="AU1906" s="8" t="str">
        <f>IF(TRIM($G1906)="","",IF(COUNTIF(LISTS!$I$2:$I$16,TRIM($G1906))&gt;0,"COUNTED",IF(COUNTIF(LISTS!$J$2:$J$16,TRIM($G1906))&gt;0,"LEFT OUT","NEW")))</f>
        <v/>
      </c>
    </row>
    <row r="1907" spans="47:47" x14ac:dyDescent="0.25">
      <c r="AU1907" s="8" t="str">
        <f>IF(TRIM($G1907)="","",IF(COUNTIF(LISTS!$I$2:$I$16,TRIM($G1907))&gt;0,"COUNTED",IF(COUNTIF(LISTS!$J$2:$J$16,TRIM($G1907))&gt;0,"LEFT OUT","NEW")))</f>
        <v/>
      </c>
    </row>
    <row r="1908" spans="47:47" x14ac:dyDescent="0.25">
      <c r="AU1908" s="8" t="str">
        <f>IF(TRIM($G1908)="","",IF(COUNTIF(LISTS!$I$2:$I$16,TRIM($G1908))&gt;0,"COUNTED",IF(COUNTIF(LISTS!$J$2:$J$16,TRIM($G1908))&gt;0,"LEFT OUT","NEW")))</f>
        <v/>
      </c>
    </row>
    <row r="1909" spans="47:47" x14ac:dyDescent="0.25">
      <c r="AU1909" s="8" t="str">
        <f>IF(TRIM($G1909)="","",IF(COUNTIF(LISTS!$I$2:$I$16,TRIM($G1909))&gt;0,"COUNTED",IF(COUNTIF(LISTS!$J$2:$J$16,TRIM($G1909))&gt;0,"LEFT OUT","NEW")))</f>
        <v/>
      </c>
    </row>
    <row r="1910" spans="47:47" x14ac:dyDescent="0.25">
      <c r="AU1910" s="8" t="str">
        <f>IF(TRIM($G1910)="","",IF(COUNTIF(LISTS!$I$2:$I$16,TRIM($G1910))&gt;0,"COUNTED",IF(COUNTIF(LISTS!$J$2:$J$16,TRIM($G1910))&gt;0,"LEFT OUT","NEW")))</f>
        <v/>
      </c>
    </row>
    <row r="1911" spans="47:47" x14ac:dyDescent="0.25">
      <c r="AU1911" s="8" t="str">
        <f>IF(TRIM($G1911)="","",IF(COUNTIF(LISTS!$I$2:$I$16,TRIM($G1911))&gt;0,"COUNTED",IF(COUNTIF(LISTS!$J$2:$J$16,TRIM($G1911))&gt;0,"LEFT OUT","NEW")))</f>
        <v/>
      </c>
    </row>
    <row r="1912" spans="47:47" x14ac:dyDescent="0.25">
      <c r="AU1912" s="8" t="str">
        <f>IF(TRIM($G1912)="","",IF(COUNTIF(LISTS!$I$2:$I$16,TRIM($G1912))&gt;0,"COUNTED",IF(COUNTIF(LISTS!$J$2:$J$16,TRIM($G1912))&gt;0,"LEFT OUT","NEW")))</f>
        <v/>
      </c>
    </row>
    <row r="1913" spans="47:47" x14ac:dyDescent="0.25">
      <c r="AU1913" s="8" t="str">
        <f>IF(TRIM($G1913)="","",IF(COUNTIF(LISTS!$I$2:$I$16,TRIM($G1913))&gt;0,"COUNTED",IF(COUNTIF(LISTS!$J$2:$J$16,TRIM($G1913))&gt;0,"LEFT OUT","NEW")))</f>
        <v/>
      </c>
    </row>
    <row r="1914" spans="47:47" x14ac:dyDescent="0.25">
      <c r="AU1914" s="8" t="str">
        <f>IF(TRIM($G1914)="","",IF(COUNTIF(LISTS!$I$2:$I$16,TRIM($G1914))&gt;0,"COUNTED",IF(COUNTIF(LISTS!$J$2:$J$16,TRIM($G1914))&gt;0,"LEFT OUT","NEW")))</f>
        <v/>
      </c>
    </row>
    <row r="1915" spans="47:47" x14ac:dyDescent="0.25">
      <c r="AU1915" s="8" t="str">
        <f>IF(TRIM($G1915)="","",IF(COUNTIF(LISTS!$I$2:$I$16,TRIM($G1915))&gt;0,"COUNTED",IF(COUNTIF(LISTS!$J$2:$J$16,TRIM($G1915))&gt;0,"LEFT OUT","NEW")))</f>
        <v/>
      </c>
    </row>
    <row r="1916" spans="47:47" x14ac:dyDescent="0.25">
      <c r="AU1916" s="8" t="str">
        <f>IF(TRIM($G1916)="","",IF(COUNTIF(LISTS!$I$2:$I$16,TRIM($G1916))&gt;0,"COUNTED",IF(COUNTIF(LISTS!$J$2:$J$16,TRIM($G1916))&gt;0,"LEFT OUT","NEW")))</f>
        <v/>
      </c>
    </row>
    <row r="1917" spans="47:47" x14ac:dyDescent="0.25">
      <c r="AU1917" s="8" t="str">
        <f>IF(TRIM($G1917)="","",IF(COUNTIF(LISTS!$I$2:$I$16,TRIM($G1917))&gt;0,"COUNTED",IF(COUNTIF(LISTS!$J$2:$J$16,TRIM($G1917))&gt;0,"LEFT OUT","NEW")))</f>
        <v/>
      </c>
    </row>
    <row r="1918" spans="47:47" x14ac:dyDescent="0.25">
      <c r="AU1918" s="8" t="str">
        <f>IF(TRIM($G1918)="","",IF(COUNTIF(LISTS!$I$2:$I$16,TRIM($G1918))&gt;0,"COUNTED",IF(COUNTIF(LISTS!$J$2:$J$16,TRIM($G1918))&gt;0,"LEFT OUT","NEW")))</f>
        <v/>
      </c>
    </row>
    <row r="1919" spans="47:47" x14ac:dyDescent="0.25">
      <c r="AU1919" s="8" t="str">
        <f>IF(TRIM($G1919)="","",IF(COUNTIF(LISTS!$I$2:$I$16,TRIM($G1919))&gt;0,"COUNTED",IF(COUNTIF(LISTS!$J$2:$J$16,TRIM($G1919))&gt;0,"LEFT OUT","NEW")))</f>
        <v/>
      </c>
    </row>
    <row r="1920" spans="47:47" x14ac:dyDescent="0.25">
      <c r="AU1920" s="8" t="str">
        <f>IF(TRIM($G1920)="","",IF(COUNTIF(LISTS!$I$2:$I$16,TRIM($G1920))&gt;0,"COUNTED",IF(COUNTIF(LISTS!$J$2:$J$16,TRIM($G1920))&gt;0,"LEFT OUT","NEW")))</f>
        <v/>
      </c>
    </row>
    <row r="1921" spans="47:47" x14ac:dyDescent="0.25">
      <c r="AU1921" s="8" t="str">
        <f>IF(TRIM($G1921)="","",IF(COUNTIF(LISTS!$I$2:$I$16,TRIM($G1921))&gt;0,"COUNTED",IF(COUNTIF(LISTS!$J$2:$J$16,TRIM($G1921))&gt;0,"LEFT OUT","NEW")))</f>
        <v/>
      </c>
    </row>
    <row r="1922" spans="47:47" x14ac:dyDescent="0.25">
      <c r="AU1922" s="8" t="str">
        <f>IF(TRIM($G1922)="","",IF(COUNTIF(LISTS!$I$2:$I$16,TRIM($G1922))&gt;0,"COUNTED",IF(COUNTIF(LISTS!$J$2:$J$16,TRIM($G1922))&gt;0,"LEFT OUT","NEW")))</f>
        <v/>
      </c>
    </row>
    <row r="1923" spans="47:47" x14ac:dyDescent="0.25">
      <c r="AU1923" s="8" t="str">
        <f>IF(TRIM($G1923)="","",IF(COUNTIF(LISTS!$I$2:$I$16,TRIM($G1923))&gt;0,"COUNTED",IF(COUNTIF(LISTS!$J$2:$J$16,TRIM($G1923))&gt;0,"LEFT OUT","NEW")))</f>
        <v/>
      </c>
    </row>
    <row r="1924" spans="47:47" x14ac:dyDescent="0.25">
      <c r="AU1924" s="8" t="str">
        <f>IF(TRIM($G1924)="","",IF(COUNTIF(LISTS!$I$2:$I$16,TRIM($G1924))&gt;0,"COUNTED",IF(COUNTIF(LISTS!$J$2:$J$16,TRIM($G1924))&gt;0,"LEFT OUT","NEW")))</f>
        <v/>
      </c>
    </row>
    <row r="1925" spans="47:47" x14ac:dyDescent="0.25">
      <c r="AU1925" s="8" t="str">
        <f>IF(TRIM($G1925)="","",IF(COUNTIF(LISTS!$I$2:$I$16,TRIM($G1925))&gt;0,"COUNTED",IF(COUNTIF(LISTS!$J$2:$J$16,TRIM($G1925))&gt;0,"LEFT OUT","NEW")))</f>
        <v/>
      </c>
    </row>
    <row r="1926" spans="47:47" x14ac:dyDescent="0.25">
      <c r="AU1926" s="8" t="str">
        <f>IF(TRIM($G1926)="","",IF(COUNTIF(LISTS!$I$2:$I$16,TRIM($G1926))&gt;0,"COUNTED",IF(COUNTIF(LISTS!$J$2:$J$16,TRIM($G1926))&gt;0,"LEFT OUT","NEW")))</f>
        <v/>
      </c>
    </row>
    <row r="1927" spans="47:47" x14ac:dyDescent="0.25">
      <c r="AU1927" s="8" t="str">
        <f>IF(TRIM($G1927)="","",IF(COUNTIF(LISTS!$I$2:$I$16,TRIM($G1927))&gt;0,"COUNTED",IF(COUNTIF(LISTS!$J$2:$J$16,TRIM($G1927))&gt;0,"LEFT OUT","NEW")))</f>
        <v/>
      </c>
    </row>
    <row r="1928" spans="47:47" x14ac:dyDescent="0.25">
      <c r="AU1928" s="8" t="str">
        <f>IF(TRIM($G1928)="","",IF(COUNTIF(LISTS!$I$2:$I$16,TRIM($G1928))&gt;0,"COUNTED",IF(COUNTIF(LISTS!$J$2:$J$16,TRIM($G1928))&gt;0,"LEFT OUT","NEW")))</f>
        <v/>
      </c>
    </row>
    <row r="1929" spans="47:47" x14ac:dyDescent="0.25">
      <c r="AU1929" s="8" t="str">
        <f>IF(TRIM($G1929)="","",IF(COUNTIF(LISTS!$I$2:$I$16,TRIM($G1929))&gt;0,"COUNTED",IF(COUNTIF(LISTS!$J$2:$J$16,TRIM($G1929))&gt;0,"LEFT OUT","NEW")))</f>
        <v/>
      </c>
    </row>
    <row r="1930" spans="47:47" x14ac:dyDescent="0.25">
      <c r="AU1930" s="8" t="str">
        <f>IF(TRIM($G1930)="","",IF(COUNTIF(LISTS!$I$2:$I$16,TRIM($G1930))&gt;0,"COUNTED",IF(COUNTIF(LISTS!$J$2:$J$16,TRIM($G1930))&gt;0,"LEFT OUT","NEW")))</f>
        <v/>
      </c>
    </row>
    <row r="1931" spans="47:47" x14ac:dyDescent="0.25">
      <c r="AU1931" s="8" t="str">
        <f>IF(TRIM($G1931)="","",IF(COUNTIF(LISTS!$I$2:$I$16,TRIM($G1931))&gt;0,"COUNTED",IF(COUNTIF(LISTS!$J$2:$J$16,TRIM($G1931))&gt;0,"LEFT OUT","NEW")))</f>
        <v/>
      </c>
    </row>
    <row r="1932" spans="47:47" x14ac:dyDescent="0.25">
      <c r="AU1932" s="8" t="str">
        <f>IF(TRIM($G1932)="","",IF(COUNTIF(LISTS!$I$2:$I$16,TRIM($G1932))&gt;0,"COUNTED",IF(COUNTIF(LISTS!$J$2:$J$16,TRIM($G1932))&gt;0,"LEFT OUT","NEW")))</f>
        <v/>
      </c>
    </row>
    <row r="1933" spans="47:47" x14ac:dyDescent="0.25">
      <c r="AU1933" s="8" t="str">
        <f>IF(TRIM($G1933)="","",IF(COUNTIF(LISTS!$I$2:$I$16,TRIM($G1933))&gt;0,"COUNTED",IF(COUNTIF(LISTS!$J$2:$J$16,TRIM($G1933))&gt;0,"LEFT OUT","NEW")))</f>
        <v/>
      </c>
    </row>
    <row r="1934" spans="47:47" x14ac:dyDescent="0.25">
      <c r="AU1934" s="8" t="str">
        <f>IF(TRIM($G1934)="","",IF(COUNTIF(LISTS!$I$2:$I$16,TRIM($G1934))&gt;0,"COUNTED",IF(COUNTIF(LISTS!$J$2:$J$16,TRIM($G1934))&gt;0,"LEFT OUT","NEW")))</f>
        <v/>
      </c>
    </row>
    <row r="1935" spans="47:47" x14ac:dyDescent="0.25">
      <c r="AU1935" s="8" t="str">
        <f>IF(TRIM($G1935)="","",IF(COUNTIF(LISTS!$I$2:$I$16,TRIM($G1935))&gt;0,"COUNTED",IF(COUNTIF(LISTS!$J$2:$J$16,TRIM($G1935))&gt;0,"LEFT OUT","NEW")))</f>
        <v/>
      </c>
    </row>
    <row r="1936" spans="47:47" x14ac:dyDescent="0.25">
      <c r="AU1936" s="8" t="str">
        <f>IF(TRIM($G1936)="","",IF(COUNTIF(LISTS!$I$2:$I$16,TRIM($G1936))&gt;0,"COUNTED",IF(COUNTIF(LISTS!$J$2:$J$16,TRIM($G1936))&gt;0,"LEFT OUT","NEW")))</f>
        <v/>
      </c>
    </row>
    <row r="1937" spans="47:47" x14ac:dyDescent="0.25">
      <c r="AU1937" s="8" t="str">
        <f>IF(TRIM($G1937)="","",IF(COUNTIF(LISTS!$I$2:$I$16,TRIM($G1937))&gt;0,"COUNTED",IF(COUNTIF(LISTS!$J$2:$J$16,TRIM($G1937))&gt;0,"LEFT OUT","NEW")))</f>
        <v/>
      </c>
    </row>
    <row r="1938" spans="47:47" x14ac:dyDescent="0.25">
      <c r="AU1938" s="8" t="str">
        <f>IF(TRIM($G1938)="","",IF(COUNTIF(LISTS!$I$2:$I$16,TRIM($G1938))&gt;0,"COUNTED",IF(COUNTIF(LISTS!$J$2:$J$16,TRIM($G1938))&gt;0,"LEFT OUT","NEW")))</f>
        <v/>
      </c>
    </row>
    <row r="1939" spans="47:47" x14ac:dyDescent="0.25">
      <c r="AU1939" s="8" t="str">
        <f>IF(TRIM($G1939)="","",IF(COUNTIF(LISTS!$I$2:$I$16,TRIM($G1939))&gt;0,"COUNTED",IF(COUNTIF(LISTS!$J$2:$J$16,TRIM($G1939))&gt;0,"LEFT OUT","NEW")))</f>
        <v/>
      </c>
    </row>
    <row r="1940" spans="47:47" x14ac:dyDescent="0.25">
      <c r="AU1940" s="8" t="str">
        <f>IF(TRIM($G1940)="","",IF(COUNTIF(LISTS!$I$2:$I$16,TRIM($G1940))&gt;0,"COUNTED",IF(COUNTIF(LISTS!$J$2:$J$16,TRIM($G1940))&gt;0,"LEFT OUT","NEW")))</f>
        <v/>
      </c>
    </row>
    <row r="1941" spans="47:47" x14ac:dyDescent="0.25">
      <c r="AU1941" s="8" t="str">
        <f>IF(TRIM($G1941)="","",IF(COUNTIF(LISTS!$I$2:$I$16,TRIM($G1941))&gt;0,"COUNTED",IF(COUNTIF(LISTS!$J$2:$J$16,TRIM($G1941))&gt;0,"LEFT OUT","NEW")))</f>
        <v/>
      </c>
    </row>
    <row r="1942" spans="47:47" x14ac:dyDescent="0.25">
      <c r="AU1942" s="8" t="str">
        <f>IF(TRIM($G1942)="","",IF(COUNTIF(LISTS!$I$2:$I$16,TRIM($G1942))&gt;0,"COUNTED",IF(COUNTIF(LISTS!$J$2:$J$16,TRIM($G1942))&gt;0,"LEFT OUT","NEW")))</f>
        <v/>
      </c>
    </row>
    <row r="1943" spans="47:47" x14ac:dyDescent="0.25">
      <c r="AU1943" s="8" t="str">
        <f>IF(TRIM($G1943)="","",IF(COUNTIF(LISTS!$I$2:$I$16,TRIM($G1943))&gt;0,"COUNTED",IF(COUNTIF(LISTS!$J$2:$J$16,TRIM($G1943))&gt;0,"LEFT OUT","NEW")))</f>
        <v/>
      </c>
    </row>
    <row r="1944" spans="47:47" x14ac:dyDescent="0.25">
      <c r="AU1944" s="8" t="str">
        <f>IF(TRIM($G1944)="","",IF(COUNTIF(LISTS!$I$2:$I$16,TRIM($G1944))&gt;0,"COUNTED",IF(COUNTIF(LISTS!$J$2:$J$16,TRIM($G1944))&gt;0,"LEFT OUT","NEW")))</f>
        <v/>
      </c>
    </row>
    <row r="1945" spans="47:47" x14ac:dyDescent="0.25">
      <c r="AU1945" s="8" t="str">
        <f>IF(TRIM($G1945)="","",IF(COUNTIF(LISTS!$I$2:$I$16,TRIM($G1945))&gt;0,"COUNTED",IF(COUNTIF(LISTS!$J$2:$J$16,TRIM($G1945))&gt;0,"LEFT OUT","NEW")))</f>
        <v/>
      </c>
    </row>
    <row r="1946" spans="47:47" x14ac:dyDescent="0.25">
      <c r="AU1946" s="8" t="str">
        <f>IF(TRIM($G1946)="","",IF(COUNTIF(LISTS!$I$2:$I$16,TRIM($G1946))&gt;0,"COUNTED",IF(COUNTIF(LISTS!$J$2:$J$16,TRIM($G1946))&gt;0,"LEFT OUT","NEW")))</f>
        <v/>
      </c>
    </row>
    <row r="1947" spans="47:47" x14ac:dyDescent="0.25">
      <c r="AU1947" s="8" t="str">
        <f>IF(TRIM($G1947)="","",IF(COUNTIF(LISTS!$I$2:$I$16,TRIM($G1947))&gt;0,"COUNTED",IF(COUNTIF(LISTS!$J$2:$J$16,TRIM($G1947))&gt;0,"LEFT OUT","NEW")))</f>
        <v/>
      </c>
    </row>
    <row r="1948" spans="47:47" x14ac:dyDescent="0.25">
      <c r="AU1948" s="8" t="str">
        <f>IF(TRIM($G1948)="","",IF(COUNTIF(LISTS!$I$2:$I$16,TRIM($G1948))&gt;0,"COUNTED",IF(COUNTIF(LISTS!$J$2:$J$16,TRIM($G1948))&gt;0,"LEFT OUT","NEW")))</f>
        <v/>
      </c>
    </row>
    <row r="1949" spans="47:47" x14ac:dyDescent="0.25">
      <c r="AU1949" s="8" t="str">
        <f>IF(TRIM($G1949)="","",IF(COUNTIF(LISTS!$I$2:$I$16,TRIM($G1949))&gt;0,"COUNTED",IF(COUNTIF(LISTS!$J$2:$J$16,TRIM($G1949))&gt;0,"LEFT OUT","NEW")))</f>
        <v/>
      </c>
    </row>
    <row r="1950" spans="47:47" x14ac:dyDescent="0.25">
      <c r="AU1950" s="8" t="str">
        <f>IF(TRIM($G1950)="","",IF(COUNTIF(LISTS!$I$2:$I$16,TRIM($G1950))&gt;0,"COUNTED",IF(COUNTIF(LISTS!$J$2:$J$16,TRIM($G1950))&gt;0,"LEFT OUT","NEW")))</f>
        <v/>
      </c>
    </row>
    <row r="1951" spans="47:47" x14ac:dyDescent="0.25">
      <c r="AU1951" s="8" t="str">
        <f>IF(TRIM($G1951)="","",IF(COUNTIF(LISTS!$I$2:$I$16,TRIM($G1951))&gt;0,"COUNTED",IF(COUNTIF(LISTS!$J$2:$J$16,TRIM($G1951))&gt;0,"LEFT OUT","NEW")))</f>
        <v/>
      </c>
    </row>
    <row r="1952" spans="47:47" x14ac:dyDescent="0.25">
      <c r="AU1952" s="8" t="str">
        <f>IF(TRIM($G1952)="","",IF(COUNTIF(LISTS!$I$2:$I$16,TRIM($G1952))&gt;0,"COUNTED",IF(COUNTIF(LISTS!$J$2:$J$16,TRIM($G1952))&gt;0,"LEFT OUT","NEW")))</f>
        <v/>
      </c>
    </row>
    <row r="1953" spans="47:47" x14ac:dyDescent="0.25">
      <c r="AU1953" s="8" t="str">
        <f>IF(TRIM($G1953)="","",IF(COUNTIF(LISTS!$I$2:$I$16,TRIM($G1953))&gt;0,"COUNTED",IF(COUNTIF(LISTS!$J$2:$J$16,TRIM($G1953))&gt;0,"LEFT OUT","NEW")))</f>
        <v/>
      </c>
    </row>
    <row r="1954" spans="47:47" x14ac:dyDescent="0.25">
      <c r="AU1954" s="8" t="str">
        <f>IF(TRIM($G1954)="","",IF(COUNTIF(LISTS!$I$2:$I$16,TRIM($G1954))&gt;0,"COUNTED",IF(COUNTIF(LISTS!$J$2:$J$16,TRIM($G1954))&gt;0,"LEFT OUT","NEW")))</f>
        <v/>
      </c>
    </row>
    <row r="1955" spans="47:47" x14ac:dyDescent="0.25">
      <c r="AU1955" s="8" t="str">
        <f>IF(TRIM($G1955)="","",IF(COUNTIF(LISTS!$I$2:$I$16,TRIM($G1955))&gt;0,"COUNTED",IF(COUNTIF(LISTS!$J$2:$J$16,TRIM($G1955))&gt;0,"LEFT OUT","NEW")))</f>
        <v/>
      </c>
    </row>
    <row r="1956" spans="47:47" x14ac:dyDescent="0.25">
      <c r="AU1956" s="8" t="str">
        <f>IF(TRIM($G1956)="","",IF(COUNTIF(LISTS!$I$2:$I$16,TRIM($G1956))&gt;0,"COUNTED",IF(COUNTIF(LISTS!$J$2:$J$16,TRIM($G1956))&gt;0,"LEFT OUT","NEW")))</f>
        <v/>
      </c>
    </row>
    <row r="1957" spans="47:47" x14ac:dyDescent="0.25">
      <c r="AU1957" s="8" t="str">
        <f>IF(TRIM($G1957)="","",IF(COUNTIF(LISTS!$I$2:$I$16,TRIM($G1957))&gt;0,"COUNTED",IF(COUNTIF(LISTS!$J$2:$J$16,TRIM($G1957))&gt;0,"LEFT OUT","NEW")))</f>
        <v/>
      </c>
    </row>
    <row r="1958" spans="47:47" x14ac:dyDescent="0.25">
      <c r="AU1958" s="8" t="str">
        <f>IF(TRIM($G1958)="","",IF(COUNTIF(LISTS!$I$2:$I$16,TRIM($G1958))&gt;0,"COUNTED",IF(COUNTIF(LISTS!$J$2:$J$16,TRIM($G1958))&gt;0,"LEFT OUT","NEW")))</f>
        <v/>
      </c>
    </row>
    <row r="1959" spans="47:47" x14ac:dyDescent="0.25">
      <c r="AU1959" s="8" t="str">
        <f>IF(TRIM($G1959)="","",IF(COUNTIF(LISTS!$I$2:$I$16,TRIM($G1959))&gt;0,"COUNTED",IF(COUNTIF(LISTS!$J$2:$J$16,TRIM($G1959))&gt;0,"LEFT OUT","NEW")))</f>
        <v/>
      </c>
    </row>
    <row r="1960" spans="47:47" x14ac:dyDescent="0.25">
      <c r="AU1960" s="8" t="str">
        <f>IF(TRIM($G1960)="","",IF(COUNTIF(LISTS!$I$2:$I$16,TRIM($G1960))&gt;0,"COUNTED",IF(COUNTIF(LISTS!$J$2:$J$16,TRIM($G1960))&gt;0,"LEFT OUT","NEW")))</f>
        <v/>
      </c>
    </row>
    <row r="1961" spans="47:47" x14ac:dyDescent="0.25">
      <c r="AU1961" s="8" t="str">
        <f>IF(TRIM($G1961)="","",IF(COUNTIF(LISTS!$I$2:$I$16,TRIM($G1961))&gt;0,"COUNTED",IF(COUNTIF(LISTS!$J$2:$J$16,TRIM($G1961))&gt;0,"LEFT OUT","NEW")))</f>
        <v/>
      </c>
    </row>
    <row r="1962" spans="47:47" x14ac:dyDescent="0.25">
      <c r="AU1962" s="8" t="str">
        <f>IF(TRIM($G1962)="","",IF(COUNTIF(LISTS!$I$2:$I$16,TRIM($G1962))&gt;0,"COUNTED",IF(COUNTIF(LISTS!$J$2:$J$16,TRIM($G1962))&gt;0,"LEFT OUT","NEW")))</f>
        <v/>
      </c>
    </row>
    <row r="1963" spans="47:47" x14ac:dyDescent="0.25">
      <c r="AU1963" s="8" t="str">
        <f>IF(TRIM($G1963)="","",IF(COUNTIF(LISTS!$I$2:$I$16,TRIM($G1963))&gt;0,"COUNTED",IF(COUNTIF(LISTS!$J$2:$J$16,TRIM($G1963))&gt;0,"LEFT OUT","NEW")))</f>
        <v/>
      </c>
    </row>
    <row r="1964" spans="47:47" x14ac:dyDescent="0.25">
      <c r="AU1964" s="8" t="str">
        <f>IF(TRIM($G1964)="","",IF(COUNTIF(LISTS!$I$2:$I$16,TRIM($G1964))&gt;0,"COUNTED",IF(COUNTIF(LISTS!$J$2:$J$16,TRIM($G1964))&gt;0,"LEFT OUT","NEW")))</f>
        <v/>
      </c>
    </row>
    <row r="1965" spans="47:47" x14ac:dyDescent="0.25">
      <c r="AU1965" s="8" t="str">
        <f>IF(TRIM($G1965)="","",IF(COUNTIF(LISTS!$I$2:$I$16,TRIM($G1965))&gt;0,"COUNTED",IF(COUNTIF(LISTS!$J$2:$J$16,TRIM($G1965))&gt;0,"LEFT OUT","NEW")))</f>
        <v/>
      </c>
    </row>
    <row r="1966" spans="47:47" x14ac:dyDescent="0.25">
      <c r="AU1966" s="8" t="str">
        <f>IF(TRIM($G1966)="","",IF(COUNTIF(LISTS!$I$2:$I$16,TRIM($G1966))&gt;0,"COUNTED",IF(COUNTIF(LISTS!$J$2:$J$16,TRIM($G1966))&gt;0,"LEFT OUT","NEW")))</f>
        <v/>
      </c>
    </row>
    <row r="1967" spans="47:47" x14ac:dyDescent="0.25">
      <c r="AU1967" s="8" t="str">
        <f>IF(TRIM($G1967)="","",IF(COUNTIF(LISTS!$I$2:$I$16,TRIM($G1967))&gt;0,"COUNTED",IF(COUNTIF(LISTS!$J$2:$J$16,TRIM($G1967))&gt;0,"LEFT OUT","NEW")))</f>
        <v/>
      </c>
    </row>
    <row r="1968" spans="47:47" x14ac:dyDescent="0.25">
      <c r="AU1968" s="8" t="str">
        <f>IF(TRIM($G1968)="","",IF(COUNTIF(LISTS!$I$2:$I$16,TRIM($G1968))&gt;0,"COUNTED",IF(COUNTIF(LISTS!$J$2:$J$16,TRIM($G1968))&gt;0,"LEFT OUT","NEW")))</f>
        <v/>
      </c>
    </row>
    <row r="1969" spans="47:47" x14ac:dyDescent="0.25">
      <c r="AU1969" s="8" t="str">
        <f>IF(TRIM($G1969)="","",IF(COUNTIF(LISTS!$I$2:$I$16,TRIM($G1969))&gt;0,"COUNTED",IF(COUNTIF(LISTS!$J$2:$J$16,TRIM($G1969))&gt;0,"LEFT OUT","NEW")))</f>
        <v/>
      </c>
    </row>
    <row r="1970" spans="47:47" x14ac:dyDescent="0.25">
      <c r="AU1970" s="8" t="str">
        <f>IF(TRIM($G1970)="","",IF(COUNTIF(LISTS!$I$2:$I$16,TRIM($G1970))&gt;0,"COUNTED",IF(COUNTIF(LISTS!$J$2:$J$16,TRIM($G1970))&gt;0,"LEFT OUT","NEW")))</f>
        <v/>
      </c>
    </row>
    <row r="1971" spans="47:47" x14ac:dyDescent="0.25">
      <c r="AU1971" s="8" t="str">
        <f>IF(TRIM($G1971)="","",IF(COUNTIF(LISTS!$I$2:$I$16,TRIM($G1971))&gt;0,"COUNTED",IF(COUNTIF(LISTS!$J$2:$J$16,TRIM($G1971))&gt;0,"LEFT OUT","NEW")))</f>
        <v/>
      </c>
    </row>
    <row r="1972" spans="47:47" x14ac:dyDescent="0.25">
      <c r="AU1972" s="8" t="str">
        <f>IF(TRIM($G1972)="","",IF(COUNTIF(LISTS!$I$2:$I$16,TRIM($G1972))&gt;0,"COUNTED",IF(COUNTIF(LISTS!$J$2:$J$16,TRIM($G1972))&gt;0,"LEFT OUT","NEW")))</f>
        <v/>
      </c>
    </row>
    <row r="1973" spans="47:47" x14ac:dyDescent="0.25">
      <c r="AU1973" s="8" t="str">
        <f>IF(TRIM($G1973)="","",IF(COUNTIF(LISTS!$I$2:$I$16,TRIM($G1973))&gt;0,"COUNTED",IF(COUNTIF(LISTS!$J$2:$J$16,TRIM($G1973))&gt;0,"LEFT OUT","NEW")))</f>
        <v/>
      </c>
    </row>
    <row r="1974" spans="47:47" x14ac:dyDescent="0.25">
      <c r="AU1974" s="8" t="str">
        <f>IF(TRIM($G1974)="","",IF(COUNTIF(LISTS!$I$2:$I$16,TRIM($G1974))&gt;0,"COUNTED",IF(COUNTIF(LISTS!$J$2:$J$16,TRIM($G1974))&gt;0,"LEFT OUT","NEW")))</f>
        <v/>
      </c>
    </row>
    <row r="1975" spans="47:47" x14ac:dyDescent="0.25">
      <c r="AU1975" s="8" t="str">
        <f>IF(TRIM($G1975)="","",IF(COUNTIF(LISTS!$I$2:$I$16,TRIM($G1975))&gt;0,"COUNTED",IF(COUNTIF(LISTS!$J$2:$J$16,TRIM($G1975))&gt;0,"LEFT OUT","NEW")))</f>
        <v/>
      </c>
    </row>
    <row r="1976" spans="47:47" x14ac:dyDescent="0.25">
      <c r="AU1976" s="8" t="str">
        <f>IF(TRIM($G1976)="","",IF(COUNTIF(LISTS!$I$2:$I$16,TRIM($G1976))&gt;0,"COUNTED",IF(COUNTIF(LISTS!$J$2:$J$16,TRIM($G1976))&gt;0,"LEFT OUT","NEW")))</f>
        <v/>
      </c>
    </row>
    <row r="1977" spans="47:47" x14ac:dyDescent="0.25">
      <c r="AU1977" s="8" t="str">
        <f>IF(TRIM($G1977)="","",IF(COUNTIF(LISTS!$I$2:$I$16,TRIM($G1977))&gt;0,"COUNTED",IF(COUNTIF(LISTS!$J$2:$J$16,TRIM($G1977))&gt;0,"LEFT OUT","NEW")))</f>
        <v/>
      </c>
    </row>
    <row r="1978" spans="47:47" x14ac:dyDescent="0.25">
      <c r="AU1978" s="8" t="str">
        <f>IF(TRIM($G1978)="","",IF(COUNTIF(LISTS!$I$2:$I$16,TRIM($G1978))&gt;0,"COUNTED",IF(COUNTIF(LISTS!$J$2:$J$16,TRIM($G1978))&gt;0,"LEFT OUT","NEW")))</f>
        <v/>
      </c>
    </row>
    <row r="1979" spans="47:47" x14ac:dyDescent="0.25">
      <c r="AU1979" s="8" t="str">
        <f>IF(TRIM($G1979)="","",IF(COUNTIF(LISTS!$I$2:$I$16,TRIM($G1979))&gt;0,"COUNTED",IF(COUNTIF(LISTS!$J$2:$J$16,TRIM($G1979))&gt;0,"LEFT OUT","NEW")))</f>
        <v/>
      </c>
    </row>
    <row r="1980" spans="47:47" x14ac:dyDescent="0.25">
      <c r="AU1980" s="8" t="str">
        <f>IF(TRIM($G1980)="","",IF(COUNTIF(LISTS!$I$2:$I$16,TRIM($G1980))&gt;0,"COUNTED",IF(COUNTIF(LISTS!$J$2:$J$16,TRIM($G1980))&gt;0,"LEFT OUT","NEW")))</f>
        <v/>
      </c>
    </row>
    <row r="1981" spans="47:47" x14ac:dyDescent="0.25">
      <c r="AU1981" s="8" t="str">
        <f>IF(TRIM($G1981)="","",IF(COUNTIF(LISTS!$I$2:$I$16,TRIM($G1981))&gt;0,"COUNTED",IF(COUNTIF(LISTS!$J$2:$J$16,TRIM($G1981))&gt;0,"LEFT OUT","NEW")))</f>
        <v/>
      </c>
    </row>
    <row r="1982" spans="47:47" x14ac:dyDescent="0.25">
      <c r="AU1982" s="8" t="str">
        <f>IF(TRIM($G1982)="","",IF(COUNTIF(LISTS!$I$2:$I$16,TRIM($G1982))&gt;0,"COUNTED",IF(COUNTIF(LISTS!$J$2:$J$16,TRIM($G1982))&gt;0,"LEFT OUT","NEW")))</f>
        <v/>
      </c>
    </row>
    <row r="1983" spans="47:47" x14ac:dyDescent="0.25">
      <c r="AU1983" s="8" t="str">
        <f>IF(TRIM($G1983)="","",IF(COUNTIF(LISTS!$I$2:$I$16,TRIM($G1983))&gt;0,"COUNTED",IF(COUNTIF(LISTS!$J$2:$J$16,TRIM($G1983))&gt;0,"LEFT OUT","NEW")))</f>
        <v/>
      </c>
    </row>
    <row r="1984" spans="47:47" x14ac:dyDescent="0.25">
      <c r="AU1984" s="8" t="str">
        <f>IF(TRIM($G1984)="","",IF(COUNTIF(LISTS!$I$2:$I$16,TRIM($G1984))&gt;0,"COUNTED",IF(COUNTIF(LISTS!$J$2:$J$16,TRIM($G1984))&gt;0,"LEFT OUT","NEW")))</f>
        <v/>
      </c>
    </row>
    <row r="1985" spans="47:47" x14ac:dyDescent="0.25">
      <c r="AU1985" s="8" t="str">
        <f>IF(TRIM($G1985)="","",IF(COUNTIF(LISTS!$I$2:$I$16,TRIM($G1985))&gt;0,"COUNTED",IF(COUNTIF(LISTS!$J$2:$J$16,TRIM($G1985))&gt;0,"LEFT OUT","NEW")))</f>
        <v/>
      </c>
    </row>
    <row r="1986" spans="47:47" x14ac:dyDescent="0.25">
      <c r="AU1986" s="8" t="str">
        <f>IF(TRIM($G1986)="","",IF(COUNTIF(LISTS!$I$2:$I$16,TRIM($G1986))&gt;0,"COUNTED",IF(COUNTIF(LISTS!$J$2:$J$16,TRIM($G1986))&gt;0,"LEFT OUT","NEW")))</f>
        <v/>
      </c>
    </row>
    <row r="1987" spans="47:47" x14ac:dyDescent="0.25">
      <c r="AU1987" s="8" t="str">
        <f>IF(TRIM($G1987)="","",IF(COUNTIF(LISTS!$I$2:$I$16,TRIM($G1987))&gt;0,"COUNTED",IF(COUNTIF(LISTS!$J$2:$J$16,TRIM($G1987))&gt;0,"LEFT OUT","NEW")))</f>
        <v/>
      </c>
    </row>
    <row r="1988" spans="47:47" x14ac:dyDescent="0.25">
      <c r="AU1988" s="8" t="str">
        <f>IF(TRIM($G1988)="","",IF(COUNTIF(LISTS!$I$2:$I$16,TRIM($G1988))&gt;0,"COUNTED",IF(COUNTIF(LISTS!$J$2:$J$16,TRIM($G1988))&gt;0,"LEFT OUT","NEW")))</f>
        <v/>
      </c>
    </row>
    <row r="1989" spans="47:47" x14ac:dyDescent="0.25">
      <c r="AU1989" s="8" t="str">
        <f>IF(TRIM($G1989)="","",IF(COUNTIF(LISTS!$I$2:$I$16,TRIM($G1989))&gt;0,"COUNTED",IF(COUNTIF(LISTS!$J$2:$J$16,TRIM($G1989))&gt;0,"LEFT OUT","NEW")))</f>
        <v/>
      </c>
    </row>
    <row r="1990" spans="47:47" x14ac:dyDescent="0.25">
      <c r="AU1990" s="8" t="str">
        <f>IF(TRIM($G1990)="","",IF(COUNTIF(LISTS!$I$2:$I$16,TRIM($G1990))&gt;0,"COUNTED",IF(COUNTIF(LISTS!$J$2:$J$16,TRIM($G1990))&gt;0,"LEFT OUT","NEW")))</f>
        <v/>
      </c>
    </row>
    <row r="1991" spans="47:47" x14ac:dyDescent="0.25">
      <c r="AU1991" s="8" t="str">
        <f>IF(TRIM($G1991)="","",IF(COUNTIF(LISTS!$I$2:$I$16,TRIM($G1991))&gt;0,"COUNTED",IF(COUNTIF(LISTS!$J$2:$J$16,TRIM($G1991))&gt;0,"LEFT OUT","NEW")))</f>
        <v/>
      </c>
    </row>
    <row r="1992" spans="47:47" x14ac:dyDescent="0.25">
      <c r="AU1992" s="8" t="str">
        <f>IF(TRIM($G1992)="","",IF(COUNTIF(LISTS!$I$2:$I$16,TRIM($G1992))&gt;0,"COUNTED",IF(COUNTIF(LISTS!$J$2:$J$16,TRIM($G1992))&gt;0,"LEFT OUT","NEW")))</f>
        <v/>
      </c>
    </row>
    <row r="1993" spans="47:47" x14ac:dyDescent="0.25">
      <c r="AU1993" s="8" t="str">
        <f>IF(TRIM($G1993)="","",IF(COUNTIF(LISTS!$I$2:$I$16,TRIM($G1993))&gt;0,"COUNTED",IF(COUNTIF(LISTS!$J$2:$J$16,TRIM($G1993))&gt;0,"LEFT OUT","NEW")))</f>
        <v/>
      </c>
    </row>
    <row r="1994" spans="47:47" x14ac:dyDescent="0.25">
      <c r="AU1994" s="8" t="str">
        <f>IF(TRIM($G1994)="","",IF(COUNTIF(LISTS!$I$2:$I$16,TRIM($G1994))&gt;0,"COUNTED",IF(COUNTIF(LISTS!$J$2:$J$16,TRIM($G1994))&gt;0,"LEFT OUT","NEW")))</f>
        <v/>
      </c>
    </row>
    <row r="1995" spans="47:47" x14ac:dyDescent="0.25">
      <c r="AU1995" s="8" t="str">
        <f>IF(TRIM($G1995)="","",IF(COUNTIF(LISTS!$I$2:$I$16,TRIM($G1995))&gt;0,"COUNTED",IF(COUNTIF(LISTS!$J$2:$J$16,TRIM($G1995))&gt;0,"LEFT OUT","NEW")))</f>
        <v/>
      </c>
    </row>
    <row r="1996" spans="47:47" x14ac:dyDescent="0.25">
      <c r="AU1996" s="8" t="str">
        <f>IF(TRIM($G1996)="","",IF(COUNTIF(LISTS!$I$2:$I$16,TRIM($G1996))&gt;0,"COUNTED",IF(COUNTIF(LISTS!$J$2:$J$16,TRIM($G1996))&gt;0,"LEFT OUT","NEW")))</f>
        <v/>
      </c>
    </row>
    <row r="1997" spans="47:47" x14ac:dyDescent="0.25">
      <c r="AU1997" s="8" t="str">
        <f>IF(TRIM($G1997)="","",IF(COUNTIF(LISTS!$I$2:$I$16,TRIM($G1997))&gt;0,"COUNTED",IF(COUNTIF(LISTS!$J$2:$J$16,TRIM($G1997))&gt;0,"LEFT OUT","NEW")))</f>
        <v/>
      </c>
    </row>
    <row r="1998" spans="47:47" x14ac:dyDescent="0.25">
      <c r="AU1998" s="8" t="str">
        <f>IF(TRIM($G1998)="","",IF(COUNTIF(LISTS!$I$2:$I$16,TRIM($G1998))&gt;0,"COUNTED",IF(COUNTIF(LISTS!$J$2:$J$16,TRIM($G1998))&gt;0,"LEFT OUT","NEW")))</f>
        <v/>
      </c>
    </row>
    <row r="1999" spans="47:47" x14ac:dyDescent="0.25">
      <c r="AU1999" s="8" t="str">
        <f>IF(TRIM($G1999)="","",IF(COUNTIF(LISTS!$I$2:$I$16,TRIM($G1999))&gt;0,"COUNTED",IF(COUNTIF(LISTS!$J$2:$J$16,TRIM($G1999))&gt;0,"LEFT OUT","NEW")))</f>
        <v/>
      </c>
    </row>
    <row r="2000" spans="47:47" x14ac:dyDescent="0.25">
      <c r="AU2000" s="8" t="str">
        <f>IF(TRIM($G2000)="","",IF(COUNTIF(LISTS!$I$2:$I$16,TRIM($G2000))&gt;0,"COUNTED",IF(COUNTIF(LISTS!$J$2:$J$16,TRIM($G2000))&gt;0,"LEFT OUT","NEW")))</f>
        <v/>
      </c>
    </row>
    <row r="2001" spans="47:47" x14ac:dyDescent="0.25">
      <c r="AU2001" s="8" t="str">
        <f>IF(TRIM($G2001)="","",IF(COUNTIF(LISTS!$I$2:$I$16,TRIM($G2001))&gt;0,"COUNTED",IF(COUNTIF(LISTS!$J$2:$J$16,TRIM($G2001))&gt;0,"LEFT OUT","NEW")))</f>
        <v/>
      </c>
    </row>
    <row r="2002" spans="47:47" x14ac:dyDescent="0.25">
      <c r="AU2002" s="8" t="str">
        <f>IF(TRIM($G2002)="","",IF(COUNTIF(LISTS!$I$2:$I$16,TRIM($G2002))&gt;0,"COUNTED",IF(COUNTIF(LISTS!$J$2:$J$16,TRIM($G2002))&gt;0,"LEFT OUT","NEW")))</f>
        <v/>
      </c>
    </row>
    <row r="2003" spans="47:47" x14ac:dyDescent="0.25">
      <c r="AU2003" s="8" t="str">
        <f>IF(TRIM($G2003)="","",IF(COUNTIF(LISTS!$I$2:$I$16,TRIM($G2003))&gt;0,"COUNTED",IF(COUNTIF(LISTS!$J$2:$J$16,TRIM($G2003))&gt;0,"LEFT OUT","NEW")))</f>
        <v/>
      </c>
    </row>
    <row r="2004" spans="47:47" x14ac:dyDescent="0.25">
      <c r="AU2004" s="8" t="str">
        <f>IF(TRIM($G2004)="","",IF(COUNTIF(LISTS!$I$2:$I$16,TRIM($G2004))&gt;0,"COUNTED",IF(COUNTIF(LISTS!$J$2:$J$16,TRIM($G2004))&gt;0,"LEFT OUT","NEW")))</f>
        <v/>
      </c>
    </row>
    <row r="2005" spans="47:47" x14ac:dyDescent="0.25">
      <c r="AU2005" s="8" t="str">
        <f>IF(TRIM($G2005)="","",IF(COUNTIF(LISTS!$I$2:$I$16,TRIM($G2005))&gt;0,"COUNTED",IF(COUNTIF(LISTS!$J$2:$J$16,TRIM($G2005))&gt;0,"LEFT OUT","NEW")))</f>
        <v/>
      </c>
    </row>
    <row r="2006" spans="47:47" x14ac:dyDescent="0.25">
      <c r="AU2006" s="8" t="str">
        <f>IF(TRIM($G2006)="","",IF(COUNTIF(LISTS!$I$2:$I$16,TRIM($G2006))&gt;0,"COUNTED",IF(COUNTIF(LISTS!$J$2:$J$16,TRIM($G2006))&gt;0,"LEFT OUT","NEW")))</f>
        <v/>
      </c>
    </row>
    <row r="2007" spans="47:47" x14ac:dyDescent="0.25">
      <c r="AU2007" s="8" t="str">
        <f>IF(TRIM($G2007)="","",IF(COUNTIF(LISTS!$I$2:$I$16,TRIM($G2007))&gt;0,"COUNTED",IF(COUNTIF(LISTS!$J$2:$J$16,TRIM($G2007))&gt;0,"LEFT OUT","NEW")))</f>
        <v/>
      </c>
    </row>
    <row r="2008" spans="47:47" x14ac:dyDescent="0.25">
      <c r="AU2008" s="8" t="str">
        <f>IF(TRIM($G2008)="","",IF(COUNTIF(LISTS!$I$2:$I$16,TRIM($G2008))&gt;0,"COUNTED",IF(COUNTIF(LISTS!$J$2:$J$16,TRIM($G2008))&gt;0,"LEFT OUT","NEW")))</f>
        <v/>
      </c>
    </row>
    <row r="2009" spans="47:47" x14ac:dyDescent="0.25">
      <c r="AU2009" s="8" t="str">
        <f>IF(TRIM($G2009)="","",IF(COUNTIF(LISTS!$I$2:$I$16,TRIM($G2009))&gt;0,"COUNTED",IF(COUNTIF(LISTS!$J$2:$J$16,TRIM($G2009))&gt;0,"LEFT OUT","NEW")))</f>
        <v/>
      </c>
    </row>
    <row r="2010" spans="47:47" x14ac:dyDescent="0.25">
      <c r="AU2010" s="8" t="str">
        <f>IF(TRIM($G2010)="","",IF(COUNTIF(LISTS!$I$2:$I$16,TRIM($G2010))&gt;0,"COUNTED",IF(COUNTIF(LISTS!$J$2:$J$16,TRIM($G2010))&gt;0,"LEFT OUT","NEW")))</f>
        <v/>
      </c>
    </row>
    <row r="2011" spans="47:47" x14ac:dyDescent="0.25">
      <c r="AU2011" s="8" t="str">
        <f>IF(TRIM($G2011)="","",IF(COUNTIF(LISTS!$I$2:$I$16,TRIM($G2011))&gt;0,"COUNTED",IF(COUNTIF(LISTS!$J$2:$J$16,TRIM($G2011))&gt;0,"LEFT OUT","NEW")))</f>
        <v/>
      </c>
    </row>
    <row r="2012" spans="47:47" x14ac:dyDescent="0.25">
      <c r="AU2012" s="8" t="str">
        <f>IF(TRIM($G2012)="","",IF(COUNTIF(LISTS!$I$2:$I$16,TRIM($G2012))&gt;0,"COUNTED",IF(COUNTIF(LISTS!$J$2:$J$16,TRIM($G2012))&gt;0,"LEFT OUT","NEW")))</f>
        <v/>
      </c>
    </row>
    <row r="2013" spans="47:47" x14ac:dyDescent="0.25">
      <c r="AU2013" s="8" t="str">
        <f>IF(TRIM($G2013)="","",IF(COUNTIF(LISTS!$I$2:$I$16,TRIM($G2013))&gt;0,"COUNTED",IF(COUNTIF(LISTS!$J$2:$J$16,TRIM($G2013))&gt;0,"LEFT OUT","NEW")))</f>
        <v/>
      </c>
    </row>
    <row r="2014" spans="47:47" x14ac:dyDescent="0.25">
      <c r="AU2014" s="8" t="str">
        <f>IF(TRIM($G2014)="","",IF(COUNTIF(LISTS!$I$2:$I$16,TRIM($G2014))&gt;0,"COUNTED",IF(COUNTIF(LISTS!$J$2:$J$16,TRIM($G2014))&gt;0,"LEFT OUT","NEW")))</f>
        <v/>
      </c>
    </row>
    <row r="2015" spans="47:47" x14ac:dyDescent="0.25">
      <c r="AU2015" s="8" t="str">
        <f>IF(TRIM($G2015)="","",IF(COUNTIF(LISTS!$I$2:$I$16,TRIM($G2015))&gt;0,"COUNTED",IF(COUNTIF(LISTS!$J$2:$J$16,TRIM($G2015))&gt;0,"LEFT OUT","NEW")))</f>
        <v/>
      </c>
    </row>
    <row r="2016" spans="47:47" x14ac:dyDescent="0.25">
      <c r="AU2016" s="8" t="str">
        <f>IF(TRIM($G2016)="","",IF(COUNTIF(LISTS!$I$2:$I$16,TRIM($G2016))&gt;0,"COUNTED",IF(COUNTIF(LISTS!$J$2:$J$16,TRIM($G2016))&gt;0,"LEFT OUT","NEW")))</f>
        <v/>
      </c>
    </row>
    <row r="2017" spans="47:47" x14ac:dyDescent="0.25">
      <c r="AU2017" s="8" t="str">
        <f>IF(TRIM($G2017)="","",IF(COUNTIF(LISTS!$I$2:$I$16,TRIM($G2017))&gt;0,"COUNTED",IF(COUNTIF(LISTS!$J$2:$J$16,TRIM($G2017))&gt;0,"LEFT OUT","NEW")))</f>
        <v/>
      </c>
    </row>
    <row r="2018" spans="47:47" x14ac:dyDescent="0.25">
      <c r="AU2018" s="8" t="str">
        <f>IF(TRIM($G2018)="","",IF(COUNTIF(LISTS!$I$2:$I$16,TRIM($G2018))&gt;0,"COUNTED",IF(COUNTIF(LISTS!$J$2:$J$16,TRIM($G2018))&gt;0,"LEFT OUT","NEW")))</f>
        <v/>
      </c>
    </row>
    <row r="2019" spans="47:47" x14ac:dyDescent="0.25">
      <c r="AU2019" s="8" t="str">
        <f>IF(TRIM($G2019)="","",IF(COUNTIF(LISTS!$I$2:$I$16,TRIM($G2019))&gt;0,"COUNTED",IF(COUNTIF(LISTS!$J$2:$J$16,TRIM($G2019))&gt;0,"LEFT OUT","NEW")))</f>
        <v/>
      </c>
    </row>
    <row r="2020" spans="47:47" x14ac:dyDescent="0.25">
      <c r="AU2020" s="8" t="str">
        <f>IF(TRIM($G2020)="","",IF(COUNTIF(LISTS!$I$2:$I$16,TRIM($G2020))&gt;0,"COUNTED",IF(COUNTIF(LISTS!$J$2:$J$16,TRIM($G2020))&gt;0,"LEFT OUT","NEW")))</f>
        <v/>
      </c>
    </row>
    <row r="2021" spans="47:47" x14ac:dyDescent="0.25">
      <c r="AU2021" s="8" t="str">
        <f>IF(TRIM($G2021)="","",IF(COUNTIF(LISTS!$I$2:$I$16,TRIM($G2021))&gt;0,"COUNTED",IF(COUNTIF(LISTS!$J$2:$J$16,TRIM($G2021))&gt;0,"LEFT OUT","NEW")))</f>
        <v/>
      </c>
    </row>
    <row r="2022" spans="47:47" x14ac:dyDescent="0.25">
      <c r="AU2022" s="8" t="str">
        <f>IF(TRIM($G2022)="","",IF(COUNTIF(LISTS!$I$2:$I$16,TRIM($G2022))&gt;0,"COUNTED",IF(COUNTIF(LISTS!$J$2:$J$16,TRIM($G2022))&gt;0,"LEFT OUT","NEW")))</f>
        <v/>
      </c>
    </row>
    <row r="2023" spans="47:47" x14ac:dyDescent="0.25">
      <c r="AU2023" s="8" t="str">
        <f>IF(TRIM($G2023)="","",IF(COUNTIF(LISTS!$I$2:$I$16,TRIM($G2023))&gt;0,"COUNTED",IF(COUNTIF(LISTS!$J$2:$J$16,TRIM($G2023))&gt;0,"LEFT OUT","NEW")))</f>
        <v/>
      </c>
    </row>
    <row r="2024" spans="47:47" x14ac:dyDescent="0.25">
      <c r="AU2024" s="8" t="str">
        <f>IF(TRIM($G2024)="","",IF(COUNTIF(LISTS!$I$2:$I$16,TRIM($G2024))&gt;0,"COUNTED",IF(COUNTIF(LISTS!$J$2:$J$16,TRIM($G2024))&gt;0,"LEFT OUT","NEW")))</f>
        <v/>
      </c>
    </row>
    <row r="2025" spans="47:47" x14ac:dyDescent="0.25">
      <c r="AU2025" s="8" t="str">
        <f>IF(TRIM($G2025)="","",IF(COUNTIF(LISTS!$I$2:$I$16,TRIM($G2025))&gt;0,"COUNTED",IF(COUNTIF(LISTS!$J$2:$J$16,TRIM($G2025))&gt;0,"LEFT OUT","NEW")))</f>
        <v/>
      </c>
    </row>
    <row r="2026" spans="47:47" x14ac:dyDescent="0.25">
      <c r="AU2026" s="8" t="str">
        <f>IF(TRIM($G2026)="","",IF(COUNTIF(LISTS!$I$2:$I$16,TRIM($G2026))&gt;0,"COUNTED",IF(COUNTIF(LISTS!$J$2:$J$16,TRIM($G2026))&gt;0,"LEFT OUT","NEW")))</f>
        <v/>
      </c>
    </row>
    <row r="2027" spans="47:47" x14ac:dyDescent="0.25">
      <c r="AU2027" s="8" t="str">
        <f>IF(TRIM($G2027)="","",IF(COUNTIF(LISTS!$I$2:$I$16,TRIM($G2027))&gt;0,"COUNTED",IF(COUNTIF(LISTS!$J$2:$J$16,TRIM($G2027))&gt;0,"LEFT OUT","NEW")))</f>
        <v/>
      </c>
    </row>
    <row r="2028" spans="47:47" x14ac:dyDescent="0.25">
      <c r="AU2028" s="8" t="str">
        <f>IF(TRIM($G2028)="","",IF(COUNTIF(LISTS!$I$2:$I$16,TRIM($G2028))&gt;0,"COUNTED",IF(COUNTIF(LISTS!$J$2:$J$16,TRIM($G2028))&gt;0,"LEFT OUT","NEW")))</f>
        <v/>
      </c>
    </row>
    <row r="2029" spans="47:47" x14ac:dyDescent="0.25">
      <c r="AU2029" s="8" t="str">
        <f>IF(TRIM($G2029)="","",IF(COUNTIF(LISTS!$I$2:$I$16,TRIM($G2029))&gt;0,"COUNTED",IF(COUNTIF(LISTS!$J$2:$J$16,TRIM($G2029))&gt;0,"LEFT OUT","NEW")))</f>
        <v/>
      </c>
    </row>
    <row r="2030" spans="47:47" x14ac:dyDescent="0.25">
      <c r="AU2030" s="8" t="str">
        <f>IF(TRIM($G2030)="","",IF(COUNTIF(LISTS!$I$2:$I$16,TRIM($G2030))&gt;0,"COUNTED",IF(COUNTIF(LISTS!$J$2:$J$16,TRIM($G2030))&gt;0,"LEFT OUT","NEW")))</f>
        <v/>
      </c>
    </row>
    <row r="2031" spans="47:47" x14ac:dyDescent="0.25">
      <c r="AU2031" s="8" t="str">
        <f>IF(TRIM($G2031)="","",IF(COUNTIF(LISTS!$I$2:$I$16,TRIM($G2031))&gt;0,"COUNTED",IF(COUNTIF(LISTS!$J$2:$J$16,TRIM($G2031))&gt;0,"LEFT OUT","NEW")))</f>
        <v/>
      </c>
    </row>
    <row r="2032" spans="47:47" x14ac:dyDescent="0.25">
      <c r="AU2032" s="8" t="str">
        <f>IF(TRIM($G2032)="","",IF(COUNTIF(LISTS!$I$2:$I$16,TRIM($G2032))&gt;0,"COUNTED",IF(COUNTIF(LISTS!$J$2:$J$16,TRIM($G2032))&gt;0,"LEFT OUT","NEW")))</f>
        <v/>
      </c>
    </row>
    <row r="2033" spans="47:47" x14ac:dyDescent="0.25">
      <c r="AU2033" s="8" t="str">
        <f>IF(TRIM($G2033)="","",IF(COUNTIF(LISTS!$I$2:$I$16,TRIM($G2033))&gt;0,"COUNTED",IF(COUNTIF(LISTS!$J$2:$J$16,TRIM($G2033))&gt;0,"LEFT OUT","NEW")))</f>
        <v/>
      </c>
    </row>
    <row r="2034" spans="47:47" x14ac:dyDescent="0.25">
      <c r="AU2034" s="8" t="str">
        <f>IF(TRIM($G2034)="","",IF(COUNTIF(LISTS!$I$2:$I$16,TRIM($G2034))&gt;0,"COUNTED",IF(COUNTIF(LISTS!$J$2:$J$16,TRIM($G2034))&gt;0,"LEFT OUT","NEW")))</f>
        <v/>
      </c>
    </row>
    <row r="2035" spans="47:47" x14ac:dyDescent="0.25">
      <c r="AU2035" s="8" t="str">
        <f>IF(TRIM($G2035)="","",IF(COUNTIF(LISTS!$I$2:$I$16,TRIM($G2035))&gt;0,"COUNTED",IF(COUNTIF(LISTS!$J$2:$J$16,TRIM($G2035))&gt;0,"LEFT OUT","NEW")))</f>
        <v/>
      </c>
    </row>
    <row r="2036" spans="47:47" x14ac:dyDescent="0.25">
      <c r="AU2036" s="8" t="str">
        <f>IF(TRIM($G2036)="","",IF(COUNTIF(LISTS!$I$2:$I$16,TRIM($G2036))&gt;0,"COUNTED",IF(COUNTIF(LISTS!$J$2:$J$16,TRIM($G2036))&gt;0,"LEFT OUT","NEW")))</f>
        <v/>
      </c>
    </row>
    <row r="2037" spans="47:47" x14ac:dyDescent="0.25">
      <c r="AU2037" s="8" t="str">
        <f>IF(TRIM($G2037)="","",IF(COUNTIF(LISTS!$I$2:$I$16,TRIM($G2037))&gt;0,"COUNTED",IF(COUNTIF(LISTS!$J$2:$J$16,TRIM($G2037))&gt;0,"LEFT OUT","NEW")))</f>
        <v/>
      </c>
    </row>
    <row r="2038" spans="47:47" x14ac:dyDescent="0.25">
      <c r="AU2038" s="8" t="str">
        <f>IF(TRIM($G2038)="","",IF(COUNTIF(LISTS!$I$2:$I$16,TRIM($G2038))&gt;0,"COUNTED",IF(COUNTIF(LISTS!$J$2:$J$16,TRIM($G2038))&gt;0,"LEFT OUT","NEW")))</f>
        <v/>
      </c>
    </row>
    <row r="2039" spans="47:47" x14ac:dyDescent="0.25">
      <c r="AU2039" s="8" t="str">
        <f>IF(TRIM($G2039)="","",IF(COUNTIF(LISTS!$I$2:$I$16,TRIM($G2039))&gt;0,"COUNTED",IF(COUNTIF(LISTS!$J$2:$J$16,TRIM($G2039))&gt;0,"LEFT OUT","NEW")))</f>
        <v/>
      </c>
    </row>
    <row r="2040" spans="47:47" x14ac:dyDescent="0.25">
      <c r="AU2040" s="8" t="str">
        <f>IF(TRIM($G2040)="","",IF(COUNTIF(LISTS!$I$2:$I$16,TRIM($G2040))&gt;0,"COUNTED",IF(COUNTIF(LISTS!$J$2:$J$16,TRIM($G2040))&gt;0,"LEFT OUT","NEW")))</f>
        <v/>
      </c>
    </row>
    <row r="2041" spans="47:47" x14ac:dyDescent="0.25">
      <c r="AU2041" s="8" t="str">
        <f>IF(TRIM($G2041)="","",IF(COUNTIF(LISTS!$I$2:$I$16,TRIM($G2041))&gt;0,"COUNTED",IF(COUNTIF(LISTS!$J$2:$J$16,TRIM($G2041))&gt;0,"LEFT OUT","NEW")))</f>
        <v/>
      </c>
    </row>
    <row r="2042" spans="47:47" x14ac:dyDescent="0.25">
      <c r="AU2042" s="8" t="str">
        <f>IF(TRIM($G2042)="","",IF(COUNTIF(LISTS!$I$2:$I$16,TRIM($G2042))&gt;0,"COUNTED",IF(COUNTIF(LISTS!$J$2:$J$16,TRIM($G2042))&gt;0,"LEFT OUT","NEW")))</f>
        <v/>
      </c>
    </row>
    <row r="2043" spans="47:47" x14ac:dyDescent="0.25">
      <c r="AU2043" s="8" t="str">
        <f>IF(TRIM($G2043)="","",IF(COUNTIF(LISTS!$I$2:$I$16,TRIM($G2043))&gt;0,"COUNTED",IF(COUNTIF(LISTS!$J$2:$J$16,TRIM($G2043))&gt;0,"LEFT OUT","NEW")))</f>
        <v/>
      </c>
    </row>
    <row r="2044" spans="47:47" x14ac:dyDescent="0.25">
      <c r="AU2044" s="8" t="str">
        <f>IF(TRIM($G2044)="","",IF(COUNTIF(LISTS!$I$2:$I$16,TRIM($G2044))&gt;0,"COUNTED",IF(COUNTIF(LISTS!$J$2:$J$16,TRIM($G2044))&gt;0,"LEFT OUT","NEW")))</f>
        <v/>
      </c>
    </row>
    <row r="2045" spans="47:47" x14ac:dyDescent="0.25">
      <c r="AU2045" s="8" t="str">
        <f>IF(TRIM($G2045)="","",IF(COUNTIF(LISTS!$I$2:$I$16,TRIM($G2045))&gt;0,"COUNTED",IF(COUNTIF(LISTS!$J$2:$J$16,TRIM($G2045))&gt;0,"LEFT OUT","NEW")))</f>
        <v/>
      </c>
    </row>
    <row r="2046" spans="47:47" x14ac:dyDescent="0.25">
      <c r="AU2046" s="8" t="str">
        <f>IF(TRIM($G2046)="","",IF(COUNTIF(LISTS!$I$2:$I$16,TRIM($G2046))&gt;0,"COUNTED",IF(COUNTIF(LISTS!$J$2:$J$16,TRIM($G2046))&gt;0,"LEFT OUT","NEW")))</f>
        <v/>
      </c>
    </row>
    <row r="2047" spans="47:47" x14ac:dyDescent="0.25">
      <c r="AU2047" s="8" t="str">
        <f>IF(TRIM($G2047)="","",IF(COUNTIF(LISTS!$I$2:$I$16,TRIM($G2047))&gt;0,"COUNTED",IF(COUNTIF(LISTS!$J$2:$J$16,TRIM($G2047))&gt;0,"LEFT OUT","NEW")))</f>
        <v/>
      </c>
    </row>
    <row r="2048" spans="47:47" x14ac:dyDescent="0.25">
      <c r="AU2048" s="8" t="str">
        <f>IF(TRIM($G2048)="","",IF(COUNTIF(LISTS!$I$2:$I$16,TRIM($G2048))&gt;0,"COUNTED",IF(COUNTIF(LISTS!$J$2:$J$16,TRIM($G2048))&gt;0,"LEFT OUT","NEW")))</f>
        <v/>
      </c>
    </row>
    <row r="2049" spans="47:47" x14ac:dyDescent="0.25">
      <c r="AU2049" s="8" t="str">
        <f>IF(TRIM($G2049)="","",IF(COUNTIF(LISTS!$I$2:$I$16,TRIM($G2049))&gt;0,"COUNTED",IF(COUNTIF(LISTS!$J$2:$J$16,TRIM($G2049))&gt;0,"LEFT OUT","NEW")))</f>
        <v/>
      </c>
    </row>
    <row r="2050" spans="47:47" x14ac:dyDescent="0.25">
      <c r="AU2050" s="8" t="str">
        <f>IF(TRIM($G2050)="","",IF(COUNTIF(LISTS!$I$2:$I$16,TRIM($G2050))&gt;0,"COUNTED",IF(COUNTIF(LISTS!$J$2:$J$16,TRIM($G2050))&gt;0,"LEFT OUT","NEW")))</f>
        <v/>
      </c>
    </row>
    <row r="2051" spans="47:47" x14ac:dyDescent="0.25">
      <c r="AU2051" s="8" t="str">
        <f>IF(TRIM($G2051)="","",IF(COUNTIF(LISTS!$I$2:$I$16,TRIM($G2051))&gt;0,"COUNTED",IF(COUNTIF(LISTS!$J$2:$J$16,TRIM($G2051))&gt;0,"LEFT OUT","NEW")))</f>
        <v/>
      </c>
    </row>
    <row r="2052" spans="47:47" x14ac:dyDescent="0.25">
      <c r="AU2052" s="8" t="str">
        <f>IF(TRIM($G2052)="","",IF(COUNTIF(LISTS!$I$2:$I$16,TRIM($G2052))&gt;0,"COUNTED",IF(COUNTIF(LISTS!$J$2:$J$16,TRIM($G2052))&gt;0,"LEFT OUT","NEW")))</f>
        <v/>
      </c>
    </row>
    <row r="2053" spans="47:47" x14ac:dyDescent="0.25">
      <c r="AU2053" s="8" t="str">
        <f>IF(TRIM($G2053)="","",IF(COUNTIF(LISTS!$I$2:$I$16,TRIM($G2053))&gt;0,"COUNTED",IF(COUNTIF(LISTS!$J$2:$J$16,TRIM($G2053))&gt;0,"LEFT OUT","NEW")))</f>
        <v/>
      </c>
    </row>
    <row r="2054" spans="47:47" x14ac:dyDescent="0.25">
      <c r="AU2054" s="8" t="str">
        <f>IF(TRIM($G2054)="","",IF(COUNTIF(LISTS!$I$2:$I$16,TRIM($G2054))&gt;0,"COUNTED",IF(COUNTIF(LISTS!$J$2:$J$16,TRIM($G2054))&gt;0,"LEFT OUT","NEW")))</f>
        <v/>
      </c>
    </row>
    <row r="2055" spans="47:47" x14ac:dyDescent="0.25">
      <c r="AU2055" s="8" t="str">
        <f>IF(TRIM($G2055)="","",IF(COUNTIF(LISTS!$I$2:$I$16,TRIM($G2055))&gt;0,"COUNTED",IF(COUNTIF(LISTS!$J$2:$J$16,TRIM($G2055))&gt;0,"LEFT OUT","NEW")))</f>
        <v/>
      </c>
    </row>
    <row r="2056" spans="47:47" x14ac:dyDescent="0.25">
      <c r="AU2056" s="8" t="str">
        <f>IF(TRIM($G2056)="","",IF(COUNTIF(LISTS!$I$2:$I$16,TRIM($G2056))&gt;0,"COUNTED",IF(COUNTIF(LISTS!$J$2:$J$16,TRIM($G2056))&gt;0,"LEFT OUT","NEW")))</f>
        <v/>
      </c>
    </row>
    <row r="2057" spans="47:47" x14ac:dyDescent="0.25">
      <c r="AU2057" s="8" t="str">
        <f>IF(TRIM($G2057)="","",IF(COUNTIF(LISTS!$I$2:$I$16,TRIM($G2057))&gt;0,"COUNTED",IF(COUNTIF(LISTS!$J$2:$J$16,TRIM($G2057))&gt;0,"LEFT OUT","NEW")))</f>
        <v/>
      </c>
    </row>
    <row r="2058" spans="47:47" x14ac:dyDescent="0.25">
      <c r="AU2058" s="8" t="str">
        <f>IF(TRIM($G2058)="","",IF(COUNTIF(LISTS!$I$2:$I$16,TRIM($G2058))&gt;0,"COUNTED",IF(COUNTIF(LISTS!$J$2:$J$16,TRIM($G2058))&gt;0,"LEFT OUT","NEW")))</f>
        <v/>
      </c>
    </row>
    <row r="2059" spans="47:47" x14ac:dyDescent="0.25">
      <c r="AU2059" s="8" t="str">
        <f>IF(TRIM($G2059)="","",IF(COUNTIF(LISTS!$I$2:$I$16,TRIM($G2059))&gt;0,"COUNTED",IF(COUNTIF(LISTS!$J$2:$J$16,TRIM($G2059))&gt;0,"LEFT OUT","NEW")))</f>
        <v/>
      </c>
    </row>
    <row r="2060" spans="47:47" x14ac:dyDescent="0.25">
      <c r="AU2060" s="8" t="str">
        <f>IF(TRIM($G2060)="","",IF(COUNTIF(LISTS!$I$2:$I$16,TRIM($G2060))&gt;0,"COUNTED",IF(COUNTIF(LISTS!$J$2:$J$16,TRIM($G2060))&gt;0,"LEFT OUT","NEW")))</f>
        <v/>
      </c>
    </row>
    <row r="2061" spans="47:47" x14ac:dyDescent="0.25">
      <c r="AU2061" s="8" t="str">
        <f>IF(TRIM($G2061)="","",IF(COUNTIF(LISTS!$I$2:$I$16,TRIM($G2061))&gt;0,"COUNTED",IF(COUNTIF(LISTS!$J$2:$J$16,TRIM($G2061))&gt;0,"LEFT OUT","NEW")))</f>
        <v/>
      </c>
    </row>
    <row r="2062" spans="47:47" x14ac:dyDescent="0.25">
      <c r="AU2062" s="8" t="str">
        <f>IF(TRIM($G2062)="","",IF(COUNTIF(LISTS!$I$2:$I$16,TRIM($G2062))&gt;0,"COUNTED",IF(COUNTIF(LISTS!$J$2:$J$16,TRIM($G2062))&gt;0,"LEFT OUT","NEW")))</f>
        <v/>
      </c>
    </row>
    <row r="2063" spans="47:47" x14ac:dyDescent="0.25">
      <c r="AU2063" s="8" t="str">
        <f>IF(TRIM($G2063)="","",IF(COUNTIF(LISTS!$I$2:$I$16,TRIM($G2063))&gt;0,"COUNTED",IF(COUNTIF(LISTS!$J$2:$J$16,TRIM($G2063))&gt;0,"LEFT OUT","NEW")))</f>
        <v/>
      </c>
    </row>
    <row r="2064" spans="47:47" x14ac:dyDescent="0.25">
      <c r="AU2064" s="8" t="str">
        <f>IF(TRIM($G2064)="","",IF(COUNTIF(LISTS!$I$2:$I$16,TRIM($G2064))&gt;0,"COUNTED",IF(COUNTIF(LISTS!$J$2:$J$16,TRIM($G2064))&gt;0,"LEFT OUT","NEW")))</f>
        <v/>
      </c>
    </row>
    <row r="2065" spans="47:47" x14ac:dyDescent="0.25">
      <c r="AU2065" s="8" t="str">
        <f>IF(TRIM($G2065)="","",IF(COUNTIF(LISTS!$I$2:$I$16,TRIM($G2065))&gt;0,"COUNTED",IF(COUNTIF(LISTS!$J$2:$J$16,TRIM($G2065))&gt;0,"LEFT OUT","NEW")))</f>
        <v/>
      </c>
    </row>
    <row r="2066" spans="47:47" x14ac:dyDescent="0.25">
      <c r="AU2066" s="8" t="str">
        <f>IF(TRIM($G2066)="","",IF(COUNTIF(LISTS!$I$2:$I$16,TRIM($G2066))&gt;0,"COUNTED",IF(COUNTIF(LISTS!$J$2:$J$16,TRIM($G2066))&gt;0,"LEFT OUT","NEW")))</f>
        <v/>
      </c>
    </row>
    <row r="2067" spans="47:47" x14ac:dyDescent="0.25">
      <c r="AU2067" s="8" t="str">
        <f>IF(TRIM($G2067)="","",IF(COUNTIF(LISTS!$I$2:$I$16,TRIM($G2067))&gt;0,"COUNTED",IF(COUNTIF(LISTS!$J$2:$J$16,TRIM($G2067))&gt;0,"LEFT OUT","NEW")))</f>
        <v/>
      </c>
    </row>
    <row r="2068" spans="47:47" x14ac:dyDescent="0.25">
      <c r="AU2068" s="8" t="str">
        <f>IF(TRIM($G2068)="","",IF(COUNTIF(LISTS!$I$2:$I$16,TRIM($G2068))&gt;0,"COUNTED",IF(COUNTIF(LISTS!$J$2:$J$16,TRIM($G2068))&gt;0,"LEFT OUT","NEW")))</f>
        <v/>
      </c>
    </row>
    <row r="2069" spans="47:47" x14ac:dyDescent="0.25">
      <c r="AU2069" s="8" t="str">
        <f>IF(TRIM($G2069)="","",IF(COUNTIF(LISTS!$I$2:$I$16,TRIM($G2069))&gt;0,"COUNTED",IF(COUNTIF(LISTS!$J$2:$J$16,TRIM($G2069))&gt;0,"LEFT OUT","NEW")))</f>
        <v/>
      </c>
    </row>
    <row r="2070" spans="47:47" x14ac:dyDescent="0.25">
      <c r="AU2070" s="8" t="str">
        <f>IF(TRIM($G2070)="","",IF(COUNTIF(LISTS!$I$2:$I$16,TRIM($G2070))&gt;0,"COUNTED",IF(COUNTIF(LISTS!$J$2:$J$16,TRIM($G2070))&gt;0,"LEFT OUT","NEW")))</f>
        <v/>
      </c>
    </row>
    <row r="2071" spans="47:47" x14ac:dyDescent="0.25">
      <c r="AU2071" s="8" t="str">
        <f>IF(TRIM($G2071)="","",IF(COUNTIF(LISTS!$I$2:$I$16,TRIM($G2071))&gt;0,"COUNTED",IF(COUNTIF(LISTS!$J$2:$J$16,TRIM($G2071))&gt;0,"LEFT OUT","NEW")))</f>
        <v/>
      </c>
    </row>
    <row r="2072" spans="47:47" x14ac:dyDescent="0.25">
      <c r="AU2072" s="8" t="str">
        <f>IF(TRIM($G2072)="","",IF(COUNTIF(LISTS!$I$2:$I$16,TRIM($G2072))&gt;0,"COUNTED",IF(COUNTIF(LISTS!$J$2:$J$16,TRIM($G2072))&gt;0,"LEFT OUT","NEW")))</f>
        <v/>
      </c>
    </row>
    <row r="2073" spans="47:47" x14ac:dyDescent="0.25">
      <c r="AU2073" s="8" t="str">
        <f>IF(TRIM($G2073)="","",IF(COUNTIF(LISTS!$I$2:$I$16,TRIM($G2073))&gt;0,"COUNTED",IF(COUNTIF(LISTS!$J$2:$J$16,TRIM($G2073))&gt;0,"LEFT OUT","NEW")))</f>
        <v/>
      </c>
    </row>
    <row r="2074" spans="47:47" x14ac:dyDescent="0.25">
      <c r="AU2074" s="8" t="str">
        <f>IF(TRIM($G2074)="","",IF(COUNTIF(LISTS!$I$2:$I$16,TRIM($G2074))&gt;0,"COUNTED",IF(COUNTIF(LISTS!$J$2:$J$16,TRIM($G2074))&gt;0,"LEFT OUT","NEW")))</f>
        <v/>
      </c>
    </row>
    <row r="2075" spans="47:47" x14ac:dyDescent="0.25">
      <c r="AU2075" s="8" t="str">
        <f>IF(TRIM($G2075)="","",IF(COUNTIF(LISTS!$I$2:$I$16,TRIM($G2075))&gt;0,"COUNTED",IF(COUNTIF(LISTS!$J$2:$J$16,TRIM($G2075))&gt;0,"LEFT OUT","NEW")))</f>
        <v/>
      </c>
    </row>
    <row r="2076" spans="47:47" x14ac:dyDescent="0.25">
      <c r="AU2076" s="8" t="str">
        <f>IF(TRIM($G2076)="","",IF(COUNTIF(LISTS!$I$2:$I$16,TRIM($G2076))&gt;0,"COUNTED",IF(COUNTIF(LISTS!$J$2:$J$16,TRIM($G2076))&gt;0,"LEFT OUT","NEW")))</f>
        <v/>
      </c>
    </row>
    <row r="2077" spans="47:47" x14ac:dyDescent="0.25">
      <c r="AU2077" s="8" t="str">
        <f>IF(TRIM($G2077)="","",IF(COUNTIF(LISTS!$I$2:$I$16,TRIM($G2077))&gt;0,"COUNTED",IF(COUNTIF(LISTS!$J$2:$J$16,TRIM($G2077))&gt;0,"LEFT OUT","NEW")))</f>
        <v/>
      </c>
    </row>
    <row r="2078" spans="47:47" x14ac:dyDescent="0.25">
      <c r="AU2078" s="8" t="str">
        <f>IF(TRIM($G2078)="","",IF(COUNTIF(LISTS!$I$2:$I$16,TRIM($G2078))&gt;0,"COUNTED",IF(COUNTIF(LISTS!$J$2:$J$16,TRIM($G2078))&gt;0,"LEFT OUT","NEW")))</f>
        <v/>
      </c>
    </row>
    <row r="2079" spans="47:47" x14ac:dyDescent="0.25">
      <c r="AU2079" s="8" t="str">
        <f>IF(TRIM($G2079)="","",IF(COUNTIF(LISTS!$I$2:$I$16,TRIM($G2079))&gt;0,"COUNTED",IF(COUNTIF(LISTS!$J$2:$J$16,TRIM($G2079))&gt;0,"LEFT OUT","NEW")))</f>
        <v/>
      </c>
    </row>
    <row r="2080" spans="47:47" x14ac:dyDescent="0.25">
      <c r="AU2080" s="8" t="str">
        <f>IF(TRIM($G2080)="","",IF(COUNTIF(LISTS!$I$2:$I$16,TRIM($G2080))&gt;0,"COUNTED",IF(COUNTIF(LISTS!$J$2:$J$16,TRIM($G2080))&gt;0,"LEFT OUT","NEW")))</f>
        <v/>
      </c>
    </row>
    <row r="2081" spans="47:47" x14ac:dyDescent="0.25">
      <c r="AU2081" s="8" t="str">
        <f>IF(TRIM($G2081)="","",IF(COUNTIF(LISTS!$I$2:$I$16,TRIM($G2081))&gt;0,"COUNTED",IF(COUNTIF(LISTS!$J$2:$J$16,TRIM($G2081))&gt;0,"LEFT OUT","NEW")))</f>
        <v/>
      </c>
    </row>
    <row r="2082" spans="47:47" x14ac:dyDescent="0.25">
      <c r="AU2082" s="8" t="str">
        <f>IF(TRIM($G2082)="","",IF(COUNTIF(LISTS!$I$2:$I$16,TRIM($G2082))&gt;0,"COUNTED",IF(COUNTIF(LISTS!$J$2:$J$16,TRIM($G2082))&gt;0,"LEFT OUT","NEW")))</f>
        <v/>
      </c>
    </row>
    <row r="2083" spans="47:47" x14ac:dyDescent="0.25">
      <c r="AU2083" s="8" t="str">
        <f>IF(TRIM($G2083)="","",IF(COUNTIF(LISTS!$I$2:$I$16,TRIM($G2083))&gt;0,"COUNTED",IF(COUNTIF(LISTS!$J$2:$J$16,TRIM($G2083))&gt;0,"LEFT OUT","NEW")))</f>
        <v/>
      </c>
    </row>
    <row r="2084" spans="47:47" x14ac:dyDescent="0.25">
      <c r="AU2084" s="8" t="str">
        <f>IF(TRIM($G2084)="","",IF(COUNTIF(LISTS!$I$2:$I$16,TRIM($G2084))&gt;0,"COUNTED",IF(COUNTIF(LISTS!$J$2:$J$16,TRIM($G2084))&gt;0,"LEFT OUT","NEW")))</f>
        <v/>
      </c>
    </row>
    <row r="2085" spans="47:47" x14ac:dyDescent="0.25">
      <c r="AU2085" s="8" t="str">
        <f>IF(TRIM($G2085)="","",IF(COUNTIF(LISTS!$I$2:$I$16,TRIM($G2085))&gt;0,"COUNTED",IF(COUNTIF(LISTS!$J$2:$J$16,TRIM($G2085))&gt;0,"LEFT OUT","NEW")))</f>
        <v/>
      </c>
    </row>
    <row r="2086" spans="47:47" x14ac:dyDescent="0.25">
      <c r="AU2086" s="8" t="str">
        <f>IF(TRIM($G2086)="","",IF(COUNTIF(LISTS!$I$2:$I$16,TRIM($G2086))&gt;0,"COUNTED",IF(COUNTIF(LISTS!$J$2:$J$16,TRIM($G2086))&gt;0,"LEFT OUT","NEW")))</f>
        <v/>
      </c>
    </row>
    <row r="2087" spans="47:47" x14ac:dyDescent="0.25">
      <c r="AU2087" s="8" t="str">
        <f>IF(TRIM($G2087)="","",IF(COUNTIF(LISTS!$I$2:$I$16,TRIM($G2087))&gt;0,"COUNTED",IF(COUNTIF(LISTS!$J$2:$J$16,TRIM($G2087))&gt;0,"LEFT OUT","NEW")))</f>
        <v/>
      </c>
    </row>
    <row r="2088" spans="47:47" x14ac:dyDescent="0.25">
      <c r="AU2088" s="8" t="str">
        <f>IF(TRIM($G2088)="","",IF(COUNTIF(LISTS!$I$2:$I$16,TRIM($G2088))&gt;0,"COUNTED",IF(COUNTIF(LISTS!$J$2:$J$16,TRIM($G2088))&gt;0,"LEFT OUT","NEW")))</f>
        <v/>
      </c>
    </row>
    <row r="2089" spans="47:47" x14ac:dyDescent="0.25">
      <c r="AU2089" s="8" t="str">
        <f>IF(TRIM($G2089)="","",IF(COUNTIF(LISTS!$I$2:$I$16,TRIM($G2089))&gt;0,"COUNTED",IF(COUNTIF(LISTS!$J$2:$J$16,TRIM($G2089))&gt;0,"LEFT OUT","NEW")))</f>
        <v/>
      </c>
    </row>
    <row r="2090" spans="47:47" x14ac:dyDescent="0.25">
      <c r="AU2090" s="8" t="str">
        <f>IF(TRIM($G2090)="","",IF(COUNTIF(LISTS!$I$2:$I$16,TRIM($G2090))&gt;0,"COUNTED",IF(COUNTIF(LISTS!$J$2:$J$16,TRIM($G2090))&gt;0,"LEFT OUT","NEW")))</f>
        <v/>
      </c>
    </row>
    <row r="2091" spans="47:47" x14ac:dyDescent="0.25">
      <c r="AU2091" s="8" t="str">
        <f>IF(TRIM($G2091)="","",IF(COUNTIF(LISTS!$I$2:$I$16,TRIM($G2091))&gt;0,"COUNTED",IF(COUNTIF(LISTS!$J$2:$J$16,TRIM($G2091))&gt;0,"LEFT OUT","NEW")))</f>
        <v/>
      </c>
    </row>
    <row r="2092" spans="47:47" x14ac:dyDescent="0.25">
      <c r="AU2092" s="8" t="str">
        <f>IF(TRIM($G2092)="","",IF(COUNTIF(LISTS!$I$2:$I$16,TRIM($G2092))&gt;0,"COUNTED",IF(COUNTIF(LISTS!$J$2:$J$16,TRIM($G2092))&gt;0,"LEFT OUT","NEW")))</f>
        <v/>
      </c>
    </row>
    <row r="2093" spans="47:47" x14ac:dyDescent="0.25">
      <c r="AU2093" s="8" t="str">
        <f>IF(TRIM($G2093)="","",IF(COUNTIF(LISTS!$I$2:$I$16,TRIM($G2093))&gt;0,"COUNTED",IF(COUNTIF(LISTS!$J$2:$J$16,TRIM($G2093))&gt;0,"LEFT OUT","NEW")))</f>
        <v/>
      </c>
    </row>
    <row r="2094" spans="47:47" x14ac:dyDescent="0.25">
      <c r="AU2094" s="8" t="str">
        <f>IF(TRIM($G2094)="","",IF(COUNTIF(LISTS!$I$2:$I$16,TRIM($G2094))&gt;0,"COUNTED",IF(COUNTIF(LISTS!$J$2:$J$16,TRIM($G2094))&gt;0,"LEFT OUT","NEW")))</f>
        <v/>
      </c>
    </row>
    <row r="2095" spans="47:47" x14ac:dyDescent="0.25">
      <c r="AU2095" s="8" t="str">
        <f>IF(TRIM($G2095)="","",IF(COUNTIF(LISTS!$I$2:$I$16,TRIM($G2095))&gt;0,"COUNTED",IF(COUNTIF(LISTS!$J$2:$J$16,TRIM($G2095))&gt;0,"LEFT OUT","NEW")))</f>
        <v/>
      </c>
    </row>
    <row r="2096" spans="47:47" x14ac:dyDescent="0.25">
      <c r="AU2096" s="8" t="str">
        <f>IF(TRIM($G2096)="","",IF(COUNTIF(LISTS!$I$2:$I$16,TRIM($G2096))&gt;0,"COUNTED",IF(COUNTIF(LISTS!$J$2:$J$16,TRIM($G2096))&gt;0,"LEFT OUT","NEW")))</f>
        <v/>
      </c>
    </row>
    <row r="2097" spans="47:47" x14ac:dyDescent="0.25">
      <c r="AU2097" s="8" t="str">
        <f>IF(TRIM($G2097)="","",IF(COUNTIF(LISTS!$I$2:$I$16,TRIM($G2097))&gt;0,"COUNTED",IF(COUNTIF(LISTS!$J$2:$J$16,TRIM($G2097))&gt;0,"LEFT OUT","NEW")))</f>
        <v/>
      </c>
    </row>
    <row r="2098" spans="47:47" x14ac:dyDescent="0.25">
      <c r="AU2098" s="8" t="str">
        <f>IF(TRIM($G2098)="","",IF(COUNTIF(LISTS!$I$2:$I$16,TRIM($G2098))&gt;0,"COUNTED",IF(COUNTIF(LISTS!$J$2:$J$16,TRIM($G2098))&gt;0,"LEFT OUT","NEW")))</f>
        <v/>
      </c>
    </row>
    <row r="2099" spans="47:47" x14ac:dyDescent="0.25">
      <c r="AU2099" s="8" t="str">
        <f>IF(TRIM($G2099)="","",IF(COUNTIF(LISTS!$I$2:$I$16,TRIM($G2099))&gt;0,"COUNTED",IF(COUNTIF(LISTS!$J$2:$J$16,TRIM($G2099))&gt;0,"LEFT OUT","NEW")))</f>
        <v/>
      </c>
    </row>
    <row r="2100" spans="47:47" x14ac:dyDescent="0.25">
      <c r="AU2100" s="8" t="str">
        <f>IF(TRIM($G2100)="","",IF(COUNTIF(LISTS!$I$2:$I$16,TRIM($G2100))&gt;0,"COUNTED",IF(COUNTIF(LISTS!$J$2:$J$16,TRIM($G2100))&gt;0,"LEFT OUT","NEW")))</f>
        <v/>
      </c>
    </row>
    <row r="2101" spans="47:47" x14ac:dyDescent="0.25">
      <c r="AU2101" s="8" t="str">
        <f>IF(TRIM($G2101)="","",IF(COUNTIF(LISTS!$I$2:$I$16,TRIM($G2101))&gt;0,"COUNTED",IF(COUNTIF(LISTS!$J$2:$J$16,TRIM($G2101))&gt;0,"LEFT OUT","NEW")))</f>
        <v/>
      </c>
    </row>
    <row r="2102" spans="47:47" x14ac:dyDescent="0.25">
      <c r="AU2102" s="8" t="str">
        <f>IF(TRIM($G2102)="","",IF(COUNTIF(LISTS!$I$2:$I$16,TRIM($G2102))&gt;0,"COUNTED",IF(COUNTIF(LISTS!$J$2:$J$16,TRIM($G2102))&gt;0,"LEFT OUT","NEW")))</f>
        <v/>
      </c>
    </row>
    <row r="2103" spans="47:47" x14ac:dyDescent="0.25">
      <c r="AU2103" s="8" t="str">
        <f>IF(TRIM($G2103)="","",IF(COUNTIF(LISTS!$I$2:$I$16,TRIM($G2103))&gt;0,"COUNTED",IF(COUNTIF(LISTS!$J$2:$J$16,TRIM($G2103))&gt;0,"LEFT OUT","NEW")))</f>
        <v/>
      </c>
    </row>
    <row r="2104" spans="47:47" x14ac:dyDescent="0.25">
      <c r="AU2104" s="8" t="str">
        <f>IF(TRIM($G2104)="","",IF(COUNTIF(LISTS!$I$2:$I$16,TRIM($G2104))&gt;0,"COUNTED",IF(COUNTIF(LISTS!$J$2:$J$16,TRIM($G2104))&gt;0,"LEFT OUT","NEW")))</f>
        <v/>
      </c>
    </row>
    <row r="2105" spans="47:47" x14ac:dyDescent="0.25">
      <c r="AU2105" s="8" t="str">
        <f>IF(TRIM($G2105)="","",IF(COUNTIF(LISTS!$I$2:$I$16,TRIM($G2105))&gt;0,"COUNTED",IF(COUNTIF(LISTS!$J$2:$J$16,TRIM($G2105))&gt;0,"LEFT OUT","NEW")))</f>
        <v/>
      </c>
    </row>
    <row r="2106" spans="47:47" x14ac:dyDescent="0.25">
      <c r="AU2106" s="8" t="str">
        <f>IF(TRIM($G2106)="","",IF(COUNTIF(LISTS!$I$2:$I$16,TRIM($G2106))&gt;0,"COUNTED",IF(COUNTIF(LISTS!$J$2:$J$16,TRIM($G2106))&gt;0,"LEFT OUT","NEW")))</f>
        <v/>
      </c>
    </row>
    <row r="2107" spans="47:47" x14ac:dyDescent="0.25">
      <c r="AU2107" s="8" t="str">
        <f>IF(TRIM($G2107)="","",IF(COUNTIF(LISTS!$I$2:$I$16,TRIM($G2107))&gt;0,"COUNTED",IF(COUNTIF(LISTS!$J$2:$J$16,TRIM($G2107))&gt;0,"LEFT OUT","NEW")))</f>
        <v/>
      </c>
    </row>
    <row r="2108" spans="47:47" x14ac:dyDescent="0.25">
      <c r="AU2108" s="8" t="str">
        <f>IF(TRIM($G2108)="","",IF(COUNTIF(LISTS!$I$2:$I$16,TRIM($G2108))&gt;0,"COUNTED",IF(COUNTIF(LISTS!$J$2:$J$16,TRIM($G2108))&gt;0,"LEFT OUT","NEW")))</f>
        <v/>
      </c>
    </row>
    <row r="2109" spans="47:47" x14ac:dyDescent="0.25">
      <c r="AU2109" s="8" t="str">
        <f>IF(TRIM($G2109)="","",IF(COUNTIF(LISTS!$I$2:$I$16,TRIM($G2109))&gt;0,"COUNTED",IF(COUNTIF(LISTS!$J$2:$J$16,TRIM($G2109))&gt;0,"LEFT OUT","NEW")))</f>
        <v/>
      </c>
    </row>
    <row r="2110" spans="47:47" x14ac:dyDescent="0.25">
      <c r="AU2110" s="8" t="str">
        <f>IF(TRIM($G2110)="","",IF(COUNTIF(LISTS!$I$2:$I$16,TRIM($G2110))&gt;0,"COUNTED",IF(COUNTIF(LISTS!$J$2:$J$16,TRIM($G2110))&gt;0,"LEFT OUT","NEW")))</f>
        <v/>
      </c>
    </row>
    <row r="2111" spans="47:47" x14ac:dyDescent="0.25">
      <c r="AU2111" s="8" t="str">
        <f>IF(TRIM($G2111)="","",IF(COUNTIF(LISTS!$I$2:$I$16,TRIM($G2111))&gt;0,"COUNTED",IF(COUNTIF(LISTS!$J$2:$J$16,TRIM($G2111))&gt;0,"LEFT OUT","NEW")))</f>
        <v/>
      </c>
    </row>
    <row r="2112" spans="47:47" x14ac:dyDescent="0.25">
      <c r="AU2112" s="8" t="str">
        <f>IF(TRIM($G2112)="","",IF(COUNTIF(LISTS!$I$2:$I$16,TRIM($G2112))&gt;0,"COUNTED",IF(COUNTIF(LISTS!$J$2:$J$16,TRIM($G2112))&gt;0,"LEFT OUT","NEW")))</f>
        <v/>
      </c>
    </row>
    <row r="2113" spans="47:47" x14ac:dyDescent="0.25">
      <c r="AU2113" s="8" t="str">
        <f>IF(TRIM($G2113)="","",IF(COUNTIF(LISTS!$I$2:$I$16,TRIM($G2113))&gt;0,"COUNTED",IF(COUNTIF(LISTS!$J$2:$J$16,TRIM($G2113))&gt;0,"LEFT OUT","NEW")))</f>
        <v/>
      </c>
    </row>
    <row r="2114" spans="47:47" x14ac:dyDescent="0.25">
      <c r="AU2114" s="8" t="str">
        <f>IF(TRIM($G2114)="","",IF(COUNTIF(LISTS!$I$2:$I$16,TRIM($G2114))&gt;0,"COUNTED",IF(COUNTIF(LISTS!$J$2:$J$16,TRIM($G2114))&gt;0,"LEFT OUT","NEW")))</f>
        <v/>
      </c>
    </row>
    <row r="2115" spans="47:47" x14ac:dyDescent="0.25">
      <c r="AU2115" s="8" t="str">
        <f>IF(TRIM($G2115)="","",IF(COUNTIF(LISTS!$I$2:$I$16,TRIM($G2115))&gt;0,"COUNTED",IF(COUNTIF(LISTS!$J$2:$J$16,TRIM($G2115))&gt;0,"LEFT OUT","NEW")))</f>
        <v/>
      </c>
    </row>
    <row r="2116" spans="47:47" x14ac:dyDescent="0.25">
      <c r="AU2116" s="8" t="str">
        <f>IF(TRIM($G2116)="","",IF(COUNTIF(LISTS!$I$2:$I$16,TRIM($G2116))&gt;0,"COUNTED",IF(COUNTIF(LISTS!$J$2:$J$16,TRIM($G2116))&gt;0,"LEFT OUT","NEW")))</f>
        <v/>
      </c>
    </row>
    <row r="2117" spans="47:47" x14ac:dyDescent="0.25">
      <c r="AU2117" s="8" t="str">
        <f>IF(TRIM($G2117)="","",IF(COUNTIF(LISTS!$I$2:$I$16,TRIM($G2117))&gt;0,"COUNTED",IF(COUNTIF(LISTS!$J$2:$J$16,TRIM($G2117))&gt;0,"LEFT OUT","NEW")))</f>
        <v/>
      </c>
    </row>
    <row r="2118" spans="47:47" x14ac:dyDescent="0.25">
      <c r="AU2118" s="8" t="str">
        <f>IF(TRIM($G2118)="","",IF(COUNTIF(LISTS!$I$2:$I$16,TRIM($G2118))&gt;0,"COUNTED",IF(COUNTIF(LISTS!$J$2:$J$16,TRIM($G2118))&gt;0,"LEFT OUT","NEW")))</f>
        <v/>
      </c>
    </row>
    <row r="2119" spans="47:47" x14ac:dyDescent="0.25">
      <c r="AU2119" s="8" t="str">
        <f>IF(TRIM($G2119)="","",IF(COUNTIF(LISTS!$I$2:$I$16,TRIM($G2119))&gt;0,"COUNTED",IF(COUNTIF(LISTS!$J$2:$J$16,TRIM($G2119))&gt;0,"LEFT OUT","NEW")))</f>
        <v/>
      </c>
    </row>
    <row r="2120" spans="47:47" x14ac:dyDescent="0.25">
      <c r="AU2120" s="8" t="str">
        <f>IF(TRIM($G2120)="","",IF(COUNTIF(LISTS!$I$2:$I$16,TRIM($G2120))&gt;0,"COUNTED",IF(COUNTIF(LISTS!$J$2:$J$16,TRIM($G2120))&gt;0,"LEFT OUT","NEW")))</f>
        <v/>
      </c>
    </row>
    <row r="2121" spans="47:47" x14ac:dyDescent="0.25">
      <c r="AU2121" s="8" t="str">
        <f>IF(TRIM($G2121)="","",IF(COUNTIF(LISTS!$I$2:$I$16,TRIM($G2121))&gt;0,"COUNTED",IF(COUNTIF(LISTS!$J$2:$J$16,TRIM($G2121))&gt;0,"LEFT OUT","NEW")))</f>
        <v/>
      </c>
    </row>
    <row r="2122" spans="47:47" x14ac:dyDescent="0.25">
      <c r="AU2122" s="8" t="str">
        <f>IF(TRIM($G2122)="","",IF(COUNTIF(LISTS!$I$2:$I$16,TRIM($G2122))&gt;0,"COUNTED",IF(COUNTIF(LISTS!$J$2:$J$16,TRIM($G2122))&gt;0,"LEFT OUT","NEW")))</f>
        <v/>
      </c>
    </row>
    <row r="2123" spans="47:47" x14ac:dyDescent="0.25">
      <c r="AU2123" s="8" t="str">
        <f>IF(TRIM($G2123)="","",IF(COUNTIF(LISTS!$I$2:$I$16,TRIM($G2123))&gt;0,"COUNTED",IF(COUNTIF(LISTS!$J$2:$J$16,TRIM($G2123))&gt;0,"LEFT OUT","NEW")))</f>
        <v/>
      </c>
    </row>
    <row r="2124" spans="47:47" x14ac:dyDescent="0.25">
      <c r="AU2124" s="8" t="str">
        <f>IF(TRIM($G2124)="","",IF(COUNTIF(LISTS!$I$2:$I$16,TRIM($G2124))&gt;0,"COUNTED",IF(COUNTIF(LISTS!$J$2:$J$16,TRIM($G2124))&gt;0,"LEFT OUT","NEW")))</f>
        <v/>
      </c>
    </row>
    <row r="2125" spans="47:47" x14ac:dyDescent="0.25">
      <c r="AU2125" s="8" t="str">
        <f>IF(TRIM($G2125)="","",IF(COUNTIF(LISTS!$I$2:$I$16,TRIM($G2125))&gt;0,"COUNTED",IF(COUNTIF(LISTS!$J$2:$J$16,TRIM($G2125))&gt;0,"LEFT OUT","NEW")))</f>
        <v/>
      </c>
    </row>
    <row r="2126" spans="47:47" x14ac:dyDescent="0.25">
      <c r="AU2126" s="8" t="str">
        <f>IF(TRIM($G2126)="","",IF(COUNTIF(LISTS!$I$2:$I$16,TRIM($G2126))&gt;0,"COUNTED",IF(COUNTIF(LISTS!$J$2:$J$16,TRIM($G2126))&gt;0,"LEFT OUT","NEW")))</f>
        <v/>
      </c>
    </row>
    <row r="2127" spans="47:47" x14ac:dyDescent="0.25">
      <c r="AU2127" s="8" t="str">
        <f>IF(TRIM($G2127)="","",IF(COUNTIF(LISTS!$I$2:$I$16,TRIM($G2127))&gt;0,"COUNTED",IF(COUNTIF(LISTS!$J$2:$J$16,TRIM($G2127))&gt;0,"LEFT OUT","NEW")))</f>
        <v/>
      </c>
    </row>
    <row r="2128" spans="47:47" x14ac:dyDescent="0.25">
      <c r="AU2128" s="8" t="str">
        <f>IF(TRIM($G2128)="","",IF(COUNTIF(LISTS!$I$2:$I$16,TRIM($G2128))&gt;0,"COUNTED",IF(COUNTIF(LISTS!$J$2:$J$16,TRIM($G2128))&gt;0,"LEFT OUT","NEW")))</f>
        <v/>
      </c>
    </row>
    <row r="2129" spans="47:47" x14ac:dyDescent="0.25">
      <c r="AU2129" s="8" t="str">
        <f>IF(TRIM($G2129)="","",IF(COUNTIF(LISTS!$I$2:$I$16,TRIM($G2129))&gt;0,"COUNTED",IF(COUNTIF(LISTS!$J$2:$J$16,TRIM($G2129))&gt;0,"LEFT OUT","NEW")))</f>
        <v/>
      </c>
    </row>
    <row r="2130" spans="47:47" x14ac:dyDescent="0.25">
      <c r="AU2130" s="8" t="str">
        <f>IF(TRIM($G2130)="","",IF(COUNTIF(LISTS!$I$2:$I$16,TRIM($G2130))&gt;0,"COUNTED",IF(COUNTIF(LISTS!$J$2:$J$16,TRIM($G2130))&gt;0,"LEFT OUT","NEW")))</f>
        <v/>
      </c>
    </row>
    <row r="2131" spans="47:47" x14ac:dyDescent="0.25">
      <c r="AU2131" s="8" t="str">
        <f>IF(TRIM($G2131)="","",IF(COUNTIF(LISTS!$I$2:$I$16,TRIM($G2131))&gt;0,"COUNTED",IF(COUNTIF(LISTS!$J$2:$J$16,TRIM($G2131))&gt;0,"LEFT OUT","NEW")))</f>
        <v/>
      </c>
    </row>
    <row r="2132" spans="47:47" x14ac:dyDescent="0.25">
      <c r="AU2132" s="8" t="str">
        <f>IF(TRIM($G2132)="","",IF(COUNTIF(LISTS!$I$2:$I$16,TRIM($G2132))&gt;0,"COUNTED",IF(COUNTIF(LISTS!$J$2:$J$16,TRIM($G2132))&gt;0,"LEFT OUT","NEW")))</f>
        <v/>
      </c>
    </row>
    <row r="2133" spans="47:47" x14ac:dyDescent="0.25">
      <c r="AU2133" s="8" t="str">
        <f>IF(TRIM($G2133)="","",IF(COUNTIF(LISTS!$I$2:$I$16,TRIM($G2133))&gt;0,"COUNTED",IF(COUNTIF(LISTS!$J$2:$J$16,TRIM($G2133))&gt;0,"LEFT OUT","NEW")))</f>
        <v/>
      </c>
    </row>
    <row r="2134" spans="47:47" x14ac:dyDescent="0.25">
      <c r="AU2134" s="8" t="str">
        <f>IF(TRIM($G2134)="","",IF(COUNTIF(LISTS!$I$2:$I$16,TRIM($G2134))&gt;0,"COUNTED",IF(COUNTIF(LISTS!$J$2:$J$16,TRIM($G2134))&gt;0,"LEFT OUT","NEW")))</f>
        <v/>
      </c>
    </row>
    <row r="2135" spans="47:47" x14ac:dyDescent="0.25">
      <c r="AU2135" s="8" t="str">
        <f>IF(TRIM($G2135)="","",IF(COUNTIF(LISTS!$I$2:$I$16,TRIM($G2135))&gt;0,"COUNTED",IF(COUNTIF(LISTS!$J$2:$J$16,TRIM($G2135))&gt;0,"LEFT OUT","NEW")))</f>
        <v/>
      </c>
    </row>
    <row r="2136" spans="47:47" x14ac:dyDescent="0.25">
      <c r="AU2136" s="8" t="str">
        <f>IF(TRIM($G2136)="","",IF(COUNTIF(LISTS!$I$2:$I$16,TRIM($G2136))&gt;0,"COUNTED",IF(COUNTIF(LISTS!$J$2:$J$16,TRIM($G2136))&gt;0,"LEFT OUT","NEW")))</f>
        <v/>
      </c>
    </row>
    <row r="2137" spans="47:47" x14ac:dyDescent="0.25">
      <c r="AU2137" s="8" t="str">
        <f>IF(TRIM($G2137)="","",IF(COUNTIF(LISTS!$I$2:$I$16,TRIM($G2137))&gt;0,"COUNTED",IF(COUNTIF(LISTS!$J$2:$J$16,TRIM($G2137))&gt;0,"LEFT OUT","NEW")))</f>
        <v/>
      </c>
    </row>
    <row r="2138" spans="47:47" x14ac:dyDescent="0.25">
      <c r="AU2138" s="8" t="str">
        <f>IF(TRIM($G2138)="","",IF(COUNTIF(LISTS!$I$2:$I$16,TRIM($G2138))&gt;0,"COUNTED",IF(COUNTIF(LISTS!$J$2:$J$16,TRIM($G2138))&gt;0,"LEFT OUT","NEW")))</f>
        <v/>
      </c>
    </row>
    <row r="2139" spans="47:47" x14ac:dyDescent="0.25">
      <c r="AU2139" s="8" t="str">
        <f>IF(TRIM($G2139)="","",IF(COUNTIF(LISTS!$I$2:$I$16,TRIM($G2139))&gt;0,"COUNTED",IF(COUNTIF(LISTS!$J$2:$J$16,TRIM($G2139))&gt;0,"LEFT OUT","NEW")))</f>
        <v/>
      </c>
    </row>
    <row r="2140" spans="47:47" x14ac:dyDescent="0.25">
      <c r="AU2140" s="8" t="str">
        <f>IF(TRIM($G2140)="","",IF(COUNTIF(LISTS!$I$2:$I$16,TRIM($G2140))&gt;0,"COUNTED",IF(COUNTIF(LISTS!$J$2:$J$16,TRIM($G2140))&gt;0,"LEFT OUT","NEW")))</f>
        <v/>
      </c>
    </row>
    <row r="2141" spans="47:47" x14ac:dyDescent="0.25">
      <c r="AU2141" s="8" t="str">
        <f>IF(TRIM($G2141)="","",IF(COUNTIF(LISTS!$I$2:$I$16,TRIM($G2141))&gt;0,"COUNTED",IF(COUNTIF(LISTS!$J$2:$J$16,TRIM($G2141))&gt;0,"LEFT OUT","NEW")))</f>
        <v/>
      </c>
    </row>
    <row r="2142" spans="47:47" x14ac:dyDescent="0.25">
      <c r="AU2142" s="8" t="str">
        <f>IF(TRIM($G2142)="","",IF(COUNTIF(LISTS!$I$2:$I$16,TRIM($G2142))&gt;0,"COUNTED",IF(COUNTIF(LISTS!$J$2:$J$16,TRIM($G2142))&gt;0,"LEFT OUT","NEW")))</f>
        <v/>
      </c>
    </row>
    <row r="2143" spans="47:47" x14ac:dyDescent="0.25">
      <c r="AU2143" s="8" t="str">
        <f>IF(TRIM($G2143)="","",IF(COUNTIF(LISTS!$I$2:$I$16,TRIM($G2143))&gt;0,"COUNTED",IF(COUNTIF(LISTS!$J$2:$J$16,TRIM($G2143))&gt;0,"LEFT OUT","NEW")))</f>
        <v/>
      </c>
    </row>
    <row r="2144" spans="47:47" x14ac:dyDescent="0.25">
      <c r="AU2144" s="8" t="str">
        <f>IF(TRIM($G2144)="","",IF(COUNTIF(LISTS!$I$2:$I$16,TRIM($G2144))&gt;0,"COUNTED",IF(COUNTIF(LISTS!$J$2:$J$16,TRIM($G2144))&gt;0,"LEFT OUT","NEW")))</f>
        <v/>
      </c>
    </row>
    <row r="2145" spans="47:47" x14ac:dyDescent="0.25">
      <c r="AU2145" s="8" t="str">
        <f>IF(TRIM($G2145)="","",IF(COUNTIF(LISTS!$I$2:$I$16,TRIM($G2145))&gt;0,"COUNTED",IF(COUNTIF(LISTS!$J$2:$J$16,TRIM($G2145))&gt;0,"LEFT OUT","NEW")))</f>
        <v/>
      </c>
    </row>
    <row r="2146" spans="47:47" x14ac:dyDescent="0.25">
      <c r="AU2146" s="8" t="str">
        <f>IF(TRIM($G2146)="","",IF(COUNTIF(LISTS!$I$2:$I$16,TRIM($G2146))&gt;0,"COUNTED",IF(COUNTIF(LISTS!$J$2:$J$16,TRIM($G2146))&gt;0,"LEFT OUT","NEW")))</f>
        <v/>
      </c>
    </row>
    <row r="2147" spans="47:47" x14ac:dyDescent="0.25">
      <c r="AU2147" s="8" t="str">
        <f>IF(TRIM($G2147)="","",IF(COUNTIF(LISTS!$I$2:$I$16,TRIM($G2147))&gt;0,"COUNTED",IF(COUNTIF(LISTS!$J$2:$J$16,TRIM($G2147))&gt;0,"LEFT OUT","NEW")))</f>
        <v/>
      </c>
    </row>
    <row r="2148" spans="47:47" x14ac:dyDescent="0.25">
      <c r="AU2148" s="8" t="str">
        <f>IF(TRIM($G2148)="","",IF(COUNTIF(LISTS!$I$2:$I$16,TRIM($G2148))&gt;0,"COUNTED",IF(COUNTIF(LISTS!$J$2:$J$16,TRIM($G2148))&gt;0,"LEFT OUT","NEW")))</f>
        <v/>
      </c>
    </row>
    <row r="2149" spans="47:47" x14ac:dyDescent="0.25">
      <c r="AU2149" s="8" t="str">
        <f>IF(TRIM($G2149)="","",IF(COUNTIF(LISTS!$I$2:$I$16,TRIM($G2149))&gt;0,"COUNTED",IF(COUNTIF(LISTS!$J$2:$J$16,TRIM($G2149))&gt;0,"LEFT OUT","NEW")))</f>
        <v/>
      </c>
    </row>
    <row r="2150" spans="47:47" x14ac:dyDescent="0.25">
      <c r="AU2150" s="8" t="str">
        <f>IF(TRIM($G2150)="","",IF(COUNTIF(LISTS!$I$2:$I$16,TRIM($G2150))&gt;0,"COUNTED",IF(COUNTIF(LISTS!$J$2:$J$16,TRIM($G2150))&gt;0,"LEFT OUT","NEW")))</f>
        <v/>
      </c>
    </row>
    <row r="2151" spans="47:47" x14ac:dyDescent="0.25">
      <c r="AU2151" s="8" t="str">
        <f>IF(TRIM($G2151)="","",IF(COUNTIF(LISTS!$I$2:$I$16,TRIM($G2151))&gt;0,"COUNTED",IF(COUNTIF(LISTS!$J$2:$J$16,TRIM($G2151))&gt;0,"LEFT OUT","NEW")))</f>
        <v/>
      </c>
    </row>
    <row r="2152" spans="47:47" x14ac:dyDescent="0.25">
      <c r="AU2152" s="8" t="str">
        <f>IF(TRIM($G2152)="","",IF(COUNTIF(LISTS!$I$2:$I$16,TRIM($G2152))&gt;0,"COUNTED",IF(COUNTIF(LISTS!$J$2:$J$16,TRIM($G2152))&gt;0,"LEFT OUT","NEW")))</f>
        <v/>
      </c>
    </row>
    <row r="2153" spans="47:47" x14ac:dyDescent="0.25">
      <c r="AU2153" s="8" t="str">
        <f>IF(TRIM($G2153)="","",IF(COUNTIF(LISTS!$I$2:$I$16,TRIM($G2153))&gt;0,"COUNTED",IF(COUNTIF(LISTS!$J$2:$J$16,TRIM($G2153))&gt;0,"LEFT OUT","NEW")))</f>
        <v/>
      </c>
    </row>
    <row r="2154" spans="47:47" x14ac:dyDescent="0.25">
      <c r="AU2154" s="8" t="str">
        <f>IF(TRIM($G2154)="","",IF(COUNTIF(LISTS!$I$2:$I$16,TRIM($G2154))&gt;0,"COUNTED",IF(COUNTIF(LISTS!$J$2:$J$16,TRIM($G2154))&gt;0,"LEFT OUT","NEW")))</f>
        <v/>
      </c>
    </row>
    <row r="2155" spans="47:47" x14ac:dyDescent="0.25">
      <c r="AU2155" s="8" t="str">
        <f>IF(TRIM($G2155)="","",IF(COUNTIF(LISTS!$I$2:$I$16,TRIM($G2155))&gt;0,"COUNTED",IF(COUNTIF(LISTS!$J$2:$J$16,TRIM($G2155))&gt;0,"LEFT OUT","NEW")))</f>
        <v/>
      </c>
    </row>
    <row r="2156" spans="47:47" x14ac:dyDescent="0.25">
      <c r="AU2156" s="8" t="str">
        <f>IF(TRIM($G2156)="","",IF(COUNTIF(LISTS!$I$2:$I$16,TRIM($G2156))&gt;0,"COUNTED",IF(COUNTIF(LISTS!$J$2:$J$16,TRIM($G2156))&gt;0,"LEFT OUT","NEW")))</f>
        <v/>
      </c>
    </row>
    <row r="2157" spans="47:47" x14ac:dyDescent="0.25">
      <c r="AU2157" s="8" t="str">
        <f>IF(TRIM($G2157)="","",IF(COUNTIF(LISTS!$I$2:$I$16,TRIM($G2157))&gt;0,"COUNTED",IF(COUNTIF(LISTS!$J$2:$J$16,TRIM($G2157))&gt;0,"LEFT OUT","NEW")))</f>
        <v/>
      </c>
    </row>
    <row r="2158" spans="47:47" x14ac:dyDescent="0.25">
      <c r="AU2158" s="8" t="str">
        <f>IF(TRIM($G2158)="","",IF(COUNTIF(LISTS!$I$2:$I$16,TRIM($G2158))&gt;0,"COUNTED",IF(COUNTIF(LISTS!$J$2:$J$16,TRIM($G2158))&gt;0,"LEFT OUT","NEW")))</f>
        <v/>
      </c>
    </row>
    <row r="2159" spans="47:47" x14ac:dyDescent="0.25">
      <c r="AU2159" s="8" t="str">
        <f>IF(TRIM($G2159)="","",IF(COUNTIF(LISTS!$I$2:$I$16,TRIM($G2159))&gt;0,"COUNTED",IF(COUNTIF(LISTS!$J$2:$J$16,TRIM($G2159))&gt;0,"LEFT OUT","NEW")))</f>
        <v/>
      </c>
    </row>
    <row r="2160" spans="47:47" x14ac:dyDescent="0.25">
      <c r="AU2160" s="8" t="str">
        <f>IF(TRIM($G2160)="","",IF(COUNTIF(LISTS!$I$2:$I$16,TRIM($G2160))&gt;0,"COUNTED",IF(COUNTIF(LISTS!$J$2:$J$16,TRIM($G2160))&gt;0,"LEFT OUT","NEW")))</f>
        <v/>
      </c>
    </row>
    <row r="2161" spans="47:47" x14ac:dyDescent="0.25">
      <c r="AU2161" s="8" t="str">
        <f>IF(TRIM($G2161)="","",IF(COUNTIF(LISTS!$I$2:$I$16,TRIM($G2161))&gt;0,"COUNTED",IF(COUNTIF(LISTS!$J$2:$J$16,TRIM($G2161))&gt;0,"LEFT OUT","NEW")))</f>
        <v/>
      </c>
    </row>
    <row r="2162" spans="47:47" x14ac:dyDescent="0.25">
      <c r="AU2162" s="8" t="str">
        <f>IF(TRIM($G2162)="","",IF(COUNTIF(LISTS!$I$2:$I$16,TRIM($G2162))&gt;0,"COUNTED",IF(COUNTIF(LISTS!$J$2:$J$16,TRIM($G2162))&gt;0,"LEFT OUT","NEW")))</f>
        <v/>
      </c>
    </row>
    <row r="2163" spans="47:47" x14ac:dyDescent="0.25">
      <c r="AU2163" s="8" t="str">
        <f>IF(TRIM($G2163)="","",IF(COUNTIF(LISTS!$I$2:$I$16,TRIM($G2163))&gt;0,"COUNTED",IF(COUNTIF(LISTS!$J$2:$J$16,TRIM($G2163))&gt;0,"LEFT OUT","NEW")))</f>
        <v/>
      </c>
    </row>
    <row r="2164" spans="47:47" x14ac:dyDescent="0.25">
      <c r="AU2164" s="8" t="str">
        <f>IF(TRIM($G2164)="","",IF(COUNTIF(LISTS!$I$2:$I$16,TRIM($G2164))&gt;0,"COUNTED",IF(COUNTIF(LISTS!$J$2:$J$16,TRIM($G2164))&gt;0,"LEFT OUT","NEW")))</f>
        <v/>
      </c>
    </row>
    <row r="2165" spans="47:47" x14ac:dyDescent="0.25">
      <c r="AU2165" s="8" t="str">
        <f>IF(TRIM($G2165)="","",IF(COUNTIF(LISTS!$I$2:$I$16,TRIM($G2165))&gt;0,"COUNTED",IF(COUNTIF(LISTS!$J$2:$J$16,TRIM($G2165))&gt;0,"LEFT OUT","NEW")))</f>
        <v/>
      </c>
    </row>
    <row r="2166" spans="47:47" x14ac:dyDescent="0.25">
      <c r="AU2166" s="8" t="str">
        <f>IF(TRIM($G2166)="","",IF(COUNTIF(LISTS!$I$2:$I$16,TRIM($G2166))&gt;0,"COUNTED",IF(COUNTIF(LISTS!$J$2:$J$16,TRIM($G2166))&gt;0,"LEFT OUT","NEW")))</f>
        <v/>
      </c>
    </row>
    <row r="2167" spans="47:47" x14ac:dyDescent="0.25">
      <c r="AU2167" s="8" t="str">
        <f>IF(TRIM($G2167)="","",IF(COUNTIF(LISTS!$I$2:$I$16,TRIM($G2167))&gt;0,"COUNTED",IF(COUNTIF(LISTS!$J$2:$J$16,TRIM($G2167))&gt;0,"LEFT OUT","NEW")))</f>
        <v/>
      </c>
    </row>
    <row r="2168" spans="47:47" x14ac:dyDescent="0.25">
      <c r="AU2168" s="8" t="str">
        <f>IF(TRIM($G2168)="","",IF(COUNTIF(LISTS!$I$2:$I$16,TRIM($G2168))&gt;0,"COUNTED",IF(COUNTIF(LISTS!$J$2:$J$16,TRIM($G2168))&gt;0,"LEFT OUT","NEW")))</f>
        <v/>
      </c>
    </row>
    <row r="2169" spans="47:47" x14ac:dyDescent="0.25">
      <c r="AU2169" s="8" t="str">
        <f>IF(TRIM($G2169)="","",IF(COUNTIF(LISTS!$I$2:$I$16,TRIM($G2169))&gt;0,"COUNTED",IF(COUNTIF(LISTS!$J$2:$J$16,TRIM($G2169))&gt;0,"LEFT OUT","NEW")))</f>
        <v/>
      </c>
    </row>
    <row r="2170" spans="47:47" x14ac:dyDescent="0.25">
      <c r="AU2170" s="8" t="str">
        <f>IF(TRIM($G2170)="","",IF(COUNTIF(LISTS!$I$2:$I$16,TRIM($G2170))&gt;0,"COUNTED",IF(COUNTIF(LISTS!$J$2:$J$16,TRIM($G2170))&gt;0,"LEFT OUT","NEW")))</f>
        <v/>
      </c>
    </row>
    <row r="2171" spans="47:47" x14ac:dyDescent="0.25">
      <c r="AU2171" s="8" t="str">
        <f>IF(TRIM($G2171)="","",IF(COUNTIF(LISTS!$I$2:$I$16,TRIM($G2171))&gt;0,"COUNTED",IF(COUNTIF(LISTS!$J$2:$J$16,TRIM($G2171))&gt;0,"LEFT OUT","NEW")))</f>
        <v/>
      </c>
    </row>
    <row r="2172" spans="47:47" x14ac:dyDescent="0.25">
      <c r="AU2172" s="8" t="str">
        <f>IF(TRIM($G2172)="","",IF(COUNTIF(LISTS!$I$2:$I$16,TRIM($G2172))&gt;0,"COUNTED",IF(COUNTIF(LISTS!$J$2:$J$16,TRIM($G2172))&gt;0,"LEFT OUT","NEW")))</f>
        <v/>
      </c>
    </row>
    <row r="2173" spans="47:47" x14ac:dyDescent="0.25">
      <c r="AU2173" s="8" t="str">
        <f>IF(TRIM($G2173)="","",IF(COUNTIF(LISTS!$I$2:$I$16,TRIM($G2173))&gt;0,"COUNTED",IF(COUNTIF(LISTS!$J$2:$J$16,TRIM($G2173))&gt;0,"LEFT OUT","NEW")))</f>
        <v/>
      </c>
    </row>
    <row r="2174" spans="47:47" x14ac:dyDescent="0.25">
      <c r="AU2174" s="8" t="str">
        <f>IF(TRIM($G2174)="","",IF(COUNTIF(LISTS!$I$2:$I$16,TRIM($G2174))&gt;0,"COUNTED",IF(COUNTIF(LISTS!$J$2:$J$16,TRIM($G2174))&gt;0,"LEFT OUT","NEW")))</f>
        <v/>
      </c>
    </row>
    <row r="2175" spans="47:47" x14ac:dyDescent="0.25">
      <c r="AU2175" s="8" t="str">
        <f>IF(TRIM($G2175)="","",IF(COUNTIF(LISTS!$I$2:$I$16,TRIM($G2175))&gt;0,"COUNTED",IF(COUNTIF(LISTS!$J$2:$J$16,TRIM($G2175))&gt;0,"LEFT OUT","NEW")))</f>
        <v/>
      </c>
    </row>
    <row r="2176" spans="47:47" x14ac:dyDescent="0.25">
      <c r="AU2176" s="8" t="str">
        <f>IF(TRIM($G2176)="","",IF(COUNTIF(LISTS!$I$2:$I$16,TRIM($G2176))&gt;0,"COUNTED",IF(COUNTIF(LISTS!$J$2:$J$16,TRIM($G2176))&gt;0,"LEFT OUT","NEW")))</f>
        <v/>
      </c>
    </row>
    <row r="2177" spans="47:47" x14ac:dyDescent="0.25">
      <c r="AU2177" s="8" t="str">
        <f>IF(TRIM($G2177)="","",IF(COUNTIF(LISTS!$I$2:$I$16,TRIM($G2177))&gt;0,"COUNTED",IF(COUNTIF(LISTS!$J$2:$J$16,TRIM($G2177))&gt;0,"LEFT OUT","NEW")))</f>
        <v/>
      </c>
    </row>
    <row r="2178" spans="47:47" x14ac:dyDescent="0.25">
      <c r="AU2178" s="8" t="str">
        <f>IF(TRIM($G2178)="","",IF(COUNTIF(LISTS!$I$2:$I$16,TRIM($G2178))&gt;0,"COUNTED",IF(COUNTIF(LISTS!$J$2:$J$16,TRIM($G2178))&gt;0,"LEFT OUT","NEW")))</f>
        <v/>
      </c>
    </row>
    <row r="2179" spans="47:47" x14ac:dyDescent="0.25">
      <c r="AU2179" s="8" t="str">
        <f>IF(TRIM($G2179)="","",IF(COUNTIF(LISTS!$I$2:$I$16,TRIM($G2179))&gt;0,"COUNTED",IF(COUNTIF(LISTS!$J$2:$J$16,TRIM($G2179))&gt;0,"LEFT OUT","NEW")))</f>
        <v/>
      </c>
    </row>
    <row r="2180" spans="47:47" x14ac:dyDescent="0.25">
      <c r="AU2180" s="8" t="str">
        <f>IF(TRIM($G2180)="","",IF(COUNTIF(LISTS!$I$2:$I$16,TRIM($G2180))&gt;0,"COUNTED",IF(COUNTIF(LISTS!$J$2:$J$16,TRIM($G2180))&gt;0,"LEFT OUT","NEW")))</f>
        <v/>
      </c>
    </row>
    <row r="2181" spans="47:47" x14ac:dyDescent="0.25">
      <c r="AU2181" s="8" t="str">
        <f>IF(TRIM($G2181)="","",IF(COUNTIF(LISTS!$I$2:$I$16,TRIM($G2181))&gt;0,"COUNTED",IF(COUNTIF(LISTS!$J$2:$J$16,TRIM($G2181))&gt;0,"LEFT OUT","NEW")))</f>
        <v/>
      </c>
    </row>
    <row r="2182" spans="47:47" x14ac:dyDescent="0.25">
      <c r="AU2182" s="8" t="str">
        <f>IF(TRIM($G2182)="","",IF(COUNTIF(LISTS!$I$2:$I$16,TRIM($G2182))&gt;0,"COUNTED",IF(COUNTIF(LISTS!$J$2:$J$16,TRIM($G2182))&gt;0,"LEFT OUT","NEW")))</f>
        <v/>
      </c>
    </row>
    <row r="2183" spans="47:47" x14ac:dyDescent="0.25">
      <c r="AU2183" s="8" t="str">
        <f>IF(TRIM($G2183)="","",IF(COUNTIF(LISTS!$I$2:$I$16,TRIM($G2183))&gt;0,"COUNTED",IF(COUNTIF(LISTS!$J$2:$J$16,TRIM($G2183))&gt;0,"LEFT OUT","NEW")))</f>
        <v/>
      </c>
    </row>
    <row r="2184" spans="47:47" x14ac:dyDescent="0.25">
      <c r="AU2184" s="8" t="str">
        <f>IF(TRIM($G2184)="","",IF(COUNTIF(LISTS!$I$2:$I$16,TRIM($G2184))&gt;0,"COUNTED",IF(COUNTIF(LISTS!$J$2:$J$16,TRIM($G2184))&gt;0,"LEFT OUT","NEW")))</f>
        <v/>
      </c>
    </row>
    <row r="2185" spans="47:47" x14ac:dyDescent="0.25">
      <c r="AU2185" s="8" t="str">
        <f>IF(TRIM($G2185)="","",IF(COUNTIF(LISTS!$I$2:$I$16,TRIM($G2185))&gt;0,"COUNTED",IF(COUNTIF(LISTS!$J$2:$J$16,TRIM($G2185))&gt;0,"LEFT OUT","NEW")))</f>
        <v/>
      </c>
    </row>
    <row r="2186" spans="47:47" x14ac:dyDescent="0.25">
      <c r="AU2186" s="8" t="str">
        <f>IF(TRIM($G2186)="","",IF(COUNTIF(LISTS!$I$2:$I$16,TRIM($G2186))&gt;0,"COUNTED",IF(COUNTIF(LISTS!$J$2:$J$16,TRIM($G2186))&gt;0,"LEFT OUT","NEW")))</f>
        <v/>
      </c>
    </row>
    <row r="2187" spans="47:47" x14ac:dyDescent="0.25">
      <c r="AU2187" s="8" t="str">
        <f>IF(TRIM($G2187)="","",IF(COUNTIF(LISTS!$I$2:$I$16,TRIM($G2187))&gt;0,"COUNTED",IF(COUNTIF(LISTS!$J$2:$J$16,TRIM($G2187))&gt;0,"LEFT OUT","NEW")))</f>
        <v/>
      </c>
    </row>
    <row r="2188" spans="47:47" x14ac:dyDescent="0.25">
      <c r="AU2188" s="8" t="str">
        <f>IF(TRIM($G2188)="","",IF(COUNTIF(LISTS!$I$2:$I$16,TRIM($G2188))&gt;0,"COUNTED",IF(COUNTIF(LISTS!$J$2:$J$16,TRIM($G2188))&gt;0,"LEFT OUT","NEW")))</f>
        <v/>
      </c>
    </row>
    <row r="2189" spans="47:47" x14ac:dyDescent="0.25">
      <c r="AU2189" s="8" t="str">
        <f>IF(TRIM($G2189)="","",IF(COUNTIF(LISTS!$I$2:$I$16,TRIM($G2189))&gt;0,"COUNTED",IF(COUNTIF(LISTS!$J$2:$J$16,TRIM($G2189))&gt;0,"LEFT OUT","NEW")))</f>
        <v/>
      </c>
    </row>
    <row r="2190" spans="47:47" x14ac:dyDescent="0.25">
      <c r="AU2190" s="8" t="str">
        <f>IF(TRIM($G2190)="","",IF(COUNTIF(LISTS!$I$2:$I$16,TRIM($G2190))&gt;0,"COUNTED",IF(COUNTIF(LISTS!$J$2:$J$16,TRIM($G2190))&gt;0,"LEFT OUT","NEW")))</f>
        <v/>
      </c>
    </row>
    <row r="2191" spans="47:47" x14ac:dyDescent="0.25">
      <c r="AU2191" s="8" t="str">
        <f>IF(TRIM($G2191)="","",IF(COUNTIF(LISTS!$I$2:$I$16,TRIM($G2191))&gt;0,"COUNTED",IF(COUNTIF(LISTS!$J$2:$J$16,TRIM($G2191))&gt;0,"LEFT OUT","NEW")))</f>
        <v/>
      </c>
    </row>
    <row r="2192" spans="47:47" x14ac:dyDescent="0.25">
      <c r="AU2192" s="8" t="str">
        <f>IF(TRIM($G2192)="","",IF(COUNTIF(LISTS!$I$2:$I$16,TRIM($G2192))&gt;0,"COUNTED",IF(COUNTIF(LISTS!$J$2:$J$16,TRIM($G2192))&gt;0,"LEFT OUT","NEW")))</f>
        <v/>
      </c>
    </row>
    <row r="2193" spans="47:47" x14ac:dyDescent="0.25">
      <c r="AU2193" s="8" t="str">
        <f>IF(TRIM($G2193)="","",IF(COUNTIF(LISTS!$I$2:$I$16,TRIM($G2193))&gt;0,"COUNTED",IF(COUNTIF(LISTS!$J$2:$J$16,TRIM($G2193))&gt;0,"LEFT OUT","NEW")))</f>
        <v/>
      </c>
    </row>
    <row r="2194" spans="47:47" x14ac:dyDescent="0.25">
      <c r="AU2194" s="8" t="str">
        <f>IF(TRIM($G2194)="","",IF(COUNTIF(LISTS!$I$2:$I$16,TRIM($G2194))&gt;0,"COUNTED",IF(COUNTIF(LISTS!$J$2:$J$16,TRIM($G2194))&gt;0,"LEFT OUT","NEW")))</f>
        <v/>
      </c>
    </row>
    <row r="2195" spans="47:47" x14ac:dyDescent="0.25">
      <c r="AU2195" s="8" t="str">
        <f>IF(TRIM($G2195)="","",IF(COUNTIF(LISTS!$I$2:$I$16,TRIM($G2195))&gt;0,"COUNTED",IF(COUNTIF(LISTS!$J$2:$J$16,TRIM($G2195))&gt;0,"LEFT OUT","NEW")))</f>
        <v/>
      </c>
    </row>
    <row r="2196" spans="47:47" x14ac:dyDescent="0.25">
      <c r="AU2196" s="8" t="str">
        <f>IF(TRIM($G2196)="","",IF(COUNTIF(LISTS!$I$2:$I$16,TRIM($G2196))&gt;0,"COUNTED",IF(COUNTIF(LISTS!$J$2:$J$16,TRIM($G2196))&gt;0,"LEFT OUT","NEW")))</f>
        <v/>
      </c>
    </row>
    <row r="2197" spans="47:47" x14ac:dyDescent="0.25">
      <c r="AU2197" s="8" t="str">
        <f>IF(TRIM($G2197)="","",IF(COUNTIF(LISTS!$I$2:$I$16,TRIM($G2197))&gt;0,"COUNTED",IF(COUNTIF(LISTS!$J$2:$J$16,TRIM($G2197))&gt;0,"LEFT OUT","NEW")))</f>
        <v/>
      </c>
    </row>
    <row r="2198" spans="47:47" x14ac:dyDescent="0.25">
      <c r="AU2198" s="8" t="str">
        <f>IF(TRIM($G2198)="","",IF(COUNTIF(LISTS!$I$2:$I$16,TRIM($G2198))&gt;0,"COUNTED",IF(COUNTIF(LISTS!$J$2:$J$16,TRIM($G2198))&gt;0,"LEFT OUT","NEW")))</f>
        <v/>
      </c>
    </row>
    <row r="2199" spans="47:47" x14ac:dyDescent="0.25">
      <c r="AU2199" s="8" t="str">
        <f>IF(TRIM($G2199)="","",IF(COUNTIF(LISTS!$I$2:$I$16,TRIM($G2199))&gt;0,"COUNTED",IF(COUNTIF(LISTS!$J$2:$J$16,TRIM($G2199))&gt;0,"LEFT OUT","NEW")))</f>
        <v/>
      </c>
    </row>
    <row r="2200" spans="47:47" x14ac:dyDescent="0.25">
      <c r="AU2200" s="8" t="str">
        <f>IF(TRIM($G2200)="","",IF(COUNTIF(LISTS!$I$2:$I$16,TRIM($G2200))&gt;0,"COUNTED",IF(COUNTIF(LISTS!$J$2:$J$16,TRIM($G2200))&gt;0,"LEFT OUT","NEW")))</f>
        <v/>
      </c>
    </row>
    <row r="2201" spans="47:47" x14ac:dyDescent="0.25">
      <c r="AU2201" s="8" t="str">
        <f>IF(TRIM($G2201)="","",IF(COUNTIF(LISTS!$I$2:$I$16,TRIM($G2201))&gt;0,"COUNTED",IF(COUNTIF(LISTS!$J$2:$J$16,TRIM($G2201))&gt;0,"LEFT OUT","NEW")))</f>
        <v/>
      </c>
    </row>
    <row r="2202" spans="47:47" x14ac:dyDescent="0.25">
      <c r="AU2202" s="8" t="str">
        <f>IF(TRIM($G2202)="","",IF(COUNTIF(LISTS!$I$2:$I$16,TRIM($G2202))&gt;0,"COUNTED",IF(COUNTIF(LISTS!$J$2:$J$16,TRIM($G2202))&gt;0,"LEFT OUT","NEW")))</f>
        <v/>
      </c>
    </row>
    <row r="2203" spans="47:47" x14ac:dyDescent="0.25">
      <c r="AU2203" s="8" t="str">
        <f>IF(TRIM($G2203)="","",IF(COUNTIF(LISTS!$I$2:$I$16,TRIM($G2203))&gt;0,"COUNTED",IF(COUNTIF(LISTS!$J$2:$J$16,TRIM($G2203))&gt;0,"LEFT OUT","NEW")))</f>
        <v/>
      </c>
    </row>
    <row r="2204" spans="47:47" x14ac:dyDescent="0.25">
      <c r="AU2204" s="8" t="str">
        <f>IF(TRIM($G2204)="","",IF(COUNTIF(LISTS!$I$2:$I$16,TRIM($G2204))&gt;0,"COUNTED",IF(COUNTIF(LISTS!$J$2:$J$16,TRIM($G2204))&gt;0,"LEFT OUT","NEW")))</f>
        <v/>
      </c>
    </row>
    <row r="2205" spans="47:47" x14ac:dyDescent="0.25">
      <c r="AU2205" s="8" t="str">
        <f>IF(TRIM($G2205)="","",IF(COUNTIF(LISTS!$I$2:$I$16,TRIM($G2205))&gt;0,"COUNTED",IF(COUNTIF(LISTS!$J$2:$J$16,TRIM($G2205))&gt;0,"LEFT OUT","NEW")))</f>
        <v/>
      </c>
    </row>
    <row r="2206" spans="47:47" x14ac:dyDescent="0.25">
      <c r="AU2206" s="8" t="str">
        <f>IF(TRIM($G2206)="","",IF(COUNTIF(LISTS!$I$2:$I$16,TRIM($G2206))&gt;0,"COUNTED",IF(COUNTIF(LISTS!$J$2:$J$16,TRIM($G2206))&gt;0,"LEFT OUT","NEW")))</f>
        <v/>
      </c>
    </row>
    <row r="2207" spans="47:47" x14ac:dyDescent="0.25">
      <c r="AU2207" s="8" t="str">
        <f>IF(TRIM($G2207)="","",IF(COUNTIF(LISTS!$I$2:$I$16,TRIM($G2207))&gt;0,"COUNTED",IF(COUNTIF(LISTS!$J$2:$J$16,TRIM($G2207))&gt;0,"LEFT OUT","NEW")))</f>
        <v/>
      </c>
    </row>
    <row r="2208" spans="47:47" x14ac:dyDescent="0.25">
      <c r="AU2208" s="8" t="str">
        <f>IF(TRIM($G2208)="","",IF(COUNTIF(LISTS!$I$2:$I$16,TRIM($G2208))&gt;0,"COUNTED",IF(COUNTIF(LISTS!$J$2:$J$16,TRIM($G2208))&gt;0,"LEFT OUT","NEW")))</f>
        <v/>
      </c>
    </row>
    <row r="2209" spans="47:47" x14ac:dyDescent="0.25">
      <c r="AU2209" s="8" t="str">
        <f>IF(TRIM($G2209)="","",IF(COUNTIF(LISTS!$I$2:$I$16,TRIM($G2209))&gt;0,"COUNTED",IF(COUNTIF(LISTS!$J$2:$J$16,TRIM($G2209))&gt;0,"LEFT OUT","NEW")))</f>
        <v/>
      </c>
    </row>
    <row r="2210" spans="47:47" x14ac:dyDescent="0.25">
      <c r="AU2210" s="8" t="str">
        <f>IF(TRIM($G2210)="","",IF(COUNTIF(LISTS!$I$2:$I$16,TRIM($G2210))&gt;0,"COUNTED",IF(COUNTIF(LISTS!$J$2:$J$16,TRIM($G2210))&gt;0,"LEFT OUT","NEW")))</f>
        <v/>
      </c>
    </row>
    <row r="2211" spans="47:47" x14ac:dyDescent="0.25">
      <c r="AU2211" s="8" t="str">
        <f>IF(TRIM($G2211)="","",IF(COUNTIF(LISTS!$I$2:$I$16,TRIM($G2211))&gt;0,"COUNTED",IF(COUNTIF(LISTS!$J$2:$J$16,TRIM($G2211))&gt;0,"LEFT OUT","NEW")))</f>
        <v/>
      </c>
    </row>
    <row r="2212" spans="47:47" x14ac:dyDescent="0.25">
      <c r="AU2212" s="8" t="str">
        <f>IF(TRIM($G2212)="","",IF(COUNTIF(LISTS!$I$2:$I$16,TRIM($G2212))&gt;0,"COUNTED",IF(COUNTIF(LISTS!$J$2:$J$16,TRIM($G2212))&gt;0,"LEFT OUT","NEW")))</f>
        <v/>
      </c>
    </row>
    <row r="2213" spans="47:47" x14ac:dyDescent="0.25">
      <c r="AU2213" s="8" t="str">
        <f>IF(TRIM($G2213)="","",IF(COUNTIF(LISTS!$I$2:$I$16,TRIM($G2213))&gt;0,"COUNTED",IF(COUNTIF(LISTS!$J$2:$J$16,TRIM($G2213))&gt;0,"LEFT OUT","NEW")))</f>
        <v/>
      </c>
    </row>
    <row r="2214" spans="47:47" x14ac:dyDescent="0.25">
      <c r="AU2214" s="8" t="str">
        <f>IF(TRIM($G2214)="","",IF(COUNTIF(LISTS!$I$2:$I$16,TRIM($G2214))&gt;0,"COUNTED",IF(COUNTIF(LISTS!$J$2:$J$16,TRIM($G2214))&gt;0,"LEFT OUT","NEW")))</f>
        <v/>
      </c>
    </row>
    <row r="2215" spans="47:47" x14ac:dyDescent="0.25">
      <c r="AU2215" s="8" t="str">
        <f>IF(TRIM($G2215)="","",IF(COUNTIF(LISTS!$I$2:$I$16,TRIM($G2215))&gt;0,"COUNTED",IF(COUNTIF(LISTS!$J$2:$J$16,TRIM($G2215))&gt;0,"LEFT OUT","NEW")))</f>
        <v/>
      </c>
    </row>
    <row r="2216" spans="47:47" x14ac:dyDescent="0.25">
      <c r="AU2216" s="8" t="str">
        <f>IF(TRIM($G2216)="","",IF(COUNTIF(LISTS!$I$2:$I$16,TRIM($G2216))&gt;0,"COUNTED",IF(COUNTIF(LISTS!$J$2:$J$16,TRIM($G2216))&gt;0,"LEFT OUT","NEW")))</f>
        <v/>
      </c>
    </row>
    <row r="2217" spans="47:47" x14ac:dyDescent="0.25">
      <c r="AU2217" s="8" t="str">
        <f>IF(TRIM($G2217)="","",IF(COUNTIF(LISTS!$I$2:$I$16,TRIM($G2217))&gt;0,"COUNTED",IF(COUNTIF(LISTS!$J$2:$J$16,TRIM($G2217))&gt;0,"LEFT OUT","NEW")))</f>
        <v/>
      </c>
    </row>
    <row r="2218" spans="47:47" x14ac:dyDescent="0.25">
      <c r="AU2218" s="8" t="str">
        <f>IF(TRIM($G2218)="","",IF(COUNTIF(LISTS!$I$2:$I$16,TRIM($G2218))&gt;0,"COUNTED",IF(COUNTIF(LISTS!$J$2:$J$16,TRIM($G2218))&gt;0,"LEFT OUT","NEW")))</f>
        <v/>
      </c>
    </row>
    <row r="2219" spans="47:47" x14ac:dyDescent="0.25">
      <c r="AU2219" s="8" t="str">
        <f>IF(TRIM($G2219)="","",IF(COUNTIF(LISTS!$I$2:$I$16,TRIM($G2219))&gt;0,"COUNTED",IF(COUNTIF(LISTS!$J$2:$J$16,TRIM($G2219))&gt;0,"LEFT OUT","NEW")))</f>
        <v/>
      </c>
    </row>
    <row r="2220" spans="47:47" x14ac:dyDescent="0.25">
      <c r="AU2220" s="8" t="str">
        <f>IF(TRIM($G2220)="","",IF(COUNTIF(LISTS!$I$2:$I$16,TRIM($G2220))&gt;0,"COUNTED",IF(COUNTIF(LISTS!$J$2:$J$16,TRIM($G2220))&gt;0,"LEFT OUT","NEW")))</f>
        <v/>
      </c>
    </row>
    <row r="2221" spans="47:47" x14ac:dyDescent="0.25">
      <c r="AU2221" s="8" t="str">
        <f>IF(TRIM($G2221)="","",IF(COUNTIF(LISTS!$I$2:$I$16,TRIM($G2221))&gt;0,"COUNTED",IF(COUNTIF(LISTS!$J$2:$J$16,TRIM($G2221))&gt;0,"LEFT OUT","NEW")))</f>
        <v/>
      </c>
    </row>
    <row r="2222" spans="47:47" x14ac:dyDescent="0.25">
      <c r="AU2222" s="8" t="str">
        <f>IF(TRIM($G2222)="","",IF(COUNTIF(LISTS!$I$2:$I$16,TRIM($G2222))&gt;0,"COUNTED",IF(COUNTIF(LISTS!$J$2:$J$16,TRIM($G2222))&gt;0,"LEFT OUT","NEW")))</f>
        <v/>
      </c>
    </row>
    <row r="2223" spans="47:47" x14ac:dyDescent="0.25">
      <c r="AU2223" s="8" t="str">
        <f>IF(TRIM($G2223)="","",IF(COUNTIF(LISTS!$I$2:$I$16,TRIM($G2223))&gt;0,"COUNTED",IF(COUNTIF(LISTS!$J$2:$J$16,TRIM($G2223))&gt;0,"LEFT OUT","NEW")))</f>
        <v/>
      </c>
    </row>
    <row r="2224" spans="47:47" x14ac:dyDescent="0.25">
      <c r="AU2224" s="8" t="str">
        <f>IF(TRIM($G2224)="","",IF(COUNTIF(LISTS!$I$2:$I$16,TRIM($G2224))&gt;0,"COUNTED",IF(COUNTIF(LISTS!$J$2:$J$16,TRIM($G2224))&gt;0,"LEFT OUT","NEW")))</f>
        <v/>
      </c>
    </row>
    <row r="2225" spans="47:47" x14ac:dyDescent="0.25">
      <c r="AU2225" s="8" t="str">
        <f>IF(TRIM($G2225)="","",IF(COUNTIF(LISTS!$I$2:$I$16,TRIM($G2225))&gt;0,"COUNTED",IF(COUNTIF(LISTS!$J$2:$J$16,TRIM($G2225))&gt;0,"LEFT OUT","NEW")))</f>
        <v/>
      </c>
    </row>
    <row r="2226" spans="47:47" x14ac:dyDescent="0.25">
      <c r="AU2226" s="8" t="str">
        <f>IF(TRIM($G2226)="","",IF(COUNTIF(LISTS!$I$2:$I$16,TRIM($G2226))&gt;0,"COUNTED",IF(COUNTIF(LISTS!$J$2:$J$16,TRIM($G2226))&gt;0,"LEFT OUT","NEW")))</f>
        <v/>
      </c>
    </row>
    <row r="2227" spans="47:47" x14ac:dyDescent="0.25">
      <c r="AU2227" s="8" t="str">
        <f>IF(TRIM($G2227)="","",IF(COUNTIF(LISTS!$I$2:$I$16,TRIM($G2227))&gt;0,"COUNTED",IF(COUNTIF(LISTS!$J$2:$J$16,TRIM($G2227))&gt;0,"LEFT OUT","NEW")))</f>
        <v/>
      </c>
    </row>
    <row r="2228" spans="47:47" x14ac:dyDescent="0.25">
      <c r="AU2228" s="8" t="str">
        <f>IF(TRIM($G2228)="","",IF(COUNTIF(LISTS!$I$2:$I$16,TRIM($G2228))&gt;0,"COUNTED",IF(COUNTIF(LISTS!$J$2:$J$16,TRIM($G2228))&gt;0,"LEFT OUT","NEW")))</f>
        <v/>
      </c>
    </row>
    <row r="2229" spans="47:47" x14ac:dyDescent="0.25">
      <c r="AU2229" s="8" t="str">
        <f>IF(TRIM($G2229)="","",IF(COUNTIF(LISTS!$I$2:$I$16,TRIM($G2229))&gt;0,"COUNTED",IF(COUNTIF(LISTS!$J$2:$J$16,TRIM($G2229))&gt;0,"LEFT OUT","NEW")))</f>
        <v/>
      </c>
    </row>
    <row r="2230" spans="47:47" x14ac:dyDescent="0.25">
      <c r="AU2230" s="8" t="str">
        <f>IF(TRIM($G2230)="","",IF(COUNTIF(LISTS!$I$2:$I$16,TRIM($G2230))&gt;0,"COUNTED",IF(COUNTIF(LISTS!$J$2:$J$16,TRIM($G2230))&gt;0,"LEFT OUT","NEW")))</f>
        <v/>
      </c>
    </row>
    <row r="2231" spans="47:47" x14ac:dyDescent="0.25">
      <c r="AU2231" s="8" t="str">
        <f>IF(TRIM($G2231)="","",IF(COUNTIF(LISTS!$I$2:$I$16,TRIM($G2231))&gt;0,"COUNTED",IF(COUNTIF(LISTS!$J$2:$J$16,TRIM($G2231))&gt;0,"LEFT OUT","NEW")))</f>
        <v/>
      </c>
    </row>
    <row r="2232" spans="47:47" x14ac:dyDescent="0.25">
      <c r="AU2232" s="8" t="str">
        <f>IF(TRIM($G2232)="","",IF(COUNTIF(LISTS!$I$2:$I$16,TRIM($G2232))&gt;0,"COUNTED",IF(COUNTIF(LISTS!$J$2:$J$16,TRIM($G2232))&gt;0,"LEFT OUT","NEW")))</f>
        <v/>
      </c>
    </row>
    <row r="2233" spans="47:47" x14ac:dyDescent="0.25">
      <c r="AU2233" s="8" t="str">
        <f>IF(TRIM($G2233)="","",IF(COUNTIF(LISTS!$I$2:$I$16,TRIM($G2233))&gt;0,"COUNTED",IF(COUNTIF(LISTS!$J$2:$J$16,TRIM($G2233))&gt;0,"LEFT OUT","NEW")))</f>
        <v/>
      </c>
    </row>
    <row r="2234" spans="47:47" x14ac:dyDescent="0.25">
      <c r="AU2234" s="8" t="str">
        <f>IF(TRIM($G2234)="","",IF(COUNTIF(LISTS!$I$2:$I$16,TRIM($G2234))&gt;0,"COUNTED",IF(COUNTIF(LISTS!$J$2:$J$16,TRIM($G2234))&gt;0,"LEFT OUT","NEW")))</f>
        <v/>
      </c>
    </row>
    <row r="2235" spans="47:47" x14ac:dyDescent="0.25">
      <c r="AU2235" s="8" t="str">
        <f>IF(TRIM($G2235)="","",IF(COUNTIF(LISTS!$I$2:$I$16,TRIM($G2235))&gt;0,"COUNTED",IF(COUNTIF(LISTS!$J$2:$J$16,TRIM($G2235))&gt;0,"LEFT OUT","NEW")))</f>
        <v/>
      </c>
    </row>
    <row r="2236" spans="47:47" x14ac:dyDescent="0.25">
      <c r="AU2236" s="8" t="str">
        <f>IF(TRIM($G2236)="","",IF(COUNTIF(LISTS!$I$2:$I$16,TRIM($G2236))&gt;0,"COUNTED",IF(COUNTIF(LISTS!$J$2:$J$16,TRIM($G2236))&gt;0,"LEFT OUT","NEW")))</f>
        <v/>
      </c>
    </row>
    <row r="2237" spans="47:47" x14ac:dyDescent="0.25">
      <c r="AU2237" s="8" t="str">
        <f>IF(TRIM($G2237)="","",IF(COUNTIF(LISTS!$I$2:$I$16,TRIM($G2237))&gt;0,"COUNTED",IF(COUNTIF(LISTS!$J$2:$J$16,TRIM($G2237))&gt;0,"LEFT OUT","NEW")))</f>
        <v/>
      </c>
    </row>
    <row r="2238" spans="47:47" x14ac:dyDescent="0.25">
      <c r="AU2238" s="8" t="str">
        <f>IF(TRIM($G2238)="","",IF(COUNTIF(LISTS!$I$2:$I$16,TRIM($G2238))&gt;0,"COUNTED",IF(COUNTIF(LISTS!$J$2:$J$16,TRIM($G2238))&gt;0,"LEFT OUT","NEW")))</f>
        <v/>
      </c>
    </row>
    <row r="2239" spans="47:47" x14ac:dyDescent="0.25">
      <c r="AU2239" s="8" t="str">
        <f>IF(TRIM($G2239)="","",IF(COUNTIF(LISTS!$I$2:$I$16,TRIM($G2239))&gt;0,"COUNTED",IF(COUNTIF(LISTS!$J$2:$J$16,TRIM($G2239))&gt;0,"LEFT OUT","NEW")))</f>
        <v/>
      </c>
    </row>
    <row r="2240" spans="47:47" x14ac:dyDescent="0.25">
      <c r="AU2240" s="8" t="str">
        <f>IF(TRIM($G2240)="","",IF(COUNTIF(LISTS!$I$2:$I$16,TRIM($G2240))&gt;0,"COUNTED",IF(COUNTIF(LISTS!$J$2:$J$16,TRIM($G2240))&gt;0,"LEFT OUT","NEW")))</f>
        <v/>
      </c>
    </row>
    <row r="2241" spans="47:47" x14ac:dyDescent="0.25">
      <c r="AU2241" s="8" t="str">
        <f>IF(TRIM($G2241)="","",IF(COUNTIF(LISTS!$I$2:$I$16,TRIM($G2241))&gt;0,"COUNTED",IF(COUNTIF(LISTS!$J$2:$J$16,TRIM($G2241))&gt;0,"LEFT OUT","NEW")))</f>
        <v/>
      </c>
    </row>
    <row r="2242" spans="47:47" x14ac:dyDescent="0.25">
      <c r="AU2242" s="8" t="str">
        <f>IF(TRIM($G2242)="","",IF(COUNTIF(LISTS!$I$2:$I$16,TRIM($G2242))&gt;0,"COUNTED",IF(COUNTIF(LISTS!$J$2:$J$16,TRIM($G2242))&gt;0,"LEFT OUT","NEW")))</f>
        <v/>
      </c>
    </row>
    <row r="2243" spans="47:47" x14ac:dyDescent="0.25">
      <c r="AU2243" s="8" t="str">
        <f>IF(TRIM($G2243)="","",IF(COUNTIF(LISTS!$I$2:$I$16,TRIM($G2243))&gt;0,"COUNTED",IF(COUNTIF(LISTS!$J$2:$J$16,TRIM($G2243))&gt;0,"LEFT OUT","NEW")))</f>
        <v/>
      </c>
    </row>
    <row r="2244" spans="47:47" x14ac:dyDescent="0.25">
      <c r="AU2244" s="8" t="str">
        <f>IF(TRIM($G2244)="","",IF(COUNTIF(LISTS!$I$2:$I$16,TRIM($G2244))&gt;0,"COUNTED",IF(COUNTIF(LISTS!$J$2:$J$16,TRIM($G2244))&gt;0,"LEFT OUT","NEW")))</f>
        <v/>
      </c>
    </row>
    <row r="2245" spans="47:47" x14ac:dyDescent="0.25">
      <c r="AU2245" s="8" t="str">
        <f>IF(TRIM($G2245)="","",IF(COUNTIF(LISTS!$I$2:$I$16,TRIM($G2245))&gt;0,"COUNTED",IF(COUNTIF(LISTS!$J$2:$J$16,TRIM($G2245))&gt;0,"LEFT OUT","NEW")))</f>
        <v/>
      </c>
    </row>
    <row r="2246" spans="47:47" x14ac:dyDescent="0.25">
      <c r="AU2246" s="8" t="str">
        <f>IF(TRIM($G2246)="","",IF(COUNTIF(LISTS!$I$2:$I$16,TRIM($G2246))&gt;0,"COUNTED",IF(COUNTIF(LISTS!$J$2:$J$16,TRIM($G2246))&gt;0,"LEFT OUT","NEW")))</f>
        <v/>
      </c>
    </row>
    <row r="2247" spans="47:47" x14ac:dyDescent="0.25">
      <c r="AU2247" s="8" t="str">
        <f>IF(TRIM($G2247)="","",IF(COUNTIF(LISTS!$I$2:$I$16,TRIM($G2247))&gt;0,"COUNTED",IF(COUNTIF(LISTS!$J$2:$J$16,TRIM($G2247))&gt;0,"LEFT OUT","NEW")))</f>
        <v/>
      </c>
    </row>
    <row r="2248" spans="47:47" x14ac:dyDescent="0.25">
      <c r="AU2248" s="8" t="str">
        <f>IF(TRIM($G2248)="","",IF(COUNTIF(LISTS!$I$2:$I$16,TRIM($G2248))&gt;0,"COUNTED",IF(COUNTIF(LISTS!$J$2:$J$16,TRIM($G2248))&gt;0,"LEFT OUT","NEW")))</f>
        <v/>
      </c>
    </row>
    <row r="2249" spans="47:47" x14ac:dyDescent="0.25">
      <c r="AU2249" s="8" t="str">
        <f>IF(TRIM($G2249)="","",IF(COUNTIF(LISTS!$I$2:$I$16,TRIM($G2249))&gt;0,"COUNTED",IF(COUNTIF(LISTS!$J$2:$J$16,TRIM($G2249))&gt;0,"LEFT OUT","NEW")))</f>
        <v/>
      </c>
    </row>
    <row r="2250" spans="47:47" x14ac:dyDescent="0.25">
      <c r="AU2250" s="8" t="str">
        <f>IF(TRIM($G2250)="","",IF(COUNTIF(LISTS!$I$2:$I$16,TRIM($G2250))&gt;0,"COUNTED",IF(COUNTIF(LISTS!$J$2:$J$16,TRIM($G2250))&gt;0,"LEFT OUT","NEW")))</f>
        <v/>
      </c>
    </row>
    <row r="2251" spans="47:47" x14ac:dyDescent="0.25">
      <c r="AU2251" s="8" t="str">
        <f>IF(TRIM($G2251)="","",IF(COUNTIF(LISTS!$I$2:$I$16,TRIM($G2251))&gt;0,"COUNTED",IF(COUNTIF(LISTS!$J$2:$J$16,TRIM($G2251))&gt;0,"LEFT OUT","NEW")))</f>
        <v/>
      </c>
    </row>
    <row r="2252" spans="47:47" x14ac:dyDescent="0.25">
      <c r="AU2252" s="8" t="str">
        <f>IF(TRIM($G2252)="","",IF(COUNTIF(LISTS!$I$2:$I$16,TRIM($G2252))&gt;0,"COUNTED",IF(COUNTIF(LISTS!$J$2:$J$16,TRIM($G2252))&gt;0,"LEFT OUT","NEW")))</f>
        <v/>
      </c>
    </row>
    <row r="2253" spans="47:47" x14ac:dyDescent="0.25">
      <c r="AU2253" s="8" t="str">
        <f>IF(TRIM($G2253)="","",IF(COUNTIF(LISTS!$I$2:$I$16,TRIM($G2253))&gt;0,"COUNTED",IF(COUNTIF(LISTS!$J$2:$J$16,TRIM($G2253))&gt;0,"LEFT OUT","NEW")))</f>
        <v/>
      </c>
    </row>
    <row r="2254" spans="47:47" x14ac:dyDescent="0.25">
      <c r="AU2254" s="8" t="str">
        <f>IF(TRIM($G2254)="","",IF(COUNTIF(LISTS!$I$2:$I$16,TRIM($G2254))&gt;0,"COUNTED",IF(COUNTIF(LISTS!$J$2:$J$16,TRIM($G2254))&gt;0,"LEFT OUT","NEW")))</f>
        <v/>
      </c>
    </row>
    <row r="2255" spans="47:47" x14ac:dyDescent="0.25">
      <c r="AU2255" s="8" t="str">
        <f>IF(TRIM($G2255)="","",IF(COUNTIF(LISTS!$I$2:$I$16,TRIM($G2255))&gt;0,"COUNTED",IF(COUNTIF(LISTS!$J$2:$J$16,TRIM($G2255))&gt;0,"LEFT OUT","NEW")))</f>
        <v/>
      </c>
    </row>
    <row r="2256" spans="47:47" x14ac:dyDescent="0.25">
      <c r="AU2256" s="8" t="str">
        <f>IF(TRIM($G2256)="","",IF(COUNTIF(LISTS!$I$2:$I$16,TRIM($G2256))&gt;0,"COUNTED",IF(COUNTIF(LISTS!$J$2:$J$16,TRIM($G2256))&gt;0,"LEFT OUT","NEW")))</f>
        <v/>
      </c>
    </row>
    <row r="2257" spans="47:47" x14ac:dyDescent="0.25">
      <c r="AU2257" s="8" t="str">
        <f>IF(TRIM($G2257)="","",IF(COUNTIF(LISTS!$I$2:$I$16,TRIM($G2257))&gt;0,"COUNTED",IF(COUNTIF(LISTS!$J$2:$J$16,TRIM($G2257))&gt;0,"LEFT OUT","NEW")))</f>
        <v/>
      </c>
    </row>
    <row r="2258" spans="47:47" x14ac:dyDescent="0.25">
      <c r="AU2258" s="8" t="str">
        <f>IF(TRIM($G2258)="","",IF(COUNTIF(LISTS!$I$2:$I$16,TRIM($G2258))&gt;0,"COUNTED",IF(COUNTIF(LISTS!$J$2:$J$16,TRIM($G2258))&gt;0,"LEFT OUT","NEW")))</f>
        <v/>
      </c>
    </row>
    <row r="2259" spans="47:47" x14ac:dyDescent="0.25">
      <c r="AU2259" s="8" t="str">
        <f>IF(TRIM($G2259)="","",IF(COUNTIF(LISTS!$I$2:$I$16,TRIM($G2259))&gt;0,"COUNTED",IF(COUNTIF(LISTS!$J$2:$J$16,TRIM($G2259))&gt;0,"LEFT OUT","NEW")))</f>
        <v/>
      </c>
    </row>
    <row r="2260" spans="47:47" x14ac:dyDescent="0.25">
      <c r="AU2260" s="8" t="str">
        <f>IF(TRIM($G2260)="","",IF(COUNTIF(LISTS!$I$2:$I$16,TRIM($G2260))&gt;0,"COUNTED",IF(COUNTIF(LISTS!$J$2:$J$16,TRIM($G2260))&gt;0,"LEFT OUT","NEW")))</f>
        <v/>
      </c>
    </row>
    <row r="2261" spans="47:47" x14ac:dyDescent="0.25">
      <c r="AU2261" s="8" t="str">
        <f>IF(TRIM($G2261)="","",IF(COUNTIF(LISTS!$I$2:$I$16,TRIM($G2261))&gt;0,"COUNTED",IF(COUNTIF(LISTS!$J$2:$J$16,TRIM($G2261))&gt;0,"LEFT OUT","NEW")))</f>
        <v/>
      </c>
    </row>
    <row r="2262" spans="47:47" x14ac:dyDescent="0.25">
      <c r="AU2262" s="8" t="str">
        <f>IF(TRIM($G2262)="","",IF(COUNTIF(LISTS!$I$2:$I$16,TRIM($G2262))&gt;0,"COUNTED",IF(COUNTIF(LISTS!$J$2:$J$16,TRIM($G2262))&gt;0,"LEFT OUT","NEW")))</f>
        <v/>
      </c>
    </row>
    <row r="2263" spans="47:47" x14ac:dyDescent="0.25">
      <c r="AU2263" s="8" t="str">
        <f>IF(TRIM($G2263)="","",IF(COUNTIF(LISTS!$I$2:$I$16,TRIM($G2263))&gt;0,"COUNTED",IF(COUNTIF(LISTS!$J$2:$J$16,TRIM($G2263))&gt;0,"LEFT OUT","NEW")))</f>
        <v/>
      </c>
    </row>
    <row r="2264" spans="47:47" x14ac:dyDescent="0.25">
      <c r="AU2264" s="8" t="str">
        <f>IF(TRIM($G2264)="","",IF(COUNTIF(LISTS!$I$2:$I$16,TRIM($G2264))&gt;0,"COUNTED",IF(COUNTIF(LISTS!$J$2:$J$16,TRIM($G2264))&gt;0,"LEFT OUT","NEW")))</f>
        <v/>
      </c>
    </row>
    <row r="2265" spans="47:47" x14ac:dyDescent="0.25">
      <c r="AU2265" s="8" t="str">
        <f>IF(TRIM($G2265)="","",IF(COUNTIF(LISTS!$I$2:$I$16,TRIM($G2265))&gt;0,"COUNTED",IF(COUNTIF(LISTS!$J$2:$J$16,TRIM($G2265))&gt;0,"LEFT OUT","NEW")))</f>
        <v/>
      </c>
    </row>
    <row r="2266" spans="47:47" x14ac:dyDescent="0.25">
      <c r="AU2266" s="8" t="str">
        <f>IF(TRIM($G2266)="","",IF(COUNTIF(LISTS!$I$2:$I$16,TRIM($G2266))&gt;0,"COUNTED",IF(COUNTIF(LISTS!$J$2:$J$16,TRIM($G2266))&gt;0,"LEFT OUT","NEW")))</f>
        <v/>
      </c>
    </row>
    <row r="2267" spans="47:47" x14ac:dyDescent="0.25">
      <c r="AU2267" s="8" t="str">
        <f>IF(TRIM($G2267)="","",IF(COUNTIF(LISTS!$I$2:$I$16,TRIM($G2267))&gt;0,"COUNTED",IF(COUNTIF(LISTS!$J$2:$J$16,TRIM($G2267))&gt;0,"LEFT OUT","NEW")))</f>
        <v/>
      </c>
    </row>
    <row r="2268" spans="47:47" x14ac:dyDescent="0.25">
      <c r="AU2268" s="8" t="str">
        <f>IF(TRIM($G2268)="","",IF(COUNTIF(LISTS!$I$2:$I$16,TRIM($G2268))&gt;0,"COUNTED",IF(COUNTIF(LISTS!$J$2:$J$16,TRIM($G2268))&gt;0,"LEFT OUT","NEW")))</f>
        <v/>
      </c>
    </row>
    <row r="2269" spans="47:47" x14ac:dyDescent="0.25">
      <c r="AU2269" s="8" t="str">
        <f>IF(TRIM($G2269)="","",IF(COUNTIF(LISTS!$I$2:$I$16,TRIM($G2269))&gt;0,"COUNTED",IF(COUNTIF(LISTS!$J$2:$J$16,TRIM($G2269))&gt;0,"LEFT OUT","NEW")))</f>
        <v/>
      </c>
    </row>
    <row r="2270" spans="47:47" x14ac:dyDescent="0.25">
      <c r="AU2270" s="8" t="str">
        <f>IF(TRIM($G2270)="","",IF(COUNTIF(LISTS!$I$2:$I$16,TRIM($G2270))&gt;0,"COUNTED",IF(COUNTIF(LISTS!$J$2:$J$16,TRIM($G2270))&gt;0,"LEFT OUT","NEW")))</f>
        <v/>
      </c>
    </row>
    <row r="2271" spans="47:47" x14ac:dyDescent="0.25">
      <c r="AU2271" s="8" t="str">
        <f>IF(TRIM($G2271)="","",IF(COUNTIF(LISTS!$I$2:$I$16,TRIM($G2271))&gt;0,"COUNTED",IF(COUNTIF(LISTS!$J$2:$J$16,TRIM($G2271))&gt;0,"LEFT OUT","NEW")))</f>
        <v/>
      </c>
    </row>
    <row r="2272" spans="47:47" x14ac:dyDescent="0.25">
      <c r="AU2272" s="8" t="str">
        <f>IF(TRIM($G2272)="","",IF(COUNTIF(LISTS!$I$2:$I$16,TRIM($G2272))&gt;0,"COUNTED",IF(COUNTIF(LISTS!$J$2:$J$16,TRIM($G2272))&gt;0,"LEFT OUT","NEW")))</f>
        <v/>
      </c>
    </row>
    <row r="2273" spans="47:47" x14ac:dyDescent="0.25">
      <c r="AU2273" s="8" t="str">
        <f>IF(TRIM($G2273)="","",IF(COUNTIF(LISTS!$I$2:$I$16,TRIM($G2273))&gt;0,"COUNTED",IF(COUNTIF(LISTS!$J$2:$J$16,TRIM($G2273))&gt;0,"LEFT OUT","NEW")))</f>
        <v/>
      </c>
    </row>
    <row r="2274" spans="47:47" x14ac:dyDescent="0.25">
      <c r="AU2274" s="8" t="str">
        <f>IF(TRIM($G2274)="","",IF(COUNTIF(LISTS!$I$2:$I$16,TRIM($G2274))&gt;0,"COUNTED",IF(COUNTIF(LISTS!$J$2:$J$16,TRIM($G2274))&gt;0,"LEFT OUT","NEW")))</f>
        <v/>
      </c>
    </row>
    <row r="2275" spans="47:47" x14ac:dyDescent="0.25">
      <c r="AU2275" s="8" t="str">
        <f>IF(TRIM($G2275)="","",IF(COUNTIF(LISTS!$I$2:$I$16,TRIM($G2275))&gt;0,"COUNTED",IF(COUNTIF(LISTS!$J$2:$J$16,TRIM($G2275))&gt;0,"LEFT OUT","NEW")))</f>
        <v/>
      </c>
    </row>
    <row r="2276" spans="47:47" x14ac:dyDescent="0.25">
      <c r="AU2276" s="8" t="str">
        <f>IF(TRIM($G2276)="","",IF(COUNTIF(LISTS!$I$2:$I$16,TRIM($G2276))&gt;0,"COUNTED",IF(COUNTIF(LISTS!$J$2:$J$16,TRIM($G2276))&gt;0,"LEFT OUT","NEW")))</f>
        <v/>
      </c>
    </row>
    <row r="2277" spans="47:47" x14ac:dyDescent="0.25">
      <c r="AU2277" s="8" t="str">
        <f>IF(TRIM($G2277)="","",IF(COUNTIF(LISTS!$I$2:$I$16,TRIM($G2277))&gt;0,"COUNTED",IF(COUNTIF(LISTS!$J$2:$J$16,TRIM($G2277))&gt;0,"LEFT OUT","NEW")))</f>
        <v/>
      </c>
    </row>
    <row r="2278" spans="47:47" x14ac:dyDescent="0.25">
      <c r="AU2278" s="8" t="str">
        <f>IF(TRIM($G2278)="","",IF(COUNTIF(LISTS!$I$2:$I$16,TRIM($G2278))&gt;0,"COUNTED",IF(COUNTIF(LISTS!$J$2:$J$16,TRIM($G2278))&gt;0,"LEFT OUT","NEW")))</f>
        <v/>
      </c>
    </row>
    <row r="2279" spans="47:47" x14ac:dyDescent="0.25">
      <c r="AU2279" s="8" t="str">
        <f>IF(TRIM($G2279)="","",IF(COUNTIF(LISTS!$I$2:$I$16,TRIM($G2279))&gt;0,"COUNTED",IF(COUNTIF(LISTS!$J$2:$J$16,TRIM($G2279))&gt;0,"LEFT OUT","NEW")))</f>
        <v/>
      </c>
    </row>
    <row r="2280" spans="47:47" x14ac:dyDescent="0.25">
      <c r="AU2280" s="8" t="str">
        <f>IF(TRIM($G2280)="","",IF(COUNTIF(LISTS!$I$2:$I$16,TRIM($G2280))&gt;0,"COUNTED",IF(COUNTIF(LISTS!$J$2:$J$16,TRIM($G2280))&gt;0,"LEFT OUT","NEW")))</f>
        <v/>
      </c>
    </row>
    <row r="2281" spans="47:47" x14ac:dyDescent="0.25">
      <c r="AU2281" s="8" t="str">
        <f>IF(TRIM($G2281)="","",IF(COUNTIF(LISTS!$I$2:$I$16,TRIM($G2281))&gt;0,"COUNTED",IF(COUNTIF(LISTS!$J$2:$J$16,TRIM($G2281))&gt;0,"LEFT OUT","NEW")))</f>
        <v/>
      </c>
    </row>
    <row r="2282" spans="47:47" x14ac:dyDescent="0.25">
      <c r="AU2282" s="8" t="str">
        <f>IF(TRIM($G2282)="","",IF(COUNTIF(LISTS!$I$2:$I$16,TRIM($G2282))&gt;0,"COUNTED",IF(COUNTIF(LISTS!$J$2:$J$16,TRIM($G2282))&gt;0,"LEFT OUT","NEW")))</f>
        <v/>
      </c>
    </row>
    <row r="2283" spans="47:47" x14ac:dyDescent="0.25">
      <c r="AU2283" s="8" t="str">
        <f>IF(TRIM($G2283)="","",IF(COUNTIF(LISTS!$I$2:$I$16,TRIM($G2283))&gt;0,"COUNTED",IF(COUNTIF(LISTS!$J$2:$J$16,TRIM($G2283))&gt;0,"LEFT OUT","NEW")))</f>
        <v/>
      </c>
    </row>
    <row r="2284" spans="47:47" x14ac:dyDescent="0.25">
      <c r="AU2284" s="8" t="str">
        <f>IF(TRIM($G2284)="","",IF(COUNTIF(LISTS!$I$2:$I$16,TRIM($G2284))&gt;0,"COUNTED",IF(COUNTIF(LISTS!$J$2:$J$16,TRIM($G2284))&gt;0,"LEFT OUT","NEW")))</f>
        <v/>
      </c>
    </row>
    <row r="2285" spans="47:47" x14ac:dyDescent="0.25">
      <c r="AU2285" s="8" t="str">
        <f>IF(TRIM($G2285)="","",IF(COUNTIF(LISTS!$I$2:$I$16,TRIM($G2285))&gt;0,"COUNTED",IF(COUNTIF(LISTS!$J$2:$J$16,TRIM($G2285))&gt;0,"LEFT OUT","NEW")))</f>
        <v/>
      </c>
    </row>
    <row r="2286" spans="47:47" x14ac:dyDescent="0.25">
      <c r="AU2286" s="8" t="str">
        <f>IF(TRIM($G2286)="","",IF(COUNTIF(LISTS!$I$2:$I$16,TRIM($G2286))&gt;0,"COUNTED",IF(COUNTIF(LISTS!$J$2:$J$16,TRIM($G2286))&gt;0,"LEFT OUT","NEW")))</f>
        <v/>
      </c>
    </row>
    <row r="2287" spans="47:47" x14ac:dyDescent="0.25">
      <c r="AU2287" s="8" t="str">
        <f>IF(TRIM($G2287)="","",IF(COUNTIF(LISTS!$I$2:$I$16,TRIM($G2287))&gt;0,"COUNTED",IF(COUNTIF(LISTS!$J$2:$J$16,TRIM($G2287))&gt;0,"LEFT OUT","NEW")))</f>
        <v/>
      </c>
    </row>
    <row r="2288" spans="47:47" x14ac:dyDescent="0.25">
      <c r="AU2288" s="8" t="str">
        <f>IF(TRIM($G2288)="","",IF(COUNTIF(LISTS!$I$2:$I$16,TRIM($G2288))&gt;0,"COUNTED",IF(COUNTIF(LISTS!$J$2:$J$16,TRIM($G2288))&gt;0,"LEFT OUT","NEW")))</f>
        <v/>
      </c>
    </row>
    <row r="2289" spans="47:47" x14ac:dyDescent="0.25">
      <c r="AU2289" s="8" t="str">
        <f>IF(TRIM($G2289)="","",IF(COUNTIF(LISTS!$I$2:$I$16,TRIM($G2289))&gt;0,"COUNTED",IF(COUNTIF(LISTS!$J$2:$J$16,TRIM($G2289))&gt;0,"LEFT OUT","NEW")))</f>
        <v/>
      </c>
    </row>
    <row r="2290" spans="47:47" x14ac:dyDescent="0.25">
      <c r="AU2290" s="8" t="str">
        <f>IF(TRIM($G2290)="","",IF(COUNTIF(LISTS!$I$2:$I$16,TRIM($G2290))&gt;0,"COUNTED",IF(COUNTIF(LISTS!$J$2:$J$16,TRIM($G2290))&gt;0,"LEFT OUT","NEW")))</f>
        <v/>
      </c>
    </row>
    <row r="2291" spans="47:47" x14ac:dyDescent="0.25">
      <c r="AU2291" s="8" t="str">
        <f>IF(TRIM($G2291)="","",IF(COUNTIF(LISTS!$I$2:$I$16,TRIM($G2291))&gt;0,"COUNTED",IF(COUNTIF(LISTS!$J$2:$J$16,TRIM($G2291))&gt;0,"LEFT OUT","NEW")))</f>
        <v/>
      </c>
    </row>
    <row r="2292" spans="47:47" x14ac:dyDescent="0.25">
      <c r="AU2292" s="8" t="str">
        <f>IF(TRIM($G2292)="","",IF(COUNTIF(LISTS!$I$2:$I$16,TRIM($G2292))&gt;0,"COUNTED",IF(COUNTIF(LISTS!$J$2:$J$16,TRIM($G2292))&gt;0,"LEFT OUT","NEW")))</f>
        <v/>
      </c>
    </row>
    <row r="2293" spans="47:47" x14ac:dyDescent="0.25">
      <c r="AU2293" s="8" t="str">
        <f>IF(TRIM($G2293)="","",IF(COUNTIF(LISTS!$I$2:$I$16,TRIM($G2293))&gt;0,"COUNTED",IF(COUNTIF(LISTS!$J$2:$J$16,TRIM($G2293))&gt;0,"LEFT OUT","NEW")))</f>
        <v/>
      </c>
    </row>
    <row r="2294" spans="47:47" x14ac:dyDescent="0.25">
      <c r="AU2294" s="8" t="str">
        <f>IF(TRIM($G2294)="","",IF(COUNTIF(LISTS!$I$2:$I$16,TRIM($G2294))&gt;0,"COUNTED",IF(COUNTIF(LISTS!$J$2:$J$16,TRIM($G2294))&gt;0,"LEFT OUT","NEW")))</f>
        <v/>
      </c>
    </row>
    <row r="2295" spans="47:47" x14ac:dyDescent="0.25">
      <c r="AU2295" s="8" t="str">
        <f>IF(TRIM($G2295)="","",IF(COUNTIF(LISTS!$I$2:$I$16,TRIM($G2295))&gt;0,"COUNTED",IF(COUNTIF(LISTS!$J$2:$J$16,TRIM($G2295))&gt;0,"LEFT OUT","NEW")))</f>
        <v/>
      </c>
    </row>
    <row r="2296" spans="47:47" x14ac:dyDescent="0.25">
      <c r="AU2296" s="8" t="str">
        <f>IF(TRIM($G2296)="","",IF(COUNTIF(LISTS!$I$2:$I$16,TRIM($G2296))&gt;0,"COUNTED",IF(COUNTIF(LISTS!$J$2:$J$16,TRIM($G2296))&gt;0,"LEFT OUT","NEW")))</f>
        <v/>
      </c>
    </row>
    <row r="2297" spans="47:47" x14ac:dyDescent="0.25">
      <c r="AU2297" s="8" t="str">
        <f>IF(TRIM($G2297)="","",IF(COUNTIF(LISTS!$I$2:$I$16,TRIM($G2297))&gt;0,"COUNTED",IF(COUNTIF(LISTS!$J$2:$J$16,TRIM($G2297))&gt;0,"LEFT OUT","NEW")))</f>
        <v/>
      </c>
    </row>
    <row r="2298" spans="47:47" x14ac:dyDescent="0.25">
      <c r="AU2298" s="8" t="str">
        <f>IF(TRIM($G2298)="","",IF(COUNTIF(LISTS!$I$2:$I$16,TRIM($G2298))&gt;0,"COUNTED",IF(COUNTIF(LISTS!$J$2:$J$16,TRIM($G2298))&gt;0,"LEFT OUT","NEW")))</f>
        <v/>
      </c>
    </row>
    <row r="2299" spans="47:47" x14ac:dyDescent="0.25">
      <c r="AU2299" s="8" t="str">
        <f>IF(TRIM($G2299)="","",IF(COUNTIF(LISTS!$I$2:$I$16,TRIM($G2299))&gt;0,"COUNTED",IF(COUNTIF(LISTS!$J$2:$J$16,TRIM($G2299))&gt;0,"LEFT OUT","NEW")))</f>
        <v/>
      </c>
    </row>
    <row r="2300" spans="47:47" x14ac:dyDescent="0.25">
      <c r="AU2300" s="8" t="str">
        <f>IF(TRIM($G2300)="","",IF(COUNTIF(LISTS!$I$2:$I$16,TRIM($G2300))&gt;0,"COUNTED",IF(COUNTIF(LISTS!$J$2:$J$16,TRIM($G2300))&gt;0,"LEFT OUT","NEW")))</f>
        <v/>
      </c>
    </row>
    <row r="2301" spans="47:47" x14ac:dyDescent="0.25">
      <c r="AU2301" s="8" t="str">
        <f>IF(TRIM($G2301)="","",IF(COUNTIF(LISTS!$I$2:$I$16,TRIM($G2301))&gt;0,"COUNTED",IF(COUNTIF(LISTS!$J$2:$J$16,TRIM($G2301))&gt;0,"LEFT OUT","NEW")))</f>
        <v/>
      </c>
    </row>
    <row r="2302" spans="47:47" x14ac:dyDescent="0.25">
      <c r="AU2302" s="8" t="str">
        <f>IF(TRIM($G2302)="","",IF(COUNTIF(LISTS!$I$2:$I$16,TRIM($G2302))&gt;0,"COUNTED",IF(COUNTIF(LISTS!$J$2:$J$16,TRIM($G2302))&gt;0,"LEFT OUT","NEW")))</f>
        <v/>
      </c>
    </row>
    <row r="2303" spans="47:47" x14ac:dyDescent="0.25">
      <c r="AU2303" s="8" t="str">
        <f>IF(TRIM($G2303)="","",IF(COUNTIF(LISTS!$I$2:$I$16,TRIM($G2303))&gt;0,"COUNTED",IF(COUNTIF(LISTS!$J$2:$J$16,TRIM($G2303))&gt;0,"LEFT OUT","NEW")))</f>
        <v/>
      </c>
    </row>
    <row r="2304" spans="47:47" x14ac:dyDescent="0.25">
      <c r="AU2304" s="8" t="str">
        <f>IF(TRIM($G2304)="","",IF(COUNTIF(LISTS!$I$2:$I$16,TRIM($G2304))&gt;0,"COUNTED",IF(COUNTIF(LISTS!$J$2:$J$16,TRIM($G2304))&gt;0,"LEFT OUT","NEW")))</f>
        <v/>
      </c>
    </row>
    <row r="2305" spans="47:47" x14ac:dyDescent="0.25">
      <c r="AU2305" s="8" t="str">
        <f>IF(TRIM($G2305)="","",IF(COUNTIF(LISTS!$I$2:$I$16,TRIM($G2305))&gt;0,"COUNTED",IF(COUNTIF(LISTS!$J$2:$J$16,TRIM($G2305))&gt;0,"LEFT OUT","NEW")))</f>
        <v/>
      </c>
    </row>
    <row r="2306" spans="47:47" x14ac:dyDescent="0.25">
      <c r="AU2306" s="8" t="str">
        <f>IF(TRIM($G2306)="","",IF(COUNTIF(LISTS!$I$2:$I$16,TRIM($G2306))&gt;0,"COUNTED",IF(COUNTIF(LISTS!$J$2:$J$16,TRIM($G2306))&gt;0,"LEFT OUT","NEW")))</f>
        <v/>
      </c>
    </row>
    <row r="2307" spans="47:47" x14ac:dyDescent="0.25">
      <c r="AU2307" s="8" t="str">
        <f>IF(TRIM($G2307)="","",IF(COUNTIF(LISTS!$I$2:$I$16,TRIM($G2307))&gt;0,"COUNTED",IF(COUNTIF(LISTS!$J$2:$J$16,TRIM($G2307))&gt;0,"LEFT OUT","NEW")))</f>
        <v/>
      </c>
    </row>
    <row r="2308" spans="47:47" x14ac:dyDescent="0.25">
      <c r="AU2308" s="8" t="str">
        <f>IF(TRIM($G2308)="","",IF(COUNTIF(LISTS!$I$2:$I$16,TRIM($G2308))&gt;0,"COUNTED",IF(COUNTIF(LISTS!$J$2:$J$16,TRIM($G2308))&gt;0,"LEFT OUT","NEW")))</f>
        <v/>
      </c>
    </row>
    <row r="2309" spans="47:47" x14ac:dyDescent="0.25">
      <c r="AU2309" s="8" t="str">
        <f>IF(TRIM($G2309)="","",IF(COUNTIF(LISTS!$I$2:$I$16,TRIM($G2309))&gt;0,"COUNTED",IF(COUNTIF(LISTS!$J$2:$J$16,TRIM($G2309))&gt;0,"LEFT OUT","NEW")))</f>
        <v/>
      </c>
    </row>
    <row r="2310" spans="47:47" x14ac:dyDescent="0.25">
      <c r="AU2310" s="8" t="str">
        <f>IF(TRIM($G2310)="","",IF(COUNTIF(LISTS!$I$2:$I$16,TRIM($G2310))&gt;0,"COUNTED",IF(COUNTIF(LISTS!$J$2:$J$16,TRIM($G2310))&gt;0,"LEFT OUT","NEW")))</f>
        <v/>
      </c>
    </row>
    <row r="2311" spans="47:47" x14ac:dyDescent="0.25">
      <c r="AU2311" s="8" t="str">
        <f>IF(TRIM($G2311)="","",IF(COUNTIF(LISTS!$I$2:$I$16,TRIM($G2311))&gt;0,"COUNTED",IF(COUNTIF(LISTS!$J$2:$J$16,TRIM($G2311))&gt;0,"LEFT OUT","NEW")))</f>
        <v/>
      </c>
    </row>
    <row r="2312" spans="47:47" x14ac:dyDescent="0.25">
      <c r="AU2312" s="8" t="str">
        <f>IF(TRIM($G2312)="","",IF(COUNTIF(LISTS!$I$2:$I$16,TRIM($G2312))&gt;0,"COUNTED",IF(COUNTIF(LISTS!$J$2:$J$16,TRIM($G2312))&gt;0,"LEFT OUT","NEW")))</f>
        <v/>
      </c>
    </row>
    <row r="2313" spans="47:47" x14ac:dyDescent="0.25">
      <c r="AU2313" s="8" t="str">
        <f>IF(TRIM($G2313)="","",IF(COUNTIF(LISTS!$I$2:$I$16,TRIM($G2313))&gt;0,"COUNTED",IF(COUNTIF(LISTS!$J$2:$J$16,TRIM($G2313))&gt;0,"LEFT OUT","NEW")))</f>
        <v/>
      </c>
    </row>
    <row r="2314" spans="47:47" x14ac:dyDescent="0.25">
      <c r="AU2314" s="8" t="str">
        <f>IF(TRIM($G2314)="","",IF(COUNTIF(LISTS!$I$2:$I$16,TRIM($G2314))&gt;0,"COUNTED",IF(COUNTIF(LISTS!$J$2:$J$16,TRIM($G2314))&gt;0,"LEFT OUT","NEW")))</f>
        <v/>
      </c>
    </row>
    <row r="2315" spans="47:47" x14ac:dyDescent="0.25">
      <c r="AU2315" s="8" t="str">
        <f>IF(TRIM($G2315)="","",IF(COUNTIF(LISTS!$I$2:$I$16,TRIM($G2315))&gt;0,"COUNTED",IF(COUNTIF(LISTS!$J$2:$J$16,TRIM($G2315))&gt;0,"LEFT OUT","NEW")))</f>
        <v/>
      </c>
    </row>
    <row r="2316" spans="47:47" x14ac:dyDescent="0.25">
      <c r="AU2316" s="8" t="str">
        <f>IF(TRIM($G2316)="","",IF(COUNTIF(LISTS!$I$2:$I$16,TRIM($G2316))&gt;0,"COUNTED",IF(COUNTIF(LISTS!$J$2:$J$16,TRIM($G2316))&gt;0,"LEFT OUT","NEW")))</f>
        <v/>
      </c>
    </row>
    <row r="2317" spans="47:47" x14ac:dyDescent="0.25">
      <c r="AU2317" s="8" t="str">
        <f>IF(TRIM($G2317)="","",IF(COUNTIF(LISTS!$I$2:$I$16,TRIM($G2317))&gt;0,"COUNTED",IF(COUNTIF(LISTS!$J$2:$J$16,TRIM($G2317))&gt;0,"LEFT OUT","NEW")))</f>
        <v/>
      </c>
    </row>
    <row r="2318" spans="47:47" x14ac:dyDescent="0.25">
      <c r="AU2318" s="8" t="str">
        <f>IF(TRIM($G2318)="","",IF(COUNTIF(LISTS!$I$2:$I$16,TRIM($G2318))&gt;0,"COUNTED",IF(COUNTIF(LISTS!$J$2:$J$16,TRIM($G2318))&gt;0,"LEFT OUT","NEW")))</f>
        <v/>
      </c>
    </row>
    <row r="2319" spans="47:47" x14ac:dyDescent="0.25">
      <c r="AU2319" s="8" t="str">
        <f>IF(TRIM($G2319)="","",IF(COUNTIF(LISTS!$I$2:$I$16,TRIM($G2319))&gt;0,"COUNTED",IF(COUNTIF(LISTS!$J$2:$J$16,TRIM($G2319))&gt;0,"LEFT OUT","NEW")))</f>
        <v/>
      </c>
    </row>
    <row r="2320" spans="47:47" x14ac:dyDescent="0.25">
      <c r="AU2320" s="8" t="str">
        <f>IF(TRIM($G2320)="","",IF(COUNTIF(LISTS!$I$2:$I$16,TRIM($G2320))&gt;0,"COUNTED",IF(COUNTIF(LISTS!$J$2:$J$16,TRIM($G2320))&gt;0,"LEFT OUT","NEW")))</f>
        <v/>
      </c>
    </row>
    <row r="2321" spans="47:47" x14ac:dyDescent="0.25">
      <c r="AU2321" s="8" t="str">
        <f>IF(TRIM($G2321)="","",IF(COUNTIF(LISTS!$I$2:$I$16,TRIM($G2321))&gt;0,"COUNTED",IF(COUNTIF(LISTS!$J$2:$J$16,TRIM($G2321))&gt;0,"LEFT OUT","NEW")))</f>
        <v/>
      </c>
    </row>
    <row r="2322" spans="47:47" x14ac:dyDescent="0.25">
      <c r="AU2322" s="8" t="str">
        <f>IF(TRIM($G2322)="","",IF(COUNTIF(LISTS!$I$2:$I$16,TRIM($G2322))&gt;0,"COUNTED",IF(COUNTIF(LISTS!$J$2:$J$16,TRIM($G2322))&gt;0,"LEFT OUT","NEW")))</f>
        <v/>
      </c>
    </row>
    <row r="2323" spans="47:47" x14ac:dyDescent="0.25">
      <c r="AU2323" s="8" t="str">
        <f>IF(TRIM($G2323)="","",IF(COUNTIF(LISTS!$I$2:$I$16,TRIM($G2323))&gt;0,"COUNTED",IF(COUNTIF(LISTS!$J$2:$J$16,TRIM($G2323))&gt;0,"LEFT OUT","NEW")))</f>
        <v/>
      </c>
    </row>
    <row r="2324" spans="47:47" x14ac:dyDescent="0.25">
      <c r="AU2324" s="8" t="str">
        <f>IF(TRIM($G2324)="","",IF(COUNTIF(LISTS!$I$2:$I$16,TRIM($G2324))&gt;0,"COUNTED",IF(COUNTIF(LISTS!$J$2:$J$16,TRIM($G2324))&gt;0,"LEFT OUT","NEW")))</f>
        <v/>
      </c>
    </row>
    <row r="2325" spans="47:47" x14ac:dyDescent="0.25">
      <c r="AU2325" s="8" t="str">
        <f>IF(TRIM($G2325)="","",IF(COUNTIF(LISTS!$I$2:$I$16,TRIM($G2325))&gt;0,"COUNTED",IF(COUNTIF(LISTS!$J$2:$J$16,TRIM($G2325))&gt;0,"LEFT OUT","NEW")))</f>
        <v/>
      </c>
    </row>
    <row r="2326" spans="47:47" x14ac:dyDescent="0.25">
      <c r="AU2326" s="8" t="str">
        <f>IF(TRIM($G2326)="","",IF(COUNTIF(LISTS!$I$2:$I$16,TRIM($G2326))&gt;0,"COUNTED",IF(COUNTIF(LISTS!$J$2:$J$16,TRIM($G2326))&gt;0,"LEFT OUT","NEW")))</f>
        <v/>
      </c>
    </row>
    <row r="2327" spans="47:47" x14ac:dyDescent="0.25">
      <c r="AU2327" s="8" t="str">
        <f>IF(TRIM($G2327)="","",IF(COUNTIF(LISTS!$I$2:$I$16,TRIM($G2327))&gt;0,"COUNTED",IF(COUNTIF(LISTS!$J$2:$J$16,TRIM($G2327))&gt;0,"LEFT OUT","NEW")))</f>
        <v/>
      </c>
    </row>
    <row r="2328" spans="47:47" x14ac:dyDescent="0.25">
      <c r="AU2328" s="8" t="str">
        <f>IF(TRIM($G2328)="","",IF(COUNTIF(LISTS!$I$2:$I$16,TRIM($G2328))&gt;0,"COUNTED",IF(COUNTIF(LISTS!$J$2:$J$16,TRIM($G2328))&gt;0,"LEFT OUT","NEW")))</f>
        <v/>
      </c>
    </row>
    <row r="2329" spans="47:47" x14ac:dyDescent="0.25">
      <c r="AU2329" s="8" t="str">
        <f>IF(TRIM($G2329)="","",IF(COUNTIF(LISTS!$I$2:$I$16,TRIM($G2329))&gt;0,"COUNTED",IF(COUNTIF(LISTS!$J$2:$J$16,TRIM($G2329))&gt;0,"LEFT OUT","NEW")))</f>
        <v/>
      </c>
    </row>
    <row r="2330" spans="47:47" x14ac:dyDescent="0.25">
      <c r="AU2330" s="8" t="str">
        <f>IF(TRIM($G2330)="","",IF(COUNTIF(LISTS!$I$2:$I$16,TRIM($G2330))&gt;0,"COUNTED",IF(COUNTIF(LISTS!$J$2:$J$16,TRIM($G2330))&gt;0,"LEFT OUT","NEW")))</f>
        <v/>
      </c>
    </row>
    <row r="2331" spans="47:47" x14ac:dyDescent="0.25">
      <c r="AU2331" s="8" t="str">
        <f>IF(TRIM($G2331)="","",IF(COUNTIF(LISTS!$I$2:$I$16,TRIM($G2331))&gt;0,"COUNTED",IF(COUNTIF(LISTS!$J$2:$J$16,TRIM($G2331))&gt;0,"LEFT OUT","NEW")))</f>
        <v/>
      </c>
    </row>
    <row r="2332" spans="47:47" x14ac:dyDescent="0.25">
      <c r="AU2332" s="8" t="str">
        <f>IF(TRIM($G2332)="","",IF(COUNTIF(LISTS!$I$2:$I$16,TRIM($G2332))&gt;0,"COUNTED",IF(COUNTIF(LISTS!$J$2:$J$16,TRIM($G2332))&gt;0,"LEFT OUT","NEW")))</f>
        <v/>
      </c>
    </row>
    <row r="2333" spans="47:47" x14ac:dyDescent="0.25">
      <c r="AU2333" s="8" t="str">
        <f>IF(TRIM($G2333)="","",IF(COUNTIF(LISTS!$I$2:$I$16,TRIM($G2333))&gt;0,"COUNTED",IF(COUNTIF(LISTS!$J$2:$J$16,TRIM($G2333))&gt;0,"LEFT OUT","NEW")))</f>
        <v/>
      </c>
    </row>
    <row r="2334" spans="47:47" x14ac:dyDescent="0.25">
      <c r="AU2334" s="8" t="str">
        <f>IF(TRIM($G2334)="","",IF(COUNTIF(LISTS!$I$2:$I$16,TRIM($G2334))&gt;0,"COUNTED",IF(COUNTIF(LISTS!$J$2:$J$16,TRIM($G2334))&gt;0,"LEFT OUT","NEW")))</f>
        <v/>
      </c>
    </row>
    <row r="2335" spans="47:47" x14ac:dyDescent="0.25">
      <c r="AU2335" s="8" t="str">
        <f>IF(TRIM($G2335)="","",IF(COUNTIF(LISTS!$I$2:$I$16,TRIM($G2335))&gt;0,"COUNTED",IF(COUNTIF(LISTS!$J$2:$J$16,TRIM($G2335))&gt;0,"LEFT OUT","NEW")))</f>
        <v/>
      </c>
    </row>
    <row r="2336" spans="47:47" x14ac:dyDescent="0.25">
      <c r="AU2336" s="8" t="str">
        <f>IF(TRIM($G2336)="","",IF(COUNTIF(LISTS!$I$2:$I$16,TRIM($G2336))&gt;0,"COUNTED",IF(COUNTIF(LISTS!$J$2:$J$16,TRIM($G2336))&gt;0,"LEFT OUT","NEW")))</f>
        <v/>
      </c>
    </row>
    <row r="2337" spans="47:47" x14ac:dyDescent="0.25">
      <c r="AU2337" s="8" t="str">
        <f>IF(TRIM($G2337)="","",IF(COUNTIF(LISTS!$I$2:$I$16,TRIM($G2337))&gt;0,"COUNTED",IF(COUNTIF(LISTS!$J$2:$J$16,TRIM($G2337))&gt;0,"LEFT OUT","NEW")))</f>
        <v/>
      </c>
    </row>
    <row r="2338" spans="47:47" x14ac:dyDescent="0.25">
      <c r="AU2338" s="8" t="str">
        <f>IF(TRIM($G2338)="","",IF(COUNTIF(LISTS!$I$2:$I$16,TRIM($G2338))&gt;0,"COUNTED",IF(COUNTIF(LISTS!$J$2:$J$16,TRIM($G2338))&gt;0,"LEFT OUT","NEW")))</f>
        <v/>
      </c>
    </row>
    <row r="2339" spans="47:47" x14ac:dyDescent="0.25">
      <c r="AU2339" s="8" t="str">
        <f>IF(TRIM($G2339)="","",IF(COUNTIF(LISTS!$I$2:$I$16,TRIM($G2339))&gt;0,"COUNTED",IF(COUNTIF(LISTS!$J$2:$J$16,TRIM($G2339))&gt;0,"LEFT OUT","NEW")))</f>
        <v/>
      </c>
    </row>
    <row r="2340" spans="47:47" x14ac:dyDescent="0.25">
      <c r="AU2340" s="8" t="str">
        <f>IF(TRIM($G2340)="","",IF(COUNTIF(LISTS!$I$2:$I$16,TRIM($G2340))&gt;0,"COUNTED",IF(COUNTIF(LISTS!$J$2:$J$16,TRIM($G2340))&gt;0,"LEFT OUT","NEW")))</f>
        <v/>
      </c>
    </row>
    <row r="2341" spans="47:47" x14ac:dyDescent="0.25">
      <c r="AU2341" s="8" t="str">
        <f>IF(TRIM($G2341)="","",IF(COUNTIF(LISTS!$I$2:$I$16,TRIM($G2341))&gt;0,"COUNTED",IF(COUNTIF(LISTS!$J$2:$J$16,TRIM($G2341))&gt;0,"LEFT OUT","NEW")))</f>
        <v/>
      </c>
    </row>
    <row r="2342" spans="47:47" x14ac:dyDescent="0.25">
      <c r="AU2342" s="8" t="str">
        <f>IF(TRIM($G2342)="","",IF(COUNTIF(LISTS!$I$2:$I$16,TRIM($G2342))&gt;0,"COUNTED",IF(COUNTIF(LISTS!$J$2:$J$16,TRIM($G2342))&gt;0,"LEFT OUT","NEW")))</f>
        <v/>
      </c>
    </row>
    <row r="2343" spans="47:47" x14ac:dyDescent="0.25">
      <c r="AU2343" s="8" t="str">
        <f>IF(TRIM($G2343)="","",IF(COUNTIF(LISTS!$I$2:$I$16,TRIM($G2343))&gt;0,"COUNTED",IF(COUNTIF(LISTS!$J$2:$J$16,TRIM($G2343))&gt;0,"LEFT OUT","NEW")))</f>
        <v/>
      </c>
    </row>
    <row r="2344" spans="47:47" x14ac:dyDescent="0.25">
      <c r="AU2344" s="8" t="str">
        <f>IF(TRIM($G2344)="","",IF(COUNTIF(LISTS!$I$2:$I$16,TRIM($G2344))&gt;0,"COUNTED",IF(COUNTIF(LISTS!$J$2:$J$16,TRIM($G2344))&gt;0,"LEFT OUT","NEW")))</f>
        <v/>
      </c>
    </row>
    <row r="2345" spans="47:47" x14ac:dyDescent="0.25">
      <c r="AU2345" s="8" t="str">
        <f>IF(TRIM($G2345)="","",IF(COUNTIF(LISTS!$I$2:$I$16,TRIM($G2345))&gt;0,"COUNTED",IF(COUNTIF(LISTS!$J$2:$J$16,TRIM($G2345))&gt;0,"LEFT OUT","NEW")))</f>
        <v/>
      </c>
    </row>
    <row r="2346" spans="47:47" x14ac:dyDescent="0.25">
      <c r="AU2346" s="8" t="str">
        <f>IF(TRIM($G2346)="","",IF(COUNTIF(LISTS!$I$2:$I$16,TRIM($G2346))&gt;0,"COUNTED",IF(COUNTIF(LISTS!$J$2:$J$16,TRIM($G2346))&gt;0,"LEFT OUT","NEW")))</f>
        <v/>
      </c>
    </row>
    <row r="2347" spans="47:47" x14ac:dyDescent="0.25">
      <c r="AU2347" s="8" t="str">
        <f>IF(TRIM($G2347)="","",IF(COUNTIF(LISTS!$I$2:$I$16,TRIM($G2347))&gt;0,"COUNTED",IF(COUNTIF(LISTS!$J$2:$J$16,TRIM($G2347))&gt;0,"LEFT OUT","NEW")))</f>
        <v/>
      </c>
    </row>
    <row r="2348" spans="47:47" x14ac:dyDescent="0.25">
      <c r="AU2348" s="8" t="str">
        <f>IF(TRIM($G2348)="","",IF(COUNTIF(LISTS!$I$2:$I$16,TRIM($G2348))&gt;0,"COUNTED",IF(COUNTIF(LISTS!$J$2:$J$16,TRIM($G2348))&gt;0,"LEFT OUT","NEW")))</f>
        <v/>
      </c>
    </row>
    <row r="2349" spans="47:47" x14ac:dyDescent="0.25">
      <c r="AU2349" s="8" t="str">
        <f>IF(TRIM($G2349)="","",IF(COUNTIF(LISTS!$I$2:$I$16,TRIM($G2349))&gt;0,"COUNTED",IF(COUNTIF(LISTS!$J$2:$J$16,TRIM($G2349))&gt;0,"LEFT OUT","NEW")))</f>
        <v/>
      </c>
    </row>
    <row r="2350" spans="47:47" x14ac:dyDescent="0.25">
      <c r="AU2350" s="8" t="str">
        <f>IF(TRIM($G2350)="","",IF(COUNTIF(LISTS!$I$2:$I$16,TRIM($G2350))&gt;0,"COUNTED",IF(COUNTIF(LISTS!$J$2:$J$16,TRIM($G2350))&gt;0,"LEFT OUT","NEW")))</f>
        <v/>
      </c>
    </row>
    <row r="2351" spans="47:47" x14ac:dyDescent="0.25">
      <c r="AU2351" s="8" t="str">
        <f>IF(TRIM($G2351)="","",IF(COUNTIF(LISTS!$I$2:$I$16,TRIM($G2351))&gt;0,"COUNTED",IF(COUNTIF(LISTS!$J$2:$J$16,TRIM($G2351))&gt;0,"LEFT OUT","NEW")))</f>
        <v/>
      </c>
    </row>
    <row r="2352" spans="47:47" x14ac:dyDescent="0.25">
      <c r="AU2352" s="8" t="str">
        <f>IF(TRIM($G2352)="","",IF(COUNTIF(LISTS!$I$2:$I$16,TRIM($G2352))&gt;0,"COUNTED",IF(COUNTIF(LISTS!$J$2:$J$16,TRIM($G2352))&gt;0,"LEFT OUT","NEW")))</f>
        <v/>
      </c>
    </row>
    <row r="2353" spans="47:47" x14ac:dyDescent="0.25">
      <c r="AU2353" s="8" t="str">
        <f>IF(TRIM($G2353)="","",IF(COUNTIF(LISTS!$I$2:$I$16,TRIM($G2353))&gt;0,"COUNTED",IF(COUNTIF(LISTS!$J$2:$J$16,TRIM($G2353))&gt;0,"LEFT OUT","NEW")))</f>
        <v/>
      </c>
    </row>
    <row r="2354" spans="47:47" x14ac:dyDescent="0.25">
      <c r="AU2354" s="8" t="str">
        <f>IF(TRIM($G2354)="","",IF(COUNTIF(LISTS!$I$2:$I$16,TRIM($G2354))&gt;0,"COUNTED",IF(COUNTIF(LISTS!$J$2:$J$16,TRIM($G2354))&gt;0,"LEFT OUT","NEW")))</f>
        <v/>
      </c>
    </row>
    <row r="2355" spans="47:47" x14ac:dyDescent="0.25">
      <c r="AU2355" s="8" t="str">
        <f>IF(TRIM($G2355)="","",IF(COUNTIF(LISTS!$I$2:$I$16,TRIM($G2355))&gt;0,"COUNTED",IF(COUNTIF(LISTS!$J$2:$J$16,TRIM($G2355))&gt;0,"LEFT OUT","NEW")))</f>
        <v/>
      </c>
    </row>
    <row r="2356" spans="47:47" x14ac:dyDescent="0.25">
      <c r="AU2356" s="8" t="str">
        <f>IF(TRIM($G2356)="","",IF(COUNTIF(LISTS!$I$2:$I$16,TRIM($G2356))&gt;0,"COUNTED",IF(COUNTIF(LISTS!$J$2:$J$16,TRIM($G2356))&gt;0,"LEFT OUT","NEW")))</f>
        <v/>
      </c>
    </row>
    <row r="2357" spans="47:47" x14ac:dyDescent="0.25">
      <c r="AU2357" s="8" t="str">
        <f>IF(TRIM($G2357)="","",IF(COUNTIF(LISTS!$I$2:$I$16,TRIM($G2357))&gt;0,"COUNTED",IF(COUNTIF(LISTS!$J$2:$J$16,TRIM($G2357))&gt;0,"LEFT OUT","NEW")))</f>
        <v/>
      </c>
    </row>
    <row r="2358" spans="47:47" x14ac:dyDescent="0.25">
      <c r="AU2358" s="8" t="str">
        <f>IF(TRIM($G2358)="","",IF(COUNTIF(LISTS!$I$2:$I$16,TRIM($G2358))&gt;0,"COUNTED",IF(COUNTIF(LISTS!$J$2:$J$16,TRIM($G2358))&gt;0,"LEFT OUT","NEW")))</f>
        <v/>
      </c>
    </row>
    <row r="2359" spans="47:47" x14ac:dyDescent="0.25">
      <c r="AU2359" s="8" t="str">
        <f>IF(TRIM($G2359)="","",IF(COUNTIF(LISTS!$I$2:$I$16,TRIM($G2359))&gt;0,"COUNTED",IF(COUNTIF(LISTS!$J$2:$J$16,TRIM($G2359))&gt;0,"LEFT OUT","NEW")))</f>
        <v/>
      </c>
    </row>
    <row r="2360" spans="47:47" x14ac:dyDescent="0.25">
      <c r="AU2360" s="8" t="str">
        <f>IF(TRIM($G2360)="","",IF(COUNTIF(LISTS!$I$2:$I$16,TRIM($G2360))&gt;0,"COUNTED",IF(COUNTIF(LISTS!$J$2:$J$16,TRIM($G2360))&gt;0,"LEFT OUT","NEW")))</f>
        <v/>
      </c>
    </row>
    <row r="2361" spans="47:47" x14ac:dyDescent="0.25">
      <c r="AU2361" s="8" t="str">
        <f>IF(TRIM($G2361)="","",IF(COUNTIF(LISTS!$I$2:$I$16,TRIM($G2361))&gt;0,"COUNTED",IF(COUNTIF(LISTS!$J$2:$J$16,TRIM($G2361))&gt;0,"LEFT OUT","NEW")))</f>
        <v/>
      </c>
    </row>
    <row r="2362" spans="47:47" x14ac:dyDescent="0.25">
      <c r="AU2362" s="8" t="str">
        <f>IF(TRIM($G2362)="","",IF(COUNTIF(LISTS!$I$2:$I$16,TRIM($G2362))&gt;0,"COUNTED",IF(COUNTIF(LISTS!$J$2:$J$16,TRIM($G2362))&gt;0,"LEFT OUT","NEW")))</f>
        <v/>
      </c>
    </row>
    <row r="2363" spans="47:47" x14ac:dyDescent="0.25">
      <c r="AU2363" s="8" t="str">
        <f>IF(TRIM($G2363)="","",IF(COUNTIF(LISTS!$I$2:$I$16,TRIM($G2363))&gt;0,"COUNTED",IF(COUNTIF(LISTS!$J$2:$J$16,TRIM($G2363))&gt;0,"LEFT OUT","NEW")))</f>
        <v/>
      </c>
    </row>
    <row r="2364" spans="47:47" x14ac:dyDescent="0.25">
      <c r="AU2364" s="8" t="str">
        <f>IF(TRIM($G2364)="","",IF(COUNTIF(LISTS!$I$2:$I$16,TRIM($G2364))&gt;0,"COUNTED",IF(COUNTIF(LISTS!$J$2:$J$16,TRIM($G2364))&gt;0,"LEFT OUT","NEW")))</f>
        <v/>
      </c>
    </row>
    <row r="2365" spans="47:47" x14ac:dyDescent="0.25">
      <c r="AU2365" s="8" t="str">
        <f>IF(TRIM($G2365)="","",IF(COUNTIF(LISTS!$I$2:$I$16,TRIM($G2365))&gt;0,"COUNTED",IF(COUNTIF(LISTS!$J$2:$J$16,TRIM($G2365))&gt;0,"LEFT OUT","NEW")))</f>
        <v/>
      </c>
    </row>
    <row r="2366" spans="47:47" x14ac:dyDescent="0.25">
      <c r="AU2366" s="8" t="str">
        <f>IF(TRIM($G2366)="","",IF(COUNTIF(LISTS!$I$2:$I$16,TRIM($G2366))&gt;0,"COUNTED",IF(COUNTIF(LISTS!$J$2:$J$16,TRIM($G2366))&gt;0,"LEFT OUT","NEW")))</f>
        <v/>
      </c>
    </row>
    <row r="2367" spans="47:47" x14ac:dyDescent="0.25">
      <c r="AU2367" s="8" t="str">
        <f>IF(TRIM($G2367)="","",IF(COUNTIF(LISTS!$I$2:$I$16,TRIM($G2367))&gt;0,"COUNTED",IF(COUNTIF(LISTS!$J$2:$J$16,TRIM($G2367))&gt;0,"LEFT OUT","NEW")))</f>
        <v/>
      </c>
    </row>
    <row r="2368" spans="47:47" x14ac:dyDescent="0.25">
      <c r="AU2368" s="8" t="str">
        <f>IF(TRIM($G2368)="","",IF(COUNTIF(LISTS!$I$2:$I$16,TRIM($G2368))&gt;0,"COUNTED",IF(COUNTIF(LISTS!$J$2:$J$16,TRIM($G2368))&gt;0,"LEFT OUT","NEW")))</f>
        <v/>
      </c>
    </row>
    <row r="2369" spans="47:47" x14ac:dyDescent="0.25">
      <c r="AU2369" s="8" t="str">
        <f>IF(TRIM($G2369)="","",IF(COUNTIF(LISTS!$I$2:$I$16,TRIM($G2369))&gt;0,"COUNTED",IF(COUNTIF(LISTS!$J$2:$J$16,TRIM($G2369))&gt;0,"LEFT OUT","NEW")))</f>
        <v/>
      </c>
    </row>
    <row r="2370" spans="47:47" x14ac:dyDescent="0.25">
      <c r="AU2370" s="8" t="str">
        <f>IF(TRIM($G2370)="","",IF(COUNTIF(LISTS!$I$2:$I$16,TRIM($G2370))&gt;0,"COUNTED",IF(COUNTIF(LISTS!$J$2:$J$16,TRIM($G2370))&gt;0,"LEFT OUT","NEW")))</f>
        <v/>
      </c>
    </row>
    <row r="2371" spans="47:47" x14ac:dyDescent="0.25">
      <c r="AU2371" s="8" t="str">
        <f>IF(TRIM($G2371)="","",IF(COUNTIF(LISTS!$I$2:$I$16,TRIM($G2371))&gt;0,"COUNTED",IF(COUNTIF(LISTS!$J$2:$J$16,TRIM($G2371))&gt;0,"LEFT OUT","NEW")))</f>
        <v/>
      </c>
    </row>
    <row r="2372" spans="47:47" x14ac:dyDescent="0.25">
      <c r="AU2372" s="8" t="str">
        <f>IF(TRIM($G2372)="","",IF(COUNTIF(LISTS!$I$2:$I$16,TRIM($G2372))&gt;0,"COUNTED",IF(COUNTIF(LISTS!$J$2:$J$16,TRIM($G2372))&gt;0,"LEFT OUT","NEW")))</f>
        <v/>
      </c>
    </row>
    <row r="2373" spans="47:47" x14ac:dyDescent="0.25">
      <c r="AU2373" s="8" t="str">
        <f>IF(TRIM($G2373)="","",IF(COUNTIF(LISTS!$I$2:$I$16,TRIM($G2373))&gt;0,"COUNTED",IF(COUNTIF(LISTS!$J$2:$J$16,TRIM($G2373))&gt;0,"LEFT OUT","NEW")))</f>
        <v/>
      </c>
    </row>
    <row r="2374" spans="47:47" x14ac:dyDescent="0.25">
      <c r="AU2374" s="8" t="str">
        <f>IF(TRIM($G2374)="","",IF(COUNTIF(LISTS!$I$2:$I$16,TRIM($G2374))&gt;0,"COUNTED",IF(COUNTIF(LISTS!$J$2:$J$16,TRIM($G2374))&gt;0,"LEFT OUT","NEW")))</f>
        <v/>
      </c>
    </row>
    <row r="2375" spans="47:47" x14ac:dyDescent="0.25">
      <c r="AU2375" s="8" t="str">
        <f>IF(TRIM($G2375)="","",IF(COUNTIF(LISTS!$I$2:$I$16,TRIM($G2375))&gt;0,"COUNTED",IF(COUNTIF(LISTS!$J$2:$J$16,TRIM($G2375))&gt;0,"LEFT OUT","NEW")))</f>
        <v/>
      </c>
    </row>
    <row r="2376" spans="47:47" x14ac:dyDescent="0.25">
      <c r="AU2376" s="8" t="str">
        <f>IF(TRIM($G2376)="","",IF(COUNTIF(LISTS!$I$2:$I$16,TRIM($G2376))&gt;0,"COUNTED",IF(COUNTIF(LISTS!$J$2:$J$16,TRIM($G2376))&gt;0,"LEFT OUT","NEW")))</f>
        <v/>
      </c>
    </row>
    <row r="2377" spans="47:47" x14ac:dyDescent="0.25">
      <c r="AU2377" s="8" t="str">
        <f>IF(TRIM($G2377)="","",IF(COUNTIF(LISTS!$I$2:$I$16,TRIM($G2377))&gt;0,"COUNTED",IF(COUNTIF(LISTS!$J$2:$J$16,TRIM($G2377))&gt;0,"LEFT OUT","NEW")))</f>
        <v/>
      </c>
    </row>
    <row r="2378" spans="47:47" x14ac:dyDescent="0.25">
      <c r="AU2378" s="8" t="str">
        <f>IF(TRIM($G2378)="","",IF(COUNTIF(LISTS!$I$2:$I$16,TRIM($G2378))&gt;0,"COUNTED",IF(COUNTIF(LISTS!$J$2:$J$16,TRIM($G2378))&gt;0,"LEFT OUT","NEW")))</f>
        <v/>
      </c>
    </row>
    <row r="2379" spans="47:47" x14ac:dyDescent="0.25">
      <c r="AU2379" s="8" t="str">
        <f>IF(TRIM($G2379)="","",IF(COUNTIF(LISTS!$I$2:$I$16,TRIM($G2379))&gt;0,"COUNTED",IF(COUNTIF(LISTS!$J$2:$J$16,TRIM($G2379))&gt;0,"LEFT OUT","NEW")))</f>
        <v/>
      </c>
    </row>
    <row r="2380" spans="47:47" x14ac:dyDescent="0.25">
      <c r="AU2380" s="8" t="str">
        <f>IF(TRIM($G2380)="","",IF(COUNTIF(LISTS!$I$2:$I$16,TRIM($G2380))&gt;0,"COUNTED",IF(COUNTIF(LISTS!$J$2:$J$16,TRIM($G2380))&gt;0,"LEFT OUT","NEW")))</f>
        <v/>
      </c>
    </row>
    <row r="2381" spans="47:47" x14ac:dyDescent="0.25">
      <c r="AU2381" s="8" t="str">
        <f>IF(TRIM($G2381)="","",IF(COUNTIF(LISTS!$I$2:$I$16,TRIM($G2381))&gt;0,"COUNTED",IF(COUNTIF(LISTS!$J$2:$J$16,TRIM($G2381))&gt;0,"LEFT OUT","NEW")))</f>
        <v/>
      </c>
    </row>
    <row r="2382" spans="47:47" x14ac:dyDescent="0.25">
      <c r="AU2382" s="8" t="str">
        <f>IF(TRIM($G2382)="","",IF(COUNTIF(LISTS!$I$2:$I$16,TRIM($G2382))&gt;0,"COUNTED",IF(COUNTIF(LISTS!$J$2:$J$16,TRIM($G2382))&gt;0,"LEFT OUT","NEW")))</f>
        <v/>
      </c>
    </row>
    <row r="2383" spans="47:47" x14ac:dyDescent="0.25">
      <c r="AU2383" s="8" t="str">
        <f>IF(TRIM($G2383)="","",IF(COUNTIF(LISTS!$I$2:$I$16,TRIM($G2383))&gt;0,"COUNTED",IF(COUNTIF(LISTS!$J$2:$J$16,TRIM($G2383))&gt;0,"LEFT OUT","NEW")))</f>
        <v/>
      </c>
    </row>
    <row r="2384" spans="47:47" x14ac:dyDescent="0.25">
      <c r="AU2384" s="8" t="str">
        <f>IF(TRIM($G2384)="","",IF(COUNTIF(LISTS!$I$2:$I$16,TRIM($G2384))&gt;0,"COUNTED",IF(COUNTIF(LISTS!$J$2:$J$16,TRIM($G2384))&gt;0,"LEFT OUT","NEW")))</f>
        <v/>
      </c>
    </row>
    <row r="2385" spans="47:47" x14ac:dyDescent="0.25">
      <c r="AU2385" s="8" t="str">
        <f>IF(TRIM($G2385)="","",IF(COUNTIF(LISTS!$I$2:$I$16,TRIM($G2385))&gt;0,"COUNTED",IF(COUNTIF(LISTS!$J$2:$J$16,TRIM($G2385))&gt;0,"LEFT OUT","NEW")))</f>
        <v/>
      </c>
    </row>
    <row r="2386" spans="47:47" x14ac:dyDescent="0.25">
      <c r="AU2386" s="8" t="str">
        <f>IF(TRIM($G2386)="","",IF(COUNTIF(LISTS!$I$2:$I$16,TRIM($G2386))&gt;0,"COUNTED",IF(COUNTIF(LISTS!$J$2:$J$16,TRIM($G2386))&gt;0,"LEFT OUT","NEW")))</f>
        <v/>
      </c>
    </row>
    <row r="2387" spans="47:47" x14ac:dyDescent="0.25">
      <c r="AU2387" s="8" t="str">
        <f>IF(TRIM($G2387)="","",IF(COUNTIF(LISTS!$I$2:$I$16,TRIM($G2387))&gt;0,"COUNTED",IF(COUNTIF(LISTS!$J$2:$J$16,TRIM($G2387))&gt;0,"LEFT OUT","NEW")))</f>
        <v/>
      </c>
    </row>
    <row r="2388" spans="47:47" x14ac:dyDescent="0.25">
      <c r="AU2388" s="8" t="str">
        <f>IF(TRIM($G2388)="","",IF(COUNTIF(LISTS!$I$2:$I$16,TRIM($G2388))&gt;0,"COUNTED",IF(COUNTIF(LISTS!$J$2:$J$16,TRIM($G2388))&gt;0,"LEFT OUT","NEW")))</f>
        <v/>
      </c>
    </row>
    <row r="2389" spans="47:47" x14ac:dyDescent="0.25">
      <c r="AU2389" s="8" t="str">
        <f>IF(TRIM($G2389)="","",IF(COUNTIF(LISTS!$I$2:$I$16,TRIM($G2389))&gt;0,"COUNTED",IF(COUNTIF(LISTS!$J$2:$J$16,TRIM($G2389))&gt;0,"LEFT OUT","NEW")))</f>
        <v/>
      </c>
    </row>
    <row r="2390" spans="47:47" x14ac:dyDescent="0.25">
      <c r="AU2390" s="8" t="str">
        <f>IF(TRIM($G2390)="","",IF(COUNTIF(LISTS!$I$2:$I$16,TRIM($G2390))&gt;0,"COUNTED",IF(COUNTIF(LISTS!$J$2:$J$16,TRIM($G2390))&gt;0,"LEFT OUT","NEW")))</f>
        <v/>
      </c>
    </row>
    <row r="2391" spans="47:47" x14ac:dyDescent="0.25">
      <c r="AU2391" s="8" t="str">
        <f>IF(TRIM($G2391)="","",IF(COUNTIF(LISTS!$I$2:$I$16,TRIM($G2391))&gt;0,"COUNTED",IF(COUNTIF(LISTS!$J$2:$J$16,TRIM($G2391))&gt;0,"LEFT OUT","NEW")))</f>
        <v/>
      </c>
    </row>
    <row r="2392" spans="47:47" x14ac:dyDescent="0.25">
      <c r="AU2392" s="8" t="str">
        <f>IF(TRIM($G2392)="","",IF(COUNTIF(LISTS!$I$2:$I$16,TRIM($G2392))&gt;0,"COUNTED",IF(COUNTIF(LISTS!$J$2:$J$16,TRIM($G2392))&gt;0,"LEFT OUT","NEW")))</f>
        <v/>
      </c>
    </row>
    <row r="2393" spans="47:47" x14ac:dyDescent="0.25">
      <c r="AU2393" s="8" t="str">
        <f>IF(TRIM($G2393)="","",IF(COUNTIF(LISTS!$I$2:$I$16,TRIM($G2393))&gt;0,"COUNTED",IF(COUNTIF(LISTS!$J$2:$J$16,TRIM($G2393))&gt;0,"LEFT OUT","NEW")))</f>
        <v/>
      </c>
    </row>
    <row r="2394" spans="47:47" x14ac:dyDescent="0.25">
      <c r="AU2394" s="8" t="str">
        <f>IF(TRIM($G2394)="","",IF(COUNTIF(LISTS!$I$2:$I$16,TRIM($G2394))&gt;0,"COUNTED",IF(COUNTIF(LISTS!$J$2:$J$16,TRIM($G2394))&gt;0,"LEFT OUT","NEW")))</f>
        <v/>
      </c>
    </row>
    <row r="2395" spans="47:47" x14ac:dyDescent="0.25">
      <c r="AU2395" s="8" t="str">
        <f>IF(TRIM($G2395)="","",IF(COUNTIF(LISTS!$I$2:$I$16,TRIM($G2395))&gt;0,"COUNTED",IF(COUNTIF(LISTS!$J$2:$J$16,TRIM($G2395))&gt;0,"LEFT OUT","NEW")))</f>
        <v/>
      </c>
    </row>
    <row r="2396" spans="47:47" x14ac:dyDescent="0.25">
      <c r="AU2396" s="8" t="str">
        <f>IF(TRIM($G2396)="","",IF(COUNTIF(LISTS!$I$2:$I$16,TRIM($G2396))&gt;0,"COUNTED",IF(COUNTIF(LISTS!$J$2:$J$16,TRIM($G2396))&gt;0,"LEFT OUT","NEW")))</f>
        <v/>
      </c>
    </row>
    <row r="2397" spans="47:47" x14ac:dyDescent="0.25">
      <c r="AU2397" s="8" t="str">
        <f>IF(TRIM($G2397)="","",IF(COUNTIF(LISTS!$I$2:$I$16,TRIM($G2397))&gt;0,"COUNTED",IF(COUNTIF(LISTS!$J$2:$J$16,TRIM($G2397))&gt;0,"LEFT OUT","NEW")))</f>
        <v/>
      </c>
    </row>
    <row r="2398" spans="47:47" x14ac:dyDescent="0.25">
      <c r="AU2398" s="8" t="str">
        <f>IF(TRIM($G2398)="","",IF(COUNTIF(LISTS!$I$2:$I$16,TRIM($G2398))&gt;0,"COUNTED",IF(COUNTIF(LISTS!$J$2:$J$16,TRIM($G2398))&gt;0,"LEFT OUT","NEW")))</f>
        <v/>
      </c>
    </row>
    <row r="2399" spans="47:47" x14ac:dyDescent="0.25">
      <c r="AU2399" s="8" t="str">
        <f>IF(TRIM($G2399)="","",IF(COUNTIF(LISTS!$I$2:$I$16,TRIM($G2399))&gt;0,"COUNTED",IF(COUNTIF(LISTS!$J$2:$J$16,TRIM($G2399))&gt;0,"LEFT OUT","NEW")))</f>
        <v/>
      </c>
    </row>
    <row r="2400" spans="47:47" x14ac:dyDescent="0.25">
      <c r="AU2400" s="8" t="str">
        <f>IF(TRIM($G2400)="","",IF(COUNTIF(LISTS!$I$2:$I$16,TRIM($G2400))&gt;0,"COUNTED",IF(COUNTIF(LISTS!$J$2:$J$16,TRIM($G2400))&gt;0,"LEFT OUT","NEW")))</f>
        <v/>
      </c>
    </row>
    <row r="2401" spans="47:47" x14ac:dyDescent="0.25">
      <c r="AU2401" s="8" t="str">
        <f>IF(TRIM($G2401)="","",IF(COUNTIF(LISTS!$I$2:$I$16,TRIM($G2401))&gt;0,"COUNTED",IF(COUNTIF(LISTS!$J$2:$J$16,TRIM($G2401))&gt;0,"LEFT OUT","NEW")))</f>
        <v/>
      </c>
    </row>
    <row r="2402" spans="47:47" x14ac:dyDescent="0.25">
      <c r="AU2402" s="8" t="str">
        <f>IF(TRIM($G2402)="","",IF(COUNTIF(LISTS!$I$2:$I$16,TRIM($G2402))&gt;0,"COUNTED",IF(COUNTIF(LISTS!$J$2:$J$16,TRIM($G2402))&gt;0,"LEFT OUT","NEW")))</f>
        <v/>
      </c>
    </row>
    <row r="2403" spans="47:47" x14ac:dyDescent="0.25">
      <c r="AU2403" s="8" t="str">
        <f>IF(TRIM($G2403)="","",IF(COUNTIF(LISTS!$I$2:$I$16,TRIM($G2403))&gt;0,"COUNTED",IF(COUNTIF(LISTS!$J$2:$J$16,TRIM($G2403))&gt;0,"LEFT OUT","NEW")))</f>
        <v/>
      </c>
    </row>
    <row r="2404" spans="47:47" x14ac:dyDescent="0.25">
      <c r="AU2404" s="8" t="str">
        <f>IF(TRIM($G2404)="","",IF(COUNTIF(LISTS!$I$2:$I$16,TRIM($G2404))&gt;0,"COUNTED",IF(COUNTIF(LISTS!$J$2:$J$16,TRIM($G2404))&gt;0,"LEFT OUT","NEW")))</f>
        <v/>
      </c>
    </row>
    <row r="2405" spans="47:47" x14ac:dyDescent="0.25">
      <c r="AU2405" s="8" t="str">
        <f>IF(TRIM($G2405)="","",IF(COUNTIF(LISTS!$I$2:$I$16,TRIM($G2405))&gt;0,"COUNTED",IF(COUNTIF(LISTS!$J$2:$J$16,TRIM($G2405))&gt;0,"LEFT OUT","NEW")))</f>
        <v/>
      </c>
    </row>
    <row r="2406" spans="47:47" x14ac:dyDescent="0.25">
      <c r="AU2406" s="8" t="str">
        <f>IF(TRIM($G2406)="","",IF(COUNTIF(LISTS!$I$2:$I$16,TRIM($G2406))&gt;0,"COUNTED",IF(COUNTIF(LISTS!$J$2:$J$16,TRIM($G2406))&gt;0,"LEFT OUT","NEW")))</f>
        <v/>
      </c>
    </row>
    <row r="2407" spans="47:47" x14ac:dyDescent="0.25">
      <c r="AU2407" s="8" t="str">
        <f>IF(TRIM($G2407)="","",IF(COUNTIF(LISTS!$I$2:$I$16,TRIM($G2407))&gt;0,"COUNTED",IF(COUNTIF(LISTS!$J$2:$J$16,TRIM($G2407))&gt;0,"LEFT OUT","NEW")))</f>
        <v/>
      </c>
    </row>
    <row r="2408" spans="47:47" x14ac:dyDescent="0.25">
      <c r="AU2408" s="8" t="str">
        <f>IF(TRIM($G2408)="","",IF(COUNTIF(LISTS!$I$2:$I$16,TRIM($G2408))&gt;0,"COUNTED",IF(COUNTIF(LISTS!$J$2:$J$16,TRIM($G2408))&gt;0,"LEFT OUT","NEW")))</f>
        <v/>
      </c>
    </row>
    <row r="2409" spans="47:47" x14ac:dyDescent="0.25">
      <c r="AU2409" s="8" t="str">
        <f>IF(TRIM($G2409)="","",IF(COUNTIF(LISTS!$I$2:$I$16,TRIM($G2409))&gt;0,"COUNTED",IF(COUNTIF(LISTS!$J$2:$J$16,TRIM($G2409))&gt;0,"LEFT OUT","NEW")))</f>
        <v/>
      </c>
    </row>
    <row r="2410" spans="47:47" x14ac:dyDescent="0.25">
      <c r="AU2410" s="8" t="str">
        <f>IF(TRIM($G2410)="","",IF(COUNTIF(LISTS!$I$2:$I$16,TRIM($G2410))&gt;0,"COUNTED",IF(COUNTIF(LISTS!$J$2:$J$16,TRIM($G2410))&gt;0,"LEFT OUT","NEW")))</f>
        <v/>
      </c>
    </row>
    <row r="2411" spans="47:47" x14ac:dyDescent="0.25">
      <c r="AU2411" s="8" t="str">
        <f>IF(TRIM($G2411)="","",IF(COUNTIF(LISTS!$I$2:$I$16,TRIM($G2411))&gt;0,"COUNTED",IF(COUNTIF(LISTS!$J$2:$J$16,TRIM($G2411))&gt;0,"LEFT OUT","NEW")))</f>
        <v/>
      </c>
    </row>
    <row r="2412" spans="47:47" x14ac:dyDescent="0.25">
      <c r="AU2412" s="8" t="str">
        <f>IF(TRIM($G2412)="","",IF(COUNTIF(LISTS!$I$2:$I$16,TRIM($G2412))&gt;0,"COUNTED",IF(COUNTIF(LISTS!$J$2:$J$16,TRIM($G2412))&gt;0,"LEFT OUT","NEW")))</f>
        <v/>
      </c>
    </row>
    <row r="2413" spans="47:47" x14ac:dyDescent="0.25">
      <c r="AU2413" s="8" t="str">
        <f>IF(TRIM($G2413)="","",IF(COUNTIF(LISTS!$I$2:$I$16,TRIM($G2413))&gt;0,"COUNTED",IF(COUNTIF(LISTS!$J$2:$J$16,TRIM($G2413))&gt;0,"LEFT OUT","NEW")))</f>
        <v/>
      </c>
    </row>
    <row r="2414" spans="47:47" x14ac:dyDescent="0.25">
      <c r="AU2414" s="8" t="str">
        <f>IF(TRIM($G2414)="","",IF(COUNTIF(LISTS!$I$2:$I$16,TRIM($G2414))&gt;0,"COUNTED",IF(COUNTIF(LISTS!$J$2:$J$16,TRIM($G2414))&gt;0,"LEFT OUT","NEW")))</f>
        <v/>
      </c>
    </row>
    <row r="2415" spans="47:47" x14ac:dyDescent="0.25">
      <c r="AU2415" s="8" t="str">
        <f>IF(TRIM($G2415)="","",IF(COUNTIF(LISTS!$I$2:$I$16,TRIM($G2415))&gt;0,"COUNTED",IF(COUNTIF(LISTS!$J$2:$J$16,TRIM($G2415))&gt;0,"LEFT OUT","NEW")))</f>
        <v/>
      </c>
    </row>
    <row r="2416" spans="47:47" x14ac:dyDescent="0.25">
      <c r="AU2416" s="8" t="str">
        <f>IF(TRIM($G2416)="","",IF(COUNTIF(LISTS!$I$2:$I$16,TRIM($G2416))&gt;0,"COUNTED",IF(COUNTIF(LISTS!$J$2:$J$16,TRIM($G2416))&gt;0,"LEFT OUT","NEW")))</f>
        <v/>
      </c>
    </row>
    <row r="2417" spans="47:47" x14ac:dyDescent="0.25">
      <c r="AU2417" s="8" t="str">
        <f>IF(TRIM($G2417)="","",IF(COUNTIF(LISTS!$I$2:$I$16,TRIM($G2417))&gt;0,"COUNTED",IF(COUNTIF(LISTS!$J$2:$J$16,TRIM($G2417))&gt;0,"LEFT OUT","NEW")))</f>
        <v/>
      </c>
    </row>
    <row r="2418" spans="47:47" x14ac:dyDescent="0.25">
      <c r="AU2418" s="8" t="str">
        <f>IF(TRIM($G2418)="","",IF(COUNTIF(LISTS!$I$2:$I$16,TRIM($G2418))&gt;0,"COUNTED",IF(COUNTIF(LISTS!$J$2:$J$16,TRIM($G2418))&gt;0,"LEFT OUT","NEW")))</f>
        <v/>
      </c>
    </row>
    <row r="2419" spans="47:47" x14ac:dyDescent="0.25">
      <c r="AU2419" s="8" t="str">
        <f>IF(TRIM($G2419)="","",IF(COUNTIF(LISTS!$I$2:$I$16,TRIM($G2419))&gt;0,"COUNTED",IF(COUNTIF(LISTS!$J$2:$J$16,TRIM($G2419))&gt;0,"LEFT OUT","NEW")))</f>
        <v/>
      </c>
    </row>
    <row r="2420" spans="47:47" x14ac:dyDescent="0.25">
      <c r="AU2420" s="8" t="str">
        <f>IF(TRIM($G2420)="","",IF(COUNTIF(LISTS!$I$2:$I$16,TRIM($G2420))&gt;0,"COUNTED",IF(COUNTIF(LISTS!$J$2:$J$16,TRIM($G2420))&gt;0,"LEFT OUT","NEW")))</f>
        <v/>
      </c>
    </row>
    <row r="2421" spans="47:47" x14ac:dyDescent="0.25">
      <c r="AU2421" s="8" t="str">
        <f>IF(TRIM($G2421)="","",IF(COUNTIF(LISTS!$I$2:$I$16,TRIM($G2421))&gt;0,"COUNTED",IF(COUNTIF(LISTS!$J$2:$J$16,TRIM($G2421))&gt;0,"LEFT OUT","NEW")))</f>
        <v/>
      </c>
    </row>
    <row r="2422" spans="47:47" x14ac:dyDescent="0.25">
      <c r="AU2422" s="8" t="str">
        <f>IF(TRIM($G2422)="","",IF(COUNTIF(LISTS!$I$2:$I$16,TRIM($G2422))&gt;0,"COUNTED",IF(COUNTIF(LISTS!$J$2:$J$16,TRIM($G2422))&gt;0,"LEFT OUT","NEW")))</f>
        <v/>
      </c>
    </row>
    <row r="2423" spans="47:47" x14ac:dyDescent="0.25">
      <c r="AU2423" s="8" t="str">
        <f>IF(TRIM($G2423)="","",IF(COUNTIF(LISTS!$I$2:$I$16,TRIM($G2423))&gt;0,"COUNTED",IF(COUNTIF(LISTS!$J$2:$J$16,TRIM($G2423))&gt;0,"LEFT OUT","NEW")))</f>
        <v/>
      </c>
    </row>
    <row r="2424" spans="47:47" x14ac:dyDescent="0.25">
      <c r="AU2424" s="8" t="str">
        <f>IF(TRIM($G2424)="","",IF(COUNTIF(LISTS!$I$2:$I$16,TRIM($G2424))&gt;0,"COUNTED",IF(COUNTIF(LISTS!$J$2:$J$16,TRIM($G2424))&gt;0,"LEFT OUT","NEW")))</f>
        <v/>
      </c>
    </row>
    <row r="2425" spans="47:47" x14ac:dyDescent="0.25">
      <c r="AU2425" s="8" t="str">
        <f>IF(TRIM($G2425)="","",IF(COUNTIF(LISTS!$I$2:$I$16,TRIM($G2425))&gt;0,"COUNTED",IF(COUNTIF(LISTS!$J$2:$J$16,TRIM($G2425))&gt;0,"LEFT OUT","NEW")))</f>
        <v/>
      </c>
    </row>
    <row r="2426" spans="47:47" x14ac:dyDescent="0.25">
      <c r="AU2426" s="8" t="str">
        <f>IF(TRIM($G2426)="","",IF(COUNTIF(LISTS!$I$2:$I$16,TRIM($G2426))&gt;0,"COUNTED",IF(COUNTIF(LISTS!$J$2:$J$16,TRIM($G2426))&gt;0,"LEFT OUT","NEW")))</f>
        <v/>
      </c>
    </row>
    <row r="2427" spans="47:47" x14ac:dyDescent="0.25">
      <c r="AU2427" s="8" t="str">
        <f>IF(TRIM($G2427)="","",IF(COUNTIF(LISTS!$I$2:$I$16,TRIM($G2427))&gt;0,"COUNTED",IF(COUNTIF(LISTS!$J$2:$J$16,TRIM($G2427))&gt;0,"LEFT OUT","NEW")))</f>
        <v/>
      </c>
    </row>
    <row r="2428" spans="47:47" x14ac:dyDescent="0.25">
      <c r="AU2428" s="8" t="str">
        <f>IF(TRIM($G2428)="","",IF(COUNTIF(LISTS!$I$2:$I$16,TRIM($G2428))&gt;0,"COUNTED",IF(COUNTIF(LISTS!$J$2:$J$16,TRIM($G2428))&gt;0,"LEFT OUT","NEW")))</f>
        <v/>
      </c>
    </row>
    <row r="2429" spans="47:47" x14ac:dyDescent="0.25">
      <c r="AU2429" s="8" t="str">
        <f>IF(TRIM($G2429)="","",IF(COUNTIF(LISTS!$I$2:$I$16,TRIM($G2429))&gt;0,"COUNTED",IF(COUNTIF(LISTS!$J$2:$J$16,TRIM($G2429))&gt;0,"LEFT OUT","NEW")))</f>
        <v/>
      </c>
    </row>
    <row r="2430" spans="47:47" x14ac:dyDescent="0.25">
      <c r="AU2430" s="8" t="str">
        <f>IF(TRIM($G2430)="","",IF(COUNTIF(LISTS!$I$2:$I$16,TRIM($G2430))&gt;0,"COUNTED",IF(COUNTIF(LISTS!$J$2:$J$16,TRIM($G2430))&gt;0,"LEFT OUT","NEW")))</f>
        <v/>
      </c>
    </row>
    <row r="2431" spans="47:47" x14ac:dyDescent="0.25">
      <c r="AU2431" s="8" t="str">
        <f>IF(TRIM($G2431)="","",IF(COUNTIF(LISTS!$I$2:$I$16,TRIM($G2431))&gt;0,"COUNTED",IF(COUNTIF(LISTS!$J$2:$J$16,TRIM($G2431))&gt;0,"LEFT OUT","NEW")))</f>
        <v/>
      </c>
    </row>
    <row r="2432" spans="47:47" x14ac:dyDescent="0.25">
      <c r="AU2432" s="8" t="str">
        <f>IF(TRIM($G2432)="","",IF(COUNTIF(LISTS!$I$2:$I$16,TRIM($G2432))&gt;0,"COUNTED",IF(COUNTIF(LISTS!$J$2:$J$16,TRIM($G2432))&gt;0,"LEFT OUT","NEW")))</f>
        <v/>
      </c>
    </row>
    <row r="2433" spans="47:47" x14ac:dyDescent="0.25">
      <c r="AU2433" s="8" t="str">
        <f>IF(TRIM($G2433)="","",IF(COUNTIF(LISTS!$I$2:$I$16,TRIM($G2433))&gt;0,"COUNTED",IF(COUNTIF(LISTS!$J$2:$J$16,TRIM($G2433))&gt;0,"LEFT OUT","NEW")))</f>
        <v/>
      </c>
    </row>
    <row r="2434" spans="47:47" x14ac:dyDescent="0.25">
      <c r="AU2434" s="8" t="str">
        <f>IF(TRIM($G2434)="","",IF(COUNTIF(LISTS!$I$2:$I$16,TRIM($G2434))&gt;0,"COUNTED",IF(COUNTIF(LISTS!$J$2:$J$16,TRIM($G2434))&gt;0,"LEFT OUT","NEW")))</f>
        <v/>
      </c>
    </row>
    <row r="2435" spans="47:47" x14ac:dyDescent="0.25">
      <c r="AU2435" s="8" t="str">
        <f>IF(TRIM($G2435)="","",IF(COUNTIF(LISTS!$I$2:$I$16,TRIM($G2435))&gt;0,"COUNTED",IF(COUNTIF(LISTS!$J$2:$J$16,TRIM($G2435))&gt;0,"LEFT OUT","NEW")))</f>
        <v/>
      </c>
    </row>
    <row r="2436" spans="47:47" x14ac:dyDescent="0.25">
      <c r="AU2436" s="8" t="str">
        <f>IF(TRIM($G2436)="","",IF(COUNTIF(LISTS!$I$2:$I$16,TRIM($G2436))&gt;0,"COUNTED",IF(COUNTIF(LISTS!$J$2:$J$16,TRIM($G2436))&gt;0,"LEFT OUT","NEW")))</f>
        <v/>
      </c>
    </row>
    <row r="2437" spans="47:47" x14ac:dyDescent="0.25">
      <c r="AU2437" s="8" t="str">
        <f>IF(TRIM($G2437)="","",IF(COUNTIF(LISTS!$I$2:$I$16,TRIM($G2437))&gt;0,"COUNTED",IF(COUNTIF(LISTS!$J$2:$J$16,TRIM($G2437))&gt;0,"LEFT OUT","NEW")))</f>
        <v/>
      </c>
    </row>
    <row r="2438" spans="47:47" x14ac:dyDescent="0.25">
      <c r="AU2438" s="8" t="str">
        <f>IF(TRIM($G2438)="","",IF(COUNTIF(LISTS!$I$2:$I$16,TRIM($G2438))&gt;0,"COUNTED",IF(COUNTIF(LISTS!$J$2:$J$16,TRIM($G2438))&gt;0,"LEFT OUT","NEW")))</f>
        <v/>
      </c>
    </row>
    <row r="2439" spans="47:47" x14ac:dyDescent="0.25">
      <c r="AU2439" s="8" t="str">
        <f>IF(TRIM($G2439)="","",IF(COUNTIF(LISTS!$I$2:$I$16,TRIM($G2439))&gt;0,"COUNTED",IF(COUNTIF(LISTS!$J$2:$J$16,TRIM($G2439))&gt;0,"LEFT OUT","NEW")))</f>
        <v/>
      </c>
    </row>
    <row r="2440" spans="47:47" x14ac:dyDescent="0.25">
      <c r="AU2440" s="8" t="str">
        <f>IF(TRIM($G2440)="","",IF(COUNTIF(LISTS!$I$2:$I$16,TRIM($G2440))&gt;0,"COUNTED",IF(COUNTIF(LISTS!$J$2:$J$16,TRIM($G2440))&gt;0,"LEFT OUT","NEW")))</f>
        <v/>
      </c>
    </row>
    <row r="2441" spans="47:47" x14ac:dyDescent="0.25">
      <c r="AU2441" s="8" t="str">
        <f>IF(TRIM($G2441)="","",IF(COUNTIF(LISTS!$I$2:$I$16,TRIM($G2441))&gt;0,"COUNTED",IF(COUNTIF(LISTS!$J$2:$J$16,TRIM($G2441))&gt;0,"LEFT OUT","NEW")))</f>
        <v/>
      </c>
    </row>
    <row r="2442" spans="47:47" x14ac:dyDescent="0.25">
      <c r="AU2442" s="8" t="str">
        <f>IF(TRIM($G2442)="","",IF(COUNTIF(LISTS!$I$2:$I$16,TRIM($G2442))&gt;0,"COUNTED",IF(COUNTIF(LISTS!$J$2:$J$16,TRIM($G2442))&gt;0,"LEFT OUT","NEW")))</f>
        <v/>
      </c>
    </row>
    <row r="2443" spans="47:47" x14ac:dyDescent="0.25">
      <c r="AU2443" s="8" t="str">
        <f>IF(TRIM($G2443)="","",IF(COUNTIF(LISTS!$I$2:$I$16,TRIM($G2443))&gt;0,"COUNTED",IF(COUNTIF(LISTS!$J$2:$J$16,TRIM($G2443))&gt;0,"LEFT OUT","NEW")))</f>
        <v/>
      </c>
    </row>
    <row r="2444" spans="47:47" x14ac:dyDescent="0.25">
      <c r="AU2444" s="8" t="str">
        <f>IF(TRIM($G2444)="","",IF(COUNTIF(LISTS!$I$2:$I$16,TRIM($G2444))&gt;0,"COUNTED",IF(COUNTIF(LISTS!$J$2:$J$16,TRIM($G2444))&gt;0,"LEFT OUT","NEW")))</f>
        <v/>
      </c>
    </row>
    <row r="2445" spans="47:47" x14ac:dyDescent="0.25">
      <c r="AU2445" s="8" t="str">
        <f>IF(TRIM($G2445)="","",IF(COUNTIF(LISTS!$I$2:$I$16,TRIM($G2445))&gt;0,"COUNTED",IF(COUNTIF(LISTS!$J$2:$J$16,TRIM($G2445))&gt;0,"LEFT OUT","NEW")))</f>
        <v/>
      </c>
    </row>
    <row r="2446" spans="47:47" x14ac:dyDescent="0.25">
      <c r="AU2446" s="8" t="str">
        <f>IF(TRIM($G2446)="","",IF(COUNTIF(LISTS!$I$2:$I$16,TRIM($G2446))&gt;0,"COUNTED",IF(COUNTIF(LISTS!$J$2:$J$16,TRIM($G2446))&gt;0,"LEFT OUT","NEW")))</f>
        <v/>
      </c>
    </row>
    <row r="2447" spans="47:47" x14ac:dyDescent="0.25">
      <c r="AU2447" s="8" t="str">
        <f>IF(TRIM($G2447)="","",IF(COUNTIF(LISTS!$I$2:$I$16,TRIM($G2447))&gt;0,"COUNTED",IF(COUNTIF(LISTS!$J$2:$J$16,TRIM($G2447))&gt;0,"LEFT OUT","NEW")))</f>
        <v/>
      </c>
    </row>
    <row r="2448" spans="47:47" x14ac:dyDescent="0.25">
      <c r="AU2448" s="8" t="str">
        <f>IF(TRIM($G2448)="","",IF(COUNTIF(LISTS!$I$2:$I$16,TRIM($G2448))&gt;0,"COUNTED",IF(COUNTIF(LISTS!$J$2:$J$16,TRIM($G2448))&gt;0,"LEFT OUT","NEW")))</f>
        <v/>
      </c>
    </row>
    <row r="2449" spans="47:47" x14ac:dyDescent="0.25">
      <c r="AU2449" s="8" t="str">
        <f>IF(TRIM($G2449)="","",IF(COUNTIF(LISTS!$I$2:$I$16,TRIM($G2449))&gt;0,"COUNTED",IF(COUNTIF(LISTS!$J$2:$J$16,TRIM($G2449))&gt;0,"LEFT OUT","NEW")))</f>
        <v/>
      </c>
    </row>
    <row r="2450" spans="47:47" x14ac:dyDescent="0.25">
      <c r="AU2450" s="8" t="str">
        <f>IF(TRIM($G2450)="","",IF(COUNTIF(LISTS!$I$2:$I$16,TRIM($G2450))&gt;0,"COUNTED",IF(COUNTIF(LISTS!$J$2:$J$16,TRIM($G2450))&gt;0,"LEFT OUT","NEW")))</f>
        <v/>
      </c>
    </row>
    <row r="2451" spans="47:47" x14ac:dyDescent="0.25">
      <c r="AU2451" s="8" t="str">
        <f>IF(TRIM($G2451)="","",IF(COUNTIF(LISTS!$I$2:$I$16,TRIM($G2451))&gt;0,"COUNTED",IF(COUNTIF(LISTS!$J$2:$J$16,TRIM($G2451))&gt;0,"LEFT OUT","NEW")))</f>
        <v/>
      </c>
    </row>
    <row r="2452" spans="47:47" x14ac:dyDescent="0.25">
      <c r="AU2452" s="8" t="str">
        <f>IF(TRIM($G2452)="","",IF(COUNTIF(LISTS!$I$2:$I$16,TRIM($G2452))&gt;0,"COUNTED",IF(COUNTIF(LISTS!$J$2:$J$16,TRIM($G2452))&gt;0,"LEFT OUT","NEW")))</f>
        <v/>
      </c>
    </row>
    <row r="2453" spans="47:47" x14ac:dyDescent="0.25">
      <c r="AU2453" s="8" t="str">
        <f>IF(TRIM($G2453)="","",IF(COUNTIF(LISTS!$I$2:$I$16,TRIM($G2453))&gt;0,"COUNTED",IF(COUNTIF(LISTS!$J$2:$J$16,TRIM($G2453))&gt;0,"LEFT OUT","NEW")))</f>
        <v/>
      </c>
    </row>
    <row r="2454" spans="47:47" x14ac:dyDescent="0.25">
      <c r="AU2454" s="8" t="str">
        <f>IF(TRIM($G2454)="","",IF(COUNTIF(LISTS!$I$2:$I$16,TRIM($G2454))&gt;0,"COUNTED",IF(COUNTIF(LISTS!$J$2:$J$16,TRIM($G2454))&gt;0,"LEFT OUT","NEW")))</f>
        <v/>
      </c>
    </row>
    <row r="2455" spans="47:47" x14ac:dyDescent="0.25">
      <c r="AU2455" s="8" t="str">
        <f>IF(TRIM($G2455)="","",IF(COUNTIF(LISTS!$I$2:$I$16,TRIM($G2455))&gt;0,"COUNTED",IF(COUNTIF(LISTS!$J$2:$J$16,TRIM($G2455))&gt;0,"LEFT OUT","NEW")))</f>
        <v/>
      </c>
    </row>
    <row r="2456" spans="47:47" x14ac:dyDescent="0.25">
      <c r="AU2456" s="8" t="str">
        <f>IF(TRIM($G2456)="","",IF(COUNTIF(LISTS!$I$2:$I$16,TRIM($G2456))&gt;0,"COUNTED",IF(COUNTIF(LISTS!$J$2:$J$16,TRIM($G2456))&gt;0,"LEFT OUT","NEW")))</f>
        <v/>
      </c>
    </row>
    <row r="2457" spans="47:47" x14ac:dyDescent="0.25">
      <c r="AU2457" s="8" t="str">
        <f>IF(TRIM($G2457)="","",IF(COUNTIF(LISTS!$I$2:$I$16,TRIM($G2457))&gt;0,"COUNTED",IF(COUNTIF(LISTS!$J$2:$J$16,TRIM($G2457))&gt;0,"LEFT OUT","NEW")))</f>
        <v/>
      </c>
    </row>
    <row r="2458" spans="47:47" x14ac:dyDescent="0.25">
      <c r="AU2458" s="8" t="str">
        <f>IF(TRIM($G2458)="","",IF(COUNTIF(LISTS!$I$2:$I$16,TRIM($G2458))&gt;0,"COUNTED",IF(COUNTIF(LISTS!$J$2:$J$16,TRIM($G2458))&gt;0,"LEFT OUT","NEW")))</f>
        <v/>
      </c>
    </row>
    <row r="2459" spans="47:47" x14ac:dyDescent="0.25">
      <c r="AU2459" s="8" t="str">
        <f>IF(TRIM($G2459)="","",IF(COUNTIF(LISTS!$I$2:$I$16,TRIM($G2459))&gt;0,"COUNTED",IF(COUNTIF(LISTS!$J$2:$J$16,TRIM($G2459))&gt;0,"LEFT OUT","NEW")))</f>
        <v/>
      </c>
    </row>
    <row r="2460" spans="47:47" x14ac:dyDescent="0.25">
      <c r="AU2460" s="8" t="str">
        <f>IF(TRIM($G2460)="","",IF(COUNTIF(LISTS!$I$2:$I$16,TRIM($G2460))&gt;0,"COUNTED",IF(COUNTIF(LISTS!$J$2:$J$16,TRIM($G2460))&gt;0,"LEFT OUT","NEW")))</f>
        <v/>
      </c>
    </row>
    <row r="2461" spans="47:47" x14ac:dyDescent="0.25">
      <c r="AU2461" s="8" t="str">
        <f>IF(TRIM($G2461)="","",IF(COUNTIF(LISTS!$I$2:$I$16,TRIM($G2461))&gt;0,"COUNTED",IF(COUNTIF(LISTS!$J$2:$J$16,TRIM($G2461))&gt;0,"LEFT OUT","NEW")))</f>
        <v/>
      </c>
    </row>
    <row r="2462" spans="47:47" x14ac:dyDescent="0.25">
      <c r="AU2462" s="8" t="str">
        <f>IF(TRIM($G2462)="","",IF(COUNTIF(LISTS!$I$2:$I$16,TRIM($G2462))&gt;0,"COUNTED",IF(COUNTIF(LISTS!$J$2:$J$16,TRIM($G2462))&gt;0,"LEFT OUT","NEW")))</f>
        <v/>
      </c>
    </row>
    <row r="2463" spans="47:47" x14ac:dyDescent="0.25">
      <c r="AU2463" s="8" t="str">
        <f>IF(TRIM($G2463)="","",IF(COUNTIF(LISTS!$I$2:$I$16,TRIM($G2463))&gt;0,"COUNTED",IF(COUNTIF(LISTS!$J$2:$J$16,TRIM($G2463))&gt;0,"LEFT OUT","NEW")))</f>
        <v/>
      </c>
    </row>
    <row r="2464" spans="47:47" x14ac:dyDescent="0.25">
      <c r="AU2464" s="8" t="str">
        <f>IF(TRIM($G2464)="","",IF(COUNTIF(LISTS!$I$2:$I$16,TRIM($G2464))&gt;0,"COUNTED",IF(COUNTIF(LISTS!$J$2:$J$16,TRIM($G2464))&gt;0,"LEFT OUT","NEW")))</f>
        <v/>
      </c>
    </row>
    <row r="2465" spans="47:47" x14ac:dyDescent="0.25">
      <c r="AU2465" s="8" t="str">
        <f>IF(TRIM($G2465)="","",IF(COUNTIF(LISTS!$I$2:$I$16,TRIM($G2465))&gt;0,"COUNTED",IF(COUNTIF(LISTS!$J$2:$J$16,TRIM($G2465))&gt;0,"LEFT OUT","NEW")))</f>
        <v/>
      </c>
    </row>
    <row r="2466" spans="47:47" x14ac:dyDescent="0.25">
      <c r="AU2466" s="8" t="str">
        <f>IF(TRIM($G2466)="","",IF(COUNTIF(LISTS!$I$2:$I$16,TRIM($G2466))&gt;0,"COUNTED",IF(COUNTIF(LISTS!$J$2:$J$16,TRIM($G2466))&gt;0,"LEFT OUT","NEW")))</f>
        <v/>
      </c>
    </row>
    <row r="2467" spans="47:47" x14ac:dyDescent="0.25">
      <c r="AU2467" s="8" t="str">
        <f>IF(TRIM($G2467)="","",IF(COUNTIF(LISTS!$I$2:$I$16,TRIM($G2467))&gt;0,"COUNTED",IF(COUNTIF(LISTS!$J$2:$J$16,TRIM($G2467))&gt;0,"LEFT OUT","NEW")))</f>
        <v/>
      </c>
    </row>
    <row r="2468" spans="47:47" x14ac:dyDescent="0.25">
      <c r="AU2468" s="8" t="str">
        <f>IF(TRIM($G2468)="","",IF(COUNTIF(LISTS!$I$2:$I$16,TRIM($G2468))&gt;0,"COUNTED",IF(COUNTIF(LISTS!$J$2:$J$16,TRIM($G2468))&gt;0,"LEFT OUT","NEW")))</f>
        <v/>
      </c>
    </row>
    <row r="2469" spans="47:47" x14ac:dyDescent="0.25">
      <c r="AU2469" s="8" t="str">
        <f>IF(TRIM($G2469)="","",IF(COUNTIF(LISTS!$I$2:$I$16,TRIM($G2469))&gt;0,"COUNTED",IF(COUNTIF(LISTS!$J$2:$J$16,TRIM($G2469))&gt;0,"LEFT OUT","NEW")))</f>
        <v/>
      </c>
    </row>
    <row r="2470" spans="47:47" x14ac:dyDescent="0.25">
      <c r="AU2470" s="8" t="str">
        <f>IF(TRIM($G2470)="","",IF(COUNTIF(LISTS!$I$2:$I$16,TRIM($G2470))&gt;0,"COUNTED",IF(COUNTIF(LISTS!$J$2:$J$16,TRIM($G2470))&gt;0,"LEFT OUT","NEW")))</f>
        <v/>
      </c>
    </row>
    <row r="2471" spans="47:47" x14ac:dyDescent="0.25">
      <c r="AU2471" s="8" t="str">
        <f>IF(TRIM($G2471)="","",IF(COUNTIF(LISTS!$I$2:$I$16,TRIM($G2471))&gt;0,"COUNTED",IF(COUNTIF(LISTS!$J$2:$J$16,TRIM($G2471))&gt;0,"LEFT OUT","NEW")))</f>
        <v/>
      </c>
    </row>
    <row r="2472" spans="47:47" x14ac:dyDescent="0.25">
      <c r="AU2472" s="8" t="str">
        <f>IF(TRIM($G2472)="","",IF(COUNTIF(LISTS!$I$2:$I$16,TRIM($G2472))&gt;0,"COUNTED",IF(COUNTIF(LISTS!$J$2:$J$16,TRIM($G2472))&gt;0,"LEFT OUT","NEW")))</f>
        <v/>
      </c>
    </row>
    <row r="2473" spans="47:47" x14ac:dyDescent="0.25">
      <c r="AU2473" s="8" t="str">
        <f>IF(TRIM($G2473)="","",IF(COUNTIF(LISTS!$I$2:$I$16,TRIM($G2473))&gt;0,"COUNTED",IF(COUNTIF(LISTS!$J$2:$J$16,TRIM($G2473))&gt;0,"LEFT OUT","NEW")))</f>
        <v/>
      </c>
    </row>
    <row r="2474" spans="47:47" x14ac:dyDescent="0.25">
      <c r="AU2474" s="8" t="str">
        <f>IF(TRIM($G2474)="","",IF(COUNTIF(LISTS!$I$2:$I$16,TRIM($G2474))&gt;0,"COUNTED",IF(COUNTIF(LISTS!$J$2:$J$16,TRIM($G2474))&gt;0,"LEFT OUT","NEW")))</f>
        <v/>
      </c>
    </row>
    <row r="2475" spans="47:47" x14ac:dyDescent="0.25">
      <c r="AU2475" s="8" t="str">
        <f>IF(TRIM($G2475)="","",IF(COUNTIF(LISTS!$I$2:$I$16,TRIM($G2475))&gt;0,"COUNTED",IF(COUNTIF(LISTS!$J$2:$J$16,TRIM($G2475))&gt;0,"LEFT OUT","NEW")))</f>
        <v/>
      </c>
    </row>
    <row r="2476" spans="47:47" x14ac:dyDescent="0.25">
      <c r="AU2476" s="8" t="str">
        <f>IF(TRIM($G2476)="","",IF(COUNTIF(LISTS!$I$2:$I$16,TRIM($G2476))&gt;0,"COUNTED",IF(COUNTIF(LISTS!$J$2:$J$16,TRIM($G2476))&gt;0,"LEFT OUT","NEW")))</f>
        <v/>
      </c>
    </row>
    <row r="2477" spans="47:47" x14ac:dyDescent="0.25">
      <c r="AU2477" s="8" t="str">
        <f>IF(TRIM($G2477)="","",IF(COUNTIF(LISTS!$I$2:$I$16,TRIM($G2477))&gt;0,"COUNTED",IF(COUNTIF(LISTS!$J$2:$J$16,TRIM($G2477))&gt;0,"LEFT OUT","NEW")))</f>
        <v/>
      </c>
    </row>
    <row r="2478" spans="47:47" x14ac:dyDescent="0.25">
      <c r="AU2478" s="8" t="str">
        <f>IF(TRIM($G2478)="","",IF(COUNTIF(LISTS!$I$2:$I$16,TRIM($G2478))&gt;0,"COUNTED",IF(COUNTIF(LISTS!$J$2:$J$16,TRIM($G2478))&gt;0,"LEFT OUT","NEW")))</f>
        <v/>
      </c>
    </row>
    <row r="2479" spans="47:47" x14ac:dyDescent="0.25">
      <c r="AU2479" s="8" t="str">
        <f>IF(TRIM($G2479)="","",IF(COUNTIF(LISTS!$I$2:$I$16,TRIM($G2479))&gt;0,"COUNTED",IF(COUNTIF(LISTS!$J$2:$J$16,TRIM($G2479))&gt;0,"LEFT OUT","NEW")))</f>
        <v/>
      </c>
    </row>
    <row r="2480" spans="47:47" x14ac:dyDescent="0.25">
      <c r="AU2480" s="8" t="str">
        <f>IF(TRIM($G2480)="","",IF(COUNTIF(LISTS!$I$2:$I$16,TRIM($G2480))&gt;0,"COUNTED",IF(COUNTIF(LISTS!$J$2:$J$16,TRIM($G2480))&gt;0,"LEFT OUT","NEW")))</f>
        <v/>
      </c>
    </row>
    <row r="2481" spans="47:47" x14ac:dyDescent="0.25">
      <c r="AU2481" s="8" t="str">
        <f>IF(TRIM($G2481)="","",IF(COUNTIF(LISTS!$I$2:$I$16,TRIM($G2481))&gt;0,"COUNTED",IF(COUNTIF(LISTS!$J$2:$J$16,TRIM($G2481))&gt;0,"LEFT OUT","NEW")))</f>
        <v/>
      </c>
    </row>
    <row r="2482" spans="47:47" x14ac:dyDescent="0.25">
      <c r="AU2482" s="8" t="str">
        <f>IF(TRIM($G2482)="","",IF(COUNTIF(LISTS!$I$2:$I$16,TRIM($G2482))&gt;0,"COUNTED",IF(COUNTIF(LISTS!$J$2:$J$16,TRIM($G2482))&gt;0,"LEFT OUT","NEW")))</f>
        <v/>
      </c>
    </row>
    <row r="2483" spans="47:47" x14ac:dyDescent="0.25">
      <c r="AU2483" s="8" t="str">
        <f>IF(TRIM($G2483)="","",IF(COUNTIF(LISTS!$I$2:$I$16,TRIM($G2483))&gt;0,"COUNTED",IF(COUNTIF(LISTS!$J$2:$J$16,TRIM($G2483))&gt;0,"LEFT OUT","NEW")))</f>
        <v/>
      </c>
    </row>
    <row r="2484" spans="47:47" x14ac:dyDescent="0.25">
      <c r="AU2484" s="8" t="str">
        <f>IF(TRIM($G2484)="","",IF(COUNTIF(LISTS!$I$2:$I$16,TRIM($G2484))&gt;0,"COUNTED",IF(COUNTIF(LISTS!$J$2:$J$16,TRIM($G2484))&gt;0,"LEFT OUT","NEW")))</f>
        <v/>
      </c>
    </row>
    <row r="2485" spans="47:47" x14ac:dyDescent="0.25">
      <c r="AU2485" s="8" t="str">
        <f>IF(TRIM($G2485)="","",IF(COUNTIF(LISTS!$I$2:$I$16,TRIM($G2485))&gt;0,"COUNTED",IF(COUNTIF(LISTS!$J$2:$J$16,TRIM($G2485))&gt;0,"LEFT OUT","NEW")))</f>
        <v/>
      </c>
    </row>
    <row r="2486" spans="47:47" x14ac:dyDescent="0.25">
      <c r="AU2486" s="8" t="str">
        <f>IF(TRIM($G2486)="","",IF(COUNTIF(LISTS!$I$2:$I$16,TRIM($G2486))&gt;0,"COUNTED",IF(COUNTIF(LISTS!$J$2:$J$16,TRIM($G2486))&gt;0,"LEFT OUT","NEW")))</f>
        <v/>
      </c>
    </row>
    <row r="2487" spans="47:47" x14ac:dyDescent="0.25">
      <c r="AU2487" s="8" t="str">
        <f>IF(TRIM($G2487)="","",IF(COUNTIF(LISTS!$I$2:$I$16,TRIM($G2487))&gt;0,"COUNTED",IF(COUNTIF(LISTS!$J$2:$J$16,TRIM($G2487))&gt;0,"LEFT OUT","NEW")))</f>
        <v/>
      </c>
    </row>
    <row r="2488" spans="47:47" x14ac:dyDescent="0.25">
      <c r="AU2488" s="8" t="str">
        <f>IF(TRIM($G2488)="","",IF(COUNTIF(LISTS!$I$2:$I$16,TRIM($G2488))&gt;0,"COUNTED",IF(COUNTIF(LISTS!$J$2:$J$16,TRIM($G2488))&gt;0,"LEFT OUT","NEW")))</f>
        <v/>
      </c>
    </row>
    <row r="2489" spans="47:47" x14ac:dyDescent="0.25">
      <c r="AU2489" s="8" t="str">
        <f>IF(TRIM($G2489)="","",IF(COUNTIF(LISTS!$I$2:$I$16,TRIM($G2489))&gt;0,"COUNTED",IF(COUNTIF(LISTS!$J$2:$J$16,TRIM($G2489))&gt;0,"LEFT OUT","NEW")))</f>
        <v/>
      </c>
    </row>
    <row r="2490" spans="47:47" x14ac:dyDescent="0.25">
      <c r="AU2490" s="8" t="str">
        <f>IF(TRIM($G2490)="","",IF(COUNTIF(LISTS!$I$2:$I$16,TRIM($G2490))&gt;0,"COUNTED",IF(COUNTIF(LISTS!$J$2:$J$16,TRIM($G2490))&gt;0,"LEFT OUT","NEW")))</f>
        <v/>
      </c>
    </row>
    <row r="2491" spans="47:47" x14ac:dyDescent="0.25">
      <c r="AU2491" s="8" t="str">
        <f>IF(TRIM($G2491)="","",IF(COUNTIF(LISTS!$I$2:$I$16,TRIM($G2491))&gt;0,"COUNTED",IF(COUNTIF(LISTS!$J$2:$J$16,TRIM($G2491))&gt;0,"LEFT OUT","NEW")))</f>
        <v/>
      </c>
    </row>
    <row r="2492" spans="47:47" x14ac:dyDescent="0.25">
      <c r="AU2492" s="8" t="str">
        <f>IF(TRIM($G2492)="","",IF(COUNTIF(LISTS!$I$2:$I$16,TRIM($G2492))&gt;0,"COUNTED",IF(COUNTIF(LISTS!$J$2:$J$16,TRIM($G2492))&gt;0,"LEFT OUT","NEW")))</f>
        <v/>
      </c>
    </row>
    <row r="2493" spans="47:47" x14ac:dyDescent="0.25">
      <c r="AU2493" s="8" t="str">
        <f>IF(TRIM($G2493)="","",IF(COUNTIF(LISTS!$I$2:$I$16,TRIM($G2493))&gt;0,"COUNTED",IF(COUNTIF(LISTS!$J$2:$J$16,TRIM($G2493))&gt;0,"LEFT OUT","NEW")))</f>
        <v/>
      </c>
    </row>
    <row r="2494" spans="47:47" x14ac:dyDescent="0.25">
      <c r="AU2494" s="8" t="str">
        <f>IF(TRIM($G2494)="","",IF(COUNTIF(LISTS!$I$2:$I$16,TRIM($G2494))&gt;0,"COUNTED",IF(COUNTIF(LISTS!$J$2:$J$16,TRIM($G2494))&gt;0,"LEFT OUT","NEW")))</f>
        <v/>
      </c>
    </row>
    <row r="2495" spans="47:47" x14ac:dyDescent="0.25">
      <c r="AU2495" s="8" t="str">
        <f>IF(TRIM($G2495)="","",IF(COUNTIF(LISTS!$I$2:$I$16,TRIM($G2495))&gt;0,"COUNTED",IF(COUNTIF(LISTS!$J$2:$J$16,TRIM($G2495))&gt;0,"LEFT OUT","NEW")))</f>
        <v/>
      </c>
    </row>
    <row r="2496" spans="47:47" x14ac:dyDescent="0.25">
      <c r="AU2496" s="8" t="str">
        <f>IF(TRIM($G2496)="","",IF(COUNTIF(LISTS!$I$2:$I$16,TRIM($G2496))&gt;0,"COUNTED",IF(COUNTIF(LISTS!$J$2:$J$16,TRIM($G2496))&gt;0,"LEFT OUT","NEW")))</f>
        <v/>
      </c>
    </row>
    <row r="2497" spans="47:47" x14ac:dyDescent="0.25">
      <c r="AU2497" s="8" t="str">
        <f>IF(TRIM($G2497)="","",IF(COUNTIF(LISTS!$I$2:$I$16,TRIM($G2497))&gt;0,"COUNTED",IF(COUNTIF(LISTS!$J$2:$J$16,TRIM($G2497))&gt;0,"LEFT OUT","NEW")))</f>
        <v/>
      </c>
    </row>
    <row r="2498" spans="47:47" x14ac:dyDescent="0.25">
      <c r="AU2498" s="8" t="str">
        <f>IF(TRIM($G2498)="","",IF(COUNTIF(LISTS!$I$2:$I$16,TRIM($G2498))&gt;0,"COUNTED",IF(COUNTIF(LISTS!$J$2:$J$16,TRIM($G2498))&gt;0,"LEFT OUT","NEW")))</f>
        <v/>
      </c>
    </row>
    <row r="2499" spans="47:47" x14ac:dyDescent="0.25">
      <c r="AU2499" s="8" t="str">
        <f>IF(TRIM($G2499)="","",IF(COUNTIF(LISTS!$I$2:$I$16,TRIM($G2499))&gt;0,"COUNTED",IF(COUNTIF(LISTS!$J$2:$J$16,TRIM($G2499))&gt;0,"LEFT OUT","NEW")))</f>
        <v/>
      </c>
    </row>
    <row r="2500" spans="47:47" x14ac:dyDescent="0.25">
      <c r="AU2500" s="8" t="str">
        <f>IF(TRIM($G2500)="","",IF(COUNTIF(LISTS!$I$2:$I$16,TRIM($G2500))&gt;0,"COUNTED",IF(COUNTIF(LISTS!$J$2:$J$16,TRIM($G2500))&gt;0,"LEFT OUT","NEW")))</f>
        <v/>
      </c>
    </row>
    <row r="2501" spans="47:47" x14ac:dyDescent="0.25">
      <c r="AU2501" s="8" t="str">
        <f>IF(TRIM($G2501)="","",IF(COUNTIF(LISTS!$I$2:$I$16,TRIM($G2501))&gt;0,"COUNTED",IF(COUNTIF(LISTS!$J$2:$J$16,TRIM($G2501))&gt;0,"LEFT OUT","NEW")))</f>
        <v/>
      </c>
    </row>
    <row r="2502" spans="47:47" x14ac:dyDescent="0.25">
      <c r="AU2502" s="8" t="str">
        <f>IF(TRIM($G2502)="","",IF(COUNTIF(LISTS!$I$2:$I$16,TRIM($G2502))&gt;0,"COUNTED",IF(COUNTIF(LISTS!$J$2:$J$16,TRIM($G2502))&gt;0,"LEFT OUT","NEW")))</f>
        <v/>
      </c>
    </row>
    <row r="2503" spans="47:47" x14ac:dyDescent="0.25">
      <c r="AU2503" s="8" t="str">
        <f>IF(TRIM($G2503)="","",IF(COUNTIF(LISTS!$I$2:$I$16,TRIM($G2503))&gt;0,"COUNTED",IF(COUNTIF(LISTS!$J$2:$J$16,TRIM($G2503))&gt;0,"LEFT OUT","NEW")))</f>
        <v/>
      </c>
    </row>
    <row r="2504" spans="47:47" x14ac:dyDescent="0.25">
      <c r="AU2504" s="8" t="str">
        <f>IF(TRIM($G2504)="","",IF(COUNTIF(LISTS!$I$2:$I$16,TRIM($G2504))&gt;0,"COUNTED",IF(COUNTIF(LISTS!$J$2:$J$16,TRIM($G2504))&gt;0,"LEFT OUT","NEW")))</f>
        <v/>
      </c>
    </row>
    <row r="2505" spans="47:47" x14ac:dyDescent="0.25">
      <c r="AU2505" s="8" t="str">
        <f>IF(TRIM($G2505)="","",IF(COUNTIF(LISTS!$I$2:$I$16,TRIM($G2505))&gt;0,"COUNTED",IF(COUNTIF(LISTS!$J$2:$J$16,TRIM($G2505))&gt;0,"LEFT OUT","NEW")))</f>
        <v/>
      </c>
    </row>
    <row r="2506" spans="47:47" x14ac:dyDescent="0.25">
      <c r="AU2506" s="8" t="str">
        <f>IF(TRIM($G2506)="","",IF(COUNTIF(LISTS!$I$2:$I$16,TRIM($G2506))&gt;0,"COUNTED",IF(COUNTIF(LISTS!$J$2:$J$16,TRIM($G2506))&gt;0,"LEFT OUT","NEW")))</f>
        <v/>
      </c>
    </row>
    <row r="2507" spans="47:47" x14ac:dyDescent="0.25">
      <c r="AU2507" s="8" t="str">
        <f>IF(TRIM($G2507)="","",IF(COUNTIF(LISTS!$I$2:$I$16,TRIM($G2507))&gt;0,"COUNTED",IF(COUNTIF(LISTS!$J$2:$J$16,TRIM($G2507))&gt;0,"LEFT OUT","NEW")))</f>
        <v/>
      </c>
    </row>
    <row r="2508" spans="47:47" x14ac:dyDescent="0.25">
      <c r="AU2508" s="8" t="str">
        <f>IF(TRIM($G2508)="","",IF(COUNTIF(LISTS!$I$2:$I$16,TRIM($G2508))&gt;0,"COUNTED",IF(COUNTIF(LISTS!$J$2:$J$16,TRIM($G2508))&gt;0,"LEFT OUT","NEW")))</f>
        <v/>
      </c>
    </row>
    <row r="2509" spans="47:47" x14ac:dyDescent="0.25">
      <c r="AU2509" s="8" t="str">
        <f>IF(TRIM($G2509)="","",IF(COUNTIF(LISTS!$I$2:$I$16,TRIM($G2509))&gt;0,"COUNTED",IF(COUNTIF(LISTS!$J$2:$J$16,TRIM($G2509))&gt;0,"LEFT OUT","NEW")))</f>
        <v/>
      </c>
    </row>
    <row r="2510" spans="47:47" x14ac:dyDescent="0.25">
      <c r="AU2510" s="8" t="str">
        <f>IF(TRIM($G2510)="","",IF(COUNTIF(LISTS!$I$2:$I$16,TRIM($G2510))&gt;0,"COUNTED",IF(COUNTIF(LISTS!$J$2:$J$16,TRIM($G2510))&gt;0,"LEFT OUT","NEW")))</f>
        <v/>
      </c>
    </row>
    <row r="2511" spans="47:47" x14ac:dyDescent="0.25">
      <c r="AU2511" s="8" t="str">
        <f>IF(TRIM($G2511)="","",IF(COUNTIF(LISTS!$I$2:$I$16,TRIM($G2511))&gt;0,"COUNTED",IF(COUNTIF(LISTS!$J$2:$J$16,TRIM($G2511))&gt;0,"LEFT OUT","NEW")))</f>
        <v/>
      </c>
    </row>
    <row r="2512" spans="47:47" x14ac:dyDescent="0.25">
      <c r="AU2512" s="8" t="str">
        <f>IF(TRIM($G2512)="","",IF(COUNTIF(LISTS!$I$2:$I$16,TRIM($G2512))&gt;0,"COUNTED",IF(COUNTIF(LISTS!$J$2:$J$16,TRIM($G2512))&gt;0,"LEFT OUT","NEW")))</f>
        <v/>
      </c>
    </row>
    <row r="2513" spans="47:47" x14ac:dyDescent="0.25">
      <c r="AU2513" s="8" t="str">
        <f>IF(TRIM($G2513)="","",IF(COUNTIF(LISTS!$I$2:$I$16,TRIM($G2513))&gt;0,"COUNTED",IF(COUNTIF(LISTS!$J$2:$J$16,TRIM($G2513))&gt;0,"LEFT OUT","NEW")))</f>
        <v/>
      </c>
    </row>
    <row r="2514" spans="47:47" x14ac:dyDescent="0.25">
      <c r="AU2514" s="8" t="str">
        <f>IF(TRIM($G2514)="","",IF(COUNTIF(LISTS!$I$2:$I$16,TRIM($G2514))&gt;0,"COUNTED",IF(COUNTIF(LISTS!$J$2:$J$16,TRIM($G2514))&gt;0,"LEFT OUT","NEW")))</f>
        <v/>
      </c>
    </row>
    <row r="2515" spans="47:47" x14ac:dyDescent="0.25">
      <c r="AU2515" s="8" t="str">
        <f>IF(TRIM($G2515)="","",IF(COUNTIF(LISTS!$I$2:$I$16,TRIM($G2515))&gt;0,"COUNTED",IF(COUNTIF(LISTS!$J$2:$J$16,TRIM($G2515))&gt;0,"LEFT OUT","NEW")))</f>
        <v/>
      </c>
    </row>
    <row r="2516" spans="47:47" x14ac:dyDescent="0.25">
      <c r="AU2516" s="8" t="str">
        <f>IF(TRIM($G2516)="","",IF(COUNTIF(LISTS!$I$2:$I$16,TRIM($G2516))&gt;0,"COUNTED",IF(COUNTIF(LISTS!$J$2:$J$16,TRIM($G2516))&gt;0,"LEFT OUT","NEW")))</f>
        <v/>
      </c>
    </row>
    <row r="2517" spans="47:47" x14ac:dyDescent="0.25">
      <c r="AU2517" s="8" t="str">
        <f>IF(TRIM($G2517)="","",IF(COUNTIF(LISTS!$I$2:$I$16,TRIM($G2517))&gt;0,"COUNTED",IF(COUNTIF(LISTS!$J$2:$J$16,TRIM($G2517))&gt;0,"LEFT OUT","NEW")))</f>
        <v/>
      </c>
    </row>
    <row r="2518" spans="47:47" x14ac:dyDescent="0.25">
      <c r="AU2518" s="8" t="str">
        <f>IF(TRIM($G2518)="","",IF(COUNTIF(LISTS!$I$2:$I$16,TRIM($G2518))&gt;0,"COUNTED",IF(COUNTIF(LISTS!$J$2:$J$16,TRIM($G2518))&gt;0,"LEFT OUT","NEW")))</f>
        <v/>
      </c>
    </row>
    <row r="2519" spans="47:47" x14ac:dyDescent="0.25">
      <c r="AU2519" s="8" t="str">
        <f>IF(TRIM($G2519)="","",IF(COUNTIF(LISTS!$I$2:$I$16,TRIM($G2519))&gt;0,"COUNTED",IF(COUNTIF(LISTS!$J$2:$J$16,TRIM($G2519))&gt;0,"LEFT OUT","NEW")))</f>
        <v/>
      </c>
    </row>
    <row r="2520" spans="47:47" x14ac:dyDescent="0.25">
      <c r="AU2520" s="8" t="str">
        <f>IF(TRIM($G2520)="","",IF(COUNTIF(LISTS!$I$2:$I$16,TRIM($G2520))&gt;0,"COUNTED",IF(COUNTIF(LISTS!$J$2:$J$16,TRIM($G2520))&gt;0,"LEFT OUT","NEW")))</f>
        <v/>
      </c>
    </row>
    <row r="2521" spans="47:47" x14ac:dyDescent="0.25">
      <c r="AU2521" s="8" t="str">
        <f>IF(TRIM($G2521)="","",IF(COUNTIF(LISTS!$I$2:$I$16,TRIM($G2521))&gt;0,"COUNTED",IF(COUNTIF(LISTS!$J$2:$J$16,TRIM($G2521))&gt;0,"LEFT OUT","NEW")))</f>
        <v/>
      </c>
    </row>
    <row r="2522" spans="47:47" x14ac:dyDescent="0.25">
      <c r="AU2522" s="8" t="str">
        <f>IF(TRIM($G2522)="","",IF(COUNTIF(LISTS!$I$2:$I$16,TRIM($G2522))&gt;0,"COUNTED",IF(COUNTIF(LISTS!$J$2:$J$16,TRIM($G2522))&gt;0,"LEFT OUT","NEW")))</f>
        <v/>
      </c>
    </row>
    <row r="2523" spans="47:47" x14ac:dyDescent="0.25">
      <c r="AU2523" s="8" t="str">
        <f>IF(TRIM($G2523)="","",IF(COUNTIF(LISTS!$I$2:$I$16,TRIM($G2523))&gt;0,"COUNTED",IF(COUNTIF(LISTS!$J$2:$J$16,TRIM($G2523))&gt;0,"LEFT OUT","NEW")))</f>
        <v/>
      </c>
    </row>
    <row r="2524" spans="47:47" x14ac:dyDescent="0.25">
      <c r="AU2524" s="8" t="str">
        <f>IF(TRIM($G2524)="","",IF(COUNTIF(LISTS!$I$2:$I$16,TRIM($G2524))&gt;0,"COUNTED",IF(COUNTIF(LISTS!$J$2:$J$16,TRIM($G2524))&gt;0,"LEFT OUT","NEW")))</f>
        <v/>
      </c>
    </row>
    <row r="2525" spans="47:47" x14ac:dyDescent="0.25">
      <c r="AU2525" s="8" t="str">
        <f>IF(TRIM($G2525)="","",IF(COUNTIF(LISTS!$I$2:$I$16,TRIM($G2525))&gt;0,"COUNTED",IF(COUNTIF(LISTS!$J$2:$J$16,TRIM($G2525))&gt;0,"LEFT OUT","NEW")))</f>
        <v/>
      </c>
    </row>
    <row r="2526" spans="47:47" x14ac:dyDescent="0.25">
      <c r="AU2526" s="8" t="str">
        <f>IF(TRIM($G2526)="","",IF(COUNTIF(LISTS!$I$2:$I$16,TRIM($G2526))&gt;0,"COUNTED",IF(COUNTIF(LISTS!$J$2:$J$16,TRIM($G2526))&gt;0,"LEFT OUT","NEW")))</f>
        <v/>
      </c>
    </row>
    <row r="2527" spans="47:47" x14ac:dyDescent="0.25">
      <c r="AU2527" s="8" t="str">
        <f>IF(TRIM($G2527)="","",IF(COUNTIF(LISTS!$I$2:$I$16,TRIM($G2527))&gt;0,"COUNTED",IF(COUNTIF(LISTS!$J$2:$J$16,TRIM($G2527))&gt;0,"LEFT OUT","NEW")))</f>
        <v/>
      </c>
    </row>
    <row r="2528" spans="47:47" x14ac:dyDescent="0.25">
      <c r="AU2528" s="8" t="str">
        <f>IF(TRIM($G2528)="","",IF(COUNTIF(LISTS!$I$2:$I$16,TRIM($G2528))&gt;0,"COUNTED",IF(COUNTIF(LISTS!$J$2:$J$16,TRIM($G2528))&gt;0,"LEFT OUT","NEW")))</f>
        <v/>
      </c>
    </row>
    <row r="2529" spans="47:47" x14ac:dyDescent="0.25">
      <c r="AU2529" s="8" t="str">
        <f>IF(TRIM($G2529)="","",IF(COUNTIF(LISTS!$I$2:$I$16,TRIM($G2529))&gt;0,"COUNTED",IF(COUNTIF(LISTS!$J$2:$J$16,TRIM($G2529))&gt;0,"LEFT OUT","NEW")))</f>
        <v/>
      </c>
    </row>
    <row r="2530" spans="47:47" x14ac:dyDescent="0.25">
      <c r="AU2530" s="8" t="str">
        <f>IF(TRIM($G2530)="","",IF(COUNTIF(LISTS!$I$2:$I$16,TRIM($G2530))&gt;0,"COUNTED",IF(COUNTIF(LISTS!$J$2:$J$16,TRIM($G2530))&gt;0,"LEFT OUT","NEW")))</f>
        <v/>
      </c>
    </row>
    <row r="2531" spans="47:47" x14ac:dyDescent="0.25">
      <c r="AU2531" s="8" t="str">
        <f>IF(TRIM($G2531)="","",IF(COUNTIF(LISTS!$I$2:$I$16,TRIM($G2531))&gt;0,"COUNTED",IF(COUNTIF(LISTS!$J$2:$J$16,TRIM($G2531))&gt;0,"LEFT OUT","NEW")))</f>
        <v/>
      </c>
    </row>
    <row r="2532" spans="47:47" x14ac:dyDescent="0.25">
      <c r="AU2532" s="8" t="str">
        <f>IF(TRIM($G2532)="","",IF(COUNTIF(LISTS!$I$2:$I$16,TRIM($G2532))&gt;0,"COUNTED",IF(COUNTIF(LISTS!$J$2:$J$16,TRIM($G2532))&gt;0,"LEFT OUT","NEW")))</f>
        <v/>
      </c>
    </row>
    <row r="2533" spans="47:47" x14ac:dyDescent="0.25">
      <c r="AU2533" s="8" t="str">
        <f>IF(TRIM($G2533)="","",IF(COUNTIF(LISTS!$I$2:$I$16,TRIM($G2533))&gt;0,"COUNTED",IF(COUNTIF(LISTS!$J$2:$J$16,TRIM($G2533))&gt;0,"LEFT OUT","NEW")))</f>
        <v/>
      </c>
    </row>
    <row r="2534" spans="47:47" x14ac:dyDescent="0.25">
      <c r="AU2534" s="8" t="str">
        <f>IF(TRIM($G2534)="","",IF(COUNTIF(LISTS!$I$2:$I$16,TRIM($G2534))&gt;0,"COUNTED",IF(COUNTIF(LISTS!$J$2:$J$16,TRIM($G2534))&gt;0,"LEFT OUT","NEW")))</f>
        <v/>
      </c>
    </row>
    <row r="2535" spans="47:47" x14ac:dyDescent="0.25">
      <c r="AU2535" s="8" t="str">
        <f>IF(TRIM($G2535)="","",IF(COUNTIF(LISTS!$I$2:$I$16,TRIM($G2535))&gt;0,"COUNTED",IF(COUNTIF(LISTS!$J$2:$J$16,TRIM($G2535))&gt;0,"LEFT OUT","NEW")))</f>
        <v/>
      </c>
    </row>
    <row r="2536" spans="47:47" x14ac:dyDescent="0.25">
      <c r="AU2536" s="8" t="str">
        <f>IF(TRIM($G2536)="","",IF(COUNTIF(LISTS!$I$2:$I$16,TRIM($G2536))&gt;0,"COUNTED",IF(COUNTIF(LISTS!$J$2:$J$16,TRIM($G2536))&gt;0,"LEFT OUT","NEW")))</f>
        <v/>
      </c>
    </row>
    <row r="2537" spans="47:47" x14ac:dyDescent="0.25">
      <c r="AU2537" s="8" t="str">
        <f>IF(TRIM($G2537)="","",IF(COUNTIF(LISTS!$I$2:$I$16,TRIM($G2537))&gt;0,"COUNTED",IF(COUNTIF(LISTS!$J$2:$J$16,TRIM($G2537))&gt;0,"LEFT OUT","NEW")))</f>
        <v/>
      </c>
    </row>
    <row r="2538" spans="47:47" x14ac:dyDescent="0.25">
      <c r="AU2538" s="8" t="str">
        <f>IF(TRIM($G2538)="","",IF(COUNTIF(LISTS!$I$2:$I$16,TRIM($G2538))&gt;0,"COUNTED",IF(COUNTIF(LISTS!$J$2:$J$16,TRIM($G2538))&gt;0,"LEFT OUT","NEW")))</f>
        <v/>
      </c>
    </row>
    <row r="2539" spans="47:47" x14ac:dyDescent="0.25">
      <c r="AU2539" s="8" t="str">
        <f>IF(TRIM($G2539)="","",IF(COUNTIF(LISTS!$I$2:$I$16,TRIM($G2539))&gt;0,"COUNTED",IF(COUNTIF(LISTS!$J$2:$J$16,TRIM($G2539))&gt;0,"LEFT OUT","NEW")))</f>
        <v/>
      </c>
    </row>
    <row r="2540" spans="47:47" x14ac:dyDescent="0.25">
      <c r="AU2540" s="8" t="str">
        <f>IF(TRIM($G2540)="","",IF(COUNTIF(LISTS!$I$2:$I$16,TRIM($G2540))&gt;0,"COUNTED",IF(COUNTIF(LISTS!$J$2:$J$16,TRIM($G2540))&gt;0,"LEFT OUT","NEW")))</f>
        <v/>
      </c>
    </row>
    <row r="2541" spans="47:47" x14ac:dyDescent="0.25">
      <c r="AU2541" s="8" t="str">
        <f>IF(TRIM($G2541)="","",IF(COUNTIF(LISTS!$I$2:$I$16,TRIM($G2541))&gt;0,"COUNTED",IF(COUNTIF(LISTS!$J$2:$J$16,TRIM($G2541))&gt;0,"LEFT OUT","NEW")))</f>
        <v/>
      </c>
    </row>
    <row r="2542" spans="47:47" x14ac:dyDescent="0.25">
      <c r="AU2542" s="8" t="str">
        <f>IF(TRIM($G2542)="","",IF(COUNTIF(LISTS!$I$2:$I$16,TRIM($G2542))&gt;0,"COUNTED",IF(COUNTIF(LISTS!$J$2:$J$16,TRIM($G2542))&gt;0,"LEFT OUT","NEW")))</f>
        <v/>
      </c>
    </row>
    <row r="2543" spans="47:47" x14ac:dyDescent="0.25">
      <c r="AU2543" s="8" t="str">
        <f>IF(TRIM($G2543)="","",IF(COUNTIF(LISTS!$I$2:$I$16,TRIM($G2543))&gt;0,"COUNTED",IF(COUNTIF(LISTS!$J$2:$J$16,TRIM($G2543))&gt;0,"LEFT OUT","NEW")))</f>
        <v/>
      </c>
    </row>
    <row r="2544" spans="47:47" x14ac:dyDescent="0.25">
      <c r="AU2544" s="8" t="str">
        <f>IF(TRIM($G2544)="","",IF(COUNTIF(LISTS!$I$2:$I$16,TRIM($G2544))&gt;0,"COUNTED",IF(COUNTIF(LISTS!$J$2:$J$16,TRIM($G2544))&gt;0,"LEFT OUT","NEW")))</f>
        <v/>
      </c>
    </row>
    <row r="2545" spans="47:47" x14ac:dyDescent="0.25">
      <c r="AU2545" s="8" t="str">
        <f>IF(TRIM($G2545)="","",IF(COUNTIF(LISTS!$I$2:$I$16,TRIM($G2545))&gt;0,"COUNTED",IF(COUNTIF(LISTS!$J$2:$J$16,TRIM($G2545))&gt;0,"LEFT OUT","NEW")))</f>
        <v/>
      </c>
    </row>
    <row r="2546" spans="47:47" x14ac:dyDescent="0.25">
      <c r="AU2546" s="8" t="str">
        <f>IF(TRIM($G2546)="","",IF(COUNTIF(LISTS!$I$2:$I$16,TRIM($G2546))&gt;0,"COUNTED",IF(COUNTIF(LISTS!$J$2:$J$16,TRIM($G2546))&gt;0,"LEFT OUT","NEW")))</f>
        <v/>
      </c>
    </row>
    <row r="2547" spans="47:47" x14ac:dyDescent="0.25">
      <c r="AU2547" s="8" t="str">
        <f>IF(TRIM($G2547)="","",IF(COUNTIF(LISTS!$I$2:$I$16,TRIM($G2547))&gt;0,"COUNTED",IF(COUNTIF(LISTS!$J$2:$J$16,TRIM($G2547))&gt;0,"LEFT OUT","NEW")))</f>
        <v/>
      </c>
    </row>
    <row r="2548" spans="47:47" x14ac:dyDescent="0.25">
      <c r="AU2548" s="8" t="str">
        <f>IF(TRIM($G2548)="","",IF(COUNTIF(LISTS!$I$2:$I$16,TRIM($G2548))&gt;0,"COUNTED",IF(COUNTIF(LISTS!$J$2:$J$16,TRIM($G2548))&gt;0,"LEFT OUT","NEW")))</f>
        <v/>
      </c>
    </row>
    <row r="2549" spans="47:47" x14ac:dyDescent="0.25">
      <c r="AU2549" s="8" t="str">
        <f>IF(TRIM($G2549)="","",IF(COUNTIF(LISTS!$I$2:$I$16,TRIM($G2549))&gt;0,"COUNTED",IF(COUNTIF(LISTS!$J$2:$J$16,TRIM($G2549))&gt;0,"LEFT OUT","NEW")))</f>
        <v/>
      </c>
    </row>
    <row r="2550" spans="47:47" x14ac:dyDescent="0.25">
      <c r="AU2550" s="8" t="str">
        <f>IF(TRIM($G2550)="","",IF(COUNTIF(LISTS!$I$2:$I$16,TRIM($G2550))&gt;0,"COUNTED",IF(COUNTIF(LISTS!$J$2:$J$16,TRIM($G2550))&gt;0,"LEFT OUT","NEW")))</f>
        <v/>
      </c>
    </row>
    <row r="2551" spans="47:47" x14ac:dyDescent="0.25">
      <c r="AU2551" s="8" t="str">
        <f>IF(TRIM($G2551)="","",IF(COUNTIF(LISTS!$I$2:$I$16,TRIM($G2551))&gt;0,"COUNTED",IF(COUNTIF(LISTS!$J$2:$J$16,TRIM($G2551))&gt;0,"LEFT OUT","NEW")))</f>
        <v/>
      </c>
    </row>
    <row r="2552" spans="47:47" x14ac:dyDescent="0.25">
      <c r="AU2552" s="8" t="str">
        <f>IF(TRIM($G2552)="","",IF(COUNTIF(LISTS!$I$2:$I$16,TRIM($G2552))&gt;0,"COUNTED",IF(COUNTIF(LISTS!$J$2:$J$16,TRIM($G2552))&gt;0,"LEFT OUT","NEW")))</f>
        <v/>
      </c>
    </row>
    <row r="2553" spans="47:47" x14ac:dyDescent="0.25">
      <c r="AU2553" s="8" t="str">
        <f>IF(TRIM($G2553)="","",IF(COUNTIF(LISTS!$I$2:$I$16,TRIM($G2553))&gt;0,"COUNTED",IF(COUNTIF(LISTS!$J$2:$J$16,TRIM($G2553))&gt;0,"LEFT OUT","NEW")))</f>
        <v/>
      </c>
    </row>
    <row r="2554" spans="47:47" x14ac:dyDescent="0.25">
      <c r="AU2554" s="8" t="str">
        <f>IF(TRIM($G2554)="","",IF(COUNTIF(LISTS!$I$2:$I$16,TRIM($G2554))&gt;0,"COUNTED",IF(COUNTIF(LISTS!$J$2:$J$16,TRIM($G2554))&gt;0,"LEFT OUT","NEW")))</f>
        <v/>
      </c>
    </row>
    <row r="2555" spans="47:47" x14ac:dyDescent="0.25">
      <c r="AU2555" s="8" t="str">
        <f>IF(TRIM($G2555)="","",IF(COUNTIF(LISTS!$I$2:$I$16,TRIM($G2555))&gt;0,"COUNTED",IF(COUNTIF(LISTS!$J$2:$J$16,TRIM($G2555))&gt;0,"LEFT OUT","NEW")))</f>
        <v/>
      </c>
    </row>
    <row r="2556" spans="47:47" x14ac:dyDescent="0.25">
      <c r="AU2556" s="8" t="str">
        <f>IF(TRIM($G2556)="","",IF(COUNTIF(LISTS!$I$2:$I$16,TRIM($G2556))&gt;0,"COUNTED",IF(COUNTIF(LISTS!$J$2:$J$16,TRIM($G2556))&gt;0,"LEFT OUT","NEW")))</f>
        <v/>
      </c>
    </row>
    <row r="2557" spans="47:47" x14ac:dyDescent="0.25">
      <c r="AU2557" s="8" t="str">
        <f>IF(TRIM($G2557)="","",IF(COUNTIF(LISTS!$I$2:$I$16,TRIM($G2557))&gt;0,"COUNTED",IF(COUNTIF(LISTS!$J$2:$J$16,TRIM($G2557))&gt;0,"LEFT OUT","NEW")))</f>
        <v/>
      </c>
    </row>
    <row r="2558" spans="47:47" x14ac:dyDescent="0.25">
      <c r="AU2558" s="8" t="str">
        <f>IF(TRIM($G2558)="","",IF(COUNTIF(LISTS!$I$2:$I$16,TRIM($G2558))&gt;0,"COUNTED",IF(COUNTIF(LISTS!$J$2:$J$16,TRIM($G2558))&gt;0,"LEFT OUT","NEW")))</f>
        <v/>
      </c>
    </row>
    <row r="2559" spans="47:47" x14ac:dyDescent="0.25">
      <c r="AU2559" s="8" t="str">
        <f>IF(TRIM($G2559)="","",IF(COUNTIF(LISTS!$I$2:$I$16,TRIM($G2559))&gt;0,"COUNTED",IF(COUNTIF(LISTS!$J$2:$J$16,TRIM($G2559))&gt;0,"LEFT OUT","NEW")))</f>
        <v/>
      </c>
    </row>
    <row r="2560" spans="47:47" x14ac:dyDescent="0.25">
      <c r="AU2560" s="8" t="str">
        <f>IF(TRIM($G2560)="","",IF(COUNTIF(LISTS!$I$2:$I$16,TRIM($G2560))&gt;0,"COUNTED",IF(COUNTIF(LISTS!$J$2:$J$16,TRIM($G2560))&gt;0,"LEFT OUT","NEW")))</f>
        <v/>
      </c>
    </row>
    <row r="2561" spans="47:47" x14ac:dyDescent="0.25">
      <c r="AU2561" s="8" t="str">
        <f>IF(TRIM($G2561)="","",IF(COUNTIF(LISTS!$I$2:$I$16,TRIM($G2561))&gt;0,"COUNTED",IF(COUNTIF(LISTS!$J$2:$J$16,TRIM($G2561))&gt;0,"LEFT OUT","NEW")))</f>
        <v/>
      </c>
    </row>
    <row r="2562" spans="47:47" x14ac:dyDescent="0.25">
      <c r="AU2562" s="8" t="str">
        <f>IF(TRIM($G2562)="","",IF(COUNTIF(LISTS!$I$2:$I$16,TRIM($G2562))&gt;0,"COUNTED",IF(COUNTIF(LISTS!$J$2:$J$16,TRIM($G2562))&gt;0,"LEFT OUT","NEW")))</f>
        <v/>
      </c>
    </row>
    <row r="2563" spans="47:47" x14ac:dyDescent="0.25">
      <c r="AU2563" s="8" t="str">
        <f>IF(TRIM($G2563)="","",IF(COUNTIF(LISTS!$I$2:$I$16,TRIM($G2563))&gt;0,"COUNTED",IF(COUNTIF(LISTS!$J$2:$J$16,TRIM($G2563))&gt;0,"LEFT OUT","NEW")))</f>
        <v/>
      </c>
    </row>
    <row r="2564" spans="47:47" x14ac:dyDescent="0.25">
      <c r="AU2564" s="8" t="str">
        <f>IF(TRIM($G2564)="","",IF(COUNTIF(LISTS!$I$2:$I$16,TRIM($G2564))&gt;0,"COUNTED",IF(COUNTIF(LISTS!$J$2:$J$16,TRIM($G2564))&gt;0,"LEFT OUT","NEW")))</f>
        <v/>
      </c>
    </row>
    <row r="2565" spans="47:47" x14ac:dyDescent="0.25">
      <c r="AU2565" s="8" t="str">
        <f>IF(TRIM($G2565)="","",IF(COUNTIF(LISTS!$I$2:$I$16,TRIM($G2565))&gt;0,"COUNTED",IF(COUNTIF(LISTS!$J$2:$J$16,TRIM($G2565))&gt;0,"LEFT OUT","NEW")))</f>
        <v/>
      </c>
    </row>
    <row r="2566" spans="47:47" x14ac:dyDescent="0.25">
      <c r="AU2566" s="8" t="str">
        <f>IF(TRIM($G2566)="","",IF(COUNTIF(LISTS!$I$2:$I$16,TRIM($G2566))&gt;0,"COUNTED",IF(COUNTIF(LISTS!$J$2:$J$16,TRIM($G2566))&gt;0,"LEFT OUT","NEW")))</f>
        <v/>
      </c>
    </row>
    <row r="2567" spans="47:47" x14ac:dyDescent="0.25">
      <c r="AU2567" s="8" t="str">
        <f>IF(TRIM($G2567)="","",IF(COUNTIF(LISTS!$I$2:$I$16,TRIM($G2567))&gt;0,"COUNTED",IF(COUNTIF(LISTS!$J$2:$J$16,TRIM($G2567))&gt;0,"LEFT OUT","NEW")))</f>
        <v/>
      </c>
    </row>
    <row r="2568" spans="47:47" x14ac:dyDescent="0.25">
      <c r="AU2568" s="8" t="str">
        <f>IF(TRIM($G2568)="","",IF(COUNTIF(LISTS!$I$2:$I$16,TRIM($G2568))&gt;0,"COUNTED",IF(COUNTIF(LISTS!$J$2:$J$16,TRIM($G2568))&gt;0,"LEFT OUT","NEW")))</f>
        <v/>
      </c>
    </row>
    <row r="2569" spans="47:47" x14ac:dyDescent="0.25">
      <c r="AU2569" s="8" t="str">
        <f>IF(TRIM($G2569)="","",IF(COUNTIF(LISTS!$I$2:$I$16,TRIM($G2569))&gt;0,"COUNTED",IF(COUNTIF(LISTS!$J$2:$J$16,TRIM($G2569))&gt;0,"LEFT OUT","NEW")))</f>
        <v/>
      </c>
    </row>
    <row r="2570" spans="47:47" x14ac:dyDescent="0.25">
      <c r="AU2570" s="8" t="str">
        <f>IF(TRIM($G2570)="","",IF(COUNTIF(LISTS!$I$2:$I$16,TRIM($G2570))&gt;0,"COUNTED",IF(COUNTIF(LISTS!$J$2:$J$16,TRIM($G2570))&gt;0,"LEFT OUT","NEW")))</f>
        <v/>
      </c>
    </row>
    <row r="2571" spans="47:47" x14ac:dyDescent="0.25">
      <c r="AU2571" s="8" t="str">
        <f>IF(TRIM($G2571)="","",IF(COUNTIF(LISTS!$I$2:$I$16,TRIM($G2571))&gt;0,"COUNTED",IF(COUNTIF(LISTS!$J$2:$J$16,TRIM($G2571))&gt;0,"LEFT OUT","NEW")))</f>
        <v/>
      </c>
    </row>
    <row r="2572" spans="47:47" x14ac:dyDescent="0.25">
      <c r="AU2572" s="8" t="str">
        <f>IF(TRIM($G2572)="","",IF(COUNTIF(LISTS!$I$2:$I$16,TRIM($G2572))&gt;0,"COUNTED",IF(COUNTIF(LISTS!$J$2:$J$16,TRIM($G2572))&gt;0,"LEFT OUT","NEW")))</f>
        <v/>
      </c>
    </row>
    <row r="2573" spans="47:47" x14ac:dyDescent="0.25">
      <c r="AU2573" s="8" t="str">
        <f>IF(TRIM($G2573)="","",IF(COUNTIF(LISTS!$I$2:$I$16,TRIM($G2573))&gt;0,"COUNTED",IF(COUNTIF(LISTS!$J$2:$J$16,TRIM($G2573))&gt;0,"LEFT OUT","NEW")))</f>
        <v/>
      </c>
    </row>
    <row r="2574" spans="47:47" x14ac:dyDescent="0.25">
      <c r="AU2574" s="8" t="str">
        <f>IF(TRIM($G2574)="","",IF(COUNTIF(LISTS!$I$2:$I$16,TRIM($G2574))&gt;0,"COUNTED",IF(COUNTIF(LISTS!$J$2:$J$16,TRIM($G2574))&gt;0,"LEFT OUT","NEW")))</f>
        <v/>
      </c>
    </row>
    <row r="2575" spans="47:47" x14ac:dyDescent="0.25">
      <c r="AU2575" s="8" t="str">
        <f>IF(TRIM($G2575)="","",IF(COUNTIF(LISTS!$I$2:$I$16,TRIM($G2575))&gt;0,"COUNTED",IF(COUNTIF(LISTS!$J$2:$J$16,TRIM($G2575))&gt;0,"LEFT OUT","NEW")))</f>
        <v/>
      </c>
    </row>
    <row r="2576" spans="47:47" x14ac:dyDescent="0.25">
      <c r="AU2576" s="8" t="str">
        <f>IF(TRIM($G2576)="","",IF(COUNTIF(LISTS!$I$2:$I$16,TRIM($G2576))&gt;0,"COUNTED",IF(COUNTIF(LISTS!$J$2:$J$16,TRIM($G2576))&gt;0,"LEFT OUT","NEW")))</f>
        <v/>
      </c>
    </row>
    <row r="2577" spans="47:47" x14ac:dyDescent="0.25">
      <c r="AU2577" s="8" t="str">
        <f>IF(TRIM($G2577)="","",IF(COUNTIF(LISTS!$I$2:$I$16,TRIM($G2577))&gt;0,"COUNTED",IF(COUNTIF(LISTS!$J$2:$J$16,TRIM($G2577))&gt;0,"LEFT OUT","NEW")))</f>
        <v/>
      </c>
    </row>
    <row r="2578" spans="47:47" x14ac:dyDescent="0.25">
      <c r="AU2578" s="8" t="str">
        <f>IF(TRIM($G2578)="","",IF(COUNTIF(LISTS!$I$2:$I$16,TRIM($G2578))&gt;0,"COUNTED",IF(COUNTIF(LISTS!$J$2:$J$16,TRIM($G2578))&gt;0,"LEFT OUT","NEW")))</f>
        <v/>
      </c>
    </row>
    <row r="2579" spans="47:47" x14ac:dyDescent="0.25">
      <c r="AU2579" s="8" t="str">
        <f>IF(TRIM($G2579)="","",IF(COUNTIF(LISTS!$I$2:$I$16,TRIM($G2579))&gt;0,"COUNTED",IF(COUNTIF(LISTS!$J$2:$J$16,TRIM($G2579))&gt;0,"LEFT OUT","NEW")))</f>
        <v/>
      </c>
    </row>
    <row r="2580" spans="47:47" x14ac:dyDescent="0.25">
      <c r="AU2580" s="8" t="str">
        <f>IF(TRIM($G2580)="","",IF(COUNTIF(LISTS!$I$2:$I$16,TRIM($G2580))&gt;0,"COUNTED",IF(COUNTIF(LISTS!$J$2:$J$16,TRIM($G2580))&gt;0,"LEFT OUT","NEW")))</f>
        <v/>
      </c>
    </row>
    <row r="2581" spans="47:47" x14ac:dyDescent="0.25">
      <c r="AU2581" s="8" t="str">
        <f>IF(TRIM($G2581)="","",IF(COUNTIF(LISTS!$I$2:$I$16,TRIM($G2581))&gt;0,"COUNTED",IF(COUNTIF(LISTS!$J$2:$J$16,TRIM($G2581))&gt;0,"LEFT OUT","NEW")))</f>
        <v/>
      </c>
    </row>
    <row r="2582" spans="47:47" x14ac:dyDescent="0.25">
      <c r="AU2582" s="8" t="str">
        <f>IF(TRIM($G2582)="","",IF(COUNTIF(LISTS!$I$2:$I$16,TRIM($G2582))&gt;0,"COUNTED",IF(COUNTIF(LISTS!$J$2:$J$16,TRIM($G2582))&gt;0,"LEFT OUT","NEW")))</f>
        <v/>
      </c>
    </row>
    <row r="2583" spans="47:47" x14ac:dyDescent="0.25">
      <c r="AU2583" s="8" t="str">
        <f>IF(TRIM($G2583)="","",IF(COUNTIF(LISTS!$I$2:$I$16,TRIM($G2583))&gt;0,"COUNTED",IF(COUNTIF(LISTS!$J$2:$J$16,TRIM($G2583))&gt;0,"LEFT OUT","NEW")))</f>
        <v/>
      </c>
    </row>
    <row r="2584" spans="47:47" x14ac:dyDescent="0.25">
      <c r="AU2584" s="8" t="str">
        <f>IF(TRIM($G2584)="","",IF(COUNTIF(LISTS!$I$2:$I$16,TRIM($G2584))&gt;0,"COUNTED",IF(COUNTIF(LISTS!$J$2:$J$16,TRIM($G2584))&gt;0,"LEFT OUT","NEW")))</f>
        <v/>
      </c>
    </row>
    <row r="2585" spans="47:47" x14ac:dyDescent="0.25">
      <c r="AU2585" s="8" t="str">
        <f>IF(TRIM($G2585)="","",IF(COUNTIF(LISTS!$I$2:$I$16,TRIM($G2585))&gt;0,"COUNTED",IF(COUNTIF(LISTS!$J$2:$J$16,TRIM($G2585))&gt;0,"LEFT OUT","NEW")))</f>
        <v/>
      </c>
    </row>
    <row r="2586" spans="47:47" x14ac:dyDescent="0.25">
      <c r="AU2586" s="8" t="str">
        <f>IF(TRIM($G2586)="","",IF(COUNTIF(LISTS!$I$2:$I$16,TRIM($G2586))&gt;0,"COUNTED",IF(COUNTIF(LISTS!$J$2:$J$16,TRIM($G2586))&gt;0,"LEFT OUT","NEW")))</f>
        <v/>
      </c>
    </row>
    <row r="2587" spans="47:47" x14ac:dyDescent="0.25">
      <c r="AU2587" s="8" t="str">
        <f>IF(TRIM($G2587)="","",IF(COUNTIF(LISTS!$I$2:$I$16,TRIM($G2587))&gt;0,"COUNTED",IF(COUNTIF(LISTS!$J$2:$J$16,TRIM($G2587))&gt;0,"LEFT OUT","NEW")))</f>
        <v/>
      </c>
    </row>
    <row r="2588" spans="47:47" x14ac:dyDescent="0.25">
      <c r="AU2588" s="8" t="str">
        <f>IF(TRIM($G2588)="","",IF(COUNTIF(LISTS!$I$2:$I$16,TRIM($G2588))&gt;0,"COUNTED",IF(COUNTIF(LISTS!$J$2:$J$16,TRIM($G2588))&gt;0,"LEFT OUT","NEW")))</f>
        <v/>
      </c>
    </row>
    <row r="2589" spans="47:47" x14ac:dyDescent="0.25">
      <c r="AU2589" s="8" t="str">
        <f>IF(TRIM($G2589)="","",IF(COUNTIF(LISTS!$I$2:$I$16,TRIM($G2589))&gt;0,"COUNTED",IF(COUNTIF(LISTS!$J$2:$J$16,TRIM($G2589))&gt;0,"LEFT OUT","NEW")))</f>
        <v/>
      </c>
    </row>
    <row r="2590" spans="47:47" x14ac:dyDescent="0.25">
      <c r="AU2590" s="8" t="str">
        <f>IF(TRIM($G2590)="","",IF(COUNTIF(LISTS!$I$2:$I$16,TRIM($G2590))&gt;0,"COUNTED",IF(COUNTIF(LISTS!$J$2:$J$16,TRIM($G2590))&gt;0,"LEFT OUT","NEW")))</f>
        <v/>
      </c>
    </row>
    <row r="2591" spans="47:47" x14ac:dyDescent="0.25">
      <c r="AU2591" s="8" t="str">
        <f>IF(TRIM($G2591)="","",IF(COUNTIF(LISTS!$I$2:$I$16,TRIM($G2591))&gt;0,"COUNTED",IF(COUNTIF(LISTS!$J$2:$J$16,TRIM($G2591))&gt;0,"LEFT OUT","NEW")))</f>
        <v/>
      </c>
    </row>
    <row r="2592" spans="47:47" x14ac:dyDescent="0.25">
      <c r="AU2592" s="8" t="str">
        <f>IF(TRIM($G2592)="","",IF(COUNTIF(LISTS!$I$2:$I$16,TRIM($G2592))&gt;0,"COUNTED",IF(COUNTIF(LISTS!$J$2:$J$16,TRIM($G2592))&gt;0,"LEFT OUT","NEW")))</f>
        <v/>
      </c>
    </row>
    <row r="2593" spans="47:47" x14ac:dyDescent="0.25">
      <c r="AU2593" s="8" t="str">
        <f>IF(TRIM($G2593)="","",IF(COUNTIF(LISTS!$I$2:$I$16,TRIM($G2593))&gt;0,"COUNTED",IF(COUNTIF(LISTS!$J$2:$J$16,TRIM($G2593))&gt;0,"LEFT OUT","NEW")))</f>
        <v/>
      </c>
    </row>
    <row r="2594" spans="47:47" x14ac:dyDescent="0.25">
      <c r="AU2594" s="8" t="str">
        <f>IF(TRIM($G2594)="","",IF(COUNTIF(LISTS!$I$2:$I$16,TRIM($G2594))&gt;0,"COUNTED",IF(COUNTIF(LISTS!$J$2:$J$16,TRIM($G2594))&gt;0,"LEFT OUT","NEW")))</f>
        <v/>
      </c>
    </row>
    <row r="2595" spans="47:47" x14ac:dyDescent="0.25">
      <c r="AU2595" s="8" t="str">
        <f>IF(TRIM($G2595)="","",IF(COUNTIF(LISTS!$I$2:$I$16,TRIM($G2595))&gt;0,"COUNTED",IF(COUNTIF(LISTS!$J$2:$J$16,TRIM($G2595))&gt;0,"LEFT OUT","NEW")))</f>
        <v/>
      </c>
    </row>
    <row r="2596" spans="47:47" x14ac:dyDescent="0.25">
      <c r="AU2596" s="8" t="str">
        <f>IF(TRIM($G2596)="","",IF(COUNTIF(LISTS!$I$2:$I$16,TRIM($G2596))&gt;0,"COUNTED",IF(COUNTIF(LISTS!$J$2:$J$16,TRIM($G2596))&gt;0,"LEFT OUT","NEW")))</f>
        <v/>
      </c>
    </row>
    <row r="2597" spans="47:47" x14ac:dyDescent="0.25">
      <c r="AU2597" s="8" t="str">
        <f>IF(TRIM($G2597)="","",IF(COUNTIF(LISTS!$I$2:$I$16,TRIM($G2597))&gt;0,"COUNTED",IF(COUNTIF(LISTS!$J$2:$J$16,TRIM($G2597))&gt;0,"LEFT OUT","NEW")))</f>
        <v/>
      </c>
    </row>
    <row r="2598" spans="47:47" x14ac:dyDescent="0.25">
      <c r="AU2598" s="8" t="str">
        <f>IF(TRIM($G2598)="","",IF(COUNTIF(LISTS!$I$2:$I$16,TRIM($G2598))&gt;0,"COUNTED",IF(COUNTIF(LISTS!$J$2:$J$16,TRIM($G2598))&gt;0,"LEFT OUT","NEW")))</f>
        <v/>
      </c>
    </row>
    <row r="2599" spans="47:47" x14ac:dyDescent="0.25">
      <c r="AU2599" s="8" t="str">
        <f>IF(TRIM($G2599)="","",IF(COUNTIF(LISTS!$I$2:$I$16,TRIM($G2599))&gt;0,"COUNTED",IF(COUNTIF(LISTS!$J$2:$J$16,TRIM($G2599))&gt;0,"LEFT OUT","NEW")))</f>
        <v/>
      </c>
    </row>
    <row r="2600" spans="47:47" x14ac:dyDescent="0.25">
      <c r="AU2600" s="8" t="str">
        <f>IF(TRIM($G2600)="","",IF(COUNTIF(LISTS!$I$2:$I$16,TRIM($G2600))&gt;0,"COUNTED",IF(COUNTIF(LISTS!$J$2:$J$16,TRIM($G2600))&gt;0,"LEFT OUT","NEW")))</f>
        <v/>
      </c>
    </row>
    <row r="2601" spans="47:47" x14ac:dyDescent="0.25">
      <c r="AU2601" s="8" t="str">
        <f>IF(TRIM($G2601)="","",IF(COUNTIF(LISTS!$I$2:$I$16,TRIM($G2601))&gt;0,"COUNTED",IF(COUNTIF(LISTS!$J$2:$J$16,TRIM($G2601))&gt;0,"LEFT OUT","NEW")))</f>
        <v/>
      </c>
    </row>
    <row r="2602" spans="47:47" x14ac:dyDescent="0.25">
      <c r="AU2602" s="8" t="str">
        <f>IF(TRIM($G2602)="","",IF(COUNTIF(LISTS!$I$2:$I$16,TRIM($G2602))&gt;0,"COUNTED",IF(COUNTIF(LISTS!$J$2:$J$16,TRIM($G2602))&gt;0,"LEFT OUT","NEW")))</f>
        <v/>
      </c>
    </row>
    <row r="2603" spans="47:47" x14ac:dyDescent="0.25">
      <c r="AU2603" s="8" t="str">
        <f>IF(TRIM($G2603)="","",IF(COUNTIF(LISTS!$I$2:$I$16,TRIM($G2603))&gt;0,"COUNTED",IF(COUNTIF(LISTS!$J$2:$J$16,TRIM($G2603))&gt;0,"LEFT OUT","NEW")))</f>
        <v/>
      </c>
    </row>
    <row r="2604" spans="47:47" x14ac:dyDescent="0.25">
      <c r="AU2604" s="8" t="str">
        <f>IF(TRIM($G2604)="","",IF(COUNTIF(LISTS!$I$2:$I$16,TRIM($G2604))&gt;0,"COUNTED",IF(COUNTIF(LISTS!$J$2:$J$16,TRIM($G2604))&gt;0,"LEFT OUT","NEW")))</f>
        <v/>
      </c>
    </row>
    <row r="2605" spans="47:47" x14ac:dyDescent="0.25">
      <c r="AU2605" s="8" t="str">
        <f>IF(TRIM($G2605)="","",IF(COUNTIF(LISTS!$I$2:$I$16,TRIM($G2605))&gt;0,"COUNTED",IF(COUNTIF(LISTS!$J$2:$J$16,TRIM($G2605))&gt;0,"LEFT OUT","NEW")))</f>
        <v/>
      </c>
    </row>
    <row r="2606" spans="47:47" x14ac:dyDescent="0.25">
      <c r="AU2606" s="8" t="str">
        <f>IF(TRIM($G2606)="","",IF(COUNTIF(LISTS!$I$2:$I$16,TRIM($G2606))&gt;0,"COUNTED",IF(COUNTIF(LISTS!$J$2:$J$16,TRIM($G2606))&gt;0,"LEFT OUT","NEW")))</f>
        <v/>
      </c>
    </row>
    <row r="2607" spans="47:47" x14ac:dyDescent="0.25">
      <c r="AU2607" s="8" t="str">
        <f>IF(TRIM($G2607)="","",IF(COUNTIF(LISTS!$I$2:$I$16,TRIM($G2607))&gt;0,"COUNTED",IF(COUNTIF(LISTS!$J$2:$J$16,TRIM($G2607))&gt;0,"LEFT OUT","NEW")))</f>
        <v/>
      </c>
    </row>
    <row r="2608" spans="47:47" x14ac:dyDescent="0.25">
      <c r="AU2608" s="8" t="str">
        <f>IF(TRIM($G2608)="","",IF(COUNTIF(LISTS!$I$2:$I$16,TRIM($G2608))&gt;0,"COUNTED",IF(COUNTIF(LISTS!$J$2:$J$16,TRIM($G2608))&gt;0,"LEFT OUT","NEW")))</f>
        <v/>
      </c>
    </row>
    <row r="2609" spans="47:47" x14ac:dyDescent="0.25">
      <c r="AU2609" s="8" t="str">
        <f>IF(TRIM($G2609)="","",IF(COUNTIF(LISTS!$I$2:$I$16,TRIM($G2609))&gt;0,"COUNTED",IF(COUNTIF(LISTS!$J$2:$J$16,TRIM($G2609))&gt;0,"LEFT OUT","NEW")))</f>
        <v/>
      </c>
    </row>
    <row r="2610" spans="47:47" x14ac:dyDescent="0.25">
      <c r="AU2610" s="8" t="str">
        <f>IF(TRIM($G2610)="","",IF(COUNTIF(LISTS!$I$2:$I$16,TRIM($G2610))&gt;0,"COUNTED",IF(COUNTIF(LISTS!$J$2:$J$16,TRIM($G2610))&gt;0,"LEFT OUT","NEW")))</f>
        <v/>
      </c>
    </row>
    <row r="2611" spans="47:47" x14ac:dyDescent="0.25">
      <c r="AU2611" s="8" t="str">
        <f>IF(TRIM($G2611)="","",IF(COUNTIF(LISTS!$I$2:$I$16,TRIM($G2611))&gt;0,"COUNTED",IF(COUNTIF(LISTS!$J$2:$J$16,TRIM($G2611))&gt;0,"LEFT OUT","NEW")))</f>
        <v/>
      </c>
    </row>
    <row r="2612" spans="47:47" x14ac:dyDescent="0.25">
      <c r="AU2612" s="8" t="str">
        <f>IF(TRIM($G2612)="","",IF(COUNTIF(LISTS!$I$2:$I$16,TRIM($G2612))&gt;0,"COUNTED",IF(COUNTIF(LISTS!$J$2:$J$16,TRIM($G2612))&gt;0,"LEFT OUT","NEW")))</f>
        <v/>
      </c>
    </row>
    <row r="2613" spans="47:47" x14ac:dyDescent="0.25">
      <c r="AU2613" s="8" t="str">
        <f>IF(TRIM($G2613)="","",IF(COUNTIF(LISTS!$I$2:$I$16,TRIM($G2613))&gt;0,"COUNTED",IF(COUNTIF(LISTS!$J$2:$J$16,TRIM($G2613))&gt;0,"LEFT OUT","NEW")))</f>
        <v/>
      </c>
    </row>
    <row r="2614" spans="47:47" x14ac:dyDescent="0.25">
      <c r="AU2614" s="8" t="str">
        <f>IF(TRIM($G2614)="","",IF(COUNTIF(LISTS!$I$2:$I$16,TRIM($G2614))&gt;0,"COUNTED",IF(COUNTIF(LISTS!$J$2:$J$16,TRIM($G2614))&gt;0,"LEFT OUT","NEW")))</f>
        <v/>
      </c>
    </row>
    <row r="2615" spans="47:47" x14ac:dyDescent="0.25">
      <c r="AU2615" s="8" t="str">
        <f>IF(TRIM($G2615)="","",IF(COUNTIF(LISTS!$I$2:$I$16,TRIM($G2615))&gt;0,"COUNTED",IF(COUNTIF(LISTS!$J$2:$J$16,TRIM($G2615))&gt;0,"LEFT OUT","NEW")))</f>
        <v/>
      </c>
    </row>
    <row r="2616" spans="47:47" x14ac:dyDescent="0.25">
      <c r="AU2616" s="8" t="str">
        <f>IF(TRIM($G2616)="","",IF(COUNTIF(LISTS!$I$2:$I$16,TRIM($G2616))&gt;0,"COUNTED",IF(COUNTIF(LISTS!$J$2:$J$16,TRIM($G2616))&gt;0,"LEFT OUT","NEW")))</f>
        <v/>
      </c>
    </row>
    <row r="2617" spans="47:47" x14ac:dyDescent="0.25">
      <c r="AU2617" s="8" t="str">
        <f>IF(TRIM($G2617)="","",IF(COUNTIF(LISTS!$I$2:$I$16,TRIM($G2617))&gt;0,"COUNTED",IF(COUNTIF(LISTS!$J$2:$J$16,TRIM($G2617))&gt;0,"LEFT OUT","NEW")))</f>
        <v/>
      </c>
    </row>
    <row r="2618" spans="47:47" x14ac:dyDescent="0.25">
      <c r="AU2618" s="8" t="str">
        <f>IF(TRIM($G2618)="","",IF(COUNTIF(LISTS!$I$2:$I$16,TRIM($G2618))&gt;0,"COUNTED",IF(COUNTIF(LISTS!$J$2:$J$16,TRIM($G2618))&gt;0,"LEFT OUT","NEW")))</f>
        <v/>
      </c>
    </row>
    <row r="2619" spans="47:47" x14ac:dyDescent="0.25">
      <c r="AU2619" s="8" t="str">
        <f>IF(TRIM($G2619)="","",IF(COUNTIF(LISTS!$I$2:$I$16,TRIM($G2619))&gt;0,"COUNTED",IF(COUNTIF(LISTS!$J$2:$J$16,TRIM($G2619))&gt;0,"LEFT OUT","NEW")))</f>
        <v/>
      </c>
    </row>
    <row r="2620" spans="47:47" x14ac:dyDescent="0.25">
      <c r="AU2620" s="8" t="str">
        <f>IF(TRIM($G2620)="","",IF(COUNTIF(LISTS!$I$2:$I$16,TRIM($G2620))&gt;0,"COUNTED",IF(COUNTIF(LISTS!$J$2:$J$16,TRIM($G2620))&gt;0,"LEFT OUT","NEW")))</f>
        <v/>
      </c>
    </row>
    <row r="2621" spans="47:47" x14ac:dyDescent="0.25">
      <c r="AU2621" s="8" t="str">
        <f>IF(TRIM($G2621)="","",IF(COUNTIF(LISTS!$I$2:$I$16,TRIM($G2621))&gt;0,"COUNTED",IF(COUNTIF(LISTS!$J$2:$J$16,TRIM($G2621))&gt;0,"LEFT OUT","NEW")))</f>
        <v/>
      </c>
    </row>
    <row r="2622" spans="47:47" x14ac:dyDescent="0.25">
      <c r="AU2622" s="8" t="str">
        <f>IF(TRIM($G2622)="","",IF(COUNTIF(LISTS!$I$2:$I$16,TRIM($G2622))&gt;0,"COUNTED",IF(COUNTIF(LISTS!$J$2:$J$16,TRIM($G2622))&gt;0,"LEFT OUT","NEW")))</f>
        <v/>
      </c>
    </row>
    <row r="2623" spans="47:47" x14ac:dyDescent="0.25">
      <c r="AU2623" s="8" t="str">
        <f>IF(TRIM($G2623)="","",IF(COUNTIF(LISTS!$I$2:$I$16,TRIM($G2623))&gt;0,"COUNTED",IF(COUNTIF(LISTS!$J$2:$J$16,TRIM($G2623))&gt;0,"LEFT OUT","NEW")))</f>
        <v/>
      </c>
    </row>
    <row r="2624" spans="47:47" x14ac:dyDescent="0.25">
      <c r="AU2624" s="8" t="str">
        <f>IF(TRIM($G2624)="","",IF(COUNTIF(LISTS!$I$2:$I$16,TRIM($G2624))&gt;0,"COUNTED",IF(COUNTIF(LISTS!$J$2:$J$16,TRIM($G2624))&gt;0,"LEFT OUT","NEW")))</f>
        <v/>
      </c>
    </row>
    <row r="2625" spans="47:47" x14ac:dyDescent="0.25">
      <c r="AU2625" s="8" t="str">
        <f>IF(TRIM($G2625)="","",IF(COUNTIF(LISTS!$I$2:$I$16,TRIM($G2625))&gt;0,"COUNTED",IF(COUNTIF(LISTS!$J$2:$J$16,TRIM($G2625))&gt;0,"LEFT OUT","NEW")))</f>
        <v/>
      </c>
    </row>
    <row r="2626" spans="47:47" x14ac:dyDescent="0.25">
      <c r="AU2626" s="8" t="str">
        <f>IF(TRIM($G2626)="","",IF(COUNTIF(LISTS!$I$2:$I$16,TRIM($G2626))&gt;0,"COUNTED",IF(COUNTIF(LISTS!$J$2:$J$16,TRIM($G2626))&gt;0,"LEFT OUT","NEW")))</f>
        <v/>
      </c>
    </row>
    <row r="2627" spans="47:47" x14ac:dyDescent="0.25">
      <c r="AU2627" s="8" t="str">
        <f>IF(TRIM($G2627)="","",IF(COUNTIF(LISTS!$I$2:$I$16,TRIM($G2627))&gt;0,"COUNTED",IF(COUNTIF(LISTS!$J$2:$J$16,TRIM($G2627))&gt;0,"LEFT OUT","NEW")))</f>
        <v/>
      </c>
    </row>
    <row r="2628" spans="47:47" x14ac:dyDescent="0.25">
      <c r="AU2628" s="8" t="str">
        <f>IF(TRIM($G2628)="","",IF(COUNTIF(LISTS!$I$2:$I$16,TRIM($G2628))&gt;0,"COUNTED",IF(COUNTIF(LISTS!$J$2:$J$16,TRIM($G2628))&gt;0,"LEFT OUT","NEW")))</f>
        <v/>
      </c>
    </row>
    <row r="2629" spans="47:47" x14ac:dyDescent="0.25">
      <c r="AU2629" s="8" t="str">
        <f>IF(TRIM($G2629)="","",IF(COUNTIF(LISTS!$I$2:$I$16,TRIM($G2629))&gt;0,"COUNTED",IF(COUNTIF(LISTS!$J$2:$J$16,TRIM($G2629))&gt;0,"LEFT OUT","NEW")))</f>
        <v/>
      </c>
    </row>
    <row r="2630" spans="47:47" x14ac:dyDescent="0.25">
      <c r="AU2630" s="8" t="str">
        <f>IF(TRIM($G2630)="","",IF(COUNTIF(LISTS!$I$2:$I$16,TRIM($G2630))&gt;0,"COUNTED",IF(COUNTIF(LISTS!$J$2:$J$16,TRIM($G2630))&gt;0,"LEFT OUT","NEW")))</f>
        <v/>
      </c>
    </row>
    <row r="2631" spans="47:47" x14ac:dyDescent="0.25">
      <c r="AU2631" s="8" t="str">
        <f>IF(TRIM($G2631)="","",IF(COUNTIF(LISTS!$I$2:$I$16,TRIM($G2631))&gt;0,"COUNTED",IF(COUNTIF(LISTS!$J$2:$J$16,TRIM($G2631))&gt;0,"LEFT OUT","NEW")))</f>
        <v/>
      </c>
    </row>
    <row r="2632" spans="47:47" x14ac:dyDescent="0.25">
      <c r="AU2632" s="8" t="str">
        <f>IF(TRIM($G2632)="","",IF(COUNTIF(LISTS!$I$2:$I$16,TRIM($G2632))&gt;0,"COUNTED",IF(COUNTIF(LISTS!$J$2:$J$16,TRIM($G2632))&gt;0,"LEFT OUT","NEW")))</f>
        <v/>
      </c>
    </row>
    <row r="2633" spans="47:47" x14ac:dyDescent="0.25">
      <c r="AU2633" s="8" t="str">
        <f>IF(TRIM($G2633)="","",IF(COUNTIF(LISTS!$I$2:$I$16,TRIM($G2633))&gt;0,"COUNTED",IF(COUNTIF(LISTS!$J$2:$J$16,TRIM($G2633))&gt;0,"LEFT OUT","NEW")))</f>
        <v/>
      </c>
    </row>
    <row r="2634" spans="47:47" x14ac:dyDescent="0.25">
      <c r="AU2634" s="8" t="str">
        <f>IF(TRIM($G2634)="","",IF(COUNTIF(LISTS!$I$2:$I$16,TRIM($G2634))&gt;0,"COUNTED",IF(COUNTIF(LISTS!$J$2:$J$16,TRIM($G2634))&gt;0,"LEFT OUT","NEW")))</f>
        <v/>
      </c>
    </row>
    <row r="2635" spans="47:47" x14ac:dyDescent="0.25">
      <c r="AU2635" s="8" t="str">
        <f>IF(TRIM($G2635)="","",IF(COUNTIF(LISTS!$I$2:$I$16,TRIM($G2635))&gt;0,"COUNTED",IF(COUNTIF(LISTS!$J$2:$J$16,TRIM($G2635))&gt;0,"LEFT OUT","NEW")))</f>
        <v/>
      </c>
    </row>
    <row r="2636" spans="47:47" x14ac:dyDescent="0.25">
      <c r="AU2636" s="8" t="str">
        <f>IF(TRIM($G2636)="","",IF(COUNTIF(LISTS!$I$2:$I$16,TRIM($G2636))&gt;0,"COUNTED",IF(COUNTIF(LISTS!$J$2:$J$16,TRIM($G2636))&gt;0,"LEFT OUT","NEW")))</f>
        <v/>
      </c>
    </row>
    <row r="2637" spans="47:47" x14ac:dyDescent="0.25">
      <c r="AU2637" s="8" t="str">
        <f>IF(TRIM($G2637)="","",IF(COUNTIF(LISTS!$I$2:$I$16,TRIM($G2637))&gt;0,"COUNTED",IF(COUNTIF(LISTS!$J$2:$J$16,TRIM($G2637))&gt;0,"LEFT OUT","NEW")))</f>
        <v/>
      </c>
    </row>
    <row r="2638" spans="47:47" x14ac:dyDescent="0.25">
      <c r="AU2638" s="8" t="str">
        <f>IF(TRIM($G2638)="","",IF(COUNTIF(LISTS!$I$2:$I$16,TRIM($G2638))&gt;0,"COUNTED",IF(COUNTIF(LISTS!$J$2:$J$16,TRIM($G2638))&gt;0,"LEFT OUT","NEW")))</f>
        <v/>
      </c>
    </row>
    <row r="2639" spans="47:47" x14ac:dyDescent="0.25">
      <c r="AU2639" s="8" t="str">
        <f>IF(TRIM($G2639)="","",IF(COUNTIF(LISTS!$I$2:$I$16,TRIM($G2639))&gt;0,"COUNTED",IF(COUNTIF(LISTS!$J$2:$J$16,TRIM($G2639))&gt;0,"LEFT OUT","NEW")))</f>
        <v/>
      </c>
    </row>
    <row r="2640" spans="47:47" x14ac:dyDescent="0.25">
      <c r="AU2640" s="8" t="str">
        <f>IF(TRIM($G2640)="","",IF(COUNTIF(LISTS!$I$2:$I$16,TRIM($G2640))&gt;0,"COUNTED",IF(COUNTIF(LISTS!$J$2:$J$16,TRIM($G2640))&gt;0,"LEFT OUT","NEW")))</f>
        <v/>
      </c>
    </row>
    <row r="2641" spans="47:47" x14ac:dyDescent="0.25">
      <c r="AU2641" s="8" t="str">
        <f>IF(TRIM($G2641)="","",IF(COUNTIF(LISTS!$I$2:$I$16,TRIM($G2641))&gt;0,"COUNTED",IF(COUNTIF(LISTS!$J$2:$J$16,TRIM($G2641))&gt;0,"LEFT OUT","NEW")))</f>
        <v/>
      </c>
    </row>
    <row r="2642" spans="47:47" x14ac:dyDescent="0.25">
      <c r="AU2642" s="8" t="str">
        <f>IF(TRIM($G2642)="","",IF(COUNTIF(LISTS!$I$2:$I$16,TRIM($G2642))&gt;0,"COUNTED",IF(COUNTIF(LISTS!$J$2:$J$16,TRIM($G2642))&gt;0,"LEFT OUT","NEW")))</f>
        <v/>
      </c>
    </row>
    <row r="2643" spans="47:47" x14ac:dyDescent="0.25">
      <c r="AU2643" s="8" t="str">
        <f>IF(TRIM($G2643)="","",IF(COUNTIF(LISTS!$I$2:$I$16,TRIM($G2643))&gt;0,"COUNTED",IF(COUNTIF(LISTS!$J$2:$J$16,TRIM($G2643))&gt;0,"LEFT OUT","NEW")))</f>
        <v/>
      </c>
    </row>
    <row r="2644" spans="47:47" x14ac:dyDescent="0.25">
      <c r="AU2644" s="8" t="str">
        <f>IF(TRIM($G2644)="","",IF(COUNTIF(LISTS!$I$2:$I$16,TRIM($G2644))&gt;0,"COUNTED",IF(COUNTIF(LISTS!$J$2:$J$16,TRIM($G2644))&gt;0,"LEFT OUT","NEW")))</f>
        <v/>
      </c>
    </row>
    <row r="2645" spans="47:47" x14ac:dyDescent="0.25">
      <c r="AU2645" s="8" t="str">
        <f>IF(TRIM($G2645)="","",IF(COUNTIF(LISTS!$I$2:$I$16,TRIM($G2645))&gt;0,"COUNTED",IF(COUNTIF(LISTS!$J$2:$J$16,TRIM($G2645))&gt;0,"LEFT OUT","NEW")))</f>
        <v/>
      </c>
    </row>
    <row r="2646" spans="47:47" x14ac:dyDescent="0.25">
      <c r="AU2646" s="8" t="str">
        <f>IF(TRIM($G2646)="","",IF(COUNTIF(LISTS!$I$2:$I$16,TRIM($G2646))&gt;0,"COUNTED",IF(COUNTIF(LISTS!$J$2:$J$16,TRIM($G2646))&gt;0,"LEFT OUT","NEW")))</f>
        <v/>
      </c>
    </row>
    <row r="2647" spans="47:47" x14ac:dyDescent="0.25">
      <c r="AU2647" s="8" t="str">
        <f>IF(TRIM($G2647)="","",IF(COUNTIF(LISTS!$I$2:$I$16,TRIM($G2647))&gt;0,"COUNTED",IF(COUNTIF(LISTS!$J$2:$J$16,TRIM($G2647))&gt;0,"LEFT OUT","NEW")))</f>
        <v/>
      </c>
    </row>
    <row r="2648" spans="47:47" x14ac:dyDescent="0.25">
      <c r="AU2648" s="8" t="str">
        <f>IF(TRIM($G2648)="","",IF(COUNTIF(LISTS!$I$2:$I$16,TRIM($G2648))&gt;0,"COUNTED",IF(COUNTIF(LISTS!$J$2:$J$16,TRIM($G2648))&gt;0,"LEFT OUT","NEW")))</f>
        <v/>
      </c>
    </row>
    <row r="2649" spans="47:47" x14ac:dyDescent="0.25">
      <c r="AU2649" s="8" t="str">
        <f>IF(TRIM($G2649)="","",IF(COUNTIF(LISTS!$I$2:$I$16,TRIM($G2649))&gt;0,"COUNTED",IF(COUNTIF(LISTS!$J$2:$J$16,TRIM($G2649))&gt;0,"LEFT OUT","NEW")))</f>
        <v/>
      </c>
    </row>
    <row r="2650" spans="47:47" x14ac:dyDescent="0.25">
      <c r="AU2650" s="8" t="str">
        <f>IF(TRIM($G2650)="","",IF(COUNTIF(LISTS!$I$2:$I$16,TRIM($G2650))&gt;0,"COUNTED",IF(COUNTIF(LISTS!$J$2:$J$16,TRIM($G2650))&gt;0,"LEFT OUT","NEW")))</f>
        <v/>
      </c>
    </row>
    <row r="2651" spans="47:47" x14ac:dyDescent="0.25">
      <c r="AU2651" s="8" t="str">
        <f>IF(TRIM($G2651)="","",IF(COUNTIF(LISTS!$I$2:$I$16,TRIM($G2651))&gt;0,"COUNTED",IF(COUNTIF(LISTS!$J$2:$J$16,TRIM($G2651))&gt;0,"LEFT OUT","NEW")))</f>
        <v/>
      </c>
    </row>
    <row r="2652" spans="47:47" x14ac:dyDescent="0.25">
      <c r="AU2652" s="8" t="str">
        <f>IF(TRIM($G2652)="","",IF(COUNTIF(LISTS!$I$2:$I$16,TRIM($G2652))&gt;0,"COUNTED",IF(COUNTIF(LISTS!$J$2:$J$16,TRIM($G2652))&gt;0,"LEFT OUT","NEW")))</f>
        <v/>
      </c>
    </row>
    <row r="2653" spans="47:47" x14ac:dyDescent="0.25">
      <c r="AU2653" s="8" t="str">
        <f>IF(TRIM($G2653)="","",IF(COUNTIF(LISTS!$I$2:$I$16,TRIM($G2653))&gt;0,"COUNTED",IF(COUNTIF(LISTS!$J$2:$J$16,TRIM($G2653))&gt;0,"LEFT OUT","NEW")))</f>
        <v/>
      </c>
    </row>
    <row r="2654" spans="47:47" x14ac:dyDescent="0.25">
      <c r="AU2654" s="8" t="str">
        <f>IF(TRIM($G2654)="","",IF(COUNTIF(LISTS!$I$2:$I$16,TRIM($G2654))&gt;0,"COUNTED",IF(COUNTIF(LISTS!$J$2:$J$16,TRIM($G2654))&gt;0,"LEFT OUT","NEW")))</f>
        <v/>
      </c>
    </row>
    <row r="2655" spans="47:47" x14ac:dyDescent="0.25">
      <c r="AU2655" s="8" t="str">
        <f>IF(TRIM($G2655)="","",IF(COUNTIF(LISTS!$I$2:$I$16,TRIM($G2655))&gt;0,"COUNTED",IF(COUNTIF(LISTS!$J$2:$J$16,TRIM($G2655))&gt;0,"LEFT OUT","NEW")))</f>
        <v/>
      </c>
    </row>
    <row r="2656" spans="47:47" x14ac:dyDescent="0.25">
      <c r="AU2656" s="8" t="str">
        <f>IF(TRIM($G2656)="","",IF(COUNTIF(LISTS!$I$2:$I$16,TRIM($G2656))&gt;0,"COUNTED",IF(COUNTIF(LISTS!$J$2:$J$16,TRIM($G2656))&gt;0,"LEFT OUT","NEW")))</f>
        <v/>
      </c>
    </row>
    <row r="2657" spans="47:47" x14ac:dyDescent="0.25">
      <c r="AU2657" s="8" t="str">
        <f>IF(TRIM($G2657)="","",IF(COUNTIF(LISTS!$I$2:$I$16,TRIM($G2657))&gt;0,"COUNTED",IF(COUNTIF(LISTS!$J$2:$J$16,TRIM($G2657))&gt;0,"LEFT OUT","NEW")))</f>
        <v/>
      </c>
    </row>
    <row r="2658" spans="47:47" x14ac:dyDescent="0.25">
      <c r="AU2658" s="8" t="str">
        <f>IF(TRIM($G2658)="","",IF(COUNTIF(LISTS!$I$2:$I$16,TRIM($G2658))&gt;0,"COUNTED",IF(COUNTIF(LISTS!$J$2:$J$16,TRIM($G2658))&gt;0,"LEFT OUT","NEW")))</f>
        <v/>
      </c>
    </row>
    <row r="2659" spans="47:47" x14ac:dyDescent="0.25">
      <c r="AU2659" s="8" t="str">
        <f>IF(TRIM($G2659)="","",IF(COUNTIF(LISTS!$I$2:$I$16,TRIM($G2659))&gt;0,"COUNTED",IF(COUNTIF(LISTS!$J$2:$J$16,TRIM($G2659))&gt;0,"LEFT OUT","NEW")))</f>
        <v/>
      </c>
    </row>
    <row r="2660" spans="47:47" x14ac:dyDescent="0.25">
      <c r="AU2660" s="8" t="str">
        <f>IF(TRIM($G2660)="","",IF(COUNTIF(LISTS!$I$2:$I$16,TRIM($G2660))&gt;0,"COUNTED",IF(COUNTIF(LISTS!$J$2:$J$16,TRIM($G2660))&gt;0,"LEFT OUT","NEW")))</f>
        <v/>
      </c>
    </row>
    <row r="2661" spans="47:47" x14ac:dyDescent="0.25">
      <c r="AU2661" s="8" t="str">
        <f>IF(TRIM($G2661)="","",IF(COUNTIF(LISTS!$I$2:$I$16,TRIM($G2661))&gt;0,"COUNTED",IF(COUNTIF(LISTS!$J$2:$J$16,TRIM($G2661))&gt;0,"LEFT OUT","NEW")))</f>
        <v/>
      </c>
    </row>
    <row r="2662" spans="47:47" x14ac:dyDescent="0.25">
      <c r="AU2662" s="8" t="str">
        <f>IF(TRIM($G2662)="","",IF(COUNTIF(LISTS!$I$2:$I$16,TRIM($G2662))&gt;0,"COUNTED",IF(COUNTIF(LISTS!$J$2:$J$16,TRIM($G2662))&gt;0,"LEFT OUT","NEW")))</f>
        <v/>
      </c>
    </row>
    <row r="2663" spans="47:47" x14ac:dyDescent="0.25">
      <c r="AU2663" s="8" t="str">
        <f>IF(TRIM($G2663)="","",IF(COUNTIF(LISTS!$I$2:$I$16,TRIM($G2663))&gt;0,"COUNTED",IF(COUNTIF(LISTS!$J$2:$J$16,TRIM($G2663))&gt;0,"LEFT OUT","NEW")))</f>
        <v/>
      </c>
    </row>
    <row r="2664" spans="47:47" x14ac:dyDescent="0.25">
      <c r="AU2664" s="8" t="str">
        <f>IF(TRIM($G2664)="","",IF(COUNTIF(LISTS!$I$2:$I$16,TRIM($G2664))&gt;0,"COUNTED",IF(COUNTIF(LISTS!$J$2:$J$16,TRIM($G2664))&gt;0,"LEFT OUT","NEW")))</f>
        <v/>
      </c>
    </row>
    <row r="2665" spans="47:47" x14ac:dyDescent="0.25">
      <c r="AU2665" s="8" t="str">
        <f>IF(TRIM($G2665)="","",IF(COUNTIF(LISTS!$I$2:$I$16,TRIM($G2665))&gt;0,"COUNTED",IF(COUNTIF(LISTS!$J$2:$J$16,TRIM($G2665))&gt;0,"LEFT OUT","NEW")))</f>
        <v/>
      </c>
    </row>
    <row r="2666" spans="47:47" x14ac:dyDescent="0.25">
      <c r="AU2666" s="8" t="str">
        <f>IF(TRIM($G2666)="","",IF(COUNTIF(LISTS!$I$2:$I$16,TRIM($G2666))&gt;0,"COUNTED",IF(COUNTIF(LISTS!$J$2:$J$16,TRIM($G2666))&gt;0,"LEFT OUT","NEW")))</f>
        <v/>
      </c>
    </row>
    <row r="2667" spans="47:47" x14ac:dyDescent="0.25">
      <c r="AU2667" s="8" t="str">
        <f>IF(TRIM($G2667)="","",IF(COUNTIF(LISTS!$I$2:$I$16,TRIM($G2667))&gt;0,"COUNTED",IF(COUNTIF(LISTS!$J$2:$J$16,TRIM($G2667))&gt;0,"LEFT OUT","NEW")))</f>
        <v/>
      </c>
    </row>
    <row r="2668" spans="47:47" x14ac:dyDescent="0.25">
      <c r="AU2668" s="8" t="str">
        <f>IF(TRIM($G2668)="","",IF(COUNTIF(LISTS!$I$2:$I$16,TRIM($G2668))&gt;0,"COUNTED",IF(COUNTIF(LISTS!$J$2:$J$16,TRIM($G2668))&gt;0,"LEFT OUT","NEW")))</f>
        <v/>
      </c>
    </row>
    <row r="2669" spans="47:47" x14ac:dyDescent="0.25">
      <c r="AU2669" s="8" t="str">
        <f>IF(TRIM($G2669)="","",IF(COUNTIF(LISTS!$I$2:$I$16,TRIM($G2669))&gt;0,"COUNTED",IF(COUNTIF(LISTS!$J$2:$J$16,TRIM($G2669))&gt;0,"LEFT OUT","NEW")))</f>
        <v/>
      </c>
    </row>
    <row r="2670" spans="47:47" x14ac:dyDescent="0.25">
      <c r="AU2670" s="8" t="str">
        <f>IF(TRIM($G2670)="","",IF(COUNTIF(LISTS!$I$2:$I$16,TRIM($G2670))&gt;0,"COUNTED",IF(COUNTIF(LISTS!$J$2:$J$16,TRIM($G2670))&gt;0,"LEFT OUT","NEW")))</f>
        <v/>
      </c>
    </row>
    <row r="2671" spans="47:47" x14ac:dyDescent="0.25">
      <c r="AU2671" s="8" t="str">
        <f>IF(TRIM($G2671)="","",IF(COUNTIF(LISTS!$I$2:$I$16,TRIM($G2671))&gt;0,"COUNTED",IF(COUNTIF(LISTS!$J$2:$J$16,TRIM($G2671))&gt;0,"LEFT OUT","NEW")))</f>
        <v/>
      </c>
    </row>
    <row r="2672" spans="47:47" x14ac:dyDescent="0.25">
      <c r="AU2672" s="8" t="str">
        <f>IF(TRIM($G2672)="","",IF(COUNTIF(LISTS!$I$2:$I$16,TRIM($G2672))&gt;0,"COUNTED",IF(COUNTIF(LISTS!$J$2:$J$16,TRIM($G2672))&gt;0,"LEFT OUT","NEW")))</f>
        <v/>
      </c>
    </row>
    <row r="2673" spans="47:47" x14ac:dyDescent="0.25">
      <c r="AU2673" s="8" t="str">
        <f>IF(TRIM($G2673)="","",IF(COUNTIF(LISTS!$I$2:$I$16,TRIM($G2673))&gt;0,"COUNTED",IF(COUNTIF(LISTS!$J$2:$J$16,TRIM($G2673))&gt;0,"LEFT OUT","NEW")))</f>
        <v/>
      </c>
    </row>
    <row r="2674" spans="47:47" x14ac:dyDescent="0.25">
      <c r="AU2674" s="8" t="str">
        <f>IF(TRIM($G2674)="","",IF(COUNTIF(LISTS!$I$2:$I$16,TRIM($G2674))&gt;0,"COUNTED",IF(COUNTIF(LISTS!$J$2:$J$16,TRIM($G2674))&gt;0,"LEFT OUT","NEW")))</f>
        <v/>
      </c>
    </row>
    <row r="2675" spans="47:47" x14ac:dyDescent="0.25">
      <c r="AU2675" s="8" t="str">
        <f>IF(TRIM($G2675)="","",IF(COUNTIF(LISTS!$I$2:$I$16,TRIM($G2675))&gt;0,"COUNTED",IF(COUNTIF(LISTS!$J$2:$J$16,TRIM($G2675))&gt;0,"LEFT OUT","NEW")))</f>
        <v/>
      </c>
    </row>
    <row r="2676" spans="47:47" x14ac:dyDescent="0.25">
      <c r="AU2676" s="8" t="str">
        <f>IF(TRIM($G2676)="","",IF(COUNTIF(LISTS!$I$2:$I$16,TRIM($G2676))&gt;0,"COUNTED",IF(COUNTIF(LISTS!$J$2:$J$16,TRIM($G2676))&gt;0,"LEFT OUT","NEW")))</f>
        <v/>
      </c>
    </row>
    <row r="2677" spans="47:47" x14ac:dyDescent="0.25">
      <c r="AU2677" s="8" t="str">
        <f>IF(TRIM($G2677)="","",IF(COUNTIF(LISTS!$I$2:$I$16,TRIM($G2677))&gt;0,"COUNTED",IF(COUNTIF(LISTS!$J$2:$J$16,TRIM($G2677))&gt;0,"LEFT OUT","NEW")))</f>
        <v/>
      </c>
    </row>
    <row r="2678" spans="47:47" x14ac:dyDescent="0.25">
      <c r="AU2678" s="8" t="str">
        <f>IF(TRIM($G2678)="","",IF(COUNTIF(LISTS!$I$2:$I$16,TRIM($G2678))&gt;0,"COUNTED",IF(COUNTIF(LISTS!$J$2:$J$16,TRIM($G2678))&gt;0,"LEFT OUT","NEW")))</f>
        <v/>
      </c>
    </row>
    <row r="2679" spans="47:47" x14ac:dyDescent="0.25">
      <c r="AU2679" s="8" t="str">
        <f>IF(TRIM($G2679)="","",IF(COUNTIF(LISTS!$I$2:$I$16,TRIM($G2679))&gt;0,"COUNTED",IF(COUNTIF(LISTS!$J$2:$J$16,TRIM($G2679))&gt;0,"LEFT OUT","NEW")))</f>
        <v/>
      </c>
    </row>
    <row r="2680" spans="47:47" x14ac:dyDescent="0.25">
      <c r="AU2680" s="8" t="str">
        <f>IF(TRIM($G2680)="","",IF(COUNTIF(LISTS!$I$2:$I$16,TRIM($G2680))&gt;0,"COUNTED",IF(COUNTIF(LISTS!$J$2:$J$16,TRIM($G2680))&gt;0,"LEFT OUT","NEW")))</f>
        <v/>
      </c>
    </row>
    <row r="2681" spans="47:47" x14ac:dyDescent="0.25">
      <c r="AU2681" s="8" t="str">
        <f>IF(TRIM($G2681)="","",IF(COUNTIF(LISTS!$I$2:$I$16,TRIM($G2681))&gt;0,"COUNTED",IF(COUNTIF(LISTS!$J$2:$J$16,TRIM($G2681))&gt;0,"LEFT OUT","NEW")))</f>
        <v/>
      </c>
    </row>
    <row r="2682" spans="47:47" x14ac:dyDescent="0.25">
      <c r="AU2682" s="8" t="str">
        <f>IF(TRIM($G2682)="","",IF(COUNTIF(LISTS!$I$2:$I$16,TRIM($G2682))&gt;0,"COUNTED",IF(COUNTIF(LISTS!$J$2:$J$16,TRIM($G2682))&gt;0,"LEFT OUT","NEW")))</f>
        <v/>
      </c>
    </row>
    <row r="2683" spans="47:47" x14ac:dyDescent="0.25">
      <c r="AU2683" s="8" t="str">
        <f>IF(TRIM($G2683)="","",IF(COUNTIF(LISTS!$I$2:$I$16,TRIM($G2683))&gt;0,"COUNTED",IF(COUNTIF(LISTS!$J$2:$J$16,TRIM($G2683))&gt;0,"LEFT OUT","NEW")))</f>
        <v/>
      </c>
    </row>
    <row r="2684" spans="47:47" x14ac:dyDescent="0.25">
      <c r="AU2684" s="8" t="str">
        <f>IF(TRIM($G2684)="","",IF(COUNTIF(LISTS!$I$2:$I$16,TRIM($G2684))&gt;0,"COUNTED",IF(COUNTIF(LISTS!$J$2:$J$16,TRIM($G2684))&gt;0,"LEFT OUT","NEW")))</f>
        <v/>
      </c>
    </row>
    <row r="2685" spans="47:47" x14ac:dyDescent="0.25">
      <c r="AU2685" s="8" t="str">
        <f>IF(TRIM($G2685)="","",IF(COUNTIF(LISTS!$I$2:$I$16,TRIM($G2685))&gt;0,"COUNTED",IF(COUNTIF(LISTS!$J$2:$J$16,TRIM($G2685))&gt;0,"LEFT OUT","NEW")))</f>
        <v/>
      </c>
    </row>
    <row r="2686" spans="47:47" x14ac:dyDescent="0.25">
      <c r="AU2686" s="8" t="str">
        <f>IF(TRIM($G2686)="","",IF(COUNTIF(LISTS!$I$2:$I$16,TRIM($G2686))&gt;0,"COUNTED",IF(COUNTIF(LISTS!$J$2:$J$16,TRIM($G2686))&gt;0,"LEFT OUT","NEW")))</f>
        <v/>
      </c>
    </row>
    <row r="2687" spans="47:47" x14ac:dyDescent="0.25">
      <c r="AU2687" s="8" t="str">
        <f>IF(TRIM($G2687)="","",IF(COUNTIF(LISTS!$I$2:$I$16,TRIM($G2687))&gt;0,"COUNTED",IF(COUNTIF(LISTS!$J$2:$J$16,TRIM($G2687))&gt;0,"LEFT OUT","NEW")))</f>
        <v/>
      </c>
    </row>
    <row r="2688" spans="47:47" x14ac:dyDescent="0.25">
      <c r="AU2688" s="8" t="str">
        <f>IF(TRIM($G2688)="","",IF(COUNTIF(LISTS!$I$2:$I$16,TRIM($G2688))&gt;0,"COUNTED",IF(COUNTIF(LISTS!$J$2:$J$16,TRIM($G2688))&gt;0,"LEFT OUT","NEW")))</f>
        <v/>
      </c>
    </row>
    <row r="2689" spans="47:47" x14ac:dyDescent="0.25">
      <c r="AU2689" s="8" t="str">
        <f>IF(TRIM($G2689)="","",IF(COUNTIF(LISTS!$I$2:$I$16,TRIM($G2689))&gt;0,"COUNTED",IF(COUNTIF(LISTS!$J$2:$J$16,TRIM($G2689))&gt;0,"LEFT OUT","NEW")))</f>
        <v/>
      </c>
    </row>
    <row r="2690" spans="47:47" x14ac:dyDescent="0.25">
      <c r="AU2690" s="8" t="str">
        <f>IF(TRIM($G2690)="","",IF(COUNTIF(LISTS!$I$2:$I$16,TRIM($G2690))&gt;0,"COUNTED",IF(COUNTIF(LISTS!$J$2:$J$16,TRIM($G2690))&gt;0,"LEFT OUT","NEW")))</f>
        <v/>
      </c>
    </row>
    <row r="2691" spans="47:47" x14ac:dyDescent="0.25">
      <c r="AU2691" s="8" t="str">
        <f>IF(TRIM($G2691)="","",IF(COUNTIF(LISTS!$I$2:$I$16,TRIM($G2691))&gt;0,"COUNTED",IF(COUNTIF(LISTS!$J$2:$J$16,TRIM($G2691))&gt;0,"LEFT OUT","NEW")))</f>
        <v/>
      </c>
    </row>
    <row r="2692" spans="47:47" x14ac:dyDescent="0.25">
      <c r="AU2692" s="8" t="str">
        <f>IF(TRIM($G2692)="","",IF(COUNTIF(LISTS!$I$2:$I$16,TRIM($G2692))&gt;0,"COUNTED",IF(COUNTIF(LISTS!$J$2:$J$16,TRIM($G2692))&gt;0,"LEFT OUT","NEW")))</f>
        <v/>
      </c>
    </row>
    <row r="2693" spans="47:47" x14ac:dyDescent="0.25">
      <c r="AU2693" s="8" t="str">
        <f>IF(TRIM($G2693)="","",IF(COUNTIF(LISTS!$I$2:$I$16,TRIM($G2693))&gt;0,"COUNTED",IF(COUNTIF(LISTS!$J$2:$J$16,TRIM($G2693))&gt;0,"LEFT OUT","NEW")))</f>
        <v/>
      </c>
    </row>
    <row r="2694" spans="47:47" x14ac:dyDescent="0.25">
      <c r="AU2694" s="8" t="str">
        <f>IF(TRIM($G2694)="","",IF(COUNTIF(LISTS!$I$2:$I$16,TRIM($G2694))&gt;0,"COUNTED",IF(COUNTIF(LISTS!$J$2:$J$16,TRIM($G2694))&gt;0,"LEFT OUT","NEW")))</f>
        <v/>
      </c>
    </row>
    <row r="2695" spans="47:47" x14ac:dyDescent="0.25">
      <c r="AU2695" s="8" t="str">
        <f>IF(TRIM($G2695)="","",IF(COUNTIF(LISTS!$I$2:$I$16,TRIM($G2695))&gt;0,"COUNTED",IF(COUNTIF(LISTS!$J$2:$J$16,TRIM($G2695))&gt;0,"LEFT OUT","NEW")))</f>
        <v/>
      </c>
    </row>
    <row r="2696" spans="47:47" x14ac:dyDescent="0.25">
      <c r="AU2696" s="8" t="str">
        <f>IF(TRIM($G2696)="","",IF(COUNTIF(LISTS!$I$2:$I$16,TRIM($G2696))&gt;0,"COUNTED",IF(COUNTIF(LISTS!$J$2:$J$16,TRIM($G2696))&gt;0,"LEFT OUT","NEW")))</f>
        <v/>
      </c>
    </row>
    <row r="2697" spans="47:47" x14ac:dyDescent="0.25">
      <c r="AU2697" s="8" t="str">
        <f>IF(TRIM($G2697)="","",IF(COUNTIF(LISTS!$I$2:$I$16,TRIM($G2697))&gt;0,"COUNTED",IF(COUNTIF(LISTS!$J$2:$J$16,TRIM($G2697))&gt;0,"LEFT OUT","NEW")))</f>
        <v/>
      </c>
    </row>
    <row r="2698" spans="47:47" x14ac:dyDescent="0.25">
      <c r="AU2698" s="8" t="str">
        <f>IF(TRIM($G2698)="","",IF(COUNTIF(LISTS!$I$2:$I$16,TRIM($G2698))&gt;0,"COUNTED",IF(COUNTIF(LISTS!$J$2:$J$16,TRIM($G2698))&gt;0,"LEFT OUT","NEW")))</f>
        <v/>
      </c>
    </row>
    <row r="2699" spans="47:47" x14ac:dyDescent="0.25">
      <c r="AU2699" s="8" t="str">
        <f>IF(TRIM($G2699)="","",IF(COUNTIF(LISTS!$I$2:$I$16,TRIM($G2699))&gt;0,"COUNTED",IF(COUNTIF(LISTS!$J$2:$J$16,TRIM($G2699))&gt;0,"LEFT OUT","NEW")))</f>
        <v/>
      </c>
    </row>
    <row r="2700" spans="47:47" x14ac:dyDescent="0.25">
      <c r="AU2700" s="8" t="str">
        <f>IF(TRIM($G2700)="","",IF(COUNTIF(LISTS!$I$2:$I$16,TRIM($G2700))&gt;0,"COUNTED",IF(COUNTIF(LISTS!$J$2:$J$16,TRIM($G2700))&gt;0,"LEFT OUT","NEW")))</f>
        <v/>
      </c>
    </row>
    <row r="2701" spans="47:47" x14ac:dyDescent="0.25">
      <c r="AU2701" s="8" t="str">
        <f>IF(TRIM($G2701)="","",IF(COUNTIF(LISTS!$I$2:$I$16,TRIM($G2701))&gt;0,"COUNTED",IF(COUNTIF(LISTS!$J$2:$J$16,TRIM($G2701))&gt;0,"LEFT OUT","NEW")))</f>
        <v/>
      </c>
    </row>
    <row r="2702" spans="47:47" x14ac:dyDescent="0.25">
      <c r="AU2702" s="8" t="str">
        <f>IF(TRIM($G2702)="","",IF(COUNTIF(LISTS!$I$2:$I$16,TRIM($G2702))&gt;0,"COUNTED",IF(COUNTIF(LISTS!$J$2:$J$16,TRIM($G2702))&gt;0,"LEFT OUT","NEW")))</f>
        <v/>
      </c>
    </row>
    <row r="2703" spans="47:47" x14ac:dyDescent="0.25">
      <c r="AU2703" s="8" t="str">
        <f>IF(TRIM($G2703)="","",IF(COUNTIF(LISTS!$I$2:$I$16,TRIM($G2703))&gt;0,"COUNTED",IF(COUNTIF(LISTS!$J$2:$J$16,TRIM($G2703))&gt;0,"LEFT OUT","NEW")))</f>
        <v/>
      </c>
    </row>
    <row r="2704" spans="47:47" x14ac:dyDescent="0.25">
      <c r="AU2704" s="8" t="str">
        <f>IF(TRIM($G2704)="","",IF(COUNTIF(LISTS!$I$2:$I$16,TRIM($G2704))&gt;0,"COUNTED",IF(COUNTIF(LISTS!$J$2:$J$16,TRIM($G2704))&gt;0,"LEFT OUT","NEW")))</f>
        <v/>
      </c>
    </row>
    <row r="2705" spans="47:47" x14ac:dyDescent="0.25">
      <c r="AU2705" s="8" t="str">
        <f>IF(TRIM($G2705)="","",IF(COUNTIF(LISTS!$I$2:$I$16,TRIM($G2705))&gt;0,"COUNTED",IF(COUNTIF(LISTS!$J$2:$J$16,TRIM($G2705))&gt;0,"LEFT OUT","NEW")))</f>
        <v/>
      </c>
    </row>
    <row r="2706" spans="47:47" x14ac:dyDescent="0.25">
      <c r="AU2706" s="8" t="str">
        <f>IF(TRIM($G2706)="","",IF(COUNTIF(LISTS!$I$2:$I$16,TRIM($G2706))&gt;0,"COUNTED",IF(COUNTIF(LISTS!$J$2:$J$16,TRIM($G2706))&gt;0,"LEFT OUT","NEW")))</f>
        <v/>
      </c>
    </row>
    <row r="2707" spans="47:47" x14ac:dyDescent="0.25">
      <c r="AU2707" s="8" t="str">
        <f>IF(TRIM($G2707)="","",IF(COUNTIF(LISTS!$I$2:$I$16,TRIM($G2707))&gt;0,"COUNTED",IF(COUNTIF(LISTS!$J$2:$J$16,TRIM($G2707))&gt;0,"LEFT OUT","NEW")))</f>
        <v/>
      </c>
    </row>
    <row r="2708" spans="47:47" x14ac:dyDescent="0.25">
      <c r="AU2708" s="8" t="str">
        <f>IF(TRIM($G2708)="","",IF(COUNTIF(LISTS!$I$2:$I$16,TRIM($G2708))&gt;0,"COUNTED",IF(COUNTIF(LISTS!$J$2:$J$16,TRIM($G2708))&gt;0,"LEFT OUT","NEW")))</f>
        <v/>
      </c>
    </row>
    <row r="2709" spans="47:47" x14ac:dyDescent="0.25">
      <c r="AU2709" s="8" t="str">
        <f>IF(TRIM($G2709)="","",IF(COUNTIF(LISTS!$I$2:$I$16,TRIM($G2709))&gt;0,"COUNTED",IF(COUNTIF(LISTS!$J$2:$J$16,TRIM($G2709))&gt;0,"LEFT OUT","NEW")))</f>
        <v/>
      </c>
    </row>
    <row r="2710" spans="47:47" x14ac:dyDescent="0.25">
      <c r="AU2710" s="8" t="str">
        <f>IF(TRIM($G2710)="","",IF(COUNTIF(LISTS!$I$2:$I$16,TRIM($G2710))&gt;0,"COUNTED",IF(COUNTIF(LISTS!$J$2:$J$16,TRIM($G2710))&gt;0,"LEFT OUT","NEW")))</f>
        <v/>
      </c>
    </row>
    <row r="2711" spans="47:47" x14ac:dyDescent="0.25">
      <c r="AU2711" s="8" t="str">
        <f>IF(TRIM($G2711)="","",IF(COUNTIF(LISTS!$I$2:$I$16,TRIM($G2711))&gt;0,"COUNTED",IF(COUNTIF(LISTS!$J$2:$J$16,TRIM($G2711))&gt;0,"LEFT OUT","NEW")))</f>
        <v/>
      </c>
    </row>
    <row r="2712" spans="47:47" x14ac:dyDescent="0.25">
      <c r="AU2712" s="8" t="str">
        <f>IF(TRIM($G2712)="","",IF(COUNTIF(LISTS!$I$2:$I$16,TRIM($G2712))&gt;0,"COUNTED",IF(COUNTIF(LISTS!$J$2:$J$16,TRIM($G2712))&gt;0,"LEFT OUT","NEW")))</f>
        <v/>
      </c>
    </row>
    <row r="2713" spans="47:47" x14ac:dyDescent="0.25">
      <c r="AU2713" s="8" t="str">
        <f>IF(TRIM($G2713)="","",IF(COUNTIF(LISTS!$I$2:$I$16,TRIM($G2713))&gt;0,"COUNTED",IF(COUNTIF(LISTS!$J$2:$J$16,TRIM($G2713))&gt;0,"LEFT OUT","NEW")))</f>
        <v/>
      </c>
    </row>
    <row r="2714" spans="47:47" x14ac:dyDescent="0.25">
      <c r="AU2714" s="8" t="str">
        <f>IF(TRIM($G2714)="","",IF(COUNTIF(LISTS!$I$2:$I$16,TRIM($G2714))&gt;0,"COUNTED",IF(COUNTIF(LISTS!$J$2:$J$16,TRIM($G2714))&gt;0,"LEFT OUT","NEW")))</f>
        <v/>
      </c>
    </row>
    <row r="2715" spans="47:47" x14ac:dyDescent="0.25">
      <c r="AU2715" s="8" t="str">
        <f>IF(TRIM($G2715)="","",IF(COUNTIF(LISTS!$I$2:$I$16,TRIM($G2715))&gt;0,"COUNTED",IF(COUNTIF(LISTS!$J$2:$J$16,TRIM($G2715))&gt;0,"LEFT OUT","NEW")))</f>
        <v/>
      </c>
    </row>
    <row r="2716" spans="47:47" x14ac:dyDescent="0.25">
      <c r="AU2716" s="8" t="str">
        <f>IF(TRIM($G2716)="","",IF(COUNTIF(LISTS!$I$2:$I$16,TRIM($G2716))&gt;0,"COUNTED",IF(COUNTIF(LISTS!$J$2:$J$16,TRIM($G2716))&gt;0,"LEFT OUT","NEW")))</f>
        <v/>
      </c>
    </row>
    <row r="2717" spans="47:47" x14ac:dyDescent="0.25">
      <c r="AU2717" s="8" t="str">
        <f>IF(TRIM($G2717)="","",IF(COUNTIF(LISTS!$I$2:$I$16,TRIM($G2717))&gt;0,"COUNTED",IF(COUNTIF(LISTS!$J$2:$J$16,TRIM($G2717))&gt;0,"LEFT OUT","NEW")))</f>
        <v/>
      </c>
    </row>
    <row r="2718" spans="47:47" x14ac:dyDescent="0.25">
      <c r="AU2718" s="8" t="str">
        <f>IF(TRIM($G2718)="","",IF(COUNTIF(LISTS!$I$2:$I$16,TRIM($G2718))&gt;0,"COUNTED",IF(COUNTIF(LISTS!$J$2:$J$16,TRIM($G2718))&gt;0,"LEFT OUT","NEW")))</f>
        <v/>
      </c>
    </row>
    <row r="2719" spans="47:47" x14ac:dyDescent="0.25">
      <c r="AU2719" s="8" t="str">
        <f>IF(TRIM($G2719)="","",IF(COUNTIF(LISTS!$I$2:$I$16,TRIM($G2719))&gt;0,"COUNTED",IF(COUNTIF(LISTS!$J$2:$J$16,TRIM($G2719))&gt;0,"LEFT OUT","NEW")))</f>
        <v/>
      </c>
    </row>
    <row r="2720" spans="47:47" x14ac:dyDescent="0.25">
      <c r="AU2720" s="8" t="str">
        <f>IF(TRIM($G2720)="","",IF(COUNTIF(LISTS!$I$2:$I$16,TRIM($G2720))&gt;0,"COUNTED",IF(COUNTIF(LISTS!$J$2:$J$16,TRIM($G2720))&gt;0,"LEFT OUT","NEW")))</f>
        <v/>
      </c>
    </row>
    <row r="2721" spans="47:47" x14ac:dyDescent="0.25">
      <c r="AU2721" s="8" t="str">
        <f>IF(TRIM($G2721)="","",IF(COUNTIF(LISTS!$I$2:$I$16,TRIM($G2721))&gt;0,"COUNTED",IF(COUNTIF(LISTS!$J$2:$J$16,TRIM($G2721))&gt;0,"LEFT OUT","NEW")))</f>
        <v/>
      </c>
    </row>
    <row r="2722" spans="47:47" x14ac:dyDescent="0.25">
      <c r="AU2722" s="8" t="str">
        <f>IF(TRIM($G2722)="","",IF(COUNTIF(LISTS!$I$2:$I$16,TRIM($G2722))&gt;0,"COUNTED",IF(COUNTIF(LISTS!$J$2:$J$16,TRIM($G2722))&gt;0,"LEFT OUT","NEW")))</f>
        <v/>
      </c>
    </row>
    <row r="2723" spans="47:47" x14ac:dyDescent="0.25">
      <c r="AU2723" s="8" t="str">
        <f>IF(TRIM($G2723)="","",IF(COUNTIF(LISTS!$I$2:$I$16,TRIM($G2723))&gt;0,"COUNTED",IF(COUNTIF(LISTS!$J$2:$J$16,TRIM($G2723))&gt;0,"LEFT OUT","NEW")))</f>
        <v/>
      </c>
    </row>
    <row r="2724" spans="47:47" x14ac:dyDescent="0.25">
      <c r="AU2724" s="8" t="str">
        <f>IF(TRIM($G2724)="","",IF(COUNTIF(LISTS!$I$2:$I$16,TRIM($G2724))&gt;0,"COUNTED",IF(COUNTIF(LISTS!$J$2:$J$16,TRIM($G2724))&gt;0,"LEFT OUT","NEW")))</f>
        <v/>
      </c>
    </row>
    <row r="2725" spans="47:47" x14ac:dyDescent="0.25">
      <c r="AU2725" s="8" t="str">
        <f>IF(TRIM($G2725)="","",IF(COUNTIF(LISTS!$I$2:$I$16,TRIM($G2725))&gt;0,"COUNTED",IF(COUNTIF(LISTS!$J$2:$J$16,TRIM($G2725))&gt;0,"LEFT OUT","NEW")))</f>
        <v/>
      </c>
    </row>
    <row r="2726" spans="47:47" x14ac:dyDescent="0.25">
      <c r="AU2726" s="8" t="str">
        <f>IF(TRIM($G2726)="","",IF(COUNTIF(LISTS!$I$2:$I$16,TRIM($G2726))&gt;0,"COUNTED",IF(COUNTIF(LISTS!$J$2:$J$16,TRIM($G2726))&gt;0,"LEFT OUT","NEW")))</f>
        <v/>
      </c>
    </row>
    <row r="2727" spans="47:47" x14ac:dyDescent="0.25">
      <c r="AU2727" s="8" t="str">
        <f>IF(TRIM($G2727)="","",IF(COUNTIF(LISTS!$I$2:$I$16,TRIM($G2727))&gt;0,"COUNTED",IF(COUNTIF(LISTS!$J$2:$J$16,TRIM($G2727))&gt;0,"LEFT OUT","NEW")))</f>
        <v/>
      </c>
    </row>
    <row r="2728" spans="47:47" x14ac:dyDescent="0.25">
      <c r="AU2728" s="8" t="str">
        <f>IF(TRIM($G2728)="","",IF(COUNTIF(LISTS!$I$2:$I$16,TRIM($G2728))&gt;0,"COUNTED",IF(COUNTIF(LISTS!$J$2:$J$16,TRIM($G2728))&gt;0,"LEFT OUT","NEW")))</f>
        <v/>
      </c>
    </row>
    <row r="2729" spans="47:47" x14ac:dyDescent="0.25">
      <c r="AU2729" s="8" t="str">
        <f>IF(TRIM($G2729)="","",IF(COUNTIF(LISTS!$I$2:$I$16,TRIM($G2729))&gt;0,"COUNTED",IF(COUNTIF(LISTS!$J$2:$J$16,TRIM($G2729))&gt;0,"LEFT OUT","NEW")))</f>
        <v/>
      </c>
    </row>
    <row r="2730" spans="47:47" x14ac:dyDescent="0.25">
      <c r="AU2730" s="8" t="str">
        <f>IF(TRIM($G2730)="","",IF(COUNTIF(LISTS!$I$2:$I$16,TRIM($G2730))&gt;0,"COUNTED",IF(COUNTIF(LISTS!$J$2:$J$16,TRIM($G2730))&gt;0,"LEFT OUT","NEW")))</f>
        <v/>
      </c>
    </row>
    <row r="2731" spans="47:47" x14ac:dyDescent="0.25">
      <c r="AU2731" s="8" t="str">
        <f>IF(TRIM($G2731)="","",IF(COUNTIF(LISTS!$I$2:$I$16,TRIM($G2731))&gt;0,"COUNTED",IF(COUNTIF(LISTS!$J$2:$J$16,TRIM($G2731))&gt;0,"LEFT OUT","NEW")))</f>
        <v/>
      </c>
    </row>
    <row r="2732" spans="47:47" x14ac:dyDescent="0.25">
      <c r="AU2732" s="8" t="str">
        <f>IF(TRIM($G2732)="","",IF(COUNTIF(LISTS!$I$2:$I$16,TRIM($G2732))&gt;0,"COUNTED",IF(COUNTIF(LISTS!$J$2:$J$16,TRIM($G2732))&gt;0,"LEFT OUT","NEW")))</f>
        <v/>
      </c>
    </row>
    <row r="2733" spans="47:47" x14ac:dyDescent="0.25">
      <c r="AU2733" s="8" t="str">
        <f>IF(TRIM($G2733)="","",IF(COUNTIF(LISTS!$I$2:$I$16,TRIM($G2733))&gt;0,"COUNTED",IF(COUNTIF(LISTS!$J$2:$J$16,TRIM($G2733))&gt;0,"LEFT OUT","NEW")))</f>
        <v/>
      </c>
    </row>
    <row r="2734" spans="47:47" x14ac:dyDescent="0.25">
      <c r="AU2734" s="8" t="str">
        <f>IF(TRIM($G2734)="","",IF(COUNTIF(LISTS!$I$2:$I$16,TRIM($G2734))&gt;0,"COUNTED",IF(COUNTIF(LISTS!$J$2:$J$16,TRIM($G2734))&gt;0,"LEFT OUT","NEW")))</f>
        <v/>
      </c>
    </row>
    <row r="2735" spans="47:47" x14ac:dyDescent="0.25">
      <c r="AU2735" s="8" t="str">
        <f>IF(TRIM($G2735)="","",IF(COUNTIF(LISTS!$I$2:$I$16,TRIM($G2735))&gt;0,"COUNTED",IF(COUNTIF(LISTS!$J$2:$J$16,TRIM($G2735))&gt;0,"LEFT OUT","NEW")))</f>
        <v/>
      </c>
    </row>
    <row r="2736" spans="47:47" x14ac:dyDescent="0.25">
      <c r="AU2736" s="8" t="str">
        <f>IF(TRIM($G2736)="","",IF(COUNTIF(LISTS!$I$2:$I$16,TRIM($G2736))&gt;0,"COUNTED",IF(COUNTIF(LISTS!$J$2:$J$16,TRIM($G2736))&gt;0,"LEFT OUT","NEW")))</f>
        <v/>
      </c>
    </row>
    <row r="2737" spans="47:47" x14ac:dyDescent="0.25">
      <c r="AU2737" s="8" t="str">
        <f>IF(TRIM($G2737)="","",IF(COUNTIF(LISTS!$I$2:$I$16,TRIM($G2737))&gt;0,"COUNTED",IF(COUNTIF(LISTS!$J$2:$J$16,TRIM($G2737))&gt;0,"LEFT OUT","NEW")))</f>
        <v/>
      </c>
    </row>
    <row r="2738" spans="47:47" x14ac:dyDescent="0.25">
      <c r="AU2738" s="8" t="str">
        <f>IF(TRIM($G2738)="","",IF(COUNTIF(LISTS!$I$2:$I$16,TRIM($G2738))&gt;0,"COUNTED",IF(COUNTIF(LISTS!$J$2:$J$16,TRIM($G2738))&gt;0,"LEFT OUT","NEW")))</f>
        <v/>
      </c>
    </row>
    <row r="2739" spans="47:47" x14ac:dyDescent="0.25">
      <c r="AU2739" s="8" t="str">
        <f>IF(TRIM($G2739)="","",IF(COUNTIF(LISTS!$I$2:$I$16,TRIM($G2739))&gt;0,"COUNTED",IF(COUNTIF(LISTS!$J$2:$J$16,TRIM($G2739))&gt;0,"LEFT OUT","NEW")))</f>
        <v/>
      </c>
    </row>
    <row r="2740" spans="47:47" x14ac:dyDescent="0.25">
      <c r="AU2740" s="8" t="str">
        <f>IF(TRIM($G2740)="","",IF(COUNTIF(LISTS!$I$2:$I$16,TRIM($G2740))&gt;0,"COUNTED",IF(COUNTIF(LISTS!$J$2:$J$16,TRIM($G2740))&gt;0,"LEFT OUT","NEW")))</f>
        <v/>
      </c>
    </row>
    <row r="2741" spans="47:47" x14ac:dyDescent="0.25">
      <c r="AU2741" s="8" t="str">
        <f>IF(TRIM($G2741)="","",IF(COUNTIF(LISTS!$I$2:$I$16,TRIM($G2741))&gt;0,"COUNTED",IF(COUNTIF(LISTS!$J$2:$J$16,TRIM($G2741))&gt;0,"LEFT OUT","NEW")))</f>
        <v/>
      </c>
    </row>
    <row r="2742" spans="47:47" x14ac:dyDescent="0.25">
      <c r="AU2742" s="8" t="str">
        <f>IF(TRIM($G2742)="","",IF(COUNTIF(LISTS!$I$2:$I$16,TRIM($G2742))&gt;0,"COUNTED",IF(COUNTIF(LISTS!$J$2:$J$16,TRIM($G2742))&gt;0,"LEFT OUT","NEW")))</f>
        <v/>
      </c>
    </row>
    <row r="2743" spans="47:47" x14ac:dyDescent="0.25">
      <c r="AU2743" s="8" t="str">
        <f>IF(TRIM($G2743)="","",IF(COUNTIF(LISTS!$I$2:$I$16,TRIM($G2743))&gt;0,"COUNTED",IF(COUNTIF(LISTS!$J$2:$J$16,TRIM($G2743))&gt;0,"LEFT OUT","NEW")))</f>
        <v/>
      </c>
    </row>
    <row r="2744" spans="47:47" x14ac:dyDescent="0.25">
      <c r="AU2744" s="8" t="str">
        <f>IF(TRIM($G2744)="","",IF(COUNTIF(LISTS!$I$2:$I$16,TRIM($G2744))&gt;0,"COUNTED",IF(COUNTIF(LISTS!$J$2:$J$16,TRIM($G2744))&gt;0,"LEFT OUT","NEW")))</f>
        <v/>
      </c>
    </row>
    <row r="2745" spans="47:47" x14ac:dyDescent="0.25">
      <c r="AU2745" s="8" t="str">
        <f>IF(TRIM($G2745)="","",IF(COUNTIF(LISTS!$I$2:$I$16,TRIM($G2745))&gt;0,"COUNTED",IF(COUNTIF(LISTS!$J$2:$J$16,TRIM($G2745))&gt;0,"LEFT OUT","NEW")))</f>
        <v/>
      </c>
    </row>
    <row r="2746" spans="47:47" x14ac:dyDescent="0.25">
      <c r="AU2746" s="8" t="str">
        <f>IF(TRIM($G2746)="","",IF(COUNTIF(LISTS!$I$2:$I$16,TRIM($G2746))&gt;0,"COUNTED",IF(COUNTIF(LISTS!$J$2:$J$16,TRIM($G2746))&gt;0,"LEFT OUT","NEW")))</f>
        <v/>
      </c>
    </row>
    <row r="2747" spans="47:47" x14ac:dyDescent="0.25">
      <c r="AU2747" s="8" t="str">
        <f>IF(TRIM($G2747)="","",IF(COUNTIF(LISTS!$I$2:$I$16,TRIM($G2747))&gt;0,"COUNTED",IF(COUNTIF(LISTS!$J$2:$J$16,TRIM($G2747))&gt;0,"LEFT OUT","NEW")))</f>
        <v/>
      </c>
    </row>
    <row r="2748" spans="47:47" x14ac:dyDescent="0.25">
      <c r="AU2748" s="8" t="str">
        <f>IF(TRIM($G2748)="","",IF(COUNTIF(LISTS!$I$2:$I$16,TRIM($G2748))&gt;0,"COUNTED",IF(COUNTIF(LISTS!$J$2:$J$16,TRIM($G2748))&gt;0,"LEFT OUT","NEW")))</f>
        <v/>
      </c>
    </row>
    <row r="2749" spans="47:47" x14ac:dyDescent="0.25">
      <c r="AU2749" s="8" t="str">
        <f>IF(TRIM($G2749)="","",IF(COUNTIF(LISTS!$I$2:$I$16,TRIM($G2749))&gt;0,"COUNTED",IF(COUNTIF(LISTS!$J$2:$J$16,TRIM($G2749))&gt;0,"LEFT OUT","NEW")))</f>
        <v/>
      </c>
    </row>
    <row r="2750" spans="47:47" x14ac:dyDescent="0.25">
      <c r="AU2750" s="8" t="str">
        <f>IF(TRIM($G2750)="","",IF(COUNTIF(LISTS!$I$2:$I$16,TRIM($G2750))&gt;0,"COUNTED",IF(COUNTIF(LISTS!$J$2:$J$16,TRIM($G2750))&gt;0,"LEFT OUT","NEW")))</f>
        <v/>
      </c>
    </row>
    <row r="2751" spans="47:47" x14ac:dyDescent="0.25">
      <c r="AU2751" s="8" t="str">
        <f>IF(TRIM($G2751)="","",IF(COUNTIF(LISTS!$I$2:$I$16,TRIM($G2751))&gt;0,"COUNTED",IF(COUNTIF(LISTS!$J$2:$J$16,TRIM($G2751))&gt;0,"LEFT OUT","NEW")))</f>
        <v/>
      </c>
    </row>
    <row r="2752" spans="47:47" x14ac:dyDescent="0.25">
      <c r="AU2752" s="8" t="str">
        <f>IF(TRIM($G2752)="","",IF(COUNTIF(LISTS!$I$2:$I$16,TRIM($G2752))&gt;0,"COUNTED",IF(COUNTIF(LISTS!$J$2:$J$16,TRIM($G2752))&gt;0,"LEFT OUT","NEW")))</f>
        <v/>
      </c>
    </row>
    <row r="2753" spans="47:47" x14ac:dyDescent="0.25">
      <c r="AU2753" s="8" t="str">
        <f>IF(TRIM($G2753)="","",IF(COUNTIF(LISTS!$I$2:$I$16,TRIM($G2753))&gt;0,"COUNTED",IF(COUNTIF(LISTS!$J$2:$J$16,TRIM($G2753))&gt;0,"LEFT OUT","NEW")))</f>
        <v/>
      </c>
    </row>
    <row r="2754" spans="47:47" x14ac:dyDescent="0.25">
      <c r="AU2754" s="8" t="str">
        <f>IF(TRIM($G2754)="","",IF(COUNTIF(LISTS!$I$2:$I$16,TRIM($G2754))&gt;0,"COUNTED",IF(COUNTIF(LISTS!$J$2:$J$16,TRIM($G2754))&gt;0,"LEFT OUT","NEW")))</f>
        <v/>
      </c>
    </row>
    <row r="2755" spans="47:47" x14ac:dyDescent="0.25">
      <c r="AU2755" s="8" t="str">
        <f>IF(TRIM($G2755)="","",IF(COUNTIF(LISTS!$I$2:$I$16,TRIM($G2755))&gt;0,"COUNTED",IF(COUNTIF(LISTS!$J$2:$J$16,TRIM($G2755))&gt;0,"LEFT OUT","NEW")))</f>
        <v/>
      </c>
    </row>
    <row r="2756" spans="47:47" x14ac:dyDescent="0.25">
      <c r="AU2756" s="8" t="str">
        <f>IF(TRIM($G2756)="","",IF(COUNTIF(LISTS!$I$2:$I$16,TRIM($G2756))&gt;0,"COUNTED",IF(COUNTIF(LISTS!$J$2:$J$16,TRIM($G2756))&gt;0,"LEFT OUT","NEW")))</f>
        <v/>
      </c>
    </row>
    <row r="2757" spans="47:47" x14ac:dyDescent="0.25">
      <c r="AU2757" s="8" t="str">
        <f>IF(TRIM($G2757)="","",IF(COUNTIF(LISTS!$I$2:$I$16,TRIM($G2757))&gt;0,"COUNTED",IF(COUNTIF(LISTS!$J$2:$J$16,TRIM($G2757))&gt;0,"LEFT OUT","NEW")))</f>
        <v/>
      </c>
    </row>
    <row r="2758" spans="47:47" x14ac:dyDescent="0.25">
      <c r="AU2758" s="8" t="str">
        <f>IF(TRIM($G2758)="","",IF(COUNTIF(LISTS!$I$2:$I$16,TRIM($G2758))&gt;0,"COUNTED",IF(COUNTIF(LISTS!$J$2:$J$16,TRIM($G2758))&gt;0,"LEFT OUT","NEW")))</f>
        <v/>
      </c>
    </row>
    <row r="2759" spans="47:47" x14ac:dyDescent="0.25">
      <c r="AU2759" s="8" t="str">
        <f>IF(TRIM($G2759)="","",IF(COUNTIF(LISTS!$I$2:$I$16,TRIM($G2759))&gt;0,"COUNTED",IF(COUNTIF(LISTS!$J$2:$J$16,TRIM($G2759))&gt;0,"LEFT OUT","NEW")))</f>
        <v/>
      </c>
    </row>
    <row r="2760" spans="47:47" x14ac:dyDescent="0.25">
      <c r="AU2760" s="8" t="str">
        <f>IF(TRIM($G2760)="","",IF(COUNTIF(LISTS!$I$2:$I$16,TRIM($G2760))&gt;0,"COUNTED",IF(COUNTIF(LISTS!$J$2:$J$16,TRIM($G2760))&gt;0,"LEFT OUT","NEW")))</f>
        <v/>
      </c>
    </row>
    <row r="2761" spans="47:47" x14ac:dyDescent="0.25">
      <c r="AU2761" s="8" t="str">
        <f>IF(TRIM($G2761)="","",IF(COUNTIF(LISTS!$I$2:$I$16,TRIM($G2761))&gt;0,"COUNTED",IF(COUNTIF(LISTS!$J$2:$J$16,TRIM($G2761))&gt;0,"LEFT OUT","NEW")))</f>
        <v/>
      </c>
    </row>
    <row r="2762" spans="47:47" x14ac:dyDescent="0.25">
      <c r="AU2762" s="8" t="str">
        <f>IF(TRIM($G2762)="","",IF(COUNTIF(LISTS!$I$2:$I$16,TRIM($G2762))&gt;0,"COUNTED",IF(COUNTIF(LISTS!$J$2:$J$16,TRIM($G2762))&gt;0,"LEFT OUT","NEW")))</f>
        <v/>
      </c>
    </row>
    <row r="2763" spans="47:47" x14ac:dyDescent="0.25">
      <c r="AU2763" s="8" t="str">
        <f>IF(TRIM($G2763)="","",IF(COUNTIF(LISTS!$I$2:$I$16,TRIM($G2763))&gt;0,"COUNTED",IF(COUNTIF(LISTS!$J$2:$J$16,TRIM($G2763))&gt;0,"LEFT OUT","NEW")))</f>
        <v/>
      </c>
    </row>
    <row r="2764" spans="47:47" x14ac:dyDescent="0.25">
      <c r="AU2764" s="8" t="str">
        <f>IF(TRIM($G2764)="","",IF(COUNTIF(LISTS!$I$2:$I$16,TRIM($G2764))&gt;0,"COUNTED",IF(COUNTIF(LISTS!$J$2:$J$16,TRIM($G2764))&gt;0,"LEFT OUT","NEW")))</f>
        <v/>
      </c>
    </row>
    <row r="2765" spans="47:47" x14ac:dyDescent="0.25">
      <c r="AU2765" s="8" t="str">
        <f>IF(TRIM($G2765)="","",IF(COUNTIF(LISTS!$I$2:$I$16,TRIM($G2765))&gt;0,"COUNTED",IF(COUNTIF(LISTS!$J$2:$J$16,TRIM($G2765))&gt;0,"LEFT OUT","NEW")))</f>
        <v/>
      </c>
    </row>
    <row r="2766" spans="47:47" x14ac:dyDescent="0.25">
      <c r="AU2766" s="8" t="str">
        <f>IF(TRIM($G2766)="","",IF(COUNTIF(LISTS!$I$2:$I$16,TRIM($G2766))&gt;0,"COUNTED",IF(COUNTIF(LISTS!$J$2:$J$16,TRIM($G2766))&gt;0,"LEFT OUT","NEW")))</f>
        <v/>
      </c>
    </row>
    <row r="2767" spans="47:47" x14ac:dyDescent="0.25">
      <c r="AU2767" s="8" t="str">
        <f>IF(TRIM($G2767)="","",IF(COUNTIF(LISTS!$I$2:$I$16,TRIM($G2767))&gt;0,"COUNTED",IF(COUNTIF(LISTS!$J$2:$J$16,TRIM($G2767))&gt;0,"LEFT OUT","NEW")))</f>
        <v/>
      </c>
    </row>
    <row r="2768" spans="47:47" x14ac:dyDescent="0.25">
      <c r="AU2768" s="8" t="str">
        <f>IF(TRIM($G2768)="","",IF(COUNTIF(LISTS!$I$2:$I$16,TRIM($G2768))&gt;0,"COUNTED",IF(COUNTIF(LISTS!$J$2:$J$16,TRIM($G2768))&gt;0,"LEFT OUT","NEW")))</f>
        <v/>
      </c>
    </row>
    <row r="2769" spans="47:47" x14ac:dyDescent="0.25">
      <c r="AU2769" s="8" t="str">
        <f>IF(TRIM($G2769)="","",IF(COUNTIF(LISTS!$I$2:$I$16,TRIM($G2769))&gt;0,"COUNTED",IF(COUNTIF(LISTS!$J$2:$J$16,TRIM($G2769))&gt;0,"LEFT OUT","NEW")))</f>
        <v/>
      </c>
    </row>
    <row r="2770" spans="47:47" x14ac:dyDescent="0.25">
      <c r="AU2770" s="8" t="str">
        <f>IF(TRIM($G2770)="","",IF(COUNTIF(LISTS!$I$2:$I$16,TRIM($G2770))&gt;0,"COUNTED",IF(COUNTIF(LISTS!$J$2:$J$16,TRIM($G2770))&gt;0,"LEFT OUT","NEW")))</f>
        <v/>
      </c>
    </row>
    <row r="2771" spans="47:47" x14ac:dyDescent="0.25">
      <c r="AU2771" s="8" t="str">
        <f>IF(TRIM($G2771)="","",IF(COUNTIF(LISTS!$I$2:$I$16,TRIM($G2771))&gt;0,"COUNTED",IF(COUNTIF(LISTS!$J$2:$J$16,TRIM($G2771))&gt;0,"LEFT OUT","NEW")))</f>
        <v/>
      </c>
    </row>
    <row r="2772" spans="47:47" x14ac:dyDescent="0.25">
      <c r="AU2772" s="8" t="str">
        <f>IF(TRIM($G2772)="","",IF(COUNTIF(LISTS!$I$2:$I$16,TRIM($G2772))&gt;0,"COUNTED",IF(COUNTIF(LISTS!$J$2:$J$16,TRIM($G2772))&gt;0,"LEFT OUT","NEW")))</f>
        <v/>
      </c>
    </row>
    <row r="2773" spans="47:47" x14ac:dyDescent="0.25">
      <c r="AU2773" s="8" t="str">
        <f>IF(TRIM($G2773)="","",IF(COUNTIF(LISTS!$I$2:$I$16,TRIM($G2773))&gt;0,"COUNTED",IF(COUNTIF(LISTS!$J$2:$J$16,TRIM($G2773))&gt;0,"LEFT OUT","NEW")))</f>
        <v/>
      </c>
    </row>
    <row r="2774" spans="47:47" x14ac:dyDescent="0.25">
      <c r="AU2774" s="8" t="str">
        <f>IF(TRIM($G2774)="","",IF(COUNTIF(LISTS!$I$2:$I$16,TRIM($G2774))&gt;0,"COUNTED",IF(COUNTIF(LISTS!$J$2:$J$16,TRIM($G2774))&gt;0,"LEFT OUT","NEW")))</f>
        <v/>
      </c>
    </row>
    <row r="2775" spans="47:47" x14ac:dyDescent="0.25">
      <c r="AU2775" s="8" t="str">
        <f>IF(TRIM($G2775)="","",IF(COUNTIF(LISTS!$I$2:$I$16,TRIM($G2775))&gt;0,"COUNTED",IF(COUNTIF(LISTS!$J$2:$J$16,TRIM($G2775))&gt;0,"LEFT OUT","NEW")))</f>
        <v/>
      </c>
    </row>
    <row r="2776" spans="47:47" x14ac:dyDescent="0.25">
      <c r="AU2776" s="8" t="str">
        <f>IF(TRIM($G2776)="","",IF(COUNTIF(LISTS!$I$2:$I$16,TRIM($G2776))&gt;0,"COUNTED",IF(COUNTIF(LISTS!$J$2:$J$16,TRIM($G2776))&gt;0,"LEFT OUT","NEW")))</f>
        <v/>
      </c>
    </row>
    <row r="2777" spans="47:47" x14ac:dyDescent="0.25">
      <c r="AU2777" s="8" t="str">
        <f>IF(TRIM($G2777)="","",IF(COUNTIF(LISTS!$I$2:$I$16,TRIM($G2777))&gt;0,"COUNTED",IF(COUNTIF(LISTS!$J$2:$J$16,TRIM($G2777))&gt;0,"LEFT OUT","NEW")))</f>
        <v/>
      </c>
    </row>
    <row r="2778" spans="47:47" x14ac:dyDescent="0.25">
      <c r="AU2778" s="8" t="str">
        <f>IF(TRIM($G2778)="","",IF(COUNTIF(LISTS!$I$2:$I$16,TRIM($G2778))&gt;0,"COUNTED",IF(COUNTIF(LISTS!$J$2:$J$16,TRIM($G2778))&gt;0,"LEFT OUT","NEW")))</f>
        <v/>
      </c>
    </row>
    <row r="2779" spans="47:47" x14ac:dyDescent="0.25">
      <c r="AU2779" s="8" t="str">
        <f>IF(TRIM($G2779)="","",IF(COUNTIF(LISTS!$I$2:$I$16,TRIM($G2779))&gt;0,"COUNTED",IF(COUNTIF(LISTS!$J$2:$J$16,TRIM($G2779))&gt;0,"LEFT OUT","NEW")))</f>
        <v/>
      </c>
    </row>
    <row r="2780" spans="47:47" x14ac:dyDescent="0.25">
      <c r="AU2780" s="8" t="str">
        <f>IF(TRIM($G2780)="","",IF(COUNTIF(LISTS!$I$2:$I$16,TRIM($G2780))&gt;0,"COUNTED",IF(COUNTIF(LISTS!$J$2:$J$16,TRIM($G2780))&gt;0,"LEFT OUT","NEW")))</f>
        <v/>
      </c>
    </row>
    <row r="2781" spans="47:47" x14ac:dyDescent="0.25">
      <c r="AU2781" s="8" t="str">
        <f>IF(TRIM($G2781)="","",IF(COUNTIF(LISTS!$I$2:$I$16,TRIM($G2781))&gt;0,"COUNTED",IF(COUNTIF(LISTS!$J$2:$J$16,TRIM($G2781))&gt;0,"LEFT OUT","NEW")))</f>
        <v/>
      </c>
    </row>
    <row r="2782" spans="47:47" x14ac:dyDescent="0.25">
      <c r="AU2782" s="8" t="str">
        <f>IF(TRIM($G2782)="","",IF(COUNTIF(LISTS!$I$2:$I$16,TRIM($G2782))&gt;0,"COUNTED",IF(COUNTIF(LISTS!$J$2:$J$16,TRIM($G2782))&gt;0,"LEFT OUT","NEW")))</f>
        <v/>
      </c>
    </row>
    <row r="2783" spans="47:47" x14ac:dyDescent="0.25">
      <c r="AU2783" s="8" t="str">
        <f>IF(TRIM($G2783)="","",IF(COUNTIF(LISTS!$I$2:$I$16,TRIM($G2783))&gt;0,"COUNTED",IF(COUNTIF(LISTS!$J$2:$J$16,TRIM($G2783))&gt;0,"LEFT OUT","NEW")))</f>
        <v/>
      </c>
    </row>
    <row r="2784" spans="47:47" x14ac:dyDescent="0.25">
      <c r="AU2784" s="8" t="str">
        <f>IF(TRIM($G2784)="","",IF(COUNTIF(LISTS!$I$2:$I$16,TRIM($G2784))&gt;0,"COUNTED",IF(COUNTIF(LISTS!$J$2:$J$16,TRIM($G2784))&gt;0,"LEFT OUT","NEW")))</f>
        <v/>
      </c>
    </row>
    <row r="2785" spans="47:47" x14ac:dyDescent="0.25">
      <c r="AU2785" s="8" t="str">
        <f>IF(TRIM($G2785)="","",IF(COUNTIF(LISTS!$I$2:$I$16,TRIM($G2785))&gt;0,"COUNTED",IF(COUNTIF(LISTS!$J$2:$J$16,TRIM($G2785))&gt;0,"LEFT OUT","NEW")))</f>
        <v/>
      </c>
    </row>
    <row r="2786" spans="47:47" x14ac:dyDescent="0.25">
      <c r="AU2786" s="8" t="str">
        <f>IF(TRIM($G2786)="","",IF(COUNTIF(LISTS!$I$2:$I$16,TRIM($G2786))&gt;0,"COUNTED",IF(COUNTIF(LISTS!$J$2:$J$16,TRIM($G2786))&gt;0,"LEFT OUT","NEW")))</f>
        <v/>
      </c>
    </row>
    <row r="2787" spans="47:47" x14ac:dyDescent="0.25">
      <c r="AU2787" s="8" t="str">
        <f>IF(TRIM($G2787)="","",IF(COUNTIF(LISTS!$I$2:$I$16,TRIM($G2787))&gt;0,"COUNTED",IF(COUNTIF(LISTS!$J$2:$J$16,TRIM($G2787))&gt;0,"LEFT OUT","NEW")))</f>
        <v/>
      </c>
    </row>
    <row r="2788" spans="47:47" x14ac:dyDescent="0.25">
      <c r="AU2788" s="8" t="str">
        <f>IF(TRIM($G2788)="","",IF(COUNTIF(LISTS!$I$2:$I$16,TRIM($G2788))&gt;0,"COUNTED",IF(COUNTIF(LISTS!$J$2:$J$16,TRIM($G2788))&gt;0,"LEFT OUT","NEW")))</f>
        <v/>
      </c>
    </row>
    <row r="2789" spans="47:47" x14ac:dyDescent="0.25">
      <c r="AU2789" s="8" t="str">
        <f>IF(TRIM($G2789)="","",IF(COUNTIF(LISTS!$I$2:$I$16,TRIM($G2789))&gt;0,"COUNTED",IF(COUNTIF(LISTS!$J$2:$J$16,TRIM($G2789))&gt;0,"LEFT OUT","NEW")))</f>
        <v/>
      </c>
    </row>
    <row r="2790" spans="47:47" x14ac:dyDescent="0.25">
      <c r="AU2790" s="8" t="str">
        <f>IF(TRIM($G2790)="","",IF(COUNTIF(LISTS!$I$2:$I$16,TRIM($G2790))&gt;0,"COUNTED",IF(COUNTIF(LISTS!$J$2:$J$16,TRIM($G2790))&gt;0,"LEFT OUT","NEW")))</f>
        <v/>
      </c>
    </row>
    <row r="2791" spans="47:47" x14ac:dyDescent="0.25">
      <c r="AU2791" s="8" t="str">
        <f>IF(TRIM($G2791)="","",IF(COUNTIF(LISTS!$I$2:$I$16,TRIM($G2791))&gt;0,"COUNTED",IF(COUNTIF(LISTS!$J$2:$J$16,TRIM($G2791))&gt;0,"LEFT OUT","NEW")))</f>
        <v/>
      </c>
    </row>
    <row r="2792" spans="47:47" x14ac:dyDescent="0.25">
      <c r="AU2792" s="8" t="str">
        <f>IF(TRIM($G2792)="","",IF(COUNTIF(LISTS!$I$2:$I$16,TRIM($G2792))&gt;0,"COUNTED",IF(COUNTIF(LISTS!$J$2:$J$16,TRIM($G2792))&gt;0,"LEFT OUT","NEW")))</f>
        <v/>
      </c>
    </row>
    <row r="2793" spans="47:47" x14ac:dyDescent="0.25">
      <c r="AU2793" s="8" t="str">
        <f>IF(TRIM($G2793)="","",IF(COUNTIF(LISTS!$I$2:$I$16,TRIM($G2793))&gt;0,"COUNTED",IF(COUNTIF(LISTS!$J$2:$J$16,TRIM($G2793))&gt;0,"LEFT OUT","NEW")))</f>
        <v/>
      </c>
    </row>
    <row r="2794" spans="47:47" x14ac:dyDescent="0.25">
      <c r="AU2794" s="8" t="str">
        <f>IF(TRIM($G2794)="","",IF(COUNTIF(LISTS!$I$2:$I$16,TRIM($G2794))&gt;0,"COUNTED",IF(COUNTIF(LISTS!$J$2:$J$16,TRIM($G2794))&gt;0,"LEFT OUT","NEW")))</f>
        <v/>
      </c>
    </row>
    <row r="2795" spans="47:47" x14ac:dyDescent="0.25">
      <c r="AU2795" s="8" t="str">
        <f>IF(TRIM($G2795)="","",IF(COUNTIF(LISTS!$I$2:$I$16,TRIM($G2795))&gt;0,"COUNTED",IF(COUNTIF(LISTS!$J$2:$J$16,TRIM($G2795))&gt;0,"LEFT OUT","NEW")))</f>
        <v/>
      </c>
    </row>
    <row r="2796" spans="47:47" x14ac:dyDescent="0.25">
      <c r="AU2796" s="8" t="str">
        <f>IF(TRIM($G2796)="","",IF(COUNTIF(LISTS!$I$2:$I$16,TRIM($G2796))&gt;0,"COUNTED",IF(COUNTIF(LISTS!$J$2:$J$16,TRIM($G2796))&gt;0,"LEFT OUT","NEW")))</f>
        <v/>
      </c>
    </row>
    <row r="2797" spans="47:47" x14ac:dyDescent="0.25">
      <c r="AU2797" s="8" t="str">
        <f>IF(TRIM($G2797)="","",IF(COUNTIF(LISTS!$I$2:$I$16,TRIM($G2797))&gt;0,"COUNTED",IF(COUNTIF(LISTS!$J$2:$J$16,TRIM($G2797))&gt;0,"LEFT OUT","NEW")))</f>
        <v/>
      </c>
    </row>
    <row r="2798" spans="47:47" x14ac:dyDescent="0.25">
      <c r="AU2798" s="8" t="str">
        <f>IF(TRIM($G2798)="","",IF(COUNTIF(LISTS!$I$2:$I$16,TRIM($G2798))&gt;0,"COUNTED",IF(COUNTIF(LISTS!$J$2:$J$16,TRIM($G2798))&gt;0,"LEFT OUT","NEW")))</f>
        <v/>
      </c>
    </row>
    <row r="2799" spans="47:47" x14ac:dyDescent="0.25">
      <c r="AU2799" s="8" t="str">
        <f>IF(TRIM($G2799)="","",IF(COUNTIF(LISTS!$I$2:$I$16,TRIM($G2799))&gt;0,"COUNTED",IF(COUNTIF(LISTS!$J$2:$J$16,TRIM($G2799))&gt;0,"LEFT OUT","NEW")))</f>
        <v/>
      </c>
    </row>
    <row r="2800" spans="47:47" x14ac:dyDescent="0.25">
      <c r="AU2800" s="8" t="str">
        <f>IF(TRIM($G2800)="","",IF(COUNTIF(LISTS!$I$2:$I$16,TRIM($G2800))&gt;0,"COUNTED",IF(COUNTIF(LISTS!$J$2:$J$16,TRIM($G2800))&gt;0,"LEFT OUT","NEW")))</f>
        <v/>
      </c>
    </row>
    <row r="2801" spans="47:47" x14ac:dyDescent="0.25">
      <c r="AU2801" s="8" t="str">
        <f>IF(TRIM($G2801)="","",IF(COUNTIF(LISTS!$I$2:$I$16,TRIM($G2801))&gt;0,"COUNTED",IF(COUNTIF(LISTS!$J$2:$J$16,TRIM($G2801))&gt;0,"LEFT OUT","NEW")))</f>
        <v/>
      </c>
    </row>
    <row r="2802" spans="47:47" x14ac:dyDescent="0.25">
      <c r="AU2802" s="8" t="str">
        <f>IF(TRIM($G2802)="","",IF(COUNTIF(LISTS!$I$2:$I$16,TRIM($G2802))&gt;0,"COUNTED",IF(COUNTIF(LISTS!$J$2:$J$16,TRIM($G2802))&gt;0,"LEFT OUT","NEW")))</f>
        <v/>
      </c>
    </row>
    <row r="2803" spans="47:47" x14ac:dyDescent="0.25">
      <c r="AU2803" s="8" t="str">
        <f>IF(TRIM($G2803)="","",IF(COUNTIF(LISTS!$I$2:$I$16,TRIM($G2803))&gt;0,"COUNTED",IF(COUNTIF(LISTS!$J$2:$J$16,TRIM($G2803))&gt;0,"LEFT OUT","NEW")))</f>
        <v/>
      </c>
    </row>
    <row r="2804" spans="47:47" x14ac:dyDescent="0.25">
      <c r="AU2804" s="8" t="str">
        <f>IF(TRIM($G2804)="","",IF(COUNTIF(LISTS!$I$2:$I$16,TRIM($G2804))&gt;0,"COUNTED",IF(COUNTIF(LISTS!$J$2:$J$16,TRIM($G2804))&gt;0,"LEFT OUT","NEW")))</f>
        <v/>
      </c>
    </row>
    <row r="2805" spans="47:47" x14ac:dyDescent="0.25">
      <c r="AU2805" s="8" t="str">
        <f>IF(TRIM($G2805)="","",IF(COUNTIF(LISTS!$I$2:$I$16,TRIM($G2805))&gt;0,"COUNTED",IF(COUNTIF(LISTS!$J$2:$J$16,TRIM($G2805))&gt;0,"LEFT OUT","NEW")))</f>
        <v/>
      </c>
    </row>
    <row r="2806" spans="47:47" x14ac:dyDescent="0.25">
      <c r="AU2806" s="8" t="str">
        <f>IF(TRIM($G2806)="","",IF(COUNTIF(LISTS!$I$2:$I$16,TRIM($G2806))&gt;0,"COUNTED",IF(COUNTIF(LISTS!$J$2:$J$16,TRIM($G2806))&gt;0,"LEFT OUT","NEW")))</f>
        <v/>
      </c>
    </row>
    <row r="2807" spans="47:47" x14ac:dyDescent="0.25">
      <c r="AU2807" s="8" t="str">
        <f>IF(TRIM($G2807)="","",IF(COUNTIF(LISTS!$I$2:$I$16,TRIM($G2807))&gt;0,"COUNTED",IF(COUNTIF(LISTS!$J$2:$J$16,TRIM($G2807))&gt;0,"LEFT OUT","NEW")))</f>
        <v/>
      </c>
    </row>
    <row r="2808" spans="47:47" x14ac:dyDescent="0.25">
      <c r="AU2808" s="8" t="str">
        <f>IF(TRIM($G2808)="","",IF(COUNTIF(LISTS!$I$2:$I$16,TRIM($G2808))&gt;0,"COUNTED",IF(COUNTIF(LISTS!$J$2:$J$16,TRIM($G2808))&gt;0,"LEFT OUT","NEW")))</f>
        <v/>
      </c>
    </row>
    <row r="2809" spans="47:47" x14ac:dyDescent="0.25">
      <c r="AU2809" s="8" t="str">
        <f>IF(TRIM($G2809)="","",IF(COUNTIF(LISTS!$I$2:$I$16,TRIM($G2809))&gt;0,"COUNTED",IF(COUNTIF(LISTS!$J$2:$J$16,TRIM($G2809))&gt;0,"LEFT OUT","NEW")))</f>
        <v/>
      </c>
    </row>
    <row r="2810" spans="47:47" x14ac:dyDescent="0.25">
      <c r="AU2810" s="8" t="str">
        <f>IF(TRIM($G2810)="","",IF(COUNTIF(LISTS!$I$2:$I$16,TRIM($G2810))&gt;0,"COUNTED",IF(COUNTIF(LISTS!$J$2:$J$16,TRIM($G2810))&gt;0,"LEFT OUT","NEW")))</f>
        <v/>
      </c>
    </row>
    <row r="2811" spans="47:47" x14ac:dyDescent="0.25">
      <c r="AU2811" s="8" t="str">
        <f>IF(TRIM($G2811)="","",IF(COUNTIF(LISTS!$I$2:$I$16,TRIM($G2811))&gt;0,"COUNTED",IF(COUNTIF(LISTS!$J$2:$J$16,TRIM($G2811))&gt;0,"LEFT OUT","NEW")))</f>
        <v/>
      </c>
    </row>
    <row r="2812" spans="47:47" x14ac:dyDescent="0.25">
      <c r="AU2812" s="8" t="str">
        <f>IF(TRIM($G2812)="","",IF(COUNTIF(LISTS!$I$2:$I$16,TRIM($G2812))&gt;0,"COUNTED",IF(COUNTIF(LISTS!$J$2:$J$16,TRIM($G2812))&gt;0,"LEFT OUT","NEW")))</f>
        <v/>
      </c>
    </row>
    <row r="2813" spans="47:47" x14ac:dyDescent="0.25">
      <c r="AU2813" s="8" t="str">
        <f>IF(TRIM($G2813)="","",IF(COUNTIF(LISTS!$I$2:$I$16,TRIM($G2813))&gt;0,"COUNTED",IF(COUNTIF(LISTS!$J$2:$J$16,TRIM($G2813))&gt;0,"LEFT OUT","NEW")))</f>
        <v/>
      </c>
    </row>
    <row r="2814" spans="47:47" x14ac:dyDescent="0.25">
      <c r="AU2814" s="8" t="str">
        <f>IF(TRIM($G2814)="","",IF(COUNTIF(LISTS!$I$2:$I$16,TRIM($G2814))&gt;0,"COUNTED",IF(COUNTIF(LISTS!$J$2:$J$16,TRIM($G2814))&gt;0,"LEFT OUT","NEW")))</f>
        <v/>
      </c>
    </row>
    <row r="2815" spans="47:47" x14ac:dyDescent="0.25">
      <c r="AU2815" s="8" t="str">
        <f>IF(TRIM($G2815)="","",IF(COUNTIF(LISTS!$I$2:$I$16,TRIM($G2815))&gt;0,"COUNTED",IF(COUNTIF(LISTS!$J$2:$J$16,TRIM($G2815))&gt;0,"LEFT OUT","NEW")))</f>
        <v/>
      </c>
    </row>
    <row r="2816" spans="47:47" x14ac:dyDescent="0.25">
      <c r="AU2816" s="8" t="str">
        <f>IF(TRIM($G2816)="","",IF(COUNTIF(LISTS!$I$2:$I$16,TRIM($G2816))&gt;0,"COUNTED",IF(COUNTIF(LISTS!$J$2:$J$16,TRIM($G2816))&gt;0,"LEFT OUT","NEW")))</f>
        <v/>
      </c>
    </row>
    <row r="2817" spans="47:47" x14ac:dyDescent="0.25">
      <c r="AU2817" s="8" t="str">
        <f>IF(TRIM($G2817)="","",IF(COUNTIF(LISTS!$I$2:$I$16,TRIM($G2817))&gt;0,"COUNTED",IF(COUNTIF(LISTS!$J$2:$J$16,TRIM($G2817))&gt;0,"LEFT OUT","NEW")))</f>
        <v/>
      </c>
    </row>
    <row r="2818" spans="47:47" x14ac:dyDescent="0.25">
      <c r="AU2818" s="8" t="str">
        <f>IF(TRIM($G2818)="","",IF(COUNTIF(LISTS!$I$2:$I$16,TRIM($G2818))&gt;0,"COUNTED",IF(COUNTIF(LISTS!$J$2:$J$16,TRIM($G2818))&gt;0,"LEFT OUT","NEW")))</f>
        <v/>
      </c>
    </row>
    <row r="2819" spans="47:47" x14ac:dyDescent="0.25">
      <c r="AU2819" s="8" t="str">
        <f>IF(TRIM($G2819)="","",IF(COUNTIF(LISTS!$I$2:$I$16,TRIM($G2819))&gt;0,"COUNTED",IF(COUNTIF(LISTS!$J$2:$J$16,TRIM($G2819))&gt;0,"LEFT OUT","NEW")))</f>
        <v/>
      </c>
    </row>
    <row r="2820" spans="47:47" x14ac:dyDescent="0.25">
      <c r="AU2820" s="8" t="str">
        <f>IF(TRIM($G2820)="","",IF(COUNTIF(LISTS!$I$2:$I$16,TRIM($G2820))&gt;0,"COUNTED",IF(COUNTIF(LISTS!$J$2:$J$16,TRIM($G2820))&gt;0,"LEFT OUT","NEW")))</f>
        <v/>
      </c>
    </row>
    <row r="2821" spans="47:47" x14ac:dyDescent="0.25">
      <c r="AU2821" s="8" t="str">
        <f>IF(TRIM($G2821)="","",IF(COUNTIF(LISTS!$I$2:$I$16,TRIM($G2821))&gt;0,"COUNTED",IF(COUNTIF(LISTS!$J$2:$J$16,TRIM($G2821))&gt;0,"LEFT OUT","NEW")))</f>
        <v/>
      </c>
    </row>
    <row r="2822" spans="47:47" x14ac:dyDescent="0.25">
      <c r="AU2822" s="8" t="str">
        <f>IF(TRIM($G2822)="","",IF(COUNTIF(LISTS!$I$2:$I$16,TRIM($G2822))&gt;0,"COUNTED",IF(COUNTIF(LISTS!$J$2:$J$16,TRIM($G2822))&gt;0,"LEFT OUT","NEW")))</f>
        <v/>
      </c>
    </row>
    <row r="2823" spans="47:47" x14ac:dyDescent="0.25">
      <c r="AU2823" s="8" t="str">
        <f>IF(TRIM($G2823)="","",IF(COUNTIF(LISTS!$I$2:$I$16,TRIM($G2823))&gt;0,"COUNTED",IF(COUNTIF(LISTS!$J$2:$J$16,TRIM($G2823))&gt;0,"LEFT OUT","NEW")))</f>
        <v/>
      </c>
    </row>
    <row r="2824" spans="47:47" x14ac:dyDescent="0.25">
      <c r="AU2824" s="8" t="str">
        <f>IF(TRIM($G2824)="","",IF(COUNTIF(LISTS!$I$2:$I$16,TRIM($G2824))&gt;0,"COUNTED",IF(COUNTIF(LISTS!$J$2:$J$16,TRIM($G2824))&gt;0,"LEFT OUT","NEW")))</f>
        <v/>
      </c>
    </row>
    <row r="2825" spans="47:47" x14ac:dyDescent="0.25">
      <c r="AU2825" s="8" t="str">
        <f>IF(TRIM($G2825)="","",IF(COUNTIF(LISTS!$I$2:$I$16,TRIM($G2825))&gt;0,"COUNTED",IF(COUNTIF(LISTS!$J$2:$J$16,TRIM($G2825))&gt;0,"LEFT OUT","NEW")))</f>
        <v/>
      </c>
    </row>
    <row r="2826" spans="47:47" x14ac:dyDescent="0.25">
      <c r="AU2826" s="8" t="str">
        <f>IF(TRIM($G2826)="","",IF(COUNTIF(LISTS!$I$2:$I$16,TRIM($G2826))&gt;0,"COUNTED",IF(COUNTIF(LISTS!$J$2:$J$16,TRIM($G2826))&gt;0,"LEFT OUT","NEW")))</f>
        <v/>
      </c>
    </row>
    <row r="2827" spans="47:47" x14ac:dyDescent="0.25">
      <c r="AU2827" s="8" t="str">
        <f>IF(TRIM($G2827)="","",IF(COUNTIF(LISTS!$I$2:$I$16,TRIM($G2827))&gt;0,"COUNTED",IF(COUNTIF(LISTS!$J$2:$J$16,TRIM($G2827))&gt;0,"LEFT OUT","NEW")))</f>
        <v/>
      </c>
    </row>
    <row r="2828" spans="47:47" x14ac:dyDescent="0.25">
      <c r="AU2828" s="8" t="str">
        <f>IF(TRIM($G2828)="","",IF(COUNTIF(LISTS!$I$2:$I$16,TRIM($G2828))&gt;0,"COUNTED",IF(COUNTIF(LISTS!$J$2:$J$16,TRIM($G2828))&gt;0,"LEFT OUT","NEW")))</f>
        <v/>
      </c>
    </row>
    <row r="2829" spans="47:47" x14ac:dyDescent="0.25">
      <c r="AU2829" s="8" t="str">
        <f>IF(TRIM($G2829)="","",IF(COUNTIF(LISTS!$I$2:$I$16,TRIM($G2829))&gt;0,"COUNTED",IF(COUNTIF(LISTS!$J$2:$J$16,TRIM($G2829))&gt;0,"LEFT OUT","NEW")))</f>
        <v/>
      </c>
    </row>
    <row r="2830" spans="47:47" x14ac:dyDescent="0.25">
      <c r="AU2830" s="8" t="str">
        <f>IF(TRIM($G2830)="","",IF(COUNTIF(LISTS!$I$2:$I$16,TRIM($G2830))&gt;0,"COUNTED",IF(COUNTIF(LISTS!$J$2:$J$16,TRIM($G2830))&gt;0,"LEFT OUT","NEW")))</f>
        <v/>
      </c>
    </row>
    <row r="2831" spans="47:47" x14ac:dyDescent="0.25">
      <c r="AU2831" s="8" t="str">
        <f>IF(TRIM($G2831)="","",IF(COUNTIF(LISTS!$I$2:$I$16,TRIM($G2831))&gt;0,"COUNTED",IF(COUNTIF(LISTS!$J$2:$J$16,TRIM($G2831))&gt;0,"LEFT OUT","NEW")))</f>
        <v/>
      </c>
    </row>
    <row r="2832" spans="47:47" x14ac:dyDescent="0.25">
      <c r="AU2832" s="8" t="str">
        <f>IF(TRIM($G2832)="","",IF(COUNTIF(LISTS!$I$2:$I$16,TRIM($G2832))&gt;0,"COUNTED",IF(COUNTIF(LISTS!$J$2:$J$16,TRIM($G2832))&gt;0,"LEFT OUT","NEW")))</f>
        <v/>
      </c>
    </row>
    <row r="2833" spans="47:47" x14ac:dyDescent="0.25">
      <c r="AU2833" s="8" t="str">
        <f>IF(TRIM($G2833)="","",IF(COUNTIF(LISTS!$I$2:$I$16,TRIM($G2833))&gt;0,"COUNTED",IF(COUNTIF(LISTS!$J$2:$J$16,TRIM($G2833))&gt;0,"LEFT OUT","NEW")))</f>
        <v/>
      </c>
    </row>
    <row r="2834" spans="47:47" x14ac:dyDescent="0.25">
      <c r="AU2834" s="8" t="str">
        <f>IF(TRIM($G2834)="","",IF(COUNTIF(LISTS!$I$2:$I$16,TRIM($G2834))&gt;0,"COUNTED",IF(COUNTIF(LISTS!$J$2:$J$16,TRIM($G2834))&gt;0,"LEFT OUT","NEW")))</f>
        <v/>
      </c>
    </row>
    <row r="2835" spans="47:47" x14ac:dyDescent="0.25">
      <c r="AU2835" s="8" t="str">
        <f>IF(TRIM($G2835)="","",IF(COUNTIF(LISTS!$I$2:$I$16,TRIM($G2835))&gt;0,"COUNTED",IF(COUNTIF(LISTS!$J$2:$J$16,TRIM($G2835))&gt;0,"LEFT OUT","NEW")))</f>
        <v/>
      </c>
    </row>
    <row r="2836" spans="47:47" x14ac:dyDescent="0.25">
      <c r="AU2836" s="8" t="str">
        <f>IF(TRIM($G2836)="","",IF(COUNTIF(LISTS!$I$2:$I$16,TRIM($G2836))&gt;0,"COUNTED",IF(COUNTIF(LISTS!$J$2:$J$16,TRIM($G2836))&gt;0,"LEFT OUT","NEW")))</f>
        <v/>
      </c>
    </row>
    <row r="2837" spans="47:47" x14ac:dyDescent="0.25">
      <c r="AU2837" s="8" t="str">
        <f>IF(TRIM($G2837)="","",IF(COUNTIF(LISTS!$I$2:$I$16,TRIM($G2837))&gt;0,"COUNTED",IF(COUNTIF(LISTS!$J$2:$J$16,TRIM($G2837))&gt;0,"LEFT OUT","NEW")))</f>
        <v/>
      </c>
    </row>
    <row r="2838" spans="47:47" x14ac:dyDescent="0.25">
      <c r="AU2838" s="8" t="str">
        <f>IF(TRIM($G2838)="","",IF(COUNTIF(LISTS!$I$2:$I$16,TRIM($G2838))&gt;0,"COUNTED",IF(COUNTIF(LISTS!$J$2:$J$16,TRIM($G2838))&gt;0,"LEFT OUT","NEW")))</f>
        <v/>
      </c>
    </row>
    <row r="2839" spans="47:47" x14ac:dyDescent="0.25">
      <c r="AU2839" s="8" t="str">
        <f>IF(TRIM($G2839)="","",IF(COUNTIF(LISTS!$I$2:$I$16,TRIM($G2839))&gt;0,"COUNTED",IF(COUNTIF(LISTS!$J$2:$J$16,TRIM($G2839))&gt;0,"LEFT OUT","NEW")))</f>
        <v/>
      </c>
    </row>
    <row r="2840" spans="47:47" x14ac:dyDescent="0.25">
      <c r="AU2840" s="8" t="str">
        <f>IF(TRIM($G2840)="","",IF(COUNTIF(LISTS!$I$2:$I$16,TRIM($G2840))&gt;0,"COUNTED",IF(COUNTIF(LISTS!$J$2:$J$16,TRIM($G2840))&gt;0,"LEFT OUT","NEW")))</f>
        <v/>
      </c>
    </row>
    <row r="2841" spans="47:47" x14ac:dyDescent="0.25">
      <c r="AU2841" s="8" t="str">
        <f>IF(TRIM($G2841)="","",IF(COUNTIF(LISTS!$I$2:$I$16,TRIM($G2841))&gt;0,"COUNTED",IF(COUNTIF(LISTS!$J$2:$J$16,TRIM($G2841))&gt;0,"LEFT OUT","NEW")))</f>
        <v/>
      </c>
    </row>
    <row r="2842" spans="47:47" x14ac:dyDescent="0.25">
      <c r="AU2842" s="8" t="str">
        <f>IF(TRIM($G2842)="","",IF(COUNTIF(LISTS!$I$2:$I$16,TRIM($G2842))&gt;0,"COUNTED",IF(COUNTIF(LISTS!$J$2:$J$16,TRIM($G2842))&gt;0,"LEFT OUT","NEW")))</f>
        <v/>
      </c>
    </row>
    <row r="2843" spans="47:47" x14ac:dyDescent="0.25">
      <c r="AU2843" s="8" t="str">
        <f>IF(TRIM($G2843)="","",IF(COUNTIF(LISTS!$I$2:$I$16,TRIM($G2843))&gt;0,"COUNTED",IF(COUNTIF(LISTS!$J$2:$J$16,TRIM($G2843))&gt;0,"LEFT OUT","NEW")))</f>
        <v/>
      </c>
    </row>
    <row r="2844" spans="47:47" x14ac:dyDescent="0.25">
      <c r="AU2844" s="8" t="str">
        <f>IF(TRIM($G2844)="","",IF(COUNTIF(LISTS!$I$2:$I$16,TRIM($G2844))&gt;0,"COUNTED",IF(COUNTIF(LISTS!$J$2:$J$16,TRIM($G2844))&gt;0,"LEFT OUT","NEW")))</f>
        <v/>
      </c>
    </row>
    <row r="2845" spans="47:47" x14ac:dyDescent="0.25">
      <c r="AU2845" s="8" t="str">
        <f>IF(TRIM($G2845)="","",IF(COUNTIF(LISTS!$I$2:$I$16,TRIM($G2845))&gt;0,"COUNTED",IF(COUNTIF(LISTS!$J$2:$J$16,TRIM($G2845))&gt;0,"LEFT OUT","NEW")))</f>
        <v/>
      </c>
    </row>
    <row r="2846" spans="47:47" x14ac:dyDescent="0.25">
      <c r="AU2846" s="8" t="str">
        <f>IF(TRIM($G2846)="","",IF(COUNTIF(LISTS!$I$2:$I$16,TRIM($G2846))&gt;0,"COUNTED",IF(COUNTIF(LISTS!$J$2:$J$16,TRIM($G2846))&gt;0,"LEFT OUT","NEW")))</f>
        <v/>
      </c>
    </row>
    <row r="2847" spans="47:47" x14ac:dyDescent="0.25">
      <c r="AU2847" s="8" t="str">
        <f>IF(TRIM($G2847)="","",IF(COUNTIF(LISTS!$I$2:$I$16,TRIM($G2847))&gt;0,"COUNTED",IF(COUNTIF(LISTS!$J$2:$J$16,TRIM($G2847))&gt;0,"LEFT OUT","NEW")))</f>
        <v/>
      </c>
    </row>
    <row r="2848" spans="47:47" x14ac:dyDescent="0.25">
      <c r="AU2848" s="8" t="str">
        <f>IF(TRIM($G2848)="","",IF(COUNTIF(LISTS!$I$2:$I$16,TRIM($G2848))&gt;0,"COUNTED",IF(COUNTIF(LISTS!$J$2:$J$16,TRIM($G2848))&gt;0,"LEFT OUT","NEW")))</f>
        <v/>
      </c>
    </row>
    <row r="2849" spans="47:47" x14ac:dyDescent="0.25">
      <c r="AU2849" s="8" t="str">
        <f>IF(TRIM($G2849)="","",IF(COUNTIF(LISTS!$I$2:$I$16,TRIM($G2849))&gt;0,"COUNTED",IF(COUNTIF(LISTS!$J$2:$J$16,TRIM($G2849))&gt;0,"LEFT OUT","NEW")))</f>
        <v/>
      </c>
    </row>
    <row r="2850" spans="47:47" x14ac:dyDescent="0.25">
      <c r="AU2850" s="8" t="str">
        <f>IF(TRIM($G2850)="","",IF(COUNTIF(LISTS!$I$2:$I$16,TRIM($G2850))&gt;0,"COUNTED",IF(COUNTIF(LISTS!$J$2:$J$16,TRIM($G2850))&gt;0,"LEFT OUT","NEW")))</f>
        <v/>
      </c>
    </row>
    <row r="2851" spans="47:47" x14ac:dyDescent="0.25">
      <c r="AU2851" s="8" t="str">
        <f>IF(TRIM($G2851)="","",IF(COUNTIF(LISTS!$I$2:$I$16,TRIM($G2851))&gt;0,"COUNTED",IF(COUNTIF(LISTS!$J$2:$J$16,TRIM($G2851))&gt;0,"LEFT OUT","NEW")))</f>
        <v/>
      </c>
    </row>
    <row r="2852" spans="47:47" x14ac:dyDescent="0.25">
      <c r="AU2852" s="8" t="str">
        <f>IF(TRIM($G2852)="","",IF(COUNTIF(LISTS!$I$2:$I$16,TRIM($G2852))&gt;0,"COUNTED",IF(COUNTIF(LISTS!$J$2:$J$16,TRIM($G2852))&gt;0,"LEFT OUT","NEW")))</f>
        <v/>
      </c>
    </row>
    <row r="2853" spans="47:47" x14ac:dyDescent="0.25">
      <c r="AU2853" s="8" t="str">
        <f>IF(TRIM($G2853)="","",IF(COUNTIF(LISTS!$I$2:$I$16,TRIM($G2853))&gt;0,"COUNTED",IF(COUNTIF(LISTS!$J$2:$J$16,TRIM($G2853))&gt;0,"LEFT OUT","NEW")))</f>
        <v/>
      </c>
    </row>
    <row r="2854" spans="47:47" x14ac:dyDescent="0.25">
      <c r="AU2854" s="8" t="str">
        <f>IF(TRIM($G2854)="","",IF(COUNTIF(LISTS!$I$2:$I$16,TRIM($G2854))&gt;0,"COUNTED",IF(COUNTIF(LISTS!$J$2:$J$16,TRIM($G2854))&gt;0,"LEFT OUT","NEW")))</f>
        <v/>
      </c>
    </row>
    <row r="2855" spans="47:47" x14ac:dyDescent="0.25">
      <c r="AU2855" s="8" t="str">
        <f>IF(TRIM($G2855)="","",IF(COUNTIF(LISTS!$I$2:$I$16,TRIM($G2855))&gt;0,"COUNTED",IF(COUNTIF(LISTS!$J$2:$J$16,TRIM($G2855))&gt;0,"LEFT OUT","NEW")))</f>
        <v/>
      </c>
    </row>
    <row r="2856" spans="47:47" x14ac:dyDescent="0.25">
      <c r="AU2856" s="8" t="str">
        <f>IF(TRIM($G2856)="","",IF(COUNTIF(LISTS!$I$2:$I$16,TRIM($G2856))&gt;0,"COUNTED",IF(COUNTIF(LISTS!$J$2:$J$16,TRIM($G2856))&gt;0,"LEFT OUT","NEW")))</f>
        <v/>
      </c>
    </row>
    <row r="2857" spans="47:47" x14ac:dyDescent="0.25">
      <c r="AU2857" s="8" t="str">
        <f>IF(TRIM($G2857)="","",IF(COUNTIF(LISTS!$I$2:$I$16,TRIM($G2857))&gt;0,"COUNTED",IF(COUNTIF(LISTS!$J$2:$J$16,TRIM($G2857))&gt;0,"LEFT OUT","NEW")))</f>
        <v/>
      </c>
    </row>
    <row r="2858" spans="47:47" x14ac:dyDescent="0.25">
      <c r="AU2858" s="8" t="str">
        <f>IF(TRIM($G2858)="","",IF(COUNTIF(LISTS!$I$2:$I$16,TRIM($G2858))&gt;0,"COUNTED",IF(COUNTIF(LISTS!$J$2:$J$16,TRIM($G2858))&gt;0,"LEFT OUT","NEW")))</f>
        <v/>
      </c>
    </row>
    <row r="2859" spans="47:47" x14ac:dyDescent="0.25">
      <c r="AU2859" s="8" t="str">
        <f>IF(TRIM($G2859)="","",IF(COUNTIF(LISTS!$I$2:$I$16,TRIM($G2859))&gt;0,"COUNTED",IF(COUNTIF(LISTS!$J$2:$J$16,TRIM($G2859))&gt;0,"LEFT OUT","NEW")))</f>
        <v/>
      </c>
    </row>
    <row r="2860" spans="47:47" x14ac:dyDescent="0.25">
      <c r="AU2860" s="8" t="str">
        <f>IF(TRIM($G2860)="","",IF(COUNTIF(LISTS!$I$2:$I$16,TRIM($G2860))&gt;0,"COUNTED",IF(COUNTIF(LISTS!$J$2:$J$16,TRIM($G2860))&gt;0,"LEFT OUT","NEW")))</f>
        <v/>
      </c>
    </row>
    <row r="2861" spans="47:47" x14ac:dyDescent="0.25">
      <c r="AU2861" s="8" t="str">
        <f>IF(TRIM($G2861)="","",IF(COUNTIF(LISTS!$I$2:$I$16,TRIM($G2861))&gt;0,"COUNTED",IF(COUNTIF(LISTS!$J$2:$J$16,TRIM($G2861))&gt;0,"LEFT OUT","NEW")))</f>
        <v/>
      </c>
    </row>
    <row r="2862" spans="47:47" x14ac:dyDescent="0.25">
      <c r="AU2862" s="8" t="str">
        <f>IF(TRIM($G2862)="","",IF(COUNTIF(LISTS!$I$2:$I$16,TRIM($G2862))&gt;0,"COUNTED",IF(COUNTIF(LISTS!$J$2:$J$16,TRIM($G2862))&gt;0,"LEFT OUT","NEW")))</f>
        <v/>
      </c>
    </row>
    <row r="2863" spans="47:47" x14ac:dyDescent="0.25">
      <c r="AU2863" s="8" t="str">
        <f>IF(TRIM($G2863)="","",IF(COUNTIF(LISTS!$I$2:$I$16,TRIM($G2863))&gt;0,"COUNTED",IF(COUNTIF(LISTS!$J$2:$J$16,TRIM($G2863))&gt;0,"LEFT OUT","NEW")))</f>
        <v/>
      </c>
    </row>
    <row r="2864" spans="47:47" x14ac:dyDescent="0.25">
      <c r="AU2864" s="8" t="str">
        <f>IF(TRIM($G2864)="","",IF(COUNTIF(LISTS!$I$2:$I$16,TRIM($G2864))&gt;0,"COUNTED",IF(COUNTIF(LISTS!$J$2:$J$16,TRIM($G2864))&gt;0,"LEFT OUT","NEW")))</f>
        <v/>
      </c>
    </row>
    <row r="2865" spans="47:47" x14ac:dyDescent="0.25">
      <c r="AU2865" s="8" t="str">
        <f>IF(TRIM($G2865)="","",IF(COUNTIF(LISTS!$I$2:$I$16,TRIM($G2865))&gt;0,"COUNTED",IF(COUNTIF(LISTS!$J$2:$J$16,TRIM($G2865))&gt;0,"LEFT OUT","NEW")))</f>
        <v/>
      </c>
    </row>
    <row r="2866" spans="47:47" x14ac:dyDescent="0.25">
      <c r="AU2866" s="8" t="str">
        <f>IF(TRIM($G2866)="","",IF(COUNTIF(LISTS!$I$2:$I$16,TRIM($G2866))&gt;0,"COUNTED",IF(COUNTIF(LISTS!$J$2:$J$16,TRIM($G2866))&gt;0,"LEFT OUT","NEW")))</f>
        <v/>
      </c>
    </row>
    <row r="2867" spans="47:47" x14ac:dyDescent="0.25">
      <c r="AU2867" s="8" t="str">
        <f>IF(TRIM($G2867)="","",IF(COUNTIF(LISTS!$I$2:$I$16,TRIM($G2867))&gt;0,"COUNTED",IF(COUNTIF(LISTS!$J$2:$J$16,TRIM($G2867))&gt;0,"LEFT OUT","NEW")))</f>
        <v/>
      </c>
    </row>
    <row r="2868" spans="47:47" x14ac:dyDescent="0.25">
      <c r="AU2868" s="8" t="str">
        <f>IF(TRIM($G2868)="","",IF(COUNTIF(LISTS!$I$2:$I$16,TRIM($G2868))&gt;0,"COUNTED",IF(COUNTIF(LISTS!$J$2:$J$16,TRIM($G2868))&gt;0,"LEFT OUT","NEW")))</f>
        <v/>
      </c>
    </row>
    <row r="2869" spans="47:47" x14ac:dyDescent="0.25">
      <c r="AU2869" s="8" t="str">
        <f>IF(TRIM($G2869)="","",IF(COUNTIF(LISTS!$I$2:$I$16,TRIM($G2869))&gt;0,"COUNTED",IF(COUNTIF(LISTS!$J$2:$J$16,TRIM($G2869))&gt;0,"LEFT OUT","NEW")))</f>
        <v/>
      </c>
    </row>
    <row r="2870" spans="47:47" x14ac:dyDescent="0.25">
      <c r="AU2870" s="8" t="str">
        <f>IF(TRIM($G2870)="","",IF(COUNTIF(LISTS!$I$2:$I$16,TRIM($G2870))&gt;0,"COUNTED",IF(COUNTIF(LISTS!$J$2:$J$16,TRIM($G2870))&gt;0,"LEFT OUT","NEW")))</f>
        <v/>
      </c>
    </row>
    <row r="2871" spans="47:47" x14ac:dyDescent="0.25">
      <c r="AU2871" s="8" t="str">
        <f>IF(TRIM($G2871)="","",IF(COUNTIF(LISTS!$I$2:$I$16,TRIM($G2871))&gt;0,"COUNTED",IF(COUNTIF(LISTS!$J$2:$J$16,TRIM($G2871))&gt;0,"LEFT OUT","NEW")))</f>
        <v/>
      </c>
    </row>
    <row r="2872" spans="47:47" x14ac:dyDescent="0.25">
      <c r="AU2872" s="8" t="str">
        <f>IF(TRIM($G2872)="","",IF(COUNTIF(LISTS!$I$2:$I$16,TRIM($G2872))&gt;0,"COUNTED",IF(COUNTIF(LISTS!$J$2:$J$16,TRIM($G2872))&gt;0,"LEFT OUT","NEW")))</f>
        <v/>
      </c>
    </row>
    <row r="2873" spans="47:47" x14ac:dyDescent="0.25">
      <c r="AU2873" s="8" t="str">
        <f>IF(TRIM($G2873)="","",IF(COUNTIF(LISTS!$I$2:$I$16,TRIM($G2873))&gt;0,"COUNTED",IF(COUNTIF(LISTS!$J$2:$J$16,TRIM($G2873))&gt;0,"LEFT OUT","NEW")))</f>
        <v/>
      </c>
    </row>
    <row r="2874" spans="47:47" x14ac:dyDescent="0.25">
      <c r="AU2874" s="8" t="str">
        <f>IF(TRIM($G2874)="","",IF(COUNTIF(LISTS!$I$2:$I$16,TRIM($G2874))&gt;0,"COUNTED",IF(COUNTIF(LISTS!$J$2:$J$16,TRIM($G2874))&gt;0,"LEFT OUT","NEW")))</f>
        <v/>
      </c>
    </row>
    <row r="2875" spans="47:47" x14ac:dyDescent="0.25">
      <c r="AU2875" s="8" t="str">
        <f>IF(TRIM($G2875)="","",IF(COUNTIF(LISTS!$I$2:$I$16,TRIM($G2875))&gt;0,"COUNTED",IF(COUNTIF(LISTS!$J$2:$J$16,TRIM($G2875))&gt;0,"LEFT OUT","NEW")))</f>
        <v/>
      </c>
    </row>
    <row r="2876" spans="47:47" x14ac:dyDescent="0.25">
      <c r="AU2876" s="8" t="str">
        <f>IF(TRIM($G2876)="","",IF(COUNTIF(LISTS!$I$2:$I$16,TRIM($G2876))&gt;0,"COUNTED",IF(COUNTIF(LISTS!$J$2:$J$16,TRIM($G2876))&gt;0,"LEFT OUT","NEW")))</f>
        <v/>
      </c>
    </row>
    <row r="2877" spans="47:47" x14ac:dyDescent="0.25">
      <c r="AU2877" s="8" t="str">
        <f>IF(TRIM($G2877)="","",IF(COUNTIF(LISTS!$I$2:$I$16,TRIM($G2877))&gt;0,"COUNTED",IF(COUNTIF(LISTS!$J$2:$J$16,TRIM($G2877))&gt;0,"LEFT OUT","NEW")))</f>
        <v/>
      </c>
    </row>
    <row r="2878" spans="47:47" x14ac:dyDescent="0.25">
      <c r="AU2878" s="8" t="str">
        <f>IF(TRIM($G2878)="","",IF(COUNTIF(LISTS!$I$2:$I$16,TRIM($G2878))&gt;0,"COUNTED",IF(COUNTIF(LISTS!$J$2:$J$16,TRIM($G2878))&gt;0,"LEFT OUT","NEW")))</f>
        <v/>
      </c>
    </row>
    <row r="2879" spans="47:47" x14ac:dyDescent="0.25">
      <c r="AU2879" s="8" t="str">
        <f>IF(TRIM($G2879)="","",IF(COUNTIF(LISTS!$I$2:$I$16,TRIM($G2879))&gt;0,"COUNTED",IF(COUNTIF(LISTS!$J$2:$J$16,TRIM($G2879))&gt;0,"LEFT OUT","NEW")))</f>
        <v/>
      </c>
    </row>
    <row r="2880" spans="47:47" x14ac:dyDescent="0.25">
      <c r="AU2880" s="8" t="str">
        <f>IF(TRIM($G2880)="","",IF(COUNTIF(LISTS!$I$2:$I$16,TRIM($G2880))&gt;0,"COUNTED",IF(COUNTIF(LISTS!$J$2:$J$16,TRIM($G2880))&gt;0,"LEFT OUT","NEW")))</f>
        <v/>
      </c>
    </row>
    <row r="2881" spans="47:47" x14ac:dyDescent="0.25">
      <c r="AU2881" s="8" t="str">
        <f>IF(TRIM($G2881)="","",IF(COUNTIF(LISTS!$I$2:$I$16,TRIM($G2881))&gt;0,"COUNTED",IF(COUNTIF(LISTS!$J$2:$J$16,TRIM($G2881))&gt;0,"LEFT OUT","NEW")))</f>
        <v/>
      </c>
    </row>
    <row r="2882" spans="47:47" x14ac:dyDescent="0.25">
      <c r="AU2882" s="8" t="str">
        <f>IF(TRIM($G2882)="","",IF(COUNTIF(LISTS!$I$2:$I$16,TRIM($G2882))&gt;0,"COUNTED",IF(COUNTIF(LISTS!$J$2:$J$16,TRIM($G2882))&gt;0,"LEFT OUT","NEW")))</f>
        <v/>
      </c>
    </row>
    <row r="2883" spans="47:47" x14ac:dyDescent="0.25">
      <c r="AU2883" s="8" t="str">
        <f>IF(TRIM($G2883)="","",IF(COUNTIF(LISTS!$I$2:$I$16,TRIM($G2883))&gt;0,"COUNTED",IF(COUNTIF(LISTS!$J$2:$J$16,TRIM($G2883))&gt;0,"LEFT OUT","NEW")))</f>
        <v/>
      </c>
    </row>
    <row r="2884" spans="47:47" x14ac:dyDescent="0.25">
      <c r="AU2884" s="8" t="str">
        <f>IF(TRIM($G2884)="","",IF(COUNTIF(LISTS!$I$2:$I$16,TRIM($G2884))&gt;0,"COUNTED",IF(COUNTIF(LISTS!$J$2:$J$16,TRIM($G2884))&gt;0,"LEFT OUT","NEW")))</f>
        <v/>
      </c>
    </row>
    <row r="2885" spans="47:47" x14ac:dyDescent="0.25">
      <c r="AU2885" s="8" t="str">
        <f>IF(TRIM($G2885)="","",IF(COUNTIF(LISTS!$I$2:$I$16,TRIM($G2885))&gt;0,"COUNTED",IF(COUNTIF(LISTS!$J$2:$J$16,TRIM($G2885))&gt;0,"LEFT OUT","NEW")))</f>
        <v/>
      </c>
    </row>
    <row r="2886" spans="47:47" x14ac:dyDescent="0.25">
      <c r="AU2886" s="8" t="str">
        <f>IF(TRIM($G2886)="","",IF(COUNTIF(LISTS!$I$2:$I$16,TRIM($G2886))&gt;0,"COUNTED",IF(COUNTIF(LISTS!$J$2:$J$16,TRIM($G2886))&gt;0,"LEFT OUT","NEW")))</f>
        <v/>
      </c>
    </row>
    <row r="2887" spans="47:47" x14ac:dyDescent="0.25">
      <c r="AU2887" s="8" t="str">
        <f>IF(TRIM($G2887)="","",IF(COUNTIF(LISTS!$I$2:$I$16,TRIM($G2887))&gt;0,"COUNTED",IF(COUNTIF(LISTS!$J$2:$J$16,TRIM($G2887))&gt;0,"LEFT OUT","NEW")))</f>
        <v/>
      </c>
    </row>
    <row r="2888" spans="47:47" x14ac:dyDescent="0.25">
      <c r="AU2888" s="8" t="str">
        <f>IF(TRIM($G2888)="","",IF(COUNTIF(LISTS!$I$2:$I$16,TRIM($G2888))&gt;0,"COUNTED",IF(COUNTIF(LISTS!$J$2:$J$16,TRIM($G2888))&gt;0,"LEFT OUT","NEW")))</f>
        <v/>
      </c>
    </row>
    <row r="2889" spans="47:47" x14ac:dyDescent="0.25">
      <c r="AU2889" s="8" t="str">
        <f>IF(TRIM($G2889)="","",IF(COUNTIF(LISTS!$I$2:$I$16,TRIM($G2889))&gt;0,"COUNTED",IF(COUNTIF(LISTS!$J$2:$J$16,TRIM($G2889))&gt;0,"LEFT OUT","NEW")))</f>
        <v/>
      </c>
    </row>
    <row r="2890" spans="47:47" x14ac:dyDescent="0.25">
      <c r="AU2890" s="8" t="str">
        <f>IF(TRIM($G2890)="","",IF(COUNTIF(LISTS!$I$2:$I$16,TRIM($G2890))&gt;0,"COUNTED",IF(COUNTIF(LISTS!$J$2:$J$16,TRIM($G2890))&gt;0,"LEFT OUT","NEW")))</f>
        <v/>
      </c>
    </row>
    <row r="2891" spans="47:47" x14ac:dyDescent="0.25">
      <c r="AU2891" s="8" t="str">
        <f>IF(TRIM($G2891)="","",IF(COUNTIF(LISTS!$I$2:$I$16,TRIM($G2891))&gt;0,"COUNTED",IF(COUNTIF(LISTS!$J$2:$J$16,TRIM($G2891))&gt;0,"LEFT OUT","NEW")))</f>
        <v/>
      </c>
    </row>
    <row r="2892" spans="47:47" x14ac:dyDescent="0.25">
      <c r="AU2892" s="8" t="str">
        <f>IF(TRIM($G2892)="","",IF(COUNTIF(LISTS!$I$2:$I$16,TRIM($G2892))&gt;0,"COUNTED",IF(COUNTIF(LISTS!$J$2:$J$16,TRIM($G2892))&gt;0,"LEFT OUT","NEW")))</f>
        <v/>
      </c>
    </row>
    <row r="2893" spans="47:47" x14ac:dyDescent="0.25">
      <c r="AU2893" s="8" t="str">
        <f>IF(TRIM($G2893)="","",IF(COUNTIF(LISTS!$I$2:$I$16,TRIM($G2893))&gt;0,"COUNTED",IF(COUNTIF(LISTS!$J$2:$J$16,TRIM($G2893))&gt;0,"LEFT OUT","NEW")))</f>
        <v/>
      </c>
    </row>
    <row r="2894" spans="47:47" x14ac:dyDescent="0.25">
      <c r="AU2894" s="8" t="str">
        <f>IF(TRIM($G2894)="","",IF(COUNTIF(LISTS!$I$2:$I$16,TRIM($G2894))&gt;0,"COUNTED",IF(COUNTIF(LISTS!$J$2:$J$16,TRIM($G2894))&gt;0,"LEFT OUT","NEW")))</f>
        <v/>
      </c>
    </row>
    <row r="2895" spans="47:47" x14ac:dyDescent="0.25">
      <c r="AU2895" s="8" t="str">
        <f>IF(TRIM($G2895)="","",IF(COUNTIF(LISTS!$I$2:$I$16,TRIM($G2895))&gt;0,"COUNTED",IF(COUNTIF(LISTS!$J$2:$J$16,TRIM($G2895))&gt;0,"LEFT OUT","NEW")))</f>
        <v/>
      </c>
    </row>
    <row r="2896" spans="47:47" x14ac:dyDescent="0.25">
      <c r="AU2896" s="8" t="str">
        <f>IF(TRIM($G2896)="","",IF(COUNTIF(LISTS!$I$2:$I$16,TRIM($G2896))&gt;0,"COUNTED",IF(COUNTIF(LISTS!$J$2:$J$16,TRIM($G2896))&gt;0,"LEFT OUT","NEW")))</f>
        <v/>
      </c>
    </row>
    <row r="2897" spans="47:47" x14ac:dyDescent="0.25">
      <c r="AU2897" s="8" t="str">
        <f>IF(TRIM($G2897)="","",IF(COUNTIF(LISTS!$I$2:$I$16,TRIM($G2897))&gt;0,"COUNTED",IF(COUNTIF(LISTS!$J$2:$J$16,TRIM($G2897))&gt;0,"LEFT OUT","NEW")))</f>
        <v/>
      </c>
    </row>
    <row r="2898" spans="47:47" x14ac:dyDescent="0.25">
      <c r="AU2898" s="8" t="str">
        <f>IF(TRIM($G2898)="","",IF(COUNTIF(LISTS!$I$2:$I$16,TRIM($G2898))&gt;0,"COUNTED",IF(COUNTIF(LISTS!$J$2:$J$16,TRIM($G2898))&gt;0,"LEFT OUT","NEW")))</f>
        <v/>
      </c>
    </row>
    <row r="2899" spans="47:47" x14ac:dyDescent="0.25">
      <c r="AU2899" s="8" t="str">
        <f>IF(TRIM($G2899)="","",IF(COUNTIF(LISTS!$I$2:$I$16,TRIM($G2899))&gt;0,"COUNTED",IF(COUNTIF(LISTS!$J$2:$J$16,TRIM($G2899))&gt;0,"LEFT OUT","NEW")))</f>
        <v/>
      </c>
    </row>
    <row r="2900" spans="47:47" x14ac:dyDescent="0.25">
      <c r="AU2900" s="8" t="str">
        <f>IF(TRIM($G2900)="","",IF(COUNTIF(LISTS!$I$2:$I$16,TRIM($G2900))&gt;0,"COUNTED",IF(COUNTIF(LISTS!$J$2:$J$16,TRIM($G2900))&gt;0,"LEFT OUT","NEW")))</f>
        <v/>
      </c>
    </row>
    <row r="2901" spans="47:47" x14ac:dyDescent="0.25">
      <c r="AU2901" s="8" t="str">
        <f>IF(TRIM($G2901)="","",IF(COUNTIF(LISTS!$I$2:$I$16,TRIM($G2901))&gt;0,"COUNTED",IF(COUNTIF(LISTS!$J$2:$J$16,TRIM($G2901))&gt;0,"LEFT OUT","NEW")))</f>
        <v/>
      </c>
    </row>
    <row r="2902" spans="47:47" x14ac:dyDescent="0.25">
      <c r="AU2902" s="8" t="str">
        <f>IF(TRIM($G2902)="","",IF(COUNTIF(LISTS!$I$2:$I$16,TRIM($G2902))&gt;0,"COUNTED",IF(COUNTIF(LISTS!$J$2:$J$16,TRIM($G2902))&gt;0,"LEFT OUT","NEW")))</f>
        <v/>
      </c>
    </row>
    <row r="2903" spans="47:47" x14ac:dyDescent="0.25">
      <c r="AU2903" s="8" t="str">
        <f>IF(TRIM($G2903)="","",IF(COUNTIF(LISTS!$I$2:$I$16,TRIM($G2903))&gt;0,"COUNTED",IF(COUNTIF(LISTS!$J$2:$J$16,TRIM($G2903))&gt;0,"LEFT OUT","NEW")))</f>
        <v/>
      </c>
    </row>
    <row r="2904" spans="47:47" x14ac:dyDescent="0.25">
      <c r="AU2904" s="8" t="str">
        <f>IF(TRIM($G2904)="","",IF(COUNTIF(LISTS!$I$2:$I$16,TRIM($G2904))&gt;0,"COUNTED",IF(COUNTIF(LISTS!$J$2:$J$16,TRIM($G2904))&gt;0,"LEFT OUT","NEW")))</f>
        <v/>
      </c>
    </row>
    <row r="2905" spans="47:47" x14ac:dyDescent="0.25">
      <c r="AU2905" s="8" t="str">
        <f>IF(TRIM($G2905)="","",IF(COUNTIF(LISTS!$I$2:$I$16,TRIM($G2905))&gt;0,"COUNTED",IF(COUNTIF(LISTS!$J$2:$J$16,TRIM($G2905))&gt;0,"LEFT OUT","NEW")))</f>
        <v/>
      </c>
    </row>
    <row r="2906" spans="47:47" x14ac:dyDescent="0.25">
      <c r="AU2906" s="8" t="str">
        <f>IF(TRIM($G2906)="","",IF(COUNTIF(LISTS!$I$2:$I$16,TRIM($G2906))&gt;0,"COUNTED",IF(COUNTIF(LISTS!$J$2:$J$16,TRIM($G2906))&gt;0,"LEFT OUT","NEW")))</f>
        <v/>
      </c>
    </row>
    <row r="2907" spans="47:47" x14ac:dyDescent="0.25">
      <c r="AU2907" s="8" t="str">
        <f>IF(TRIM($G2907)="","",IF(COUNTIF(LISTS!$I$2:$I$16,TRIM($G2907))&gt;0,"COUNTED",IF(COUNTIF(LISTS!$J$2:$J$16,TRIM($G2907))&gt;0,"LEFT OUT","NEW")))</f>
        <v/>
      </c>
    </row>
    <row r="2908" spans="47:47" x14ac:dyDescent="0.25">
      <c r="AU2908" s="8" t="str">
        <f>IF(TRIM($G2908)="","",IF(COUNTIF(LISTS!$I$2:$I$16,TRIM($G2908))&gt;0,"COUNTED",IF(COUNTIF(LISTS!$J$2:$J$16,TRIM($G2908))&gt;0,"LEFT OUT","NEW")))</f>
        <v/>
      </c>
    </row>
    <row r="2909" spans="47:47" x14ac:dyDescent="0.25">
      <c r="AU2909" s="8" t="str">
        <f>IF(TRIM($G2909)="","",IF(COUNTIF(LISTS!$I$2:$I$16,TRIM($G2909))&gt;0,"COUNTED",IF(COUNTIF(LISTS!$J$2:$J$16,TRIM($G2909))&gt;0,"LEFT OUT","NEW")))</f>
        <v/>
      </c>
    </row>
    <row r="2910" spans="47:47" x14ac:dyDescent="0.25">
      <c r="AU2910" s="8" t="str">
        <f>IF(TRIM($G2910)="","",IF(COUNTIF(LISTS!$I$2:$I$16,TRIM($G2910))&gt;0,"COUNTED",IF(COUNTIF(LISTS!$J$2:$J$16,TRIM($G2910))&gt;0,"LEFT OUT","NEW")))</f>
        <v/>
      </c>
    </row>
    <row r="2911" spans="47:47" x14ac:dyDescent="0.25">
      <c r="AU2911" s="8" t="str">
        <f>IF(TRIM($G2911)="","",IF(COUNTIF(LISTS!$I$2:$I$16,TRIM($G2911))&gt;0,"COUNTED",IF(COUNTIF(LISTS!$J$2:$J$16,TRIM($G2911))&gt;0,"LEFT OUT","NEW")))</f>
        <v/>
      </c>
    </row>
    <row r="2912" spans="47:47" x14ac:dyDescent="0.25">
      <c r="AU2912" s="8" t="str">
        <f>IF(TRIM($G2912)="","",IF(COUNTIF(LISTS!$I$2:$I$16,TRIM($G2912))&gt;0,"COUNTED",IF(COUNTIF(LISTS!$J$2:$J$16,TRIM($G2912))&gt;0,"LEFT OUT","NEW")))</f>
        <v/>
      </c>
    </row>
    <row r="2913" spans="47:47" x14ac:dyDescent="0.25">
      <c r="AU2913" s="8" t="str">
        <f>IF(TRIM($G2913)="","",IF(COUNTIF(LISTS!$I$2:$I$16,TRIM($G2913))&gt;0,"COUNTED",IF(COUNTIF(LISTS!$J$2:$J$16,TRIM($G2913))&gt;0,"LEFT OUT","NEW")))</f>
        <v/>
      </c>
    </row>
    <row r="2914" spans="47:47" x14ac:dyDescent="0.25">
      <c r="AU2914" s="8" t="str">
        <f>IF(TRIM($G2914)="","",IF(COUNTIF(LISTS!$I$2:$I$16,TRIM($G2914))&gt;0,"COUNTED",IF(COUNTIF(LISTS!$J$2:$J$16,TRIM($G2914))&gt;0,"LEFT OUT","NEW")))</f>
        <v/>
      </c>
    </row>
    <row r="2915" spans="47:47" x14ac:dyDescent="0.25">
      <c r="AU2915" s="8" t="str">
        <f>IF(TRIM($G2915)="","",IF(COUNTIF(LISTS!$I$2:$I$16,TRIM($G2915))&gt;0,"COUNTED",IF(COUNTIF(LISTS!$J$2:$J$16,TRIM($G2915))&gt;0,"LEFT OUT","NEW")))</f>
        <v/>
      </c>
    </row>
    <row r="2916" spans="47:47" x14ac:dyDescent="0.25">
      <c r="AU2916" s="8" t="str">
        <f>IF(TRIM($G2916)="","",IF(COUNTIF(LISTS!$I$2:$I$16,TRIM($G2916))&gt;0,"COUNTED",IF(COUNTIF(LISTS!$J$2:$J$16,TRIM($G2916))&gt;0,"LEFT OUT","NEW")))</f>
        <v/>
      </c>
    </row>
    <row r="2917" spans="47:47" x14ac:dyDescent="0.25">
      <c r="AU2917" s="8" t="str">
        <f>IF(TRIM($G2917)="","",IF(COUNTIF(LISTS!$I$2:$I$16,TRIM($G2917))&gt;0,"COUNTED",IF(COUNTIF(LISTS!$J$2:$J$16,TRIM($G2917))&gt;0,"LEFT OUT","NEW")))</f>
        <v/>
      </c>
    </row>
    <row r="2918" spans="47:47" x14ac:dyDescent="0.25">
      <c r="AU2918" s="8" t="str">
        <f>IF(TRIM($G2918)="","",IF(COUNTIF(LISTS!$I$2:$I$16,TRIM($G2918))&gt;0,"COUNTED",IF(COUNTIF(LISTS!$J$2:$J$16,TRIM($G2918))&gt;0,"LEFT OUT","NEW")))</f>
        <v/>
      </c>
    </row>
    <row r="2919" spans="47:47" x14ac:dyDescent="0.25">
      <c r="AU2919" s="8" t="str">
        <f>IF(TRIM($G2919)="","",IF(COUNTIF(LISTS!$I$2:$I$16,TRIM($G2919))&gt;0,"COUNTED",IF(COUNTIF(LISTS!$J$2:$J$16,TRIM($G2919))&gt;0,"LEFT OUT","NEW")))</f>
        <v/>
      </c>
    </row>
    <row r="2920" spans="47:47" x14ac:dyDescent="0.25">
      <c r="AU2920" s="8" t="str">
        <f>IF(TRIM($G2920)="","",IF(COUNTIF(LISTS!$I$2:$I$16,TRIM($G2920))&gt;0,"COUNTED",IF(COUNTIF(LISTS!$J$2:$J$16,TRIM($G2920))&gt;0,"LEFT OUT","NEW")))</f>
        <v/>
      </c>
    </row>
    <row r="2921" spans="47:47" x14ac:dyDescent="0.25">
      <c r="AU2921" s="8" t="str">
        <f>IF(TRIM($G2921)="","",IF(COUNTIF(LISTS!$I$2:$I$16,TRIM($G2921))&gt;0,"COUNTED",IF(COUNTIF(LISTS!$J$2:$J$16,TRIM($G2921))&gt;0,"LEFT OUT","NEW")))</f>
        <v/>
      </c>
    </row>
    <row r="2922" spans="47:47" x14ac:dyDescent="0.25">
      <c r="AU2922" s="8" t="str">
        <f>IF(TRIM($G2922)="","",IF(COUNTIF(LISTS!$I$2:$I$16,TRIM($G2922))&gt;0,"COUNTED",IF(COUNTIF(LISTS!$J$2:$J$16,TRIM($G2922))&gt;0,"LEFT OUT","NEW")))</f>
        <v/>
      </c>
    </row>
    <row r="2923" spans="47:47" x14ac:dyDescent="0.25">
      <c r="AU2923" s="8" t="str">
        <f>IF(TRIM($G2923)="","",IF(COUNTIF(LISTS!$I$2:$I$16,TRIM($G2923))&gt;0,"COUNTED",IF(COUNTIF(LISTS!$J$2:$J$16,TRIM($G2923))&gt;0,"LEFT OUT","NEW")))</f>
        <v/>
      </c>
    </row>
    <row r="2924" spans="47:47" x14ac:dyDescent="0.25">
      <c r="AU2924" s="8" t="str">
        <f>IF(TRIM($G2924)="","",IF(COUNTIF(LISTS!$I$2:$I$16,TRIM($G2924))&gt;0,"COUNTED",IF(COUNTIF(LISTS!$J$2:$J$16,TRIM($G2924))&gt;0,"LEFT OUT","NEW")))</f>
        <v/>
      </c>
    </row>
    <row r="2925" spans="47:47" x14ac:dyDescent="0.25">
      <c r="AU2925" s="8" t="str">
        <f>IF(TRIM($G2925)="","",IF(COUNTIF(LISTS!$I$2:$I$16,TRIM($G2925))&gt;0,"COUNTED",IF(COUNTIF(LISTS!$J$2:$J$16,TRIM($G2925))&gt;0,"LEFT OUT","NEW")))</f>
        <v/>
      </c>
    </row>
    <row r="2926" spans="47:47" x14ac:dyDescent="0.25">
      <c r="AU2926" s="8" t="str">
        <f>IF(TRIM($G2926)="","",IF(COUNTIF(LISTS!$I$2:$I$16,TRIM($G2926))&gt;0,"COUNTED",IF(COUNTIF(LISTS!$J$2:$J$16,TRIM($G2926))&gt;0,"LEFT OUT","NEW")))</f>
        <v/>
      </c>
    </row>
    <row r="2927" spans="47:47" x14ac:dyDescent="0.25">
      <c r="AU2927" s="8" t="str">
        <f>IF(TRIM($G2927)="","",IF(COUNTIF(LISTS!$I$2:$I$16,TRIM($G2927))&gt;0,"COUNTED",IF(COUNTIF(LISTS!$J$2:$J$16,TRIM($G2927))&gt;0,"LEFT OUT","NEW")))</f>
        <v/>
      </c>
    </row>
    <row r="2928" spans="47:47" x14ac:dyDescent="0.25">
      <c r="AU2928" s="8" t="str">
        <f>IF(TRIM($G2928)="","",IF(COUNTIF(LISTS!$I$2:$I$16,TRIM($G2928))&gt;0,"COUNTED",IF(COUNTIF(LISTS!$J$2:$J$16,TRIM($G2928))&gt;0,"LEFT OUT","NEW")))</f>
        <v/>
      </c>
    </row>
    <row r="2929" spans="47:47" x14ac:dyDescent="0.25">
      <c r="AU2929" s="8" t="str">
        <f>IF(TRIM($G2929)="","",IF(COUNTIF(LISTS!$I$2:$I$16,TRIM($G2929))&gt;0,"COUNTED",IF(COUNTIF(LISTS!$J$2:$J$16,TRIM($G2929))&gt;0,"LEFT OUT","NEW")))</f>
        <v/>
      </c>
    </row>
    <row r="2930" spans="47:47" x14ac:dyDescent="0.25">
      <c r="AU2930" s="8" t="str">
        <f>IF(TRIM($G2930)="","",IF(COUNTIF(LISTS!$I$2:$I$16,TRIM($G2930))&gt;0,"COUNTED",IF(COUNTIF(LISTS!$J$2:$J$16,TRIM($G2930))&gt;0,"LEFT OUT","NEW")))</f>
        <v/>
      </c>
    </row>
    <row r="2931" spans="47:47" x14ac:dyDescent="0.25">
      <c r="AU2931" s="8" t="str">
        <f>IF(TRIM($G2931)="","",IF(COUNTIF(LISTS!$I$2:$I$16,TRIM($G2931))&gt;0,"COUNTED",IF(COUNTIF(LISTS!$J$2:$J$16,TRIM($G2931))&gt;0,"LEFT OUT","NEW")))</f>
        <v/>
      </c>
    </row>
    <row r="2932" spans="47:47" x14ac:dyDescent="0.25">
      <c r="AU2932" s="8" t="str">
        <f>IF(TRIM($G2932)="","",IF(COUNTIF(LISTS!$I$2:$I$16,TRIM($G2932))&gt;0,"COUNTED",IF(COUNTIF(LISTS!$J$2:$J$16,TRIM($G2932))&gt;0,"LEFT OUT","NEW")))</f>
        <v/>
      </c>
    </row>
    <row r="2933" spans="47:47" x14ac:dyDescent="0.25">
      <c r="AU2933" s="8" t="str">
        <f>IF(TRIM($G2933)="","",IF(COUNTIF(LISTS!$I$2:$I$16,TRIM($G2933))&gt;0,"COUNTED",IF(COUNTIF(LISTS!$J$2:$J$16,TRIM($G2933))&gt;0,"LEFT OUT","NEW")))</f>
        <v/>
      </c>
    </row>
    <row r="2934" spans="47:47" x14ac:dyDescent="0.25">
      <c r="AU2934" s="8" t="str">
        <f>IF(TRIM($G2934)="","",IF(COUNTIF(LISTS!$I$2:$I$16,TRIM($G2934))&gt;0,"COUNTED",IF(COUNTIF(LISTS!$J$2:$J$16,TRIM($G2934))&gt;0,"LEFT OUT","NEW")))</f>
        <v/>
      </c>
    </row>
    <row r="2935" spans="47:47" x14ac:dyDescent="0.25">
      <c r="AU2935" s="8" t="str">
        <f>IF(TRIM($G2935)="","",IF(COUNTIF(LISTS!$I$2:$I$16,TRIM($G2935))&gt;0,"COUNTED",IF(COUNTIF(LISTS!$J$2:$J$16,TRIM($G2935))&gt;0,"LEFT OUT","NEW")))</f>
        <v/>
      </c>
    </row>
    <row r="2936" spans="47:47" x14ac:dyDescent="0.25">
      <c r="AU2936" s="8" t="str">
        <f>IF(TRIM($G2936)="","",IF(COUNTIF(LISTS!$I$2:$I$16,TRIM($G2936))&gt;0,"COUNTED",IF(COUNTIF(LISTS!$J$2:$J$16,TRIM($G2936))&gt;0,"LEFT OUT","NEW")))</f>
        <v/>
      </c>
    </row>
    <row r="2937" spans="47:47" x14ac:dyDescent="0.25">
      <c r="AU2937" s="8" t="str">
        <f>IF(TRIM($G2937)="","",IF(COUNTIF(LISTS!$I$2:$I$16,TRIM($G2937))&gt;0,"COUNTED",IF(COUNTIF(LISTS!$J$2:$J$16,TRIM($G2937))&gt;0,"LEFT OUT","NEW")))</f>
        <v/>
      </c>
    </row>
    <row r="2938" spans="47:47" x14ac:dyDescent="0.25">
      <c r="AU2938" s="8" t="str">
        <f>IF(TRIM($G2938)="","",IF(COUNTIF(LISTS!$I$2:$I$16,TRIM($G2938))&gt;0,"COUNTED",IF(COUNTIF(LISTS!$J$2:$J$16,TRIM($G2938))&gt;0,"LEFT OUT","NEW")))</f>
        <v/>
      </c>
    </row>
    <row r="2939" spans="47:47" x14ac:dyDescent="0.25">
      <c r="AU2939" s="8" t="str">
        <f>IF(TRIM($G2939)="","",IF(COUNTIF(LISTS!$I$2:$I$16,TRIM($G2939))&gt;0,"COUNTED",IF(COUNTIF(LISTS!$J$2:$J$16,TRIM($G2939))&gt;0,"LEFT OUT","NEW")))</f>
        <v/>
      </c>
    </row>
    <row r="2940" spans="47:47" x14ac:dyDescent="0.25">
      <c r="AU2940" s="8" t="str">
        <f>IF(TRIM($G2940)="","",IF(COUNTIF(LISTS!$I$2:$I$16,TRIM($G2940))&gt;0,"COUNTED",IF(COUNTIF(LISTS!$J$2:$J$16,TRIM($G2940))&gt;0,"LEFT OUT","NEW")))</f>
        <v/>
      </c>
    </row>
    <row r="2941" spans="47:47" x14ac:dyDescent="0.25">
      <c r="AU2941" s="8" t="str">
        <f>IF(TRIM($G2941)="","",IF(COUNTIF(LISTS!$I$2:$I$16,TRIM($G2941))&gt;0,"COUNTED",IF(COUNTIF(LISTS!$J$2:$J$16,TRIM($G2941))&gt;0,"LEFT OUT","NEW")))</f>
        <v/>
      </c>
    </row>
    <row r="2942" spans="47:47" x14ac:dyDescent="0.25">
      <c r="AU2942" s="8" t="str">
        <f>IF(TRIM($G2942)="","",IF(COUNTIF(LISTS!$I$2:$I$16,TRIM($G2942))&gt;0,"COUNTED",IF(COUNTIF(LISTS!$J$2:$J$16,TRIM($G2942))&gt;0,"LEFT OUT","NEW")))</f>
        <v/>
      </c>
    </row>
    <row r="2943" spans="47:47" x14ac:dyDescent="0.25">
      <c r="AU2943" s="8" t="str">
        <f>IF(TRIM($G2943)="","",IF(COUNTIF(LISTS!$I$2:$I$16,TRIM($G2943))&gt;0,"COUNTED",IF(COUNTIF(LISTS!$J$2:$J$16,TRIM($G2943))&gt;0,"LEFT OUT","NEW")))</f>
        <v/>
      </c>
    </row>
    <row r="2944" spans="47:47" x14ac:dyDescent="0.25">
      <c r="AU2944" s="8" t="str">
        <f>IF(TRIM($G2944)="","",IF(COUNTIF(LISTS!$I$2:$I$16,TRIM($G2944))&gt;0,"COUNTED",IF(COUNTIF(LISTS!$J$2:$J$16,TRIM($G2944))&gt;0,"LEFT OUT","NEW")))</f>
        <v/>
      </c>
    </row>
    <row r="2945" spans="47:47" x14ac:dyDescent="0.25">
      <c r="AU2945" s="8" t="str">
        <f>IF(TRIM($G2945)="","",IF(COUNTIF(LISTS!$I$2:$I$16,TRIM($G2945))&gt;0,"COUNTED",IF(COUNTIF(LISTS!$J$2:$J$16,TRIM($G2945))&gt;0,"LEFT OUT","NEW")))</f>
        <v/>
      </c>
    </row>
    <row r="2946" spans="47:47" x14ac:dyDescent="0.25">
      <c r="AU2946" s="8" t="str">
        <f>IF(TRIM($G2946)="","",IF(COUNTIF(LISTS!$I$2:$I$16,TRIM($G2946))&gt;0,"COUNTED",IF(COUNTIF(LISTS!$J$2:$J$16,TRIM($G2946))&gt;0,"LEFT OUT","NEW")))</f>
        <v/>
      </c>
    </row>
    <row r="2947" spans="47:47" x14ac:dyDescent="0.25">
      <c r="AU2947" s="8" t="str">
        <f>IF(TRIM($G2947)="","",IF(COUNTIF(LISTS!$I$2:$I$16,TRIM($G2947))&gt;0,"COUNTED",IF(COUNTIF(LISTS!$J$2:$J$16,TRIM($G2947))&gt;0,"LEFT OUT","NEW")))</f>
        <v/>
      </c>
    </row>
    <row r="2948" spans="47:47" x14ac:dyDescent="0.25">
      <c r="AU2948" s="8" t="str">
        <f>IF(TRIM($G2948)="","",IF(COUNTIF(LISTS!$I$2:$I$16,TRIM($G2948))&gt;0,"COUNTED",IF(COUNTIF(LISTS!$J$2:$J$16,TRIM($G2948))&gt;0,"LEFT OUT","NEW")))</f>
        <v/>
      </c>
    </row>
    <row r="2949" spans="47:47" x14ac:dyDescent="0.25">
      <c r="AU2949" s="8" t="str">
        <f>IF(TRIM($G2949)="","",IF(COUNTIF(LISTS!$I$2:$I$16,TRIM($G2949))&gt;0,"COUNTED",IF(COUNTIF(LISTS!$J$2:$J$16,TRIM($G2949))&gt;0,"LEFT OUT","NEW")))</f>
        <v/>
      </c>
    </row>
    <row r="2950" spans="47:47" x14ac:dyDescent="0.25">
      <c r="AU2950" s="8" t="str">
        <f>IF(TRIM($G2950)="","",IF(COUNTIF(LISTS!$I$2:$I$16,TRIM($G2950))&gt;0,"COUNTED",IF(COUNTIF(LISTS!$J$2:$J$16,TRIM($G2950))&gt;0,"LEFT OUT","NEW")))</f>
        <v/>
      </c>
    </row>
    <row r="2951" spans="47:47" x14ac:dyDescent="0.25">
      <c r="AU2951" s="8" t="str">
        <f>IF(TRIM($G2951)="","",IF(COUNTIF(LISTS!$I$2:$I$16,TRIM($G2951))&gt;0,"COUNTED",IF(COUNTIF(LISTS!$J$2:$J$16,TRIM($G2951))&gt;0,"LEFT OUT","NEW")))</f>
        <v/>
      </c>
    </row>
    <row r="2952" spans="47:47" x14ac:dyDescent="0.25">
      <c r="AU2952" s="8" t="str">
        <f>IF(TRIM($G2952)="","",IF(COUNTIF(LISTS!$I$2:$I$16,TRIM($G2952))&gt;0,"COUNTED",IF(COUNTIF(LISTS!$J$2:$J$16,TRIM($G2952))&gt;0,"LEFT OUT","NEW")))</f>
        <v/>
      </c>
    </row>
    <row r="2953" spans="47:47" x14ac:dyDescent="0.25">
      <c r="AU2953" s="8" t="str">
        <f>IF(TRIM($G2953)="","",IF(COUNTIF(LISTS!$I$2:$I$16,TRIM($G2953))&gt;0,"COUNTED",IF(COUNTIF(LISTS!$J$2:$J$16,TRIM($G2953))&gt;0,"LEFT OUT","NEW")))</f>
        <v/>
      </c>
    </row>
    <row r="2954" spans="47:47" x14ac:dyDescent="0.25">
      <c r="AU2954" s="8" t="str">
        <f>IF(TRIM($G2954)="","",IF(COUNTIF(LISTS!$I$2:$I$16,TRIM($G2954))&gt;0,"COUNTED",IF(COUNTIF(LISTS!$J$2:$J$16,TRIM($G2954))&gt;0,"LEFT OUT","NEW")))</f>
        <v/>
      </c>
    </row>
    <row r="2955" spans="47:47" x14ac:dyDescent="0.25">
      <c r="AU2955" s="8" t="str">
        <f>IF(TRIM($G2955)="","",IF(COUNTIF(LISTS!$I$2:$I$16,TRIM($G2955))&gt;0,"COUNTED",IF(COUNTIF(LISTS!$J$2:$J$16,TRIM($G2955))&gt;0,"LEFT OUT","NEW")))</f>
        <v/>
      </c>
    </row>
    <row r="2956" spans="47:47" x14ac:dyDescent="0.25">
      <c r="AU2956" s="8" t="str">
        <f>IF(TRIM($G2956)="","",IF(COUNTIF(LISTS!$I$2:$I$16,TRIM($G2956))&gt;0,"COUNTED",IF(COUNTIF(LISTS!$J$2:$J$16,TRIM($G2956))&gt;0,"LEFT OUT","NEW")))</f>
        <v/>
      </c>
    </row>
    <row r="2957" spans="47:47" x14ac:dyDescent="0.25">
      <c r="AU2957" s="8" t="str">
        <f>IF(TRIM($G2957)="","",IF(COUNTIF(LISTS!$I$2:$I$16,TRIM($G2957))&gt;0,"COUNTED",IF(COUNTIF(LISTS!$J$2:$J$16,TRIM($G2957))&gt;0,"LEFT OUT","NEW")))</f>
        <v/>
      </c>
    </row>
    <row r="2958" spans="47:47" x14ac:dyDescent="0.25">
      <c r="AU2958" s="8" t="str">
        <f>IF(TRIM($G2958)="","",IF(COUNTIF(LISTS!$I$2:$I$16,TRIM($G2958))&gt;0,"COUNTED",IF(COUNTIF(LISTS!$J$2:$J$16,TRIM($G2958))&gt;0,"LEFT OUT","NEW")))</f>
        <v/>
      </c>
    </row>
    <row r="2959" spans="47:47" x14ac:dyDescent="0.25">
      <c r="AU2959" s="8" t="str">
        <f>IF(TRIM($G2959)="","",IF(COUNTIF(LISTS!$I$2:$I$16,TRIM($G2959))&gt;0,"COUNTED",IF(COUNTIF(LISTS!$J$2:$J$16,TRIM($G2959))&gt;0,"LEFT OUT","NEW")))</f>
        <v/>
      </c>
    </row>
    <row r="2960" spans="47:47" x14ac:dyDescent="0.25">
      <c r="AU2960" s="8" t="str">
        <f>IF(TRIM($G2960)="","",IF(COUNTIF(LISTS!$I$2:$I$16,TRIM($G2960))&gt;0,"COUNTED",IF(COUNTIF(LISTS!$J$2:$J$16,TRIM($G2960))&gt;0,"LEFT OUT","NEW")))</f>
        <v/>
      </c>
    </row>
    <row r="2961" spans="47:47" x14ac:dyDescent="0.25">
      <c r="AU2961" s="8" t="str">
        <f>IF(TRIM($G2961)="","",IF(COUNTIF(LISTS!$I$2:$I$16,TRIM($G2961))&gt;0,"COUNTED",IF(COUNTIF(LISTS!$J$2:$J$16,TRIM($G2961))&gt;0,"LEFT OUT","NEW")))</f>
        <v/>
      </c>
    </row>
    <row r="2962" spans="47:47" x14ac:dyDescent="0.25">
      <c r="AU2962" s="8" t="str">
        <f>IF(TRIM($G2962)="","",IF(COUNTIF(LISTS!$I$2:$I$16,TRIM($G2962))&gt;0,"COUNTED",IF(COUNTIF(LISTS!$J$2:$J$16,TRIM($G2962))&gt;0,"LEFT OUT","NEW")))</f>
        <v/>
      </c>
    </row>
    <row r="2963" spans="47:47" x14ac:dyDescent="0.25">
      <c r="AU2963" s="8" t="str">
        <f>IF(TRIM($G2963)="","",IF(COUNTIF(LISTS!$I$2:$I$16,TRIM($G2963))&gt;0,"COUNTED",IF(COUNTIF(LISTS!$J$2:$J$16,TRIM($G2963))&gt;0,"LEFT OUT","NEW")))</f>
        <v/>
      </c>
    </row>
    <row r="2964" spans="47:47" x14ac:dyDescent="0.25">
      <c r="AU2964" s="8" t="str">
        <f>IF(TRIM($G2964)="","",IF(COUNTIF(LISTS!$I$2:$I$16,TRIM($G2964))&gt;0,"COUNTED",IF(COUNTIF(LISTS!$J$2:$J$16,TRIM($G2964))&gt;0,"LEFT OUT","NEW")))</f>
        <v/>
      </c>
    </row>
    <row r="2965" spans="47:47" x14ac:dyDescent="0.25">
      <c r="AU2965" s="8" t="str">
        <f>IF(TRIM($G2965)="","",IF(COUNTIF(LISTS!$I$2:$I$16,TRIM($G2965))&gt;0,"COUNTED",IF(COUNTIF(LISTS!$J$2:$J$16,TRIM($G2965))&gt;0,"LEFT OUT","NEW")))</f>
        <v/>
      </c>
    </row>
    <row r="2966" spans="47:47" x14ac:dyDescent="0.25">
      <c r="AU2966" s="8" t="str">
        <f>IF(TRIM($G2966)="","",IF(COUNTIF(LISTS!$I$2:$I$16,TRIM($G2966))&gt;0,"COUNTED",IF(COUNTIF(LISTS!$J$2:$J$16,TRIM($G2966))&gt;0,"LEFT OUT","NEW")))</f>
        <v/>
      </c>
    </row>
    <row r="2967" spans="47:47" x14ac:dyDescent="0.25">
      <c r="AU2967" s="8" t="str">
        <f>IF(TRIM($G2967)="","",IF(COUNTIF(LISTS!$I$2:$I$16,TRIM($G2967))&gt;0,"COUNTED",IF(COUNTIF(LISTS!$J$2:$J$16,TRIM($G2967))&gt;0,"LEFT OUT","NEW")))</f>
        <v/>
      </c>
    </row>
    <row r="2968" spans="47:47" x14ac:dyDescent="0.25">
      <c r="AU2968" s="8" t="str">
        <f>IF(TRIM($G2968)="","",IF(COUNTIF(LISTS!$I$2:$I$16,TRIM($G2968))&gt;0,"COUNTED",IF(COUNTIF(LISTS!$J$2:$J$16,TRIM($G2968))&gt;0,"LEFT OUT","NEW")))</f>
        <v/>
      </c>
    </row>
    <row r="2969" spans="47:47" x14ac:dyDescent="0.25">
      <c r="AU2969" s="8" t="str">
        <f>IF(TRIM($G2969)="","",IF(COUNTIF(LISTS!$I$2:$I$16,TRIM($G2969))&gt;0,"COUNTED",IF(COUNTIF(LISTS!$J$2:$J$16,TRIM($G2969))&gt;0,"LEFT OUT","NEW")))</f>
        <v/>
      </c>
    </row>
    <row r="2970" spans="47:47" x14ac:dyDescent="0.25">
      <c r="AU2970" s="8" t="str">
        <f>IF(TRIM($G2970)="","",IF(COUNTIF(LISTS!$I$2:$I$16,TRIM($G2970))&gt;0,"COUNTED",IF(COUNTIF(LISTS!$J$2:$J$16,TRIM($G2970))&gt;0,"LEFT OUT","NEW")))</f>
        <v/>
      </c>
    </row>
    <row r="2971" spans="47:47" x14ac:dyDescent="0.25">
      <c r="AU2971" s="8" t="str">
        <f>IF(TRIM($G2971)="","",IF(COUNTIF(LISTS!$I$2:$I$16,TRIM($G2971))&gt;0,"COUNTED",IF(COUNTIF(LISTS!$J$2:$J$16,TRIM($G2971))&gt;0,"LEFT OUT","NEW")))</f>
        <v/>
      </c>
    </row>
    <row r="2972" spans="47:47" x14ac:dyDescent="0.25">
      <c r="AU2972" s="8" t="str">
        <f>IF(TRIM($G2972)="","",IF(COUNTIF(LISTS!$I$2:$I$16,TRIM($G2972))&gt;0,"COUNTED",IF(COUNTIF(LISTS!$J$2:$J$16,TRIM($G2972))&gt;0,"LEFT OUT","NEW")))</f>
        <v/>
      </c>
    </row>
    <row r="2973" spans="47:47" x14ac:dyDescent="0.25">
      <c r="AU2973" s="8" t="str">
        <f>IF(TRIM($G2973)="","",IF(COUNTIF(LISTS!$I$2:$I$16,TRIM($G2973))&gt;0,"COUNTED",IF(COUNTIF(LISTS!$J$2:$J$16,TRIM($G2973))&gt;0,"LEFT OUT","NEW")))</f>
        <v/>
      </c>
    </row>
    <row r="2974" spans="47:47" x14ac:dyDescent="0.25">
      <c r="AU2974" s="8" t="str">
        <f>IF(TRIM($G2974)="","",IF(COUNTIF(LISTS!$I$2:$I$16,TRIM($G2974))&gt;0,"COUNTED",IF(COUNTIF(LISTS!$J$2:$J$16,TRIM($G2974))&gt;0,"LEFT OUT","NEW")))</f>
        <v/>
      </c>
    </row>
    <row r="2975" spans="47:47" x14ac:dyDescent="0.25">
      <c r="AU2975" s="8" t="str">
        <f>IF(TRIM($G2975)="","",IF(COUNTIF(LISTS!$I$2:$I$16,TRIM($G2975))&gt;0,"COUNTED",IF(COUNTIF(LISTS!$J$2:$J$16,TRIM($G2975))&gt;0,"LEFT OUT","NEW")))</f>
        <v/>
      </c>
    </row>
    <row r="2976" spans="47:47" x14ac:dyDescent="0.25">
      <c r="AU2976" s="8" t="str">
        <f>IF(TRIM($G2976)="","",IF(COUNTIF(LISTS!$I$2:$I$16,TRIM($G2976))&gt;0,"COUNTED",IF(COUNTIF(LISTS!$J$2:$J$16,TRIM($G2976))&gt;0,"LEFT OUT","NEW")))</f>
        <v/>
      </c>
    </row>
    <row r="2977" spans="47:47" x14ac:dyDescent="0.25">
      <c r="AU2977" s="8" t="str">
        <f>IF(TRIM($G2977)="","",IF(COUNTIF(LISTS!$I$2:$I$16,TRIM($G2977))&gt;0,"COUNTED",IF(COUNTIF(LISTS!$J$2:$J$16,TRIM($G2977))&gt;0,"LEFT OUT","NEW")))</f>
        <v/>
      </c>
    </row>
    <row r="2978" spans="47:47" x14ac:dyDescent="0.25">
      <c r="AU2978" s="8" t="str">
        <f>IF(TRIM($G2978)="","",IF(COUNTIF(LISTS!$I$2:$I$16,TRIM($G2978))&gt;0,"COUNTED",IF(COUNTIF(LISTS!$J$2:$J$16,TRIM($G2978))&gt;0,"LEFT OUT","NEW")))</f>
        <v/>
      </c>
    </row>
    <row r="2979" spans="47:47" x14ac:dyDescent="0.25">
      <c r="AU2979" s="8" t="str">
        <f>IF(TRIM($G2979)="","",IF(COUNTIF(LISTS!$I$2:$I$16,TRIM($G2979))&gt;0,"COUNTED",IF(COUNTIF(LISTS!$J$2:$J$16,TRIM($G2979))&gt;0,"LEFT OUT","NEW")))</f>
        <v/>
      </c>
    </row>
    <row r="2980" spans="47:47" x14ac:dyDescent="0.25">
      <c r="AU2980" s="8" t="str">
        <f>IF(TRIM($G2980)="","",IF(COUNTIF(LISTS!$I$2:$I$16,TRIM($G2980))&gt;0,"COUNTED",IF(COUNTIF(LISTS!$J$2:$J$16,TRIM($G2980))&gt;0,"LEFT OUT","NEW")))</f>
        <v/>
      </c>
    </row>
    <row r="2981" spans="47:47" x14ac:dyDescent="0.25">
      <c r="AU2981" s="8" t="str">
        <f>IF(TRIM($G2981)="","",IF(COUNTIF(LISTS!$I$2:$I$16,TRIM($G2981))&gt;0,"COUNTED",IF(COUNTIF(LISTS!$J$2:$J$16,TRIM($G2981))&gt;0,"LEFT OUT","NEW")))</f>
        <v/>
      </c>
    </row>
    <row r="2982" spans="47:47" x14ac:dyDescent="0.25">
      <c r="AU2982" s="8" t="str">
        <f>IF(TRIM($G2982)="","",IF(COUNTIF(LISTS!$I$2:$I$16,TRIM($G2982))&gt;0,"COUNTED",IF(COUNTIF(LISTS!$J$2:$J$16,TRIM($G2982))&gt;0,"LEFT OUT","NEW")))</f>
        <v/>
      </c>
    </row>
    <row r="2983" spans="47:47" x14ac:dyDescent="0.25">
      <c r="AU2983" s="8" t="str">
        <f>IF(TRIM($G2983)="","",IF(COUNTIF(LISTS!$I$2:$I$16,TRIM($G2983))&gt;0,"COUNTED",IF(COUNTIF(LISTS!$J$2:$J$16,TRIM($G2983))&gt;0,"LEFT OUT","NEW")))</f>
        <v/>
      </c>
    </row>
    <row r="2984" spans="47:47" x14ac:dyDescent="0.25">
      <c r="AU2984" s="8" t="str">
        <f>IF(TRIM($G2984)="","",IF(COUNTIF(LISTS!$I$2:$I$16,TRIM($G2984))&gt;0,"COUNTED",IF(COUNTIF(LISTS!$J$2:$J$16,TRIM($G2984))&gt;0,"LEFT OUT","NEW")))</f>
        <v/>
      </c>
    </row>
    <row r="2985" spans="47:47" x14ac:dyDescent="0.25">
      <c r="AU2985" s="8" t="str">
        <f>IF(TRIM($G2985)="","",IF(COUNTIF(LISTS!$I$2:$I$16,TRIM($G2985))&gt;0,"COUNTED",IF(COUNTIF(LISTS!$J$2:$J$16,TRIM($G2985))&gt;0,"LEFT OUT","NEW")))</f>
        <v/>
      </c>
    </row>
    <row r="2986" spans="47:47" x14ac:dyDescent="0.25">
      <c r="AU2986" s="8" t="str">
        <f>IF(TRIM($G2986)="","",IF(COUNTIF(LISTS!$I$2:$I$16,TRIM($G2986))&gt;0,"COUNTED",IF(COUNTIF(LISTS!$J$2:$J$16,TRIM($G2986))&gt;0,"LEFT OUT","NEW")))</f>
        <v/>
      </c>
    </row>
    <row r="2987" spans="47:47" x14ac:dyDescent="0.25">
      <c r="AU2987" s="8" t="str">
        <f>IF(TRIM($G2987)="","",IF(COUNTIF(LISTS!$I$2:$I$16,TRIM($G2987))&gt;0,"COUNTED",IF(COUNTIF(LISTS!$J$2:$J$16,TRIM($G2987))&gt;0,"LEFT OUT","NEW")))</f>
        <v/>
      </c>
    </row>
    <row r="2988" spans="47:47" x14ac:dyDescent="0.25">
      <c r="AU2988" s="8" t="str">
        <f>IF(TRIM($G2988)="","",IF(COUNTIF(LISTS!$I$2:$I$16,TRIM($G2988))&gt;0,"COUNTED",IF(COUNTIF(LISTS!$J$2:$J$16,TRIM($G2988))&gt;0,"LEFT OUT","NEW")))</f>
        <v/>
      </c>
    </row>
    <row r="2989" spans="47:47" x14ac:dyDescent="0.25">
      <c r="AU2989" s="8" t="str">
        <f>IF(TRIM($G2989)="","",IF(COUNTIF(LISTS!$I$2:$I$16,TRIM($G2989))&gt;0,"COUNTED",IF(COUNTIF(LISTS!$J$2:$J$16,TRIM($G2989))&gt;0,"LEFT OUT","NEW")))</f>
        <v/>
      </c>
    </row>
    <row r="2990" spans="47:47" x14ac:dyDescent="0.25">
      <c r="AU2990" s="8" t="str">
        <f>IF(TRIM($G2990)="","",IF(COUNTIF(LISTS!$I$2:$I$16,TRIM($G2990))&gt;0,"COUNTED",IF(COUNTIF(LISTS!$J$2:$J$16,TRIM($G2990))&gt;0,"LEFT OUT","NEW")))</f>
        <v/>
      </c>
    </row>
    <row r="2991" spans="47:47" x14ac:dyDescent="0.25">
      <c r="AU2991" s="8" t="str">
        <f>IF(TRIM($G2991)="","",IF(COUNTIF(LISTS!$I$2:$I$16,TRIM($G2991))&gt;0,"COUNTED",IF(COUNTIF(LISTS!$J$2:$J$16,TRIM($G2991))&gt;0,"LEFT OUT","NEW")))</f>
        <v/>
      </c>
    </row>
    <row r="2992" spans="47:47" x14ac:dyDescent="0.25">
      <c r="AU2992" s="8" t="str">
        <f>IF(TRIM($G2992)="","",IF(COUNTIF(LISTS!$I$2:$I$16,TRIM($G2992))&gt;0,"COUNTED",IF(COUNTIF(LISTS!$J$2:$J$16,TRIM($G2992))&gt;0,"LEFT OUT","NEW")))</f>
        <v/>
      </c>
    </row>
    <row r="2993" spans="47:47" x14ac:dyDescent="0.25">
      <c r="AU2993" s="8" t="str">
        <f>IF(TRIM($G2993)="","",IF(COUNTIF(LISTS!$I$2:$I$16,TRIM($G2993))&gt;0,"COUNTED",IF(COUNTIF(LISTS!$J$2:$J$16,TRIM($G2993))&gt;0,"LEFT OUT","NEW")))</f>
        <v/>
      </c>
    </row>
    <row r="2994" spans="47:47" x14ac:dyDescent="0.25">
      <c r="AU2994" s="8" t="str">
        <f>IF(TRIM($G2994)="","",IF(COUNTIF(LISTS!$I$2:$I$16,TRIM($G2994))&gt;0,"COUNTED",IF(COUNTIF(LISTS!$J$2:$J$16,TRIM($G2994))&gt;0,"LEFT OUT","NEW")))</f>
        <v/>
      </c>
    </row>
    <row r="2995" spans="47:47" x14ac:dyDescent="0.25">
      <c r="AU2995" s="8" t="str">
        <f>IF(TRIM($G2995)="","",IF(COUNTIF(LISTS!$I$2:$I$16,TRIM($G2995))&gt;0,"COUNTED",IF(COUNTIF(LISTS!$J$2:$J$16,TRIM($G2995))&gt;0,"LEFT OUT","NEW")))</f>
        <v/>
      </c>
    </row>
    <row r="2996" spans="47:47" x14ac:dyDescent="0.25">
      <c r="AU2996" s="8" t="str">
        <f>IF(TRIM($G2996)="","",IF(COUNTIF(LISTS!$I$2:$I$16,TRIM($G2996))&gt;0,"COUNTED",IF(COUNTIF(LISTS!$J$2:$J$16,TRIM($G2996))&gt;0,"LEFT OUT","NEW")))</f>
        <v/>
      </c>
    </row>
    <row r="2997" spans="47:47" x14ac:dyDescent="0.25">
      <c r="AU2997" s="8" t="str">
        <f>IF(TRIM($G2997)="","",IF(COUNTIF(LISTS!$I$2:$I$16,TRIM($G2997))&gt;0,"COUNTED",IF(COUNTIF(LISTS!$J$2:$J$16,TRIM($G2997))&gt;0,"LEFT OUT","NEW")))</f>
        <v/>
      </c>
    </row>
    <row r="2998" spans="47:47" x14ac:dyDescent="0.25">
      <c r="AU2998" s="8" t="str">
        <f>IF(TRIM($G2998)="","",IF(COUNTIF(LISTS!$I$2:$I$16,TRIM($G2998))&gt;0,"COUNTED",IF(COUNTIF(LISTS!$J$2:$J$16,TRIM($G2998))&gt;0,"LEFT OUT","NEW")))</f>
        <v/>
      </c>
    </row>
    <row r="2999" spans="47:47" x14ac:dyDescent="0.25">
      <c r="AU2999" s="8" t="str">
        <f>IF(TRIM($G2999)="","",IF(COUNTIF(LISTS!$I$2:$I$16,TRIM($G2999))&gt;0,"COUNTED",IF(COUNTIF(LISTS!$J$2:$J$16,TRIM($G2999))&gt;0,"LEFT OUT","NEW")))</f>
        <v/>
      </c>
    </row>
    <row r="3000" spans="47:47" x14ac:dyDescent="0.25">
      <c r="AU3000" s="8" t="str">
        <f>IF(TRIM($G3000)="","",IF(COUNTIF(LISTS!$I$2:$I$16,TRIM($G3000))&gt;0,"COUNTED",IF(COUNTIF(LISTS!$J$2:$J$16,TRIM($G3000))&gt;0,"LEFT OUT","NEW")))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AH1500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31" max="34" width="18" hidden="1" customWidth="1" outlineLevel="1"/>
  </cols>
  <sheetData>
    <row r="1" spans="1:34" x14ac:dyDescent="0.25">
      <c r="A1" s="7" t="s">
        <v>126</v>
      </c>
      <c r="B1" s="7" t="s">
        <v>127</v>
      </c>
      <c r="C1" s="7" t="s">
        <v>113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95</v>
      </c>
      <c r="L1" s="7" t="s">
        <v>91</v>
      </c>
      <c r="M1" s="7" t="s">
        <v>87</v>
      </c>
      <c r="N1" s="7" t="s">
        <v>111</v>
      </c>
      <c r="O1" s="7" t="s">
        <v>112</v>
      </c>
      <c r="P1" s="7" t="s">
        <v>82</v>
      </c>
      <c r="Q1" s="7" t="s">
        <v>80</v>
      </c>
      <c r="R1" s="7" t="s">
        <v>135</v>
      </c>
      <c r="S1" s="7" t="s">
        <v>70</v>
      </c>
      <c r="T1" s="7" t="s">
        <v>88</v>
      </c>
      <c r="U1" s="7" t="s">
        <v>89</v>
      </c>
      <c r="V1" s="7" t="s">
        <v>90</v>
      </c>
      <c r="W1" s="7" t="s">
        <v>136</v>
      </c>
      <c r="X1" s="7" t="s">
        <v>137</v>
      </c>
      <c r="Y1" s="7" t="s">
        <v>75</v>
      </c>
      <c r="Z1" s="7" t="s">
        <v>138</v>
      </c>
      <c r="AA1" s="7" t="s">
        <v>139</v>
      </c>
      <c r="AB1" s="7" t="s">
        <v>140</v>
      </c>
      <c r="AC1" s="7" t="s">
        <v>141</v>
      </c>
      <c r="AE1" s="7" t="s">
        <v>142</v>
      </c>
      <c r="AF1" s="7" t="s">
        <v>143</v>
      </c>
      <c r="AG1" s="7" t="s">
        <v>144</v>
      </c>
      <c r="AH1" s="7" t="s">
        <v>145</v>
      </c>
    </row>
    <row r="2" spans="1:34" x14ac:dyDescent="0.25">
      <c r="AE2" s="8" t="str">
        <f t="shared" ref="AE2:AE65" si="0">IF(TRIM($E2)="Tax Paid",TRIM($S2),"")</f>
        <v/>
      </c>
      <c r="AF2" s="8" t="str">
        <f t="shared" ref="AF2:AF65" si="1">IF(TRIM($E2)="Tax Paid",ROUND($Z2/100,5),"")</f>
        <v/>
      </c>
      <c r="AG2" s="8" t="str">
        <f>IF(TRIM($E2)&lt;&gt;"Tax Paid","",IF(COUNTIFS(LISTS!$F$2:$F$26,$AE2,LISTS!$G$2:$G$26,$AF2)=0,"NOT ON LIST",""))</f>
        <v/>
      </c>
      <c r="AH2" s="8" t="str">
        <f t="shared" ref="AH2:AH65" si="2">IF($AG2="","",IF($AE2="","(no county)",$AE2)&amp;" ("&amp;SUBSTITUTE(TEXT($AF2,"0.###%"),".%","%")&amp;")")</f>
        <v/>
      </c>
    </row>
    <row r="3" spans="1:34" x14ac:dyDescent="0.25">
      <c r="AE3" s="8" t="str">
        <f t="shared" si="0"/>
        <v/>
      </c>
      <c r="AF3" s="8" t="str">
        <f t="shared" si="1"/>
        <v/>
      </c>
      <c r="AG3" s="8" t="str">
        <f>IF(TRIM($E3)&lt;&gt;"Tax Paid","",IF(COUNTIFS(LISTS!$F$2:$F$26,$AE3,LISTS!$G$2:$G$26,$AF3)=0,"NOT ON LIST",""))</f>
        <v/>
      </c>
      <c r="AH3" s="8" t="str">
        <f t="shared" si="2"/>
        <v/>
      </c>
    </row>
    <row r="4" spans="1:34" x14ac:dyDescent="0.25">
      <c r="AE4" s="8" t="str">
        <f t="shared" si="0"/>
        <v/>
      </c>
      <c r="AF4" s="8" t="str">
        <f t="shared" si="1"/>
        <v/>
      </c>
      <c r="AG4" s="8" t="str">
        <f>IF(TRIM($E4)&lt;&gt;"Tax Paid","",IF(COUNTIFS(LISTS!$F$2:$F$26,$AE4,LISTS!$G$2:$G$26,$AF4)=0,"NOT ON LIST",""))</f>
        <v/>
      </c>
      <c r="AH4" s="8" t="str">
        <f t="shared" si="2"/>
        <v/>
      </c>
    </row>
    <row r="5" spans="1:34" x14ac:dyDescent="0.25">
      <c r="AE5" s="8" t="str">
        <f t="shared" si="0"/>
        <v/>
      </c>
      <c r="AF5" s="8" t="str">
        <f t="shared" si="1"/>
        <v/>
      </c>
      <c r="AG5" s="8" t="str">
        <f>IF(TRIM($E5)&lt;&gt;"Tax Paid","",IF(COUNTIFS(LISTS!$F$2:$F$26,$AE5,LISTS!$G$2:$G$26,$AF5)=0,"NOT ON LIST",""))</f>
        <v/>
      </c>
      <c r="AH5" s="8" t="str">
        <f t="shared" si="2"/>
        <v/>
      </c>
    </row>
    <row r="6" spans="1:34" x14ac:dyDescent="0.25">
      <c r="AE6" s="8" t="str">
        <f t="shared" si="0"/>
        <v/>
      </c>
      <c r="AF6" s="8" t="str">
        <f t="shared" si="1"/>
        <v/>
      </c>
      <c r="AG6" s="8" t="str">
        <f>IF(TRIM($E6)&lt;&gt;"Tax Paid","",IF(COUNTIFS(LISTS!$F$2:$F$26,$AE6,LISTS!$G$2:$G$26,$AF6)=0,"NOT ON LIST",""))</f>
        <v/>
      </c>
      <c r="AH6" s="8" t="str">
        <f t="shared" si="2"/>
        <v/>
      </c>
    </row>
    <row r="7" spans="1:34" x14ac:dyDescent="0.25">
      <c r="AE7" s="8" t="str">
        <f t="shared" si="0"/>
        <v/>
      </c>
      <c r="AF7" s="8" t="str">
        <f t="shared" si="1"/>
        <v/>
      </c>
      <c r="AG7" s="8" t="str">
        <f>IF(TRIM($E7)&lt;&gt;"Tax Paid","",IF(COUNTIFS(LISTS!$F$2:$F$26,$AE7,LISTS!$G$2:$G$26,$AF7)=0,"NOT ON LIST",""))</f>
        <v/>
      </c>
      <c r="AH7" s="8" t="str">
        <f t="shared" si="2"/>
        <v/>
      </c>
    </row>
    <row r="8" spans="1:34" x14ac:dyDescent="0.25">
      <c r="AE8" s="8" t="str">
        <f t="shared" si="0"/>
        <v/>
      </c>
      <c r="AF8" s="8" t="str">
        <f t="shared" si="1"/>
        <v/>
      </c>
      <c r="AG8" s="8" t="str">
        <f>IF(TRIM($E8)&lt;&gt;"Tax Paid","",IF(COUNTIFS(LISTS!$F$2:$F$26,$AE8,LISTS!$G$2:$G$26,$AF8)=0,"NOT ON LIST",""))</f>
        <v/>
      </c>
      <c r="AH8" s="8" t="str">
        <f t="shared" si="2"/>
        <v/>
      </c>
    </row>
    <row r="9" spans="1:34" x14ac:dyDescent="0.25">
      <c r="AE9" s="8" t="str">
        <f t="shared" si="0"/>
        <v/>
      </c>
      <c r="AF9" s="8" t="str">
        <f t="shared" si="1"/>
        <v/>
      </c>
      <c r="AG9" s="8" t="str">
        <f>IF(TRIM($E9)&lt;&gt;"Tax Paid","",IF(COUNTIFS(LISTS!$F$2:$F$26,$AE9,LISTS!$G$2:$G$26,$AF9)=0,"NOT ON LIST",""))</f>
        <v/>
      </c>
      <c r="AH9" s="8" t="str">
        <f t="shared" si="2"/>
        <v/>
      </c>
    </row>
    <row r="10" spans="1:34" x14ac:dyDescent="0.25">
      <c r="AE10" s="8" t="str">
        <f t="shared" si="0"/>
        <v/>
      </c>
      <c r="AF10" s="8" t="str">
        <f t="shared" si="1"/>
        <v/>
      </c>
      <c r="AG10" s="8" t="str">
        <f>IF(TRIM($E10)&lt;&gt;"Tax Paid","",IF(COUNTIFS(LISTS!$F$2:$F$26,$AE10,LISTS!$G$2:$G$26,$AF10)=0,"NOT ON LIST",""))</f>
        <v/>
      </c>
      <c r="AH10" s="8" t="str">
        <f t="shared" si="2"/>
        <v/>
      </c>
    </row>
    <row r="11" spans="1:34" x14ac:dyDescent="0.25">
      <c r="AE11" s="8" t="str">
        <f t="shared" si="0"/>
        <v/>
      </c>
      <c r="AF11" s="8" t="str">
        <f t="shared" si="1"/>
        <v/>
      </c>
      <c r="AG11" s="8" t="str">
        <f>IF(TRIM($E11)&lt;&gt;"Tax Paid","",IF(COUNTIFS(LISTS!$F$2:$F$26,$AE11,LISTS!$G$2:$G$26,$AF11)=0,"NOT ON LIST",""))</f>
        <v/>
      </c>
      <c r="AH11" s="8" t="str">
        <f t="shared" si="2"/>
        <v/>
      </c>
    </row>
    <row r="12" spans="1:34" x14ac:dyDescent="0.25">
      <c r="AE12" s="8" t="str">
        <f t="shared" si="0"/>
        <v/>
      </c>
      <c r="AF12" s="8" t="str">
        <f t="shared" si="1"/>
        <v/>
      </c>
      <c r="AG12" s="8" t="str">
        <f>IF(TRIM($E12)&lt;&gt;"Tax Paid","",IF(COUNTIFS(LISTS!$F$2:$F$26,$AE12,LISTS!$G$2:$G$26,$AF12)=0,"NOT ON LIST",""))</f>
        <v/>
      </c>
      <c r="AH12" s="8" t="str">
        <f t="shared" si="2"/>
        <v/>
      </c>
    </row>
    <row r="13" spans="1:34" x14ac:dyDescent="0.25">
      <c r="AE13" s="8" t="str">
        <f t="shared" si="0"/>
        <v/>
      </c>
      <c r="AF13" s="8" t="str">
        <f t="shared" si="1"/>
        <v/>
      </c>
      <c r="AG13" s="8" t="str">
        <f>IF(TRIM($E13)&lt;&gt;"Tax Paid","",IF(COUNTIFS(LISTS!$F$2:$F$26,$AE13,LISTS!$G$2:$G$26,$AF13)=0,"NOT ON LIST",""))</f>
        <v/>
      </c>
      <c r="AH13" s="8" t="str">
        <f t="shared" si="2"/>
        <v/>
      </c>
    </row>
    <row r="14" spans="1:34" x14ac:dyDescent="0.25">
      <c r="AE14" s="8" t="str">
        <f t="shared" si="0"/>
        <v/>
      </c>
      <c r="AF14" s="8" t="str">
        <f t="shared" si="1"/>
        <v/>
      </c>
      <c r="AG14" s="8" t="str">
        <f>IF(TRIM($E14)&lt;&gt;"Tax Paid","",IF(COUNTIFS(LISTS!$F$2:$F$26,$AE14,LISTS!$G$2:$G$26,$AF14)=0,"NOT ON LIST",""))</f>
        <v/>
      </c>
      <c r="AH14" s="8" t="str">
        <f t="shared" si="2"/>
        <v/>
      </c>
    </row>
    <row r="15" spans="1:34" x14ac:dyDescent="0.25">
      <c r="AE15" s="8" t="str">
        <f t="shared" si="0"/>
        <v/>
      </c>
      <c r="AF15" s="8" t="str">
        <f t="shared" si="1"/>
        <v/>
      </c>
      <c r="AG15" s="8" t="str">
        <f>IF(TRIM($E15)&lt;&gt;"Tax Paid","",IF(COUNTIFS(LISTS!$F$2:$F$26,$AE15,LISTS!$G$2:$G$26,$AF15)=0,"NOT ON LIST",""))</f>
        <v/>
      </c>
      <c r="AH15" s="8" t="str">
        <f t="shared" si="2"/>
        <v/>
      </c>
    </row>
    <row r="16" spans="1:34" x14ac:dyDescent="0.25">
      <c r="AE16" s="8" t="str">
        <f t="shared" si="0"/>
        <v/>
      </c>
      <c r="AF16" s="8" t="str">
        <f t="shared" si="1"/>
        <v/>
      </c>
      <c r="AG16" s="8" t="str">
        <f>IF(TRIM($E16)&lt;&gt;"Tax Paid","",IF(COUNTIFS(LISTS!$F$2:$F$26,$AE16,LISTS!$G$2:$G$26,$AF16)=0,"NOT ON LIST",""))</f>
        <v/>
      </c>
      <c r="AH16" s="8" t="str">
        <f t="shared" si="2"/>
        <v/>
      </c>
    </row>
    <row r="17" spans="31:34" x14ac:dyDescent="0.25">
      <c r="AE17" s="8" t="str">
        <f t="shared" si="0"/>
        <v/>
      </c>
      <c r="AF17" s="8" t="str">
        <f t="shared" si="1"/>
        <v/>
      </c>
      <c r="AG17" s="8" t="str">
        <f>IF(TRIM($E17)&lt;&gt;"Tax Paid","",IF(COUNTIFS(LISTS!$F$2:$F$26,$AE17,LISTS!$G$2:$G$26,$AF17)=0,"NOT ON LIST",""))</f>
        <v/>
      </c>
      <c r="AH17" s="8" t="str">
        <f t="shared" si="2"/>
        <v/>
      </c>
    </row>
    <row r="18" spans="31:34" x14ac:dyDescent="0.25">
      <c r="AE18" s="8" t="str">
        <f t="shared" si="0"/>
        <v/>
      </c>
      <c r="AF18" s="8" t="str">
        <f t="shared" si="1"/>
        <v/>
      </c>
      <c r="AG18" s="8" t="str">
        <f>IF(TRIM($E18)&lt;&gt;"Tax Paid","",IF(COUNTIFS(LISTS!$F$2:$F$26,$AE18,LISTS!$G$2:$G$26,$AF18)=0,"NOT ON LIST",""))</f>
        <v/>
      </c>
      <c r="AH18" s="8" t="str">
        <f t="shared" si="2"/>
        <v/>
      </c>
    </row>
    <row r="19" spans="31:34" x14ac:dyDescent="0.25">
      <c r="AE19" s="8" t="str">
        <f t="shared" si="0"/>
        <v/>
      </c>
      <c r="AF19" s="8" t="str">
        <f t="shared" si="1"/>
        <v/>
      </c>
      <c r="AG19" s="8" t="str">
        <f>IF(TRIM($E19)&lt;&gt;"Tax Paid","",IF(COUNTIFS(LISTS!$F$2:$F$26,$AE19,LISTS!$G$2:$G$26,$AF19)=0,"NOT ON LIST",""))</f>
        <v/>
      </c>
      <c r="AH19" s="8" t="str">
        <f t="shared" si="2"/>
        <v/>
      </c>
    </row>
    <row r="20" spans="31:34" x14ac:dyDescent="0.25">
      <c r="AE20" s="8" t="str">
        <f t="shared" si="0"/>
        <v/>
      </c>
      <c r="AF20" s="8" t="str">
        <f t="shared" si="1"/>
        <v/>
      </c>
      <c r="AG20" s="8" t="str">
        <f>IF(TRIM($E20)&lt;&gt;"Tax Paid","",IF(COUNTIFS(LISTS!$F$2:$F$26,$AE20,LISTS!$G$2:$G$26,$AF20)=0,"NOT ON LIST",""))</f>
        <v/>
      </c>
      <c r="AH20" s="8" t="str">
        <f t="shared" si="2"/>
        <v/>
      </c>
    </row>
    <row r="21" spans="31:34" x14ac:dyDescent="0.25">
      <c r="AE21" s="8" t="str">
        <f t="shared" si="0"/>
        <v/>
      </c>
      <c r="AF21" s="8" t="str">
        <f t="shared" si="1"/>
        <v/>
      </c>
      <c r="AG21" s="8" t="str">
        <f>IF(TRIM($E21)&lt;&gt;"Tax Paid","",IF(COUNTIFS(LISTS!$F$2:$F$26,$AE21,LISTS!$G$2:$G$26,$AF21)=0,"NOT ON LIST",""))</f>
        <v/>
      </c>
      <c r="AH21" s="8" t="str">
        <f t="shared" si="2"/>
        <v/>
      </c>
    </row>
    <row r="22" spans="31:34" x14ac:dyDescent="0.25">
      <c r="AE22" s="8" t="str">
        <f t="shared" si="0"/>
        <v/>
      </c>
      <c r="AF22" s="8" t="str">
        <f t="shared" si="1"/>
        <v/>
      </c>
      <c r="AG22" s="8" t="str">
        <f>IF(TRIM($E22)&lt;&gt;"Tax Paid","",IF(COUNTIFS(LISTS!$F$2:$F$26,$AE22,LISTS!$G$2:$G$26,$AF22)=0,"NOT ON LIST",""))</f>
        <v/>
      </c>
      <c r="AH22" s="8" t="str">
        <f t="shared" si="2"/>
        <v/>
      </c>
    </row>
    <row r="23" spans="31:34" x14ac:dyDescent="0.25">
      <c r="AE23" s="8" t="str">
        <f t="shared" si="0"/>
        <v/>
      </c>
      <c r="AF23" s="8" t="str">
        <f t="shared" si="1"/>
        <v/>
      </c>
      <c r="AG23" s="8" t="str">
        <f>IF(TRIM($E23)&lt;&gt;"Tax Paid","",IF(COUNTIFS(LISTS!$F$2:$F$26,$AE23,LISTS!$G$2:$G$26,$AF23)=0,"NOT ON LIST",""))</f>
        <v/>
      </c>
      <c r="AH23" s="8" t="str">
        <f t="shared" si="2"/>
        <v/>
      </c>
    </row>
    <row r="24" spans="31:34" x14ac:dyDescent="0.25">
      <c r="AE24" s="8" t="str">
        <f t="shared" si="0"/>
        <v/>
      </c>
      <c r="AF24" s="8" t="str">
        <f t="shared" si="1"/>
        <v/>
      </c>
      <c r="AG24" s="8" t="str">
        <f>IF(TRIM($E24)&lt;&gt;"Tax Paid","",IF(COUNTIFS(LISTS!$F$2:$F$26,$AE24,LISTS!$G$2:$G$26,$AF24)=0,"NOT ON LIST",""))</f>
        <v/>
      </c>
      <c r="AH24" s="8" t="str">
        <f t="shared" si="2"/>
        <v/>
      </c>
    </row>
    <row r="25" spans="31:34" x14ac:dyDescent="0.25">
      <c r="AE25" s="8" t="str">
        <f t="shared" si="0"/>
        <v/>
      </c>
      <c r="AF25" s="8" t="str">
        <f t="shared" si="1"/>
        <v/>
      </c>
      <c r="AG25" s="8" t="str">
        <f>IF(TRIM($E25)&lt;&gt;"Tax Paid","",IF(COUNTIFS(LISTS!$F$2:$F$26,$AE25,LISTS!$G$2:$G$26,$AF25)=0,"NOT ON LIST",""))</f>
        <v/>
      </c>
      <c r="AH25" s="8" t="str">
        <f t="shared" si="2"/>
        <v/>
      </c>
    </row>
    <row r="26" spans="31:34" x14ac:dyDescent="0.25">
      <c r="AE26" s="8" t="str">
        <f t="shared" si="0"/>
        <v/>
      </c>
      <c r="AF26" s="8" t="str">
        <f t="shared" si="1"/>
        <v/>
      </c>
      <c r="AG26" s="8" t="str">
        <f>IF(TRIM($E26)&lt;&gt;"Tax Paid","",IF(COUNTIFS(LISTS!$F$2:$F$26,$AE26,LISTS!$G$2:$G$26,$AF26)=0,"NOT ON LIST",""))</f>
        <v/>
      </c>
      <c r="AH26" s="8" t="str">
        <f t="shared" si="2"/>
        <v/>
      </c>
    </row>
    <row r="27" spans="31:34" x14ac:dyDescent="0.25">
      <c r="AE27" s="8" t="str">
        <f t="shared" si="0"/>
        <v/>
      </c>
      <c r="AF27" s="8" t="str">
        <f t="shared" si="1"/>
        <v/>
      </c>
      <c r="AG27" s="8" t="str">
        <f>IF(TRIM($E27)&lt;&gt;"Tax Paid","",IF(COUNTIFS(LISTS!$F$2:$F$26,$AE27,LISTS!$G$2:$G$26,$AF27)=0,"NOT ON LIST",""))</f>
        <v/>
      </c>
      <c r="AH27" s="8" t="str">
        <f t="shared" si="2"/>
        <v/>
      </c>
    </row>
    <row r="28" spans="31:34" x14ac:dyDescent="0.25">
      <c r="AE28" s="8" t="str">
        <f t="shared" si="0"/>
        <v/>
      </c>
      <c r="AF28" s="8" t="str">
        <f t="shared" si="1"/>
        <v/>
      </c>
      <c r="AG28" s="8" t="str">
        <f>IF(TRIM($E28)&lt;&gt;"Tax Paid","",IF(COUNTIFS(LISTS!$F$2:$F$26,$AE28,LISTS!$G$2:$G$26,$AF28)=0,"NOT ON LIST",""))</f>
        <v/>
      </c>
      <c r="AH28" s="8" t="str">
        <f t="shared" si="2"/>
        <v/>
      </c>
    </row>
    <row r="29" spans="31:34" x14ac:dyDescent="0.25">
      <c r="AE29" s="8" t="str">
        <f t="shared" si="0"/>
        <v/>
      </c>
      <c r="AF29" s="8" t="str">
        <f t="shared" si="1"/>
        <v/>
      </c>
      <c r="AG29" s="8" t="str">
        <f>IF(TRIM($E29)&lt;&gt;"Tax Paid","",IF(COUNTIFS(LISTS!$F$2:$F$26,$AE29,LISTS!$G$2:$G$26,$AF29)=0,"NOT ON LIST",""))</f>
        <v/>
      </c>
      <c r="AH29" s="8" t="str">
        <f t="shared" si="2"/>
        <v/>
      </c>
    </row>
    <row r="30" spans="31:34" x14ac:dyDescent="0.25">
      <c r="AE30" s="8" t="str">
        <f t="shared" si="0"/>
        <v/>
      </c>
      <c r="AF30" s="8" t="str">
        <f t="shared" si="1"/>
        <v/>
      </c>
      <c r="AG30" s="8" t="str">
        <f>IF(TRIM($E30)&lt;&gt;"Tax Paid","",IF(COUNTIFS(LISTS!$F$2:$F$26,$AE30,LISTS!$G$2:$G$26,$AF30)=0,"NOT ON LIST",""))</f>
        <v/>
      </c>
      <c r="AH30" s="8" t="str">
        <f t="shared" si="2"/>
        <v/>
      </c>
    </row>
    <row r="31" spans="31:34" x14ac:dyDescent="0.25">
      <c r="AE31" s="8" t="str">
        <f t="shared" si="0"/>
        <v/>
      </c>
      <c r="AF31" s="8" t="str">
        <f t="shared" si="1"/>
        <v/>
      </c>
      <c r="AG31" s="8" t="str">
        <f>IF(TRIM($E31)&lt;&gt;"Tax Paid","",IF(COUNTIFS(LISTS!$F$2:$F$26,$AE31,LISTS!$G$2:$G$26,$AF31)=0,"NOT ON LIST",""))</f>
        <v/>
      </c>
      <c r="AH31" s="8" t="str">
        <f t="shared" si="2"/>
        <v/>
      </c>
    </row>
    <row r="32" spans="31:34" x14ac:dyDescent="0.25">
      <c r="AE32" s="8" t="str">
        <f t="shared" si="0"/>
        <v/>
      </c>
      <c r="AF32" s="8" t="str">
        <f t="shared" si="1"/>
        <v/>
      </c>
      <c r="AG32" s="8" t="str">
        <f>IF(TRIM($E32)&lt;&gt;"Tax Paid","",IF(COUNTIFS(LISTS!$F$2:$F$26,$AE32,LISTS!$G$2:$G$26,$AF32)=0,"NOT ON LIST",""))</f>
        <v/>
      </c>
      <c r="AH32" s="8" t="str">
        <f t="shared" si="2"/>
        <v/>
      </c>
    </row>
    <row r="33" spans="31:34" x14ac:dyDescent="0.25">
      <c r="AE33" s="8" t="str">
        <f t="shared" si="0"/>
        <v/>
      </c>
      <c r="AF33" s="8" t="str">
        <f t="shared" si="1"/>
        <v/>
      </c>
      <c r="AG33" s="8" t="str">
        <f>IF(TRIM($E33)&lt;&gt;"Tax Paid","",IF(COUNTIFS(LISTS!$F$2:$F$26,$AE33,LISTS!$G$2:$G$26,$AF33)=0,"NOT ON LIST",""))</f>
        <v/>
      </c>
      <c r="AH33" s="8" t="str">
        <f t="shared" si="2"/>
        <v/>
      </c>
    </row>
    <row r="34" spans="31:34" x14ac:dyDescent="0.25">
      <c r="AE34" s="8" t="str">
        <f t="shared" si="0"/>
        <v/>
      </c>
      <c r="AF34" s="8" t="str">
        <f t="shared" si="1"/>
        <v/>
      </c>
      <c r="AG34" s="8" t="str">
        <f>IF(TRIM($E34)&lt;&gt;"Tax Paid","",IF(COUNTIFS(LISTS!$F$2:$F$26,$AE34,LISTS!$G$2:$G$26,$AF34)=0,"NOT ON LIST",""))</f>
        <v/>
      </c>
      <c r="AH34" s="8" t="str">
        <f t="shared" si="2"/>
        <v/>
      </c>
    </row>
    <row r="35" spans="31:34" x14ac:dyDescent="0.25">
      <c r="AE35" s="8" t="str">
        <f t="shared" si="0"/>
        <v/>
      </c>
      <c r="AF35" s="8" t="str">
        <f t="shared" si="1"/>
        <v/>
      </c>
      <c r="AG35" s="8" t="str">
        <f>IF(TRIM($E35)&lt;&gt;"Tax Paid","",IF(COUNTIFS(LISTS!$F$2:$F$26,$AE35,LISTS!$G$2:$G$26,$AF35)=0,"NOT ON LIST",""))</f>
        <v/>
      </c>
      <c r="AH35" s="8" t="str">
        <f t="shared" si="2"/>
        <v/>
      </c>
    </row>
    <row r="36" spans="31:34" x14ac:dyDescent="0.25">
      <c r="AE36" s="8" t="str">
        <f t="shared" si="0"/>
        <v/>
      </c>
      <c r="AF36" s="8" t="str">
        <f t="shared" si="1"/>
        <v/>
      </c>
      <c r="AG36" s="8" t="str">
        <f>IF(TRIM($E36)&lt;&gt;"Tax Paid","",IF(COUNTIFS(LISTS!$F$2:$F$26,$AE36,LISTS!$G$2:$G$26,$AF36)=0,"NOT ON LIST",""))</f>
        <v/>
      </c>
      <c r="AH36" s="8" t="str">
        <f t="shared" si="2"/>
        <v/>
      </c>
    </row>
    <row r="37" spans="31:34" x14ac:dyDescent="0.25">
      <c r="AE37" s="8" t="str">
        <f t="shared" si="0"/>
        <v/>
      </c>
      <c r="AF37" s="8" t="str">
        <f t="shared" si="1"/>
        <v/>
      </c>
      <c r="AG37" s="8" t="str">
        <f>IF(TRIM($E37)&lt;&gt;"Tax Paid","",IF(COUNTIFS(LISTS!$F$2:$F$26,$AE37,LISTS!$G$2:$G$26,$AF37)=0,"NOT ON LIST",""))</f>
        <v/>
      </c>
      <c r="AH37" s="8" t="str">
        <f t="shared" si="2"/>
        <v/>
      </c>
    </row>
    <row r="38" spans="31:34" x14ac:dyDescent="0.25">
      <c r="AE38" s="8" t="str">
        <f t="shared" si="0"/>
        <v/>
      </c>
      <c r="AF38" s="8" t="str">
        <f t="shared" si="1"/>
        <v/>
      </c>
      <c r="AG38" s="8" t="str">
        <f>IF(TRIM($E38)&lt;&gt;"Tax Paid","",IF(COUNTIFS(LISTS!$F$2:$F$26,$AE38,LISTS!$G$2:$G$26,$AF38)=0,"NOT ON LIST",""))</f>
        <v/>
      </c>
      <c r="AH38" s="8" t="str">
        <f t="shared" si="2"/>
        <v/>
      </c>
    </row>
    <row r="39" spans="31:34" x14ac:dyDescent="0.25">
      <c r="AE39" s="8" t="str">
        <f t="shared" si="0"/>
        <v/>
      </c>
      <c r="AF39" s="8" t="str">
        <f t="shared" si="1"/>
        <v/>
      </c>
      <c r="AG39" s="8" t="str">
        <f>IF(TRIM($E39)&lt;&gt;"Tax Paid","",IF(COUNTIFS(LISTS!$F$2:$F$26,$AE39,LISTS!$G$2:$G$26,$AF39)=0,"NOT ON LIST",""))</f>
        <v/>
      </c>
      <c r="AH39" s="8" t="str">
        <f t="shared" si="2"/>
        <v/>
      </c>
    </row>
    <row r="40" spans="31:34" x14ac:dyDescent="0.25">
      <c r="AE40" s="8" t="str">
        <f t="shared" si="0"/>
        <v/>
      </c>
      <c r="AF40" s="8" t="str">
        <f t="shared" si="1"/>
        <v/>
      </c>
      <c r="AG40" s="8" t="str">
        <f>IF(TRIM($E40)&lt;&gt;"Tax Paid","",IF(COUNTIFS(LISTS!$F$2:$F$26,$AE40,LISTS!$G$2:$G$26,$AF40)=0,"NOT ON LIST",""))</f>
        <v/>
      </c>
      <c r="AH40" s="8" t="str">
        <f t="shared" si="2"/>
        <v/>
      </c>
    </row>
    <row r="41" spans="31:34" x14ac:dyDescent="0.25">
      <c r="AE41" s="8" t="str">
        <f t="shared" si="0"/>
        <v/>
      </c>
      <c r="AF41" s="8" t="str">
        <f t="shared" si="1"/>
        <v/>
      </c>
      <c r="AG41" s="8" t="str">
        <f>IF(TRIM($E41)&lt;&gt;"Tax Paid","",IF(COUNTIFS(LISTS!$F$2:$F$26,$AE41,LISTS!$G$2:$G$26,$AF41)=0,"NOT ON LIST",""))</f>
        <v/>
      </c>
      <c r="AH41" s="8" t="str">
        <f t="shared" si="2"/>
        <v/>
      </c>
    </row>
    <row r="42" spans="31:34" x14ac:dyDescent="0.25">
      <c r="AE42" s="8" t="str">
        <f t="shared" si="0"/>
        <v/>
      </c>
      <c r="AF42" s="8" t="str">
        <f t="shared" si="1"/>
        <v/>
      </c>
      <c r="AG42" s="8" t="str">
        <f>IF(TRIM($E42)&lt;&gt;"Tax Paid","",IF(COUNTIFS(LISTS!$F$2:$F$26,$AE42,LISTS!$G$2:$G$26,$AF42)=0,"NOT ON LIST",""))</f>
        <v/>
      </c>
      <c r="AH42" s="8" t="str">
        <f t="shared" si="2"/>
        <v/>
      </c>
    </row>
    <row r="43" spans="31:34" x14ac:dyDescent="0.25">
      <c r="AE43" s="8" t="str">
        <f t="shared" si="0"/>
        <v/>
      </c>
      <c r="AF43" s="8" t="str">
        <f t="shared" si="1"/>
        <v/>
      </c>
      <c r="AG43" s="8" t="str">
        <f>IF(TRIM($E43)&lt;&gt;"Tax Paid","",IF(COUNTIFS(LISTS!$F$2:$F$26,$AE43,LISTS!$G$2:$G$26,$AF43)=0,"NOT ON LIST",""))</f>
        <v/>
      </c>
      <c r="AH43" s="8" t="str">
        <f t="shared" si="2"/>
        <v/>
      </c>
    </row>
    <row r="44" spans="31:34" x14ac:dyDescent="0.25">
      <c r="AE44" s="8" t="str">
        <f t="shared" si="0"/>
        <v/>
      </c>
      <c r="AF44" s="8" t="str">
        <f t="shared" si="1"/>
        <v/>
      </c>
      <c r="AG44" s="8" t="str">
        <f>IF(TRIM($E44)&lt;&gt;"Tax Paid","",IF(COUNTIFS(LISTS!$F$2:$F$26,$AE44,LISTS!$G$2:$G$26,$AF44)=0,"NOT ON LIST",""))</f>
        <v/>
      </c>
      <c r="AH44" s="8" t="str">
        <f t="shared" si="2"/>
        <v/>
      </c>
    </row>
    <row r="45" spans="31:34" x14ac:dyDescent="0.25">
      <c r="AE45" s="8" t="str">
        <f t="shared" si="0"/>
        <v/>
      </c>
      <c r="AF45" s="8" t="str">
        <f t="shared" si="1"/>
        <v/>
      </c>
      <c r="AG45" s="8" t="str">
        <f>IF(TRIM($E45)&lt;&gt;"Tax Paid","",IF(COUNTIFS(LISTS!$F$2:$F$26,$AE45,LISTS!$G$2:$G$26,$AF45)=0,"NOT ON LIST",""))</f>
        <v/>
      </c>
      <c r="AH45" s="8" t="str">
        <f t="shared" si="2"/>
        <v/>
      </c>
    </row>
    <row r="46" spans="31:34" x14ac:dyDescent="0.25">
      <c r="AE46" s="8" t="str">
        <f t="shared" si="0"/>
        <v/>
      </c>
      <c r="AF46" s="8" t="str">
        <f t="shared" si="1"/>
        <v/>
      </c>
      <c r="AG46" s="8" t="str">
        <f>IF(TRIM($E46)&lt;&gt;"Tax Paid","",IF(COUNTIFS(LISTS!$F$2:$F$26,$AE46,LISTS!$G$2:$G$26,$AF46)=0,"NOT ON LIST",""))</f>
        <v/>
      </c>
      <c r="AH46" s="8" t="str">
        <f t="shared" si="2"/>
        <v/>
      </c>
    </row>
    <row r="47" spans="31:34" x14ac:dyDescent="0.25">
      <c r="AE47" s="8" t="str">
        <f t="shared" si="0"/>
        <v/>
      </c>
      <c r="AF47" s="8" t="str">
        <f t="shared" si="1"/>
        <v/>
      </c>
      <c r="AG47" s="8" t="str">
        <f>IF(TRIM($E47)&lt;&gt;"Tax Paid","",IF(COUNTIFS(LISTS!$F$2:$F$26,$AE47,LISTS!$G$2:$G$26,$AF47)=0,"NOT ON LIST",""))</f>
        <v/>
      </c>
      <c r="AH47" s="8" t="str">
        <f t="shared" si="2"/>
        <v/>
      </c>
    </row>
    <row r="48" spans="31:34" x14ac:dyDescent="0.25">
      <c r="AE48" s="8" t="str">
        <f t="shared" si="0"/>
        <v/>
      </c>
      <c r="AF48" s="8" t="str">
        <f t="shared" si="1"/>
        <v/>
      </c>
      <c r="AG48" s="8" t="str">
        <f>IF(TRIM($E48)&lt;&gt;"Tax Paid","",IF(COUNTIFS(LISTS!$F$2:$F$26,$AE48,LISTS!$G$2:$G$26,$AF48)=0,"NOT ON LIST",""))</f>
        <v/>
      </c>
      <c r="AH48" s="8" t="str">
        <f t="shared" si="2"/>
        <v/>
      </c>
    </row>
    <row r="49" spans="31:34" x14ac:dyDescent="0.25">
      <c r="AE49" s="8" t="str">
        <f t="shared" si="0"/>
        <v/>
      </c>
      <c r="AF49" s="8" t="str">
        <f t="shared" si="1"/>
        <v/>
      </c>
      <c r="AG49" s="8" t="str">
        <f>IF(TRIM($E49)&lt;&gt;"Tax Paid","",IF(COUNTIFS(LISTS!$F$2:$F$26,$AE49,LISTS!$G$2:$G$26,$AF49)=0,"NOT ON LIST",""))</f>
        <v/>
      </c>
      <c r="AH49" s="8" t="str">
        <f t="shared" si="2"/>
        <v/>
      </c>
    </row>
    <row r="50" spans="31:34" x14ac:dyDescent="0.25">
      <c r="AE50" s="8" t="str">
        <f t="shared" si="0"/>
        <v/>
      </c>
      <c r="AF50" s="8" t="str">
        <f t="shared" si="1"/>
        <v/>
      </c>
      <c r="AG50" s="8" t="str">
        <f>IF(TRIM($E50)&lt;&gt;"Tax Paid","",IF(COUNTIFS(LISTS!$F$2:$F$26,$AE50,LISTS!$G$2:$G$26,$AF50)=0,"NOT ON LIST",""))</f>
        <v/>
      </c>
      <c r="AH50" s="8" t="str">
        <f t="shared" si="2"/>
        <v/>
      </c>
    </row>
    <row r="51" spans="31:34" x14ac:dyDescent="0.25">
      <c r="AE51" s="8" t="str">
        <f t="shared" si="0"/>
        <v/>
      </c>
      <c r="AF51" s="8" t="str">
        <f t="shared" si="1"/>
        <v/>
      </c>
      <c r="AG51" s="8" t="str">
        <f>IF(TRIM($E51)&lt;&gt;"Tax Paid","",IF(COUNTIFS(LISTS!$F$2:$F$26,$AE51,LISTS!$G$2:$G$26,$AF51)=0,"NOT ON LIST",""))</f>
        <v/>
      </c>
      <c r="AH51" s="8" t="str">
        <f t="shared" si="2"/>
        <v/>
      </c>
    </row>
    <row r="52" spans="31:34" x14ac:dyDescent="0.25">
      <c r="AE52" s="8" t="str">
        <f t="shared" si="0"/>
        <v/>
      </c>
      <c r="AF52" s="8" t="str">
        <f t="shared" si="1"/>
        <v/>
      </c>
      <c r="AG52" s="8" t="str">
        <f>IF(TRIM($E52)&lt;&gt;"Tax Paid","",IF(COUNTIFS(LISTS!$F$2:$F$26,$AE52,LISTS!$G$2:$G$26,$AF52)=0,"NOT ON LIST",""))</f>
        <v/>
      </c>
      <c r="AH52" s="8" t="str">
        <f t="shared" si="2"/>
        <v/>
      </c>
    </row>
    <row r="53" spans="31:34" x14ac:dyDescent="0.25">
      <c r="AE53" s="8" t="str">
        <f t="shared" si="0"/>
        <v/>
      </c>
      <c r="AF53" s="8" t="str">
        <f t="shared" si="1"/>
        <v/>
      </c>
      <c r="AG53" s="8" t="str">
        <f>IF(TRIM($E53)&lt;&gt;"Tax Paid","",IF(COUNTIFS(LISTS!$F$2:$F$26,$AE53,LISTS!$G$2:$G$26,$AF53)=0,"NOT ON LIST",""))</f>
        <v/>
      </c>
      <c r="AH53" s="8" t="str">
        <f t="shared" si="2"/>
        <v/>
      </c>
    </row>
    <row r="54" spans="31:34" x14ac:dyDescent="0.25">
      <c r="AE54" s="8" t="str">
        <f t="shared" si="0"/>
        <v/>
      </c>
      <c r="AF54" s="8" t="str">
        <f t="shared" si="1"/>
        <v/>
      </c>
      <c r="AG54" s="8" t="str">
        <f>IF(TRIM($E54)&lt;&gt;"Tax Paid","",IF(COUNTIFS(LISTS!$F$2:$F$26,$AE54,LISTS!$G$2:$G$26,$AF54)=0,"NOT ON LIST",""))</f>
        <v/>
      </c>
      <c r="AH54" s="8" t="str">
        <f t="shared" si="2"/>
        <v/>
      </c>
    </row>
    <row r="55" spans="31:34" x14ac:dyDescent="0.25">
      <c r="AE55" s="8" t="str">
        <f t="shared" si="0"/>
        <v/>
      </c>
      <c r="AF55" s="8" t="str">
        <f t="shared" si="1"/>
        <v/>
      </c>
      <c r="AG55" s="8" t="str">
        <f>IF(TRIM($E55)&lt;&gt;"Tax Paid","",IF(COUNTIFS(LISTS!$F$2:$F$26,$AE55,LISTS!$G$2:$G$26,$AF55)=0,"NOT ON LIST",""))</f>
        <v/>
      </c>
      <c r="AH55" s="8" t="str">
        <f t="shared" si="2"/>
        <v/>
      </c>
    </row>
    <row r="56" spans="31:34" x14ac:dyDescent="0.25">
      <c r="AE56" s="8" t="str">
        <f t="shared" si="0"/>
        <v/>
      </c>
      <c r="AF56" s="8" t="str">
        <f t="shared" si="1"/>
        <v/>
      </c>
      <c r="AG56" s="8" t="str">
        <f>IF(TRIM($E56)&lt;&gt;"Tax Paid","",IF(COUNTIFS(LISTS!$F$2:$F$26,$AE56,LISTS!$G$2:$G$26,$AF56)=0,"NOT ON LIST",""))</f>
        <v/>
      </c>
      <c r="AH56" s="8" t="str">
        <f t="shared" si="2"/>
        <v/>
      </c>
    </row>
    <row r="57" spans="31:34" x14ac:dyDescent="0.25">
      <c r="AE57" s="8" t="str">
        <f t="shared" si="0"/>
        <v/>
      </c>
      <c r="AF57" s="8" t="str">
        <f t="shared" si="1"/>
        <v/>
      </c>
      <c r="AG57" s="8" t="str">
        <f>IF(TRIM($E57)&lt;&gt;"Tax Paid","",IF(COUNTIFS(LISTS!$F$2:$F$26,$AE57,LISTS!$G$2:$G$26,$AF57)=0,"NOT ON LIST",""))</f>
        <v/>
      </c>
      <c r="AH57" s="8" t="str">
        <f t="shared" si="2"/>
        <v/>
      </c>
    </row>
    <row r="58" spans="31:34" x14ac:dyDescent="0.25">
      <c r="AE58" s="8" t="str">
        <f t="shared" si="0"/>
        <v/>
      </c>
      <c r="AF58" s="8" t="str">
        <f t="shared" si="1"/>
        <v/>
      </c>
      <c r="AG58" s="8" t="str">
        <f>IF(TRIM($E58)&lt;&gt;"Tax Paid","",IF(COUNTIFS(LISTS!$F$2:$F$26,$AE58,LISTS!$G$2:$G$26,$AF58)=0,"NOT ON LIST",""))</f>
        <v/>
      </c>
      <c r="AH58" s="8" t="str">
        <f t="shared" si="2"/>
        <v/>
      </c>
    </row>
    <row r="59" spans="31:34" x14ac:dyDescent="0.25">
      <c r="AE59" s="8" t="str">
        <f t="shared" si="0"/>
        <v/>
      </c>
      <c r="AF59" s="8" t="str">
        <f t="shared" si="1"/>
        <v/>
      </c>
      <c r="AG59" s="8" t="str">
        <f>IF(TRIM($E59)&lt;&gt;"Tax Paid","",IF(COUNTIFS(LISTS!$F$2:$F$26,$AE59,LISTS!$G$2:$G$26,$AF59)=0,"NOT ON LIST",""))</f>
        <v/>
      </c>
      <c r="AH59" s="8" t="str">
        <f t="shared" si="2"/>
        <v/>
      </c>
    </row>
    <row r="60" spans="31:34" x14ac:dyDescent="0.25">
      <c r="AE60" s="8" t="str">
        <f t="shared" si="0"/>
        <v/>
      </c>
      <c r="AF60" s="8" t="str">
        <f t="shared" si="1"/>
        <v/>
      </c>
      <c r="AG60" s="8" t="str">
        <f>IF(TRIM($E60)&lt;&gt;"Tax Paid","",IF(COUNTIFS(LISTS!$F$2:$F$26,$AE60,LISTS!$G$2:$G$26,$AF60)=0,"NOT ON LIST",""))</f>
        <v/>
      </c>
      <c r="AH60" s="8" t="str">
        <f t="shared" si="2"/>
        <v/>
      </c>
    </row>
    <row r="61" spans="31:34" x14ac:dyDescent="0.25">
      <c r="AE61" s="8" t="str">
        <f t="shared" si="0"/>
        <v/>
      </c>
      <c r="AF61" s="8" t="str">
        <f t="shared" si="1"/>
        <v/>
      </c>
      <c r="AG61" s="8" t="str">
        <f>IF(TRIM($E61)&lt;&gt;"Tax Paid","",IF(COUNTIFS(LISTS!$F$2:$F$26,$AE61,LISTS!$G$2:$G$26,$AF61)=0,"NOT ON LIST",""))</f>
        <v/>
      </c>
      <c r="AH61" s="8" t="str">
        <f t="shared" si="2"/>
        <v/>
      </c>
    </row>
    <row r="62" spans="31:34" x14ac:dyDescent="0.25">
      <c r="AE62" s="8" t="str">
        <f t="shared" si="0"/>
        <v/>
      </c>
      <c r="AF62" s="8" t="str">
        <f t="shared" si="1"/>
        <v/>
      </c>
      <c r="AG62" s="8" t="str">
        <f>IF(TRIM($E62)&lt;&gt;"Tax Paid","",IF(COUNTIFS(LISTS!$F$2:$F$26,$AE62,LISTS!$G$2:$G$26,$AF62)=0,"NOT ON LIST",""))</f>
        <v/>
      </c>
      <c r="AH62" s="8" t="str">
        <f t="shared" si="2"/>
        <v/>
      </c>
    </row>
    <row r="63" spans="31:34" x14ac:dyDescent="0.25">
      <c r="AE63" s="8" t="str">
        <f t="shared" si="0"/>
        <v/>
      </c>
      <c r="AF63" s="8" t="str">
        <f t="shared" si="1"/>
        <v/>
      </c>
      <c r="AG63" s="8" t="str">
        <f>IF(TRIM($E63)&lt;&gt;"Tax Paid","",IF(COUNTIFS(LISTS!$F$2:$F$26,$AE63,LISTS!$G$2:$G$26,$AF63)=0,"NOT ON LIST",""))</f>
        <v/>
      </c>
      <c r="AH63" s="8" t="str">
        <f t="shared" si="2"/>
        <v/>
      </c>
    </row>
    <row r="64" spans="31:34" x14ac:dyDescent="0.25">
      <c r="AE64" s="8" t="str">
        <f t="shared" si="0"/>
        <v/>
      </c>
      <c r="AF64" s="8" t="str">
        <f t="shared" si="1"/>
        <v/>
      </c>
      <c r="AG64" s="8" t="str">
        <f>IF(TRIM($E64)&lt;&gt;"Tax Paid","",IF(COUNTIFS(LISTS!$F$2:$F$26,$AE64,LISTS!$G$2:$G$26,$AF64)=0,"NOT ON LIST",""))</f>
        <v/>
      </c>
      <c r="AH64" s="8" t="str">
        <f t="shared" si="2"/>
        <v/>
      </c>
    </row>
    <row r="65" spans="31:34" x14ac:dyDescent="0.25">
      <c r="AE65" s="8" t="str">
        <f t="shared" si="0"/>
        <v/>
      </c>
      <c r="AF65" s="8" t="str">
        <f t="shared" si="1"/>
        <v/>
      </c>
      <c r="AG65" s="8" t="str">
        <f>IF(TRIM($E65)&lt;&gt;"Tax Paid","",IF(COUNTIFS(LISTS!$F$2:$F$26,$AE65,LISTS!$G$2:$G$26,$AF65)=0,"NOT ON LIST",""))</f>
        <v/>
      </c>
      <c r="AH65" s="8" t="str">
        <f t="shared" si="2"/>
        <v/>
      </c>
    </row>
    <row r="66" spans="31:34" x14ac:dyDescent="0.25">
      <c r="AE66" s="8" t="str">
        <f t="shared" ref="AE66:AE129" si="3">IF(TRIM($E66)="Tax Paid",TRIM($S66),"")</f>
        <v/>
      </c>
      <c r="AF66" s="8" t="str">
        <f t="shared" ref="AF66:AF129" si="4">IF(TRIM($E66)="Tax Paid",ROUND($Z66/100,5),"")</f>
        <v/>
      </c>
      <c r="AG66" s="8" t="str">
        <f>IF(TRIM($E66)&lt;&gt;"Tax Paid","",IF(COUNTIFS(LISTS!$F$2:$F$26,$AE66,LISTS!$G$2:$G$26,$AF66)=0,"NOT ON LIST",""))</f>
        <v/>
      </c>
      <c r="AH66" s="8" t="str">
        <f t="shared" ref="AH66:AH129" si="5">IF($AG66="","",IF($AE66="","(no county)",$AE66)&amp;" ("&amp;SUBSTITUTE(TEXT($AF66,"0.###%"),".%","%")&amp;")")</f>
        <v/>
      </c>
    </row>
    <row r="67" spans="31:34" x14ac:dyDescent="0.25">
      <c r="AE67" s="8" t="str">
        <f t="shared" si="3"/>
        <v/>
      </c>
      <c r="AF67" s="8" t="str">
        <f t="shared" si="4"/>
        <v/>
      </c>
      <c r="AG67" s="8" t="str">
        <f>IF(TRIM($E67)&lt;&gt;"Tax Paid","",IF(COUNTIFS(LISTS!$F$2:$F$26,$AE67,LISTS!$G$2:$G$26,$AF67)=0,"NOT ON LIST",""))</f>
        <v/>
      </c>
      <c r="AH67" s="8" t="str">
        <f t="shared" si="5"/>
        <v/>
      </c>
    </row>
    <row r="68" spans="31:34" x14ac:dyDescent="0.25">
      <c r="AE68" s="8" t="str">
        <f t="shared" si="3"/>
        <v/>
      </c>
      <c r="AF68" s="8" t="str">
        <f t="shared" si="4"/>
        <v/>
      </c>
      <c r="AG68" s="8" t="str">
        <f>IF(TRIM($E68)&lt;&gt;"Tax Paid","",IF(COUNTIFS(LISTS!$F$2:$F$26,$AE68,LISTS!$G$2:$G$26,$AF68)=0,"NOT ON LIST",""))</f>
        <v/>
      </c>
      <c r="AH68" s="8" t="str">
        <f t="shared" si="5"/>
        <v/>
      </c>
    </row>
    <row r="69" spans="31:34" x14ac:dyDescent="0.25">
      <c r="AE69" s="8" t="str">
        <f t="shared" si="3"/>
        <v/>
      </c>
      <c r="AF69" s="8" t="str">
        <f t="shared" si="4"/>
        <v/>
      </c>
      <c r="AG69" s="8" t="str">
        <f>IF(TRIM($E69)&lt;&gt;"Tax Paid","",IF(COUNTIFS(LISTS!$F$2:$F$26,$AE69,LISTS!$G$2:$G$26,$AF69)=0,"NOT ON LIST",""))</f>
        <v/>
      </c>
      <c r="AH69" s="8" t="str">
        <f t="shared" si="5"/>
        <v/>
      </c>
    </row>
    <row r="70" spans="31:34" x14ac:dyDescent="0.25">
      <c r="AE70" s="8" t="str">
        <f t="shared" si="3"/>
        <v/>
      </c>
      <c r="AF70" s="8" t="str">
        <f t="shared" si="4"/>
        <v/>
      </c>
      <c r="AG70" s="8" t="str">
        <f>IF(TRIM($E70)&lt;&gt;"Tax Paid","",IF(COUNTIFS(LISTS!$F$2:$F$26,$AE70,LISTS!$G$2:$G$26,$AF70)=0,"NOT ON LIST",""))</f>
        <v/>
      </c>
      <c r="AH70" s="8" t="str">
        <f t="shared" si="5"/>
        <v/>
      </c>
    </row>
    <row r="71" spans="31:34" x14ac:dyDescent="0.25">
      <c r="AE71" s="8" t="str">
        <f t="shared" si="3"/>
        <v/>
      </c>
      <c r="AF71" s="8" t="str">
        <f t="shared" si="4"/>
        <v/>
      </c>
      <c r="AG71" s="8" t="str">
        <f>IF(TRIM($E71)&lt;&gt;"Tax Paid","",IF(COUNTIFS(LISTS!$F$2:$F$26,$AE71,LISTS!$G$2:$G$26,$AF71)=0,"NOT ON LIST",""))</f>
        <v/>
      </c>
      <c r="AH71" s="8" t="str">
        <f t="shared" si="5"/>
        <v/>
      </c>
    </row>
    <row r="72" spans="31:34" x14ac:dyDescent="0.25">
      <c r="AE72" s="8" t="str">
        <f t="shared" si="3"/>
        <v/>
      </c>
      <c r="AF72" s="8" t="str">
        <f t="shared" si="4"/>
        <v/>
      </c>
      <c r="AG72" s="8" t="str">
        <f>IF(TRIM($E72)&lt;&gt;"Tax Paid","",IF(COUNTIFS(LISTS!$F$2:$F$26,$AE72,LISTS!$G$2:$G$26,$AF72)=0,"NOT ON LIST",""))</f>
        <v/>
      </c>
      <c r="AH72" s="8" t="str">
        <f t="shared" si="5"/>
        <v/>
      </c>
    </row>
    <row r="73" spans="31:34" x14ac:dyDescent="0.25">
      <c r="AE73" s="8" t="str">
        <f t="shared" si="3"/>
        <v/>
      </c>
      <c r="AF73" s="8" t="str">
        <f t="shared" si="4"/>
        <v/>
      </c>
      <c r="AG73" s="8" t="str">
        <f>IF(TRIM($E73)&lt;&gt;"Tax Paid","",IF(COUNTIFS(LISTS!$F$2:$F$26,$AE73,LISTS!$G$2:$G$26,$AF73)=0,"NOT ON LIST",""))</f>
        <v/>
      </c>
      <c r="AH73" s="8" t="str">
        <f t="shared" si="5"/>
        <v/>
      </c>
    </row>
    <row r="74" spans="31:34" x14ac:dyDescent="0.25">
      <c r="AE74" s="8" t="str">
        <f t="shared" si="3"/>
        <v/>
      </c>
      <c r="AF74" s="8" t="str">
        <f t="shared" si="4"/>
        <v/>
      </c>
      <c r="AG74" s="8" t="str">
        <f>IF(TRIM($E74)&lt;&gt;"Tax Paid","",IF(COUNTIFS(LISTS!$F$2:$F$26,$AE74,LISTS!$G$2:$G$26,$AF74)=0,"NOT ON LIST",""))</f>
        <v/>
      </c>
      <c r="AH74" s="8" t="str">
        <f t="shared" si="5"/>
        <v/>
      </c>
    </row>
    <row r="75" spans="31:34" x14ac:dyDescent="0.25">
      <c r="AE75" s="8" t="str">
        <f t="shared" si="3"/>
        <v/>
      </c>
      <c r="AF75" s="8" t="str">
        <f t="shared" si="4"/>
        <v/>
      </c>
      <c r="AG75" s="8" t="str">
        <f>IF(TRIM($E75)&lt;&gt;"Tax Paid","",IF(COUNTIFS(LISTS!$F$2:$F$26,$AE75,LISTS!$G$2:$G$26,$AF75)=0,"NOT ON LIST",""))</f>
        <v/>
      </c>
      <c r="AH75" s="8" t="str">
        <f t="shared" si="5"/>
        <v/>
      </c>
    </row>
    <row r="76" spans="31:34" x14ac:dyDescent="0.25">
      <c r="AE76" s="8" t="str">
        <f t="shared" si="3"/>
        <v/>
      </c>
      <c r="AF76" s="8" t="str">
        <f t="shared" si="4"/>
        <v/>
      </c>
      <c r="AG76" s="8" t="str">
        <f>IF(TRIM($E76)&lt;&gt;"Tax Paid","",IF(COUNTIFS(LISTS!$F$2:$F$26,$AE76,LISTS!$G$2:$G$26,$AF76)=0,"NOT ON LIST",""))</f>
        <v/>
      </c>
      <c r="AH76" s="8" t="str">
        <f t="shared" si="5"/>
        <v/>
      </c>
    </row>
    <row r="77" spans="31:34" x14ac:dyDescent="0.25">
      <c r="AE77" s="8" t="str">
        <f t="shared" si="3"/>
        <v/>
      </c>
      <c r="AF77" s="8" t="str">
        <f t="shared" si="4"/>
        <v/>
      </c>
      <c r="AG77" s="8" t="str">
        <f>IF(TRIM($E77)&lt;&gt;"Tax Paid","",IF(COUNTIFS(LISTS!$F$2:$F$26,$AE77,LISTS!$G$2:$G$26,$AF77)=0,"NOT ON LIST",""))</f>
        <v/>
      </c>
      <c r="AH77" s="8" t="str">
        <f t="shared" si="5"/>
        <v/>
      </c>
    </row>
    <row r="78" spans="31:34" x14ac:dyDescent="0.25">
      <c r="AE78" s="8" t="str">
        <f t="shared" si="3"/>
        <v/>
      </c>
      <c r="AF78" s="8" t="str">
        <f t="shared" si="4"/>
        <v/>
      </c>
      <c r="AG78" s="8" t="str">
        <f>IF(TRIM($E78)&lt;&gt;"Tax Paid","",IF(COUNTIFS(LISTS!$F$2:$F$26,$AE78,LISTS!$G$2:$G$26,$AF78)=0,"NOT ON LIST",""))</f>
        <v/>
      </c>
      <c r="AH78" s="8" t="str">
        <f t="shared" si="5"/>
        <v/>
      </c>
    </row>
    <row r="79" spans="31:34" x14ac:dyDescent="0.25">
      <c r="AE79" s="8" t="str">
        <f t="shared" si="3"/>
        <v/>
      </c>
      <c r="AF79" s="8" t="str">
        <f t="shared" si="4"/>
        <v/>
      </c>
      <c r="AG79" s="8" t="str">
        <f>IF(TRIM($E79)&lt;&gt;"Tax Paid","",IF(COUNTIFS(LISTS!$F$2:$F$26,$AE79,LISTS!$G$2:$G$26,$AF79)=0,"NOT ON LIST",""))</f>
        <v/>
      </c>
      <c r="AH79" s="8" t="str">
        <f t="shared" si="5"/>
        <v/>
      </c>
    </row>
    <row r="80" spans="31:34" x14ac:dyDescent="0.25">
      <c r="AE80" s="8" t="str">
        <f t="shared" si="3"/>
        <v/>
      </c>
      <c r="AF80" s="8" t="str">
        <f t="shared" si="4"/>
        <v/>
      </c>
      <c r="AG80" s="8" t="str">
        <f>IF(TRIM($E80)&lt;&gt;"Tax Paid","",IF(COUNTIFS(LISTS!$F$2:$F$26,$AE80,LISTS!$G$2:$G$26,$AF80)=0,"NOT ON LIST",""))</f>
        <v/>
      </c>
      <c r="AH80" s="8" t="str">
        <f t="shared" si="5"/>
        <v/>
      </c>
    </row>
    <row r="81" spans="31:34" x14ac:dyDescent="0.25">
      <c r="AE81" s="8" t="str">
        <f t="shared" si="3"/>
        <v/>
      </c>
      <c r="AF81" s="8" t="str">
        <f t="shared" si="4"/>
        <v/>
      </c>
      <c r="AG81" s="8" t="str">
        <f>IF(TRIM($E81)&lt;&gt;"Tax Paid","",IF(COUNTIFS(LISTS!$F$2:$F$26,$AE81,LISTS!$G$2:$G$26,$AF81)=0,"NOT ON LIST",""))</f>
        <v/>
      </c>
      <c r="AH81" s="8" t="str">
        <f t="shared" si="5"/>
        <v/>
      </c>
    </row>
    <row r="82" spans="31:34" x14ac:dyDescent="0.25">
      <c r="AE82" s="8" t="str">
        <f t="shared" si="3"/>
        <v/>
      </c>
      <c r="AF82" s="8" t="str">
        <f t="shared" si="4"/>
        <v/>
      </c>
      <c r="AG82" s="8" t="str">
        <f>IF(TRIM($E82)&lt;&gt;"Tax Paid","",IF(COUNTIFS(LISTS!$F$2:$F$26,$AE82,LISTS!$G$2:$G$26,$AF82)=0,"NOT ON LIST",""))</f>
        <v/>
      </c>
      <c r="AH82" s="8" t="str">
        <f t="shared" si="5"/>
        <v/>
      </c>
    </row>
    <row r="83" spans="31:34" x14ac:dyDescent="0.25">
      <c r="AE83" s="8" t="str">
        <f t="shared" si="3"/>
        <v/>
      </c>
      <c r="AF83" s="8" t="str">
        <f t="shared" si="4"/>
        <v/>
      </c>
      <c r="AG83" s="8" t="str">
        <f>IF(TRIM($E83)&lt;&gt;"Tax Paid","",IF(COUNTIFS(LISTS!$F$2:$F$26,$AE83,LISTS!$G$2:$G$26,$AF83)=0,"NOT ON LIST",""))</f>
        <v/>
      </c>
      <c r="AH83" s="8" t="str">
        <f t="shared" si="5"/>
        <v/>
      </c>
    </row>
    <row r="84" spans="31:34" x14ac:dyDescent="0.25">
      <c r="AE84" s="8" t="str">
        <f t="shared" si="3"/>
        <v/>
      </c>
      <c r="AF84" s="8" t="str">
        <f t="shared" si="4"/>
        <v/>
      </c>
      <c r="AG84" s="8" t="str">
        <f>IF(TRIM($E84)&lt;&gt;"Tax Paid","",IF(COUNTIFS(LISTS!$F$2:$F$26,$AE84,LISTS!$G$2:$G$26,$AF84)=0,"NOT ON LIST",""))</f>
        <v/>
      </c>
      <c r="AH84" s="8" t="str">
        <f t="shared" si="5"/>
        <v/>
      </c>
    </row>
    <row r="85" spans="31:34" x14ac:dyDescent="0.25">
      <c r="AE85" s="8" t="str">
        <f t="shared" si="3"/>
        <v/>
      </c>
      <c r="AF85" s="8" t="str">
        <f t="shared" si="4"/>
        <v/>
      </c>
      <c r="AG85" s="8" t="str">
        <f>IF(TRIM($E85)&lt;&gt;"Tax Paid","",IF(COUNTIFS(LISTS!$F$2:$F$26,$AE85,LISTS!$G$2:$G$26,$AF85)=0,"NOT ON LIST",""))</f>
        <v/>
      </c>
      <c r="AH85" s="8" t="str">
        <f t="shared" si="5"/>
        <v/>
      </c>
    </row>
    <row r="86" spans="31:34" x14ac:dyDescent="0.25">
      <c r="AE86" s="8" t="str">
        <f t="shared" si="3"/>
        <v/>
      </c>
      <c r="AF86" s="8" t="str">
        <f t="shared" si="4"/>
        <v/>
      </c>
      <c r="AG86" s="8" t="str">
        <f>IF(TRIM($E86)&lt;&gt;"Tax Paid","",IF(COUNTIFS(LISTS!$F$2:$F$26,$AE86,LISTS!$G$2:$G$26,$AF86)=0,"NOT ON LIST",""))</f>
        <v/>
      </c>
      <c r="AH86" s="8" t="str">
        <f t="shared" si="5"/>
        <v/>
      </c>
    </row>
    <row r="87" spans="31:34" x14ac:dyDescent="0.25">
      <c r="AE87" s="8" t="str">
        <f t="shared" si="3"/>
        <v/>
      </c>
      <c r="AF87" s="8" t="str">
        <f t="shared" si="4"/>
        <v/>
      </c>
      <c r="AG87" s="8" t="str">
        <f>IF(TRIM($E87)&lt;&gt;"Tax Paid","",IF(COUNTIFS(LISTS!$F$2:$F$26,$AE87,LISTS!$G$2:$G$26,$AF87)=0,"NOT ON LIST",""))</f>
        <v/>
      </c>
      <c r="AH87" s="8" t="str">
        <f t="shared" si="5"/>
        <v/>
      </c>
    </row>
    <row r="88" spans="31:34" x14ac:dyDescent="0.25">
      <c r="AE88" s="8" t="str">
        <f t="shared" si="3"/>
        <v/>
      </c>
      <c r="AF88" s="8" t="str">
        <f t="shared" si="4"/>
        <v/>
      </c>
      <c r="AG88" s="8" t="str">
        <f>IF(TRIM($E88)&lt;&gt;"Tax Paid","",IF(COUNTIFS(LISTS!$F$2:$F$26,$AE88,LISTS!$G$2:$G$26,$AF88)=0,"NOT ON LIST",""))</f>
        <v/>
      </c>
      <c r="AH88" s="8" t="str">
        <f t="shared" si="5"/>
        <v/>
      </c>
    </row>
    <row r="89" spans="31:34" x14ac:dyDescent="0.25">
      <c r="AE89" s="8" t="str">
        <f t="shared" si="3"/>
        <v/>
      </c>
      <c r="AF89" s="8" t="str">
        <f t="shared" si="4"/>
        <v/>
      </c>
      <c r="AG89" s="8" t="str">
        <f>IF(TRIM($E89)&lt;&gt;"Tax Paid","",IF(COUNTIFS(LISTS!$F$2:$F$26,$AE89,LISTS!$G$2:$G$26,$AF89)=0,"NOT ON LIST",""))</f>
        <v/>
      </c>
      <c r="AH89" s="8" t="str">
        <f t="shared" si="5"/>
        <v/>
      </c>
    </row>
    <row r="90" spans="31:34" x14ac:dyDescent="0.25">
      <c r="AE90" s="8" t="str">
        <f t="shared" si="3"/>
        <v/>
      </c>
      <c r="AF90" s="8" t="str">
        <f t="shared" si="4"/>
        <v/>
      </c>
      <c r="AG90" s="8" t="str">
        <f>IF(TRIM($E90)&lt;&gt;"Tax Paid","",IF(COUNTIFS(LISTS!$F$2:$F$26,$AE90,LISTS!$G$2:$G$26,$AF90)=0,"NOT ON LIST",""))</f>
        <v/>
      </c>
      <c r="AH90" s="8" t="str">
        <f t="shared" si="5"/>
        <v/>
      </c>
    </row>
    <row r="91" spans="31:34" x14ac:dyDescent="0.25">
      <c r="AE91" s="8" t="str">
        <f t="shared" si="3"/>
        <v/>
      </c>
      <c r="AF91" s="8" t="str">
        <f t="shared" si="4"/>
        <v/>
      </c>
      <c r="AG91" s="8" t="str">
        <f>IF(TRIM($E91)&lt;&gt;"Tax Paid","",IF(COUNTIFS(LISTS!$F$2:$F$26,$AE91,LISTS!$G$2:$G$26,$AF91)=0,"NOT ON LIST",""))</f>
        <v/>
      </c>
      <c r="AH91" s="8" t="str">
        <f t="shared" si="5"/>
        <v/>
      </c>
    </row>
    <row r="92" spans="31:34" x14ac:dyDescent="0.25">
      <c r="AE92" s="8" t="str">
        <f t="shared" si="3"/>
        <v/>
      </c>
      <c r="AF92" s="8" t="str">
        <f t="shared" si="4"/>
        <v/>
      </c>
      <c r="AG92" s="8" t="str">
        <f>IF(TRIM($E92)&lt;&gt;"Tax Paid","",IF(COUNTIFS(LISTS!$F$2:$F$26,$AE92,LISTS!$G$2:$G$26,$AF92)=0,"NOT ON LIST",""))</f>
        <v/>
      </c>
      <c r="AH92" s="8" t="str">
        <f t="shared" si="5"/>
        <v/>
      </c>
    </row>
    <row r="93" spans="31:34" x14ac:dyDescent="0.25">
      <c r="AE93" s="8" t="str">
        <f t="shared" si="3"/>
        <v/>
      </c>
      <c r="AF93" s="8" t="str">
        <f t="shared" si="4"/>
        <v/>
      </c>
      <c r="AG93" s="8" t="str">
        <f>IF(TRIM($E93)&lt;&gt;"Tax Paid","",IF(COUNTIFS(LISTS!$F$2:$F$26,$AE93,LISTS!$G$2:$G$26,$AF93)=0,"NOT ON LIST",""))</f>
        <v/>
      </c>
      <c r="AH93" s="8" t="str">
        <f t="shared" si="5"/>
        <v/>
      </c>
    </row>
    <row r="94" spans="31:34" x14ac:dyDescent="0.25">
      <c r="AE94" s="8" t="str">
        <f t="shared" si="3"/>
        <v/>
      </c>
      <c r="AF94" s="8" t="str">
        <f t="shared" si="4"/>
        <v/>
      </c>
      <c r="AG94" s="8" t="str">
        <f>IF(TRIM($E94)&lt;&gt;"Tax Paid","",IF(COUNTIFS(LISTS!$F$2:$F$26,$AE94,LISTS!$G$2:$G$26,$AF94)=0,"NOT ON LIST",""))</f>
        <v/>
      </c>
      <c r="AH94" s="8" t="str">
        <f t="shared" si="5"/>
        <v/>
      </c>
    </row>
    <row r="95" spans="31:34" x14ac:dyDescent="0.25">
      <c r="AE95" s="8" t="str">
        <f t="shared" si="3"/>
        <v/>
      </c>
      <c r="AF95" s="8" t="str">
        <f t="shared" si="4"/>
        <v/>
      </c>
      <c r="AG95" s="8" t="str">
        <f>IF(TRIM($E95)&lt;&gt;"Tax Paid","",IF(COUNTIFS(LISTS!$F$2:$F$26,$AE95,LISTS!$G$2:$G$26,$AF95)=0,"NOT ON LIST",""))</f>
        <v/>
      </c>
      <c r="AH95" s="8" t="str">
        <f t="shared" si="5"/>
        <v/>
      </c>
    </row>
    <row r="96" spans="31:34" x14ac:dyDescent="0.25">
      <c r="AE96" s="8" t="str">
        <f t="shared" si="3"/>
        <v/>
      </c>
      <c r="AF96" s="8" t="str">
        <f t="shared" si="4"/>
        <v/>
      </c>
      <c r="AG96" s="8" t="str">
        <f>IF(TRIM($E96)&lt;&gt;"Tax Paid","",IF(COUNTIFS(LISTS!$F$2:$F$26,$AE96,LISTS!$G$2:$G$26,$AF96)=0,"NOT ON LIST",""))</f>
        <v/>
      </c>
      <c r="AH96" s="8" t="str">
        <f t="shared" si="5"/>
        <v/>
      </c>
    </row>
    <row r="97" spans="31:34" x14ac:dyDescent="0.25">
      <c r="AE97" s="8" t="str">
        <f t="shared" si="3"/>
        <v/>
      </c>
      <c r="AF97" s="8" t="str">
        <f t="shared" si="4"/>
        <v/>
      </c>
      <c r="AG97" s="8" t="str">
        <f>IF(TRIM($E97)&lt;&gt;"Tax Paid","",IF(COUNTIFS(LISTS!$F$2:$F$26,$AE97,LISTS!$G$2:$G$26,$AF97)=0,"NOT ON LIST",""))</f>
        <v/>
      </c>
      <c r="AH97" s="8" t="str">
        <f t="shared" si="5"/>
        <v/>
      </c>
    </row>
    <row r="98" spans="31:34" x14ac:dyDescent="0.25">
      <c r="AE98" s="8" t="str">
        <f t="shared" si="3"/>
        <v/>
      </c>
      <c r="AF98" s="8" t="str">
        <f t="shared" si="4"/>
        <v/>
      </c>
      <c r="AG98" s="8" t="str">
        <f>IF(TRIM($E98)&lt;&gt;"Tax Paid","",IF(COUNTIFS(LISTS!$F$2:$F$26,$AE98,LISTS!$G$2:$G$26,$AF98)=0,"NOT ON LIST",""))</f>
        <v/>
      </c>
      <c r="AH98" s="8" t="str">
        <f t="shared" si="5"/>
        <v/>
      </c>
    </row>
    <row r="99" spans="31:34" x14ac:dyDescent="0.25">
      <c r="AE99" s="8" t="str">
        <f t="shared" si="3"/>
        <v/>
      </c>
      <c r="AF99" s="8" t="str">
        <f t="shared" si="4"/>
        <v/>
      </c>
      <c r="AG99" s="8" t="str">
        <f>IF(TRIM($E99)&lt;&gt;"Tax Paid","",IF(COUNTIFS(LISTS!$F$2:$F$26,$AE99,LISTS!$G$2:$G$26,$AF99)=0,"NOT ON LIST",""))</f>
        <v/>
      </c>
      <c r="AH99" s="8" t="str">
        <f t="shared" si="5"/>
        <v/>
      </c>
    </row>
    <row r="100" spans="31:34" x14ac:dyDescent="0.25">
      <c r="AE100" s="8" t="str">
        <f t="shared" si="3"/>
        <v/>
      </c>
      <c r="AF100" s="8" t="str">
        <f t="shared" si="4"/>
        <v/>
      </c>
      <c r="AG100" s="8" t="str">
        <f>IF(TRIM($E100)&lt;&gt;"Tax Paid","",IF(COUNTIFS(LISTS!$F$2:$F$26,$AE100,LISTS!$G$2:$G$26,$AF100)=0,"NOT ON LIST",""))</f>
        <v/>
      </c>
      <c r="AH100" s="8" t="str">
        <f t="shared" si="5"/>
        <v/>
      </c>
    </row>
    <row r="101" spans="31:34" x14ac:dyDescent="0.25">
      <c r="AE101" s="8" t="str">
        <f t="shared" si="3"/>
        <v/>
      </c>
      <c r="AF101" s="8" t="str">
        <f t="shared" si="4"/>
        <v/>
      </c>
      <c r="AG101" s="8" t="str">
        <f>IF(TRIM($E101)&lt;&gt;"Tax Paid","",IF(COUNTIFS(LISTS!$F$2:$F$26,$AE101,LISTS!$G$2:$G$26,$AF101)=0,"NOT ON LIST",""))</f>
        <v/>
      </c>
      <c r="AH101" s="8" t="str">
        <f t="shared" si="5"/>
        <v/>
      </c>
    </row>
    <row r="102" spans="31:34" x14ac:dyDescent="0.25">
      <c r="AE102" s="8" t="str">
        <f t="shared" si="3"/>
        <v/>
      </c>
      <c r="AF102" s="8" t="str">
        <f t="shared" si="4"/>
        <v/>
      </c>
      <c r="AG102" s="8" t="str">
        <f>IF(TRIM($E102)&lt;&gt;"Tax Paid","",IF(COUNTIFS(LISTS!$F$2:$F$26,$AE102,LISTS!$G$2:$G$26,$AF102)=0,"NOT ON LIST",""))</f>
        <v/>
      </c>
      <c r="AH102" s="8" t="str">
        <f t="shared" si="5"/>
        <v/>
      </c>
    </row>
    <row r="103" spans="31:34" x14ac:dyDescent="0.25">
      <c r="AE103" s="8" t="str">
        <f t="shared" si="3"/>
        <v/>
      </c>
      <c r="AF103" s="8" t="str">
        <f t="shared" si="4"/>
        <v/>
      </c>
      <c r="AG103" s="8" t="str">
        <f>IF(TRIM($E103)&lt;&gt;"Tax Paid","",IF(COUNTIFS(LISTS!$F$2:$F$26,$AE103,LISTS!$G$2:$G$26,$AF103)=0,"NOT ON LIST",""))</f>
        <v/>
      </c>
      <c r="AH103" s="8" t="str">
        <f t="shared" si="5"/>
        <v/>
      </c>
    </row>
    <row r="104" spans="31:34" x14ac:dyDescent="0.25">
      <c r="AE104" s="8" t="str">
        <f t="shared" si="3"/>
        <v/>
      </c>
      <c r="AF104" s="8" t="str">
        <f t="shared" si="4"/>
        <v/>
      </c>
      <c r="AG104" s="8" t="str">
        <f>IF(TRIM($E104)&lt;&gt;"Tax Paid","",IF(COUNTIFS(LISTS!$F$2:$F$26,$AE104,LISTS!$G$2:$G$26,$AF104)=0,"NOT ON LIST",""))</f>
        <v/>
      </c>
      <c r="AH104" s="8" t="str">
        <f t="shared" si="5"/>
        <v/>
      </c>
    </row>
    <row r="105" spans="31:34" x14ac:dyDescent="0.25">
      <c r="AE105" s="8" t="str">
        <f t="shared" si="3"/>
        <v/>
      </c>
      <c r="AF105" s="8" t="str">
        <f t="shared" si="4"/>
        <v/>
      </c>
      <c r="AG105" s="8" t="str">
        <f>IF(TRIM($E105)&lt;&gt;"Tax Paid","",IF(COUNTIFS(LISTS!$F$2:$F$26,$AE105,LISTS!$G$2:$G$26,$AF105)=0,"NOT ON LIST",""))</f>
        <v/>
      </c>
      <c r="AH105" s="8" t="str">
        <f t="shared" si="5"/>
        <v/>
      </c>
    </row>
    <row r="106" spans="31:34" x14ac:dyDescent="0.25">
      <c r="AE106" s="8" t="str">
        <f t="shared" si="3"/>
        <v/>
      </c>
      <c r="AF106" s="8" t="str">
        <f t="shared" si="4"/>
        <v/>
      </c>
      <c r="AG106" s="8" t="str">
        <f>IF(TRIM($E106)&lt;&gt;"Tax Paid","",IF(COUNTIFS(LISTS!$F$2:$F$26,$AE106,LISTS!$G$2:$G$26,$AF106)=0,"NOT ON LIST",""))</f>
        <v/>
      </c>
      <c r="AH106" s="8" t="str">
        <f t="shared" si="5"/>
        <v/>
      </c>
    </row>
    <row r="107" spans="31:34" x14ac:dyDescent="0.25">
      <c r="AE107" s="8" t="str">
        <f t="shared" si="3"/>
        <v/>
      </c>
      <c r="AF107" s="8" t="str">
        <f t="shared" si="4"/>
        <v/>
      </c>
      <c r="AG107" s="8" t="str">
        <f>IF(TRIM($E107)&lt;&gt;"Tax Paid","",IF(COUNTIFS(LISTS!$F$2:$F$26,$AE107,LISTS!$G$2:$G$26,$AF107)=0,"NOT ON LIST",""))</f>
        <v/>
      </c>
      <c r="AH107" s="8" t="str">
        <f t="shared" si="5"/>
        <v/>
      </c>
    </row>
    <row r="108" spans="31:34" x14ac:dyDescent="0.25">
      <c r="AE108" s="8" t="str">
        <f t="shared" si="3"/>
        <v/>
      </c>
      <c r="AF108" s="8" t="str">
        <f t="shared" si="4"/>
        <v/>
      </c>
      <c r="AG108" s="8" t="str">
        <f>IF(TRIM($E108)&lt;&gt;"Tax Paid","",IF(COUNTIFS(LISTS!$F$2:$F$26,$AE108,LISTS!$G$2:$G$26,$AF108)=0,"NOT ON LIST",""))</f>
        <v/>
      </c>
      <c r="AH108" s="8" t="str">
        <f t="shared" si="5"/>
        <v/>
      </c>
    </row>
    <row r="109" spans="31:34" x14ac:dyDescent="0.25">
      <c r="AE109" s="8" t="str">
        <f t="shared" si="3"/>
        <v/>
      </c>
      <c r="AF109" s="8" t="str">
        <f t="shared" si="4"/>
        <v/>
      </c>
      <c r="AG109" s="8" t="str">
        <f>IF(TRIM($E109)&lt;&gt;"Tax Paid","",IF(COUNTIFS(LISTS!$F$2:$F$26,$AE109,LISTS!$G$2:$G$26,$AF109)=0,"NOT ON LIST",""))</f>
        <v/>
      </c>
      <c r="AH109" s="8" t="str">
        <f t="shared" si="5"/>
        <v/>
      </c>
    </row>
    <row r="110" spans="31:34" x14ac:dyDescent="0.25">
      <c r="AE110" s="8" t="str">
        <f t="shared" si="3"/>
        <v/>
      </c>
      <c r="AF110" s="8" t="str">
        <f t="shared" si="4"/>
        <v/>
      </c>
      <c r="AG110" s="8" t="str">
        <f>IF(TRIM($E110)&lt;&gt;"Tax Paid","",IF(COUNTIFS(LISTS!$F$2:$F$26,$AE110,LISTS!$G$2:$G$26,$AF110)=0,"NOT ON LIST",""))</f>
        <v/>
      </c>
      <c r="AH110" s="8" t="str">
        <f t="shared" si="5"/>
        <v/>
      </c>
    </row>
    <row r="111" spans="31:34" x14ac:dyDescent="0.25">
      <c r="AE111" s="8" t="str">
        <f t="shared" si="3"/>
        <v/>
      </c>
      <c r="AF111" s="8" t="str">
        <f t="shared" si="4"/>
        <v/>
      </c>
      <c r="AG111" s="8" t="str">
        <f>IF(TRIM($E111)&lt;&gt;"Tax Paid","",IF(COUNTIFS(LISTS!$F$2:$F$26,$AE111,LISTS!$G$2:$G$26,$AF111)=0,"NOT ON LIST",""))</f>
        <v/>
      </c>
      <c r="AH111" s="8" t="str">
        <f t="shared" si="5"/>
        <v/>
      </c>
    </row>
    <row r="112" spans="31:34" x14ac:dyDescent="0.25">
      <c r="AE112" s="8" t="str">
        <f t="shared" si="3"/>
        <v/>
      </c>
      <c r="AF112" s="8" t="str">
        <f t="shared" si="4"/>
        <v/>
      </c>
      <c r="AG112" s="8" t="str">
        <f>IF(TRIM($E112)&lt;&gt;"Tax Paid","",IF(COUNTIFS(LISTS!$F$2:$F$26,$AE112,LISTS!$G$2:$G$26,$AF112)=0,"NOT ON LIST",""))</f>
        <v/>
      </c>
      <c r="AH112" s="8" t="str">
        <f t="shared" si="5"/>
        <v/>
      </c>
    </row>
    <row r="113" spans="31:34" x14ac:dyDescent="0.25">
      <c r="AE113" s="8" t="str">
        <f t="shared" si="3"/>
        <v/>
      </c>
      <c r="AF113" s="8" t="str">
        <f t="shared" si="4"/>
        <v/>
      </c>
      <c r="AG113" s="8" t="str">
        <f>IF(TRIM($E113)&lt;&gt;"Tax Paid","",IF(COUNTIFS(LISTS!$F$2:$F$26,$AE113,LISTS!$G$2:$G$26,$AF113)=0,"NOT ON LIST",""))</f>
        <v/>
      </c>
      <c r="AH113" s="8" t="str">
        <f t="shared" si="5"/>
        <v/>
      </c>
    </row>
    <row r="114" spans="31:34" x14ac:dyDescent="0.25">
      <c r="AE114" s="8" t="str">
        <f t="shared" si="3"/>
        <v/>
      </c>
      <c r="AF114" s="8" t="str">
        <f t="shared" si="4"/>
        <v/>
      </c>
      <c r="AG114" s="8" t="str">
        <f>IF(TRIM($E114)&lt;&gt;"Tax Paid","",IF(COUNTIFS(LISTS!$F$2:$F$26,$AE114,LISTS!$G$2:$G$26,$AF114)=0,"NOT ON LIST",""))</f>
        <v/>
      </c>
      <c r="AH114" s="8" t="str">
        <f t="shared" si="5"/>
        <v/>
      </c>
    </row>
    <row r="115" spans="31:34" x14ac:dyDescent="0.25">
      <c r="AE115" s="8" t="str">
        <f t="shared" si="3"/>
        <v/>
      </c>
      <c r="AF115" s="8" t="str">
        <f t="shared" si="4"/>
        <v/>
      </c>
      <c r="AG115" s="8" t="str">
        <f>IF(TRIM($E115)&lt;&gt;"Tax Paid","",IF(COUNTIFS(LISTS!$F$2:$F$26,$AE115,LISTS!$G$2:$G$26,$AF115)=0,"NOT ON LIST",""))</f>
        <v/>
      </c>
      <c r="AH115" s="8" t="str">
        <f t="shared" si="5"/>
        <v/>
      </c>
    </row>
    <row r="116" spans="31:34" x14ac:dyDescent="0.25">
      <c r="AE116" s="8" t="str">
        <f t="shared" si="3"/>
        <v/>
      </c>
      <c r="AF116" s="8" t="str">
        <f t="shared" si="4"/>
        <v/>
      </c>
      <c r="AG116" s="8" t="str">
        <f>IF(TRIM($E116)&lt;&gt;"Tax Paid","",IF(COUNTIFS(LISTS!$F$2:$F$26,$AE116,LISTS!$G$2:$G$26,$AF116)=0,"NOT ON LIST",""))</f>
        <v/>
      </c>
      <c r="AH116" s="8" t="str">
        <f t="shared" si="5"/>
        <v/>
      </c>
    </row>
    <row r="117" spans="31:34" x14ac:dyDescent="0.25">
      <c r="AE117" s="8" t="str">
        <f t="shared" si="3"/>
        <v/>
      </c>
      <c r="AF117" s="8" t="str">
        <f t="shared" si="4"/>
        <v/>
      </c>
      <c r="AG117" s="8" t="str">
        <f>IF(TRIM($E117)&lt;&gt;"Tax Paid","",IF(COUNTIFS(LISTS!$F$2:$F$26,$AE117,LISTS!$G$2:$G$26,$AF117)=0,"NOT ON LIST",""))</f>
        <v/>
      </c>
      <c r="AH117" s="8" t="str">
        <f t="shared" si="5"/>
        <v/>
      </c>
    </row>
    <row r="118" spans="31:34" x14ac:dyDescent="0.25">
      <c r="AE118" s="8" t="str">
        <f t="shared" si="3"/>
        <v/>
      </c>
      <c r="AF118" s="8" t="str">
        <f t="shared" si="4"/>
        <v/>
      </c>
      <c r="AG118" s="8" t="str">
        <f>IF(TRIM($E118)&lt;&gt;"Tax Paid","",IF(COUNTIFS(LISTS!$F$2:$F$26,$AE118,LISTS!$G$2:$G$26,$AF118)=0,"NOT ON LIST",""))</f>
        <v/>
      </c>
      <c r="AH118" s="8" t="str">
        <f t="shared" si="5"/>
        <v/>
      </c>
    </row>
    <row r="119" spans="31:34" x14ac:dyDescent="0.25">
      <c r="AE119" s="8" t="str">
        <f t="shared" si="3"/>
        <v/>
      </c>
      <c r="AF119" s="8" t="str">
        <f t="shared" si="4"/>
        <v/>
      </c>
      <c r="AG119" s="8" t="str">
        <f>IF(TRIM($E119)&lt;&gt;"Tax Paid","",IF(COUNTIFS(LISTS!$F$2:$F$26,$AE119,LISTS!$G$2:$G$26,$AF119)=0,"NOT ON LIST",""))</f>
        <v/>
      </c>
      <c r="AH119" s="8" t="str">
        <f t="shared" si="5"/>
        <v/>
      </c>
    </row>
    <row r="120" spans="31:34" x14ac:dyDescent="0.25">
      <c r="AE120" s="8" t="str">
        <f t="shared" si="3"/>
        <v/>
      </c>
      <c r="AF120" s="8" t="str">
        <f t="shared" si="4"/>
        <v/>
      </c>
      <c r="AG120" s="8" t="str">
        <f>IF(TRIM($E120)&lt;&gt;"Tax Paid","",IF(COUNTIFS(LISTS!$F$2:$F$26,$AE120,LISTS!$G$2:$G$26,$AF120)=0,"NOT ON LIST",""))</f>
        <v/>
      </c>
      <c r="AH120" s="8" t="str">
        <f t="shared" si="5"/>
        <v/>
      </c>
    </row>
    <row r="121" spans="31:34" x14ac:dyDescent="0.25">
      <c r="AE121" s="8" t="str">
        <f t="shared" si="3"/>
        <v/>
      </c>
      <c r="AF121" s="8" t="str">
        <f t="shared" si="4"/>
        <v/>
      </c>
      <c r="AG121" s="8" t="str">
        <f>IF(TRIM($E121)&lt;&gt;"Tax Paid","",IF(COUNTIFS(LISTS!$F$2:$F$26,$AE121,LISTS!$G$2:$G$26,$AF121)=0,"NOT ON LIST",""))</f>
        <v/>
      </c>
      <c r="AH121" s="8" t="str">
        <f t="shared" si="5"/>
        <v/>
      </c>
    </row>
    <row r="122" spans="31:34" x14ac:dyDescent="0.25">
      <c r="AE122" s="8" t="str">
        <f t="shared" si="3"/>
        <v/>
      </c>
      <c r="AF122" s="8" t="str">
        <f t="shared" si="4"/>
        <v/>
      </c>
      <c r="AG122" s="8" t="str">
        <f>IF(TRIM($E122)&lt;&gt;"Tax Paid","",IF(COUNTIFS(LISTS!$F$2:$F$26,$AE122,LISTS!$G$2:$G$26,$AF122)=0,"NOT ON LIST",""))</f>
        <v/>
      </c>
      <c r="AH122" s="8" t="str">
        <f t="shared" si="5"/>
        <v/>
      </c>
    </row>
    <row r="123" spans="31:34" x14ac:dyDescent="0.25">
      <c r="AE123" s="8" t="str">
        <f t="shared" si="3"/>
        <v/>
      </c>
      <c r="AF123" s="8" t="str">
        <f t="shared" si="4"/>
        <v/>
      </c>
      <c r="AG123" s="8" t="str">
        <f>IF(TRIM($E123)&lt;&gt;"Tax Paid","",IF(COUNTIFS(LISTS!$F$2:$F$26,$AE123,LISTS!$G$2:$G$26,$AF123)=0,"NOT ON LIST",""))</f>
        <v/>
      </c>
      <c r="AH123" s="8" t="str">
        <f t="shared" si="5"/>
        <v/>
      </c>
    </row>
    <row r="124" spans="31:34" x14ac:dyDescent="0.25">
      <c r="AE124" s="8" t="str">
        <f t="shared" si="3"/>
        <v/>
      </c>
      <c r="AF124" s="8" t="str">
        <f t="shared" si="4"/>
        <v/>
      </c>
      <c r="AG124" s="8" t="str">
        <f>IF(TRIM($E124)&lt;&gt;"Tax Paid","",IF(COUNTIFS(LISTS!$F$2:$F$26,$AE124,LISTS!$G$2:$G$26,$AF124)=0,"NOT ON LIST",""))</f>
        <v/>
      </c>
      <c r="AH124" s="8" t="str">
        <f t="shared" si="5"/>
        <v/>
      </c>
    </row>
    <row r="125" spans="31:34" x14ac:dyDescent="0.25">
      <c r="AE125" s="8" t="str">
        <f t="shared" si="3"/>
        <v/>
      </c>
      <c r="AF125" s="8" t="str">
        <f t="shared" si="4"/>
        <v/>
      </c>
      <c r="AG125" s="8" t="str">
        <f>IF(TRIM($E125)&lt;&gt;"Tax Paid","",IF(COUNTIFS(LISTS!$F$2:$F$26,$AE125,LISTS!$G$2:$G$26,$AF125)=0,"NOT ON LIST",""))</f>
        <v/>
      </c>
      <c r="AH125" s="8" t="str">
        <f t="shared" si="5"/>
        <v/>
      </c>
    </row>
    <row r="126" spans="31:34" x14ac:dyDescent="0.25">
      <c r="AE126" s="8" t="str">
        <f t="shared" si="3"/>
        <v/>
      </c>
      <c r="AF126" s="8" t="str">
        <f t="shared" si="4"/>
        <v/>
      </c>
      <c r="AG126" s="8" t="str">
        <f>IF(TRIM($E126)&lt;&gt;"Tax Paid","",IF(COUNTIFS(LISTS!$F$2:$F$26,$AE126,LISTS!$G$2:$G$26,$AF126)=0,"NOT ON LIST",""))</f>
        <v/>
      </c>
      <c r="AH126" s="8" t="str">
        <f t="shared" si="5"/>
        <v/>
      </c>
    </row>
    <row r="127" spans="31:34" x14ac:dyDescent="0.25">
      <c r="AE127" s="8" t="str">
        <f t="shared" si="3"/>
        <v/>
      </c>
      <c r="AF127" s="8" t="str">
        <f t="shared" si="4"/>
        <v/>
      </c>
      <c r="AG127" s="8" t="str">
        <f>IF(TRIM($E127)&lt;&gt;"Tax Paid","",IF(COUNTIFS(LISTS!$F$2:$F$26,$AE127,LISTS!$G$2:$G$26,$AF127)=0,"NOT ON LIST",""))</f>
        <v/>
      </c>
      <c r="AH127" s="8" t="str">
        <f t="shared" si="5"/>
        <v/>
      </c>
    </row>
    <row r="128" spans="31:34" x14ac:dyDescent="0.25">
      <c r="AE128" s="8" t="str">
        <f t="shared" si="3"/>
        <v/>
      </c>
      <c r="AF128" s="8" t="str">
        <f t="shared" si="4"/>
        <v/>
      </c>
      <c r="AG128" s="8" t="str">
        <f>IF(TRIM($E128)&lt;&gt;"Tax Paid","",IF(COUNTIFS(LISTS!$F$2:$F$26,$AE128,LISTS!$G$2:$G$26,$AF128)=0,"NOT ON LIST",""))</f>
        <v/>
      </c>
      <c r="AH128" s="8" t="str">
        <f t="shared" si="5"/>
        <v/>
      </c>
    </row>
    <row r="129" spans="31:34" x14ac:dyDescent="0.25">
      <c r="AE129" s="8" t="str">
        <f t="shared" si="3"/>
        <v/>
      </c>
      <c r="AF129" s="8" t="str">
        <f t="shared" si="4"/>
        <v/>
      </c>
      <c r="AG129" s="8" t="str">
        <f>IF(TRIM($E129)&lt;&gt;"Tax Paid","",IF(COUNTIFS(LISTS!$F$2:$F$26,$AE129,LISTS!$G$2:$G$26,$AF129)=0,"NOT ON LIST",""))</f>
        <v/>
      </c>
      <c r="AH129" s="8" t="str">
        <f t="shared" si="5"/>
        <v/>
      </c>
    </row>
    <row r="130" spans="31:34" x14ac:dyDescent="0.25">
      <c r="AE130" s="8" t="str">
        <f t="shared" ref="AE130:AE193" si="6">IF(TRIM($E130)="Tax Paid",TRIM($S130),"")</f>
        <v/>
      </c>
      <c r="AF130" s="8" t="str">
        <f t="shared" ref="AF130:AF193" si="7">IF(TRIM($E130)="Tax Paid",ROUND($Z130/100,5),"")</f>
        <v/>
      </c>
      <c r="AG130" s="8" t="str">
        <f>IF(TRIM($E130)&lt;&gt;"Tax Paid","",IF(COUNTIFS(LISTS!$F$2:$F$26,$AE130,LISTS!$G$2:$G$26,$AF130)=0,"NOT ON LIST",""))</f>
        <v/>
      </c>
      <c r="AH130" s="8" t="str">
        <f t="shared" ref="AH130:AH193" si="8">IF($AG130="","",IF($AE130="","(no county)",$AE130)&amp;" ("&amp;SUBSTITUTE(TEXT($AF130,"0.###%"),".%","%")&amp;")")</f>
        <v/>
      </c>
    </row>
    <row r="131" spans="31:34" x14ac:dyDescent="0.25">
      <c r="AE131" s="8" t="str">
        <f t="shared" si="6"/>
        <v/>
      </c>
      <c r="AF131" s="8" t="str">
        <f t="shared" si="7"/>
        <v/>
      </c>
      <c r="AG131" s="8" t="str">
        <f>IF(TRIM($E131)&lt;&gt;"Tax Paid","",IF(COUNTIFS(LISTS!$F$2:$F$26,$AE131,LISTS!$G$2:$G$26,$AF131)=0,"NOT ON LIST",""))</f>
        <v/>
      </c>
      <c r="AH131" s="8" t="str">
        <f t="shared" si="8"/>
        <v/>
      </c>
    </row>
    <row r="132" spans="31:34" x14ac:dyDescent="0.25">
      <c r="AE132" s="8" t="str">
        <f t="shared" si="6"/>
        <v/>
      </c>
      <c r="AF132" s="8" t="str">
        <f t="shared" si="7"/>
        <v/>
      </c>
      <c r="AG132" s="8" t="str">
        <f>IF(TRIM($E132)&lt;&gt;"Tax Paid","",IF(COUNTIFS(LISTS!$F$2:$F$26,$AE132,LISTS!$G$2:$G$26,$AF132)=0,"NOT ON LIST",""))</f>
        <v/>
      </c>
      <c r="AH132" s="8" t="str">
        <f t="shared" si="8"/>
        <v/>
      </c>
    </row>
    <row r="133" spans="31:34" x14ac:dyDescent="0.25">
      <c r="AE133" s="8" t="str">
        <f t="shared" si="6"/>
        <v/>
      </c>
      <c r="AF133" s="8" t="str">
        <f t="shared" si="7"/>
        <v/>
      </c>
      <c r="AG133" s="8" t="str">
        <f>IF(TRIM($E133)&lt;&gt;"Tax Paid","",IF(COUNTIFS(LISTS!$F$2:$F$26,$AE133,LISTS!$G$2:$G$26,$AF133)=0,"NOT ON LIST",""))</f>
        <v/>
      </c>
      <c r="AH133" s="8" t="str">
        <f t="shared" si="8"/>
        <v/>
      </c>
    </row>
    <row r="134" spans="31:34" x14ac:dyDescent="0.25">
      <c r="AE134" s="8" t="str">
        <f t="shared" si="6"/>
        <v/>
      </c>
      <c r="AF134" s="8" t="str">
        <f t="shared" si="7"/>
        <v/>
      </c>
      <c r="AG134" s="8" t="str">
        <f>IF(TRIM($E134)&lt;&gt;"Tax Paid","",IF(COUNTIFS(LISTS!$F$2:$F$26,$AE134,LISTS!$G$2:$G$26,$AF134)=0,"NOT ON LIST",""))</f>
        <v/>
      </c>
      <c r="AH134" s="8" t="str">
        <f t="shared" si="8"/>
        <v/>
      </c>
    </row>
    <row r="135" spans="31:34" x14ac:dyDescent="0.25">
      <c r="AE135" s="8" t="str">
        <f t="shared" si="6"/>
        <v/>
      </c>
      <c r="AF135" s="8" t="str">
        <f t="shared" si="7"/>
        <v/>
      </c>
      <c r="AG135" s="8" t="str">
        <f>IF(TRIM($E135)&lt;&gt;"Tax Paid","",IF(COUNTIFS(LISTS!$F$2:$F$26,$AE135,LISTS!$G$2:$G$26,$AF135)=0,"NOT ON LIST",""))</f>
        <v/>
      </c>
      <c r="AH135" s="8" t="str">
        <f t="shared" si="8"/>
        <v/>
      </c>
    </row>
    <row r="136" spans="31:34" x14ac:dyDescent="0.25">
      <c r="AE136" s="8" t="str">
        <f t="shared" si="6"/>
        <v/>
      </c>
      <c r="AF136" s="8" t="str">
        <f t="shared" si="7"/>
        <v/>
      </c>
      <c r="AG136" s="8" t="str">
        <f>IF(TRIM($E136)&lt;&gt;"Tax Paid","",IF(COUNTIFS(LISTS!$F$2:$F$26,$AE136,LISTS!$G$2:$G$26,$AF136)=0,"NOT ON LIST",""))</f>
        <v/>
      </c>
      <c r="AH136" s="8" t="str">
        <f t="shared" si="8"/>
        <v/>
      </c>
    </row>
    <row r="137" spans="31:34" x14ac:dyDescent="0.25">
      <c r="AE137" s="8" t="str">
        <f t="shared" si="6"/>
        <v/>
      </c>
      <c r="AF137" s="8" t="str">
        <f t="shared" si="7"/>
        <v/>
      </c>
      <c r="AG137" s="8" t="str">
        <f>IF(TRIM($E137)&lt;&gt;"Tax Paid","",IF(COUNTIFS(LISTS!$F$2:$F$26,$AE137,LISTS!$G$2:$G$26,$AF137)=0,"NOT ON LIST",""))</f>
        <v/>
      </c>
      <c r="AH137" s="8" t="str">
        <f t="shared" si="8"/>
        <v/>
      </c>
    </row>
    <row r="138" spans="31:34" x14ac:dyDescent="0.25">
      <c r="AE138" s="8" t="str">
        <f t="shared" si="6"/>
        <v/>
      </c>
      <c r="AF138" s="8" t="str">
        <f t="shared" si="7"/>
        <v/>
      </c>
      <c r="AG138" s="8" t="str">
        <f>IF(TRIM($E138)&lt;&gt;"Tax Paid","",IF(COUNTIFS(LISTS!$F$2:$F$26,$AE138,LISTS!$G$2:$G$26,$AF138)=0,"NOT ON LIST",""))</f>
        <v/>
      </c>
      <c r="AH138" s="8" t="str">
        <f t="shared" si="8"/>
        <v/>
      </c>
    </row>
    <row r="139" spans="31:34" x14ac:dyDescent="0.25">
      <c r="AE139" s="8" t="str">
        <f t="shared" si="6"/>
        <v/>
      </c>
      <c r="AF139" s="8" t="str">
        <f t="shared" si="7"/>
        <v/>
      </c>
      <c r="AG139" s="8" t="str">
        <f>IF(TRIM($E139)&lt;&gt;"Tax Paid","",IF(COUNTIFS(LISTS!$F$2:$F$26,$AE139,LISTS!$G$2:$G$26,$AF139)=0,"NOT ON LIST",""))</f>
        <v/>
      </c>
      <c r="AH139" s="8" t="str">
        <f t="shared" si="8"/>
        <v/>
      </c>
    </row>
    <row r="140" spans="31:34" x14ac:dyDescent="0.25">
      <c r="AE140" s="8" t="str">
        <f t="shared" si="6"/>
        <v/>
      </c>
      <c r="AF140" s="8" t="str">
        <f t="shared" si="7"/>
        <v/>
      </c>
      <c r="AG140" s="8" t="str">
        <f>IF(TRIM($E140)&lt;&gt;"Tax Paid","",IF(COUNTIFS(LISTS!$F$2:$F$26,$AE140,LISTS!$G$2:$G$26,$AF140)=0,"NOT ON LIST",""))</f>
        <v/>
      </c>
      <c r="AH140" s="8" t="str">
        <f t="shared" si="8"/>
        <v/>
      </c>
    </row>
    <row r="141" spans="31:34" x14ac:dyDescent="0.25">
      <c r="AE141" s="8" t="str">
        <f t="shared" si="6"/>
        <v/>
      </c>
      <c r="AF141" s="8" t="str">
        <f t="shared" si="7"/>
        <v/>
      </c>
      <c r="AG141" s="8" t="str">
        <f>IF(TRIM($E141)&lt;&gt;"Tax Paid","",IF(COUNTIFS(LISTS!$F$2:$F$26,$AE141,LISTS!$G$2:$G$26,$AF141)=0,"NOT ON LIST",""))</f>
        <v/>
      </c>
      <c r="AH141" s="8" t="str">
        <f t="shared" si="8"/>
        <v/>
      </c>
    </row>
    <row r="142" spans="31:34" x14ac:dyDescent="0.25">
      <c r="AE142" s="8" t="str">
        <f t="shared" si="6"/>
        <v/>
      </c>
      <c r="AF142" s="8" t="str">
        <f t="shared" si="7"/>
        <v/>
      </c>
      <c r="AG142" s="8" t="str">
        <f>IF(TRIM($E142)&lt;&gt;"Tax Paid","",IF(COUNTIFS(LISTS!$F$2:$F$26,$AE142,LISTS!$G$2:$G$26,$AF142)=0,"NOT ON LIST",""))</f>
        <v/>
      </c>
      <c r="AH142" s="8" t="str">
        <f t="shared" si="8"/>
        <v/>
      </c>
    </row>
    <row r="143" spans="31:34" x14ac:dyDescent="0.25">
      <c r="AE143" s="8" t="str">
        <f t="shared" si="6"/>
        <v/>
      </c>
      <c r="AF143" s="8" t="str">
        <f t="shared" si="7"/>
        <v/>
      </c>
      <c r="AG143" s="8" t="str">
        <f>IF(TRIM($E143)&lt;&gt;"Tax Paid","",IF(COUNTIFS(LISTS!$F$2:$F$26,$AE143,LISTS!$G$2:$G$26,$AF143)=0,"NOT ON LIST",""))</f>
        <v/>
      </c>
      <c r="AH143" s="8" t="str">
        <f t="shared" si="8"/>
        <v/>
      </c>
    </row>
    <row r="144" spans="31:34" x14ac:dyDescent="0.25">
      <c r="AE144" s="8" t="str">
        <f t="shared" si="6"/>
        <v/>
      </c>
      <c r="AF144" s="8" t="str">
        <f t="shared" si="7"/>
        <v/>
      </c>
      <c r="AG144" s="8" t="str">
        <f>IF(TRIM($E144)&lt;&gt;"Tax Paid","",IF(COUNTIFS(LISTS!$F$2:$F$26,$AE144,LISTS!$G$2:$G$26,$AF144)=0,"NOT ON LIST",""))</f>
        <v/>
      </c>
      <c r="AH144" s="8" t="str">
        <f t="shared" si="8"/>
        <v/>
      </c>
    </row>
    <row r="145" spans="31:34" x14ac:dyDescent="0.25">
      <c r="AE145" s="8" t="str">
        <f t="shared" si="6"/>
        <v/>
      </c>
      <c r="AF145" s="8" t="str">
        <f t="shared" si="7"/>
        <v/>
      </c>
      <c r="AG145" s="8" t="str">
        <f>IF(TRIM($E145)&lt;&gt;"Tax Paid","",IF(COUNTIFS(LISTS!$F$2:$F$26,$AE145,LISTS!$G$2:$G$26,$AF145)=0,"NOT ON LIST",""))</f>
        <v/>
      </c>
      <c r="AH145" s="8" t="str">
        <f t="shared" si="8"/>
        <v/>
      </c>
    </row>
    <row r="146" spans="31:34" x14ac:dyDescent="0.25">
      <c r="AE146" s="8" t="str">
        <f t="shared" si="6"/>
        <v/>
      </c>
      <c r="AF146" s="8" t="str">
        <f t="shared" si="7"/>
        <v/>
      </c>
      <c r="AG146" s="8" t="str">
        <f>IF(TRIM($E146)&lt;&gt;"Tax Paid","",IF(COUNTIFS(LISTS!$F$2:$F$26,$AE146,LISTS!$G$2:$G$26,$AF146)=0,"NOT ON LIST",""))</f>
        <v/>
      </c>
      <c r="AH146" s="8" t="str">
        <f t="shared" si="8"/>
        <v/>
      </c>
    </row>
    <row r="147" spans="31:34" x14ac:dyDescent="0.25">
      <c r="AE147" s="8" t="str">
        <f t="shared" si="6"/>
        <v/>
      </c>
      <c r="AF147" s="8" t="str">
        <f t="shared" si="7"/>
        <v/>
      </c>
      <c r="AG147" s="8" t="str">
        <f>IF(TRIM($E147)&lt;&gt;"Tax Paid","",IF(COUNTIFS(LISTS!$F$2:$F$26,$AE147,LISTS!$G$2:$G$26,$AF147)=0,"NOT ON LIST",""))</f>
        <v/>
      </c>
      <c r="AH147" s="8" t="str">
        <f t="shared" si="8"/>
        <v/>
      </c>
    </row>
    <row r="148" spans="31:34" x14ac:dyDescent="0.25">
      <c r="AE148" s="8" t="str">
        <f t="shared" si="6"/>
        <v/>
      </c>
      <c r="AF148" s="8" t="str">
        <f t="shared" si="7"/>
        <v/>
      </c>
      <c r="AG148" s="8" t="str">
        <f>IF(TRIM($E148)&lt;&gt;"Tax Paid","",IF(COUNTIFS(LISTS!$F$2:$F$26,$AE148,LISTS!$G$2:$G$26,$AF148)=0,"NOT ON LIST",""))</f>
        <v/>
      </c>
      <c r="AH148" s="8" t="str">
        <f t="shared" si="8"/>
        <v/>
      </c>
    </row>
    <row r="149" spans="31:34" x14ac:dyDescent="0.25">
      <c r="AE149" s="8" t="str">
        <f t="shared" si="6"/>
        <v/>
      </c>
      <c r="AF149" s="8" t="str">
        <f t="shared" si="7"/>
        <v/>
      </c>
      <c r="AG149" s="8" t="str">
        <f>IF(TRIM($E149)&lt;&gt;"Tax Paid","",IF(COUNTIFS(LISTS!$F$2:$F$26,$AE149,LISTS!$G$2:$G$26,$AF149)=0,"NOT ON LIST",""))</f>
        <v/>
      </c>
      <c r="AH149" s="8" t="str">
        <f t="shared" si="8"/>
        <v/>
      </c>
    </row>
    <row r="150" spans="31:34" x14ac:dyDescent="0.25">
      <c r="AE150" s="8" t="str">
        <f t="shared" si="6"/>
        <v/>
      </c>
      <c r="AF150" s="8" t="str">
        <f t="shared" si="7"/>
        <v/>
      </c>
      <c r="AG150" s="8" t="str">
        <f>IF(TRIM($E150)&lt;&gt;"Tax Paid","",IF(COUNTIFS(LISTS!$F$2:$F$26,$AE150,LISTS!$G$2:$G$26,$AF150)=0,"NOT ON LIST",""))</f>
        <v/>
      </c>
      <c r="AH150" s="8" t="str">
        <f t="shared" si="8"/>
        <v/>
      </c>
    </row>
    <row r="151" spans="31:34" x14ac:dyDescent="0.25">
      <c r="AE151" s="8" t="str">
        <f t="shared" si="6"/>
        <v/>
      </c>
      <c r="AF151" s="8" t="str">
        <f t="shared" si="7"/>
        <v/>
      </c>
      <c r="AG151" s="8" t="str">
        <f>IF(TRIM($E151)&lt;&gt;"Tax Paid","",IF(COUNTIFS(LISTS!$F$2:$F$26,$AE151,LISTS!$G$2:$G$26,$AF151)=0,"NOT ON LIST",""))</f>
        <v/>
      </c>
      <c r="AH151" s="8" t="str">
        <f t="shared" si="8"/>
        <v/>
      </c>
    </row>
    <row r="152" spans="31:34" x14ac:dyDescent="0.25">
      <c r="AE152" s="8" t="str">
        <f t="shared" si="6"/>
        <v/>
      </c>
      <c r="AF152" s="8" t="str">
        <f t="shared" si="7"/>
        <v/>
      </c>
      <c r="AG152" s="8" t="str">
        <f>IF(TRIM($E152)&lt;&gt;"Tax Paid","",IF(COUNTIFS(LISTS!$F$2:$F$26,$AE152,LISTS!$G$2:$G$26,$AF152)=0,"NOT ON LIST",""))</f>
        <v/>
      </c>
      <c r="AH152" s="8" t="str">
        <f t="shared" si="8"/>
        <v/>
      </c>
    </row>
    <row r="153" spans="31:34" x14ac:dyDescent="0.25">
      <c r="AE153" s="8" t="str">
        <f t="shared" si="6"/>
        <v/>
      </c>
      <c r="AF153" s="8" t="str">
        <f t="shared" si="7"/>
        <v/>
      </c>
      <c r="AG153" s="8" t="str">
        <f>IF(TRIM($E153)&lt;&gt;"Tax Paid","",IF(COUNTIFS(LISTS!$F$2:$F$26,$AE153,LISTS!$G$2:$G$26,$AF153)=0,"NOT ON LIST",""))</f>
        <v/>
      </c>
      <c r="AH153" s="8" t="str">
        <f t="shared" si="8"/>
        <v/>
      </c>
    </row>
    <row r="154" spans="31:34" x14ac:dyDescent="0.25">
      <c r="AE154" s="8" t="str">
        <f t="shared" si="6"/>
        <v/>
      </c>
      <c r="AF154" s="8" t="str">
        <f t="shared" si="7"/>
        <v/>
      </c>
      <c r="AG154" s="8" t="str">
        <f>IF(TRIM($E154)&lt;&gt;"Tax Paid","",IF(COUNTIFS(LISTS!$F$2:$F$26,$AE154,LISTS!$G$2:$G$26,$AF154)=0,"NOT ON LIST",""))</f>
        <v/>
      </c>
      <c r="AH154" s="8" t="str">
        <f t="shared" si="8"/>
        <v/>
      </c>
    </row>
    <row r="155" spans="31:34" x14ac:dyDescent="0.25">
      <c r="AE155" s="8" t="str">
        <f t="shared" si="6"/>
        <v/>
      </c>
      <c r="AF155" s="8" t="str">
        <f t="shared" si="7"/>
        <v/>
      </c>
      <c r="AG155" s="8" t="str">
        <f>IF(TRIM($E155)&lt;&gt;"Tax Paid","",IF(COUNTIFS(LISTS!$F$2:$F$26,$AE155,LISTS!$G$2:$G$26,$AF155)=0,"NOT ON LIST",""))</f>
        <v/>
      </c>
      <c r="AH155" s="8" t="str">
        <f t="shared" si="8"/>
        <v/>
      </c>
    </row>
    <row r="156" spans="31:34" x14ac:dyDescent="0.25">
      <c r="AE156" s="8" t="str">
        <f t="shared" si="6"/>
        <v/>
      </c>
      <c r="AF156" s="8" t="str">
        <f t="shared" si="7"/>
        <v/>
      </c>
      <c r="AG156" s="8" t="str">
        <f>IF(TRIM($E156)&lt;&gt;"Tax Paid","",IF(COUNTIFS(LISTS!$F$2:$F$26,$AE156,LISTS!$G$2:$G$26,$AF156)=0,"NOT ON LIST",""))</f>
        <v/>
      </c>
      <c r="AH156" s="8" t="str">
        <f t="shared" si="8"/>
        <v/>
      </c>
    </row>
    <row r="157" spans="31:34" x14ac:dyDescent="0.25">
      <c r="AE157" s="8" t="str">
        <f t="shared" si="6"/>
        <v/>
      </c>
      <c r="AF157" s="8" t="str">
        <f t="shared" si="7"/>
        <v/>
      </c>
      <c r="AG157" s="8" t="str">
        <f>IF(TRIM($E157)&lt;&gt;"Tax Paid","",IF(COUNTIFS(LISTS!$F$2:$F$26,$AE157,LISTS!$G$2:$G$26,$AF157)=0,"NOT ON LIST",""))</f>
        <v/>
      </c>
      <c r="AH157" s="8" t="str">
        <f t="shared" si="8"/>
        <v/>
      </c>
    </row>
    <row r="158" spans="31:34" x14ac:dyDescent="0.25">
      <c r="AE158" s="8" t="str">
        <f t="shared" si="6"/>
        <v/>
      </c>
      <c r="AF158" s="8" t="str">
        <f t="shared" si="7"/>
        <v/>
      </c>
      <c r="AG158" s="8" t="str">
        <f>IF(TRIM($E158)&lt;&gt;"Tax Paid","",IF(COUNTIFS(LISTS!$F$2:$F$26,$AE158,LISTS!$G$2:$G$26,$AF158)=0,"NOT ON LIST",""))</f>
        <v/>
      </c>
      <c r="AH158" s="8" t="str">
        <f t="shared" si="8"/>
        <v/>
      </c>
    </row>
    <row r="159" spans="31:34" x14ac:dyDescent="0.25">
      <c r="AE159" s="8" t="str">
        <f t="shared" si="6"/>
        <v/>
      </c>
      <c r="AF159" s="8" t="str">
        <f t="shared" si="7"/>
        <v/>
      </c>
      <c r="AG159" s="8" t="str">
        <f>IF(TRIM($E159)&lt;&gt;"Tax Paid","",IF(COUNTIFS(LISTS!$F$2:$F$26,$AE159,LISTS!$G$2:$G$26,$AF159)=0,"NOT ON LIST",""))</f>
        <v/>
      </c>
      <c r="AH159" s="8" t="str">
        <f t="shared" si="8"/>
        <v/>
      </c>
    </row>
    <row r="160" spans="31:34" x14ac:dyDescent="0.25">
      <c r="AE160" s="8" t="str">
        <f t="shared" si="6"/>
        <v/>
      </c>
      <c r="AF160" s="8" t="str">
        <f t="shared" si="7"/>
        <v/>
      </c>
      <c r="AG160" s="8" t="str">
        <f>IF(TRIM($E160)&lt;&gt;"Tax Paid","",IF(COUNTIFS(LISTS!$F$2:$F$26,$AE160,LISTS!$G$2:$G$26,$AF160)=0,"NOT ON LIST",""))</f>
        <v/>
      </c>
      <c r="AH160" s="8" t="str">
        <f t="shared" si="8"/>
        <v/>
      </c>
    </row>
    <row r="161" spans="31:34" x14ac:dyDescent="0.25">
      <c r="AE161" s="8" t="str">
        <f t="shared" si="6"/>
        <v/>
      </c>
      <c r="AF161" s="8" t="str">
        <f t="shared" si="7"/>
        <v/>
      </c>
      <c r="AG161" s="8" t="str">
        <f>IF(TRIM($E161)&lt;&gt;"Tax Paid","",IF(COUNTIFS(LISTS!$F$2:$F$26,$AE161,LISTS!$G$2:$G$26,$AF161)=0,"NOT ON LIST",""))</f>
        <v/>
      </c>
      <c r="AH161" s="8" t="str">
        <f t="shared" si="8"/>
        <v/>
      </c>
    </row>
    <row r="162" spans="31:34" x14ac:dyDescent="0.25">
      <c r="AE162" s="8" t="str">
        <f t="shared" si="6"/>
        <v/>
      </c>
      <c r="AF162" s="8" t="str">
        <f t="shared" si="7"/>
        <v/>
      </c>
      <c r="AG162" s="8" t="str">
        <f>IF(TRIM($E162)&lt;&gt;"Tax Paid","",IF(COUNTIFS(LISTS!$F$2:$F$26,$AE162,LISTS!$G$2:$G$26,$AF162)=0,"NOT ON LIST",""))</f>
        <v/>
      </c>
      <c r="AH162" s="8" t="str">
        <f t="shared" si="8"/>
        <v/>
      </c>
    </row>
    <row r="163" spans="31:34" x14ac:dyDescent="0.25">
      <c r="AE163" s="8" t="str">
        <f t="shared" si="6"/>
        <v/>
      </c>
      <c r="AF163" s="8" t="str">
        <f t="shared" si="7"/>
        <v/>
      </c>
      <c r="AG163" s="8" t="str">
        <f>IF(TRIM($E163)&lt;&gt;"Tax Paid","",IF(COUNTIFS(LISTS!$F$2:$F$26,$AE163,LISTS!$G$2:$G$26,$AF163)=0,"NOT ON LIST",""))</f>
        <v/>
      </c>
      <c r="AH163" s="8" t="str">
        <f t="shared" si="8"/>
        <v/>
      </c>
    </row>
    <row r="164" spans="31:34" x14ac:dyDescent="0.25">
      <c r="AE164" s="8" t="str">
        <f t="shared" si="6"/>
        <v/>
      </c>
      <c r="AF164" s="8" t="str">
        <f t="shared" si="7"/>
        <v/>
      </c>
      <c r="AG164" s="8" t="str">
        <f>IF(TRIM($E164)&lt;&gt;"Tax Paid","",IF(COUNTIFS(LISTS!$F$2:$F$26,$AE164,LISTS!$G$2:$G$26,$AF164)=0,"NOT ON LIST",""))</f>
        <v/>
      </c>
      <c r="AH164" s="8" t="str">
        <f t="shared" si="8"/>
        <v/>
      </c>
    </row>
    <row r="165" spans="31:34" x14ac:dyDescent="0.25">
      <c r="AE165" s="8" t="str">
        <f t="shared" si="6"/>
        <v/>
      </c>
      <c r="AF165" s="8" t="str">
        <f t="shared" si="7"/>
        <v/>
      </c>
      <c r="AG165" s="8" t="str">
        <f>IF(TRIM($E165)&lt;&gt;"Tax Paid","",IF(COUNTIFS(LISTS!$F$2:$F$26,$AE165,LISTS!$G$2:$G$26,$AF165)=0,"NOT ON LIST",""))</f>
        <v/>
      </c>
      <c r="AH165" s="8" t="str">
        <f t="shared" si="8"/>
        <v/>
      </c>
    </row>
    <row r="166" spans="31:34" x14ac:dyDescent="0.25">
      <c r="AE166" s="8" t="str">
        <f t="shared" si="6"/>
        <v/>
      </c>
      <c r="AF166" s="8" t="str">
        <f t="shared" si="7"/>
        <v/>
      </c>
      <c r="AG166" s="8" t="str">
        <f>IF(TRIM($E166)&lt;&gt;"Tax Paid","",IF(COUNTIFS(LISTS!$F$2:$F$26,$AE166,LISTS!$G$2:$G$26,$AF166)=0,"NOT ON LIST",""))</f>
        <v/>
      </c>
      <c r="AH166" s="8" t="str">
        <f t="shared" si="8"/>
        <v/>
      </c>
    </row>
    <row r="167" spans="31:34" x14ac:dyDescent="0.25">
      <c r="AE167" s="8" t="str">
        <f t="shared" si="6"/>
        <v/>
      </c>
      <c r="AF167" s="8" t="str">
        <f t="shared" si="7"/>
        <v/>
      </c>
      <c r="AG167" s="8" t="str">
        <f>IF(TRIM($E167)&lt;&gt;"Tax Paid","",IF(COUNTIFS(LISTS!$F$2:$F$26,$AE167,LISTS!$G$2:$G$26,$AF167)=0,"NOT ON LIST",""))</f>
        <v/>
      </c>
      <c r="AH167" s="8" t="str">
        <f t="shared" si="8"/>
        <v/>
      </c>
    </row>
    <row r="168" spans="31:34" x14ac:dyDescent="0.25">
      <c r="AE168" s="8" t="str">
        <f t="shared" si="6"/>
        <v/>
      </c>
      <c r="AF168" s="8" t="str">
        <f t="shared" si="7"/>
        <v/>
      </c>
      <c r="AG168" s="8" t="str">
        <f>IF(TRIM($E168)&lt;&gt;"Tax Paid","",IF(COUNTIFS(LISTS!$F$2:$F$26,$AE168,LISTS!$G$2:$G$26,$AF168)=0,"NOT ON LIST",""))</f>
        <v/>
      </c>
      <c r="AH168" s="8" t="str">
        <f t="shared" si="8"/>
        <v/>
      </c>
    </row>
    <row r="169" spans="31:34" x14ac:dyDescent="0.25">
      <c r="AE169" s="8" t="str">
        <f t="shared" si="6"/>
        <v/>
      </c>
      <c r="AF169" s="8" t="str">
        <f t="shared" si="7"/>
        <v/>
      </c>
      <c r="AG169" s="8" t="str">
        <f>IF(TRIM($E169)&lt;&gt;"Tax Paid","",IF(COUNTIFS(LISTS!$F$2:$F$26,$AE169,LISTS!$G$2:$G$26,$AF169)=0,"NOT ON LIST",""))</f>
        <v/>
      </c>
      <c r="AH169" s="8" t="str">
        <f t="shared" si="8"/>
        <v/>
      </c>
    </row>
    <row r="170" spans="31:34" x14ac:dyDescent="0.25">
      <c r="AE170" s="8" t="str">
        <f t="shared" si="6"/>
        <v/>
      </c>
      <c r="AF170" s="8" t="str">
        <f t="shared" si="7"/>
        <v/>
      </c>
      <c r="AG170" s="8" t="str">
        <f>IF(TRIM($E170)&lt;&gt;"Tax Paid","",IF(COUNTIFS(LISTS!$F$2:$F$26,$AE170,LISTS!$G$2:$G$26,$AF170)=0,"NOT ON LIST",""))</f>
        <v/>
      </c>
      <c r="AH170" s="8" t="str">
        <f t="shared" si="8"/>
        <v/>
      </c>
    </row>
    <row r="171" spans="31:34" x14ac:dyDescent="0.25">
      <c r="AE171" s="8" t="str">
        <f t="shared" si="6"/>
        <v/>
      </c>
      <c r="AF171" s="8" t="str">
        <f t="shared" si="7"/>
        <v/>
      </c>
      <c r="AG171" s="8" t="str">
        <f>IF(TRIM($E171)&lt;&gt;"Tax Paid","",IF(COUNTIFS(LISTS!$F$2:$F$26,$AE171,LISTS!$G$2:$G$26,$AF171)=0,"NOT ON LIST",""))</f>
        <v/>
      </c>
      <c r="AH171" s="8" t="str">
        <f t="shared" si="8"/>
        <v/>
      </c>
    </row>
    <row r="172" spans="31:34" x14ac:dyDescent="0.25">
      <c r="AE172" s="8" t="str">
        <f t="shared" si="6"/>
        <v/>
      </c>
      <c r="AF172" s="8" t="str">
        <f t="shared" si="7"/>
        <v/>
      </c>
      <c r="AG172" s="8" t="str">
        <f>IF(TRIM($E172)&lt;&gt;"Tax Paid","",IF(COUNTIFS(LISTS!$F$2:$F$26,$AE172,LISTS!$G$2:$G$26,$AF172)=0,"NOT ON LIST",""))</f>
        <v/>
      </c>
      <c r="AH172" s="8" t="str">
        <f t="shared" si="8"/>
        <v/>
      </c>
    </row>
    <row r="173" spans="31:34" x14ac:dyDescent="0.25">
      <c r="AE173" s="8" t="str">
        <f t="shared" si="6"/>
        <v/>
      </c>
      <c r="AF173" s="8" t="str">
        <f t="shared" si="7"/>
        <v/>
      </c>
      <c r="AG173" s="8" t="str">
        <f>IF(TRIM($E173)&lt;&gt;"Tax Paid","",IF(COUNTIFS(LISTS!$F$2:$F$26,$AE173,LISTS!$G$2:$G$26,$AF173)=0,"NOT ON LIST",""))</f>
        <v/>
      </c>
      <c r="AH173" s="8" t="str">
        <f t="shared" si="8"/>
        <v/>
      </c>
    </row>
    <row r="174" spans="31:34" x14ac:dyDescent="0.25">
      <c r="AE174" s="8" t="str">
        <f t="shared" si="6"/>
        <v/>
      </c>
      <c r="AF174" s="8" t="str">
        <f t="shared" si="7"/>
        <v/>
      </c>
      <c r="AG174" s="8" t="str">
        <f>IF(TRIM($E174)&lt;&gt;"Tax Paid","",IF(COUNTIFS(LISTS!$F$2:$F$26,$AE174,LISTS!$G$2:$G$26,$AF174)=0,"NOT ON LIST",""))</f>
        <v/>
      </c>
      <c r="AH174" s="8" t="str">
        <f t="shared" si="8"/>
        <v/>
      </c>
    </row>
    <row r="175" spans="31:34" x14ac:dyDescent="0.25">
      <c r="AE175" s="8" t="str">
        <f t="shared" si="6"/>
        <v/>
      </c>
      <c r="AF175" s="8" t="str">
        <f t="shared" si="7"/>
        <v/>
      </c>
      <c r="AG175" s="8" t="str">
        <f>IF(TRIM($E175)&lt;&gt;"Tax Paid","",IF(COUNTIFS(LISTS!$F$2:$F$26,$AE175,LISTS!$G$2:$G$26,$AF175)=0,"NOT ON LIST",""))</f>
        <v/>
      </c>
      <c r="AH175" s="8" t="str">
        <f t="shared" si="8"/>
        <v/>
      </c>
    </row>
    <row r="176" spans="31:34" x14ac:dyDescent="0.25">
      <c r="AE176" s="8" t="str">
        <f t="shared" si="6"/>
        <v/>
      </c>
      <c r="AF176" s="8" t="str">
        <f t="shared" si="7"/>
        <v/>
      </c>
      <c r="AG176" s="8" t="str">
        <f>IF(TRIM($E176)&lt;&gt;"Tax Paid","",IF(COUNTIFS(LISTS!$F$2:$F$26,$AE176,LISTS!$G$2:$G$26,$AF176)=0,"NOT ON LIST",""))</f>
        <v/>
      </c>
      <c r="AH176" s="8" t="str">
        <f t="shared" si="8"/>
        <v/>
      </c>
    </row>
    <row r="177" spans="31:34" x14ac:dyDescent="0.25">
      <c r="AE177" s="8" t="str">
        <f t="shared" si="6"/>
        <v/>
      </c>
      <c r="AF177" s="8" t="str">
        <f t="shared" si="7"/>
        <v/>
      </c>
      <c r="AG177" s="8" t="str">
        <f>IF(TRIM($E177)&lt;&gt;"Tax Paid","",IF(COUNTIFS(LISTS!$F$2:$F$26,$AE177,LISTS!$G$2:$G$26,$AF177)=0,"NOT ON LIST",""))</f>
        <v/>
      </c>
      <c r="AH177" s="8" t="str">
        <f t="shared" si="8"/>
        <v/>
      </c>
    </row>
    <row r="178" spans="31:34" x14ac:dyDescent="0.25">
      <c r="AE178" s="8" t="str">
        <f t="shared" si="6"/>
        <v/>
      </c>
      <c r="AF178" s="8" t="str">
        <f t="shared" si="7"/>
        <v/>
      </c>
      <c r="AG178" s="8" t="str">
        <f>IF(TRIM($E178)&lt;&gt;"Tax Paid","",IF(COUNTIFS(LISTS!$F$2:$F$26,$AE178,LISTS!$G$2:$G$26,$AF178)=0,"NOT ON LIST",""))</f>
        <v/>
      </c>
      <c r="AH178" s="8" t="str">
        <f t="shared" si="8"/>
        <v/>
      </c>
    </row>
    <row r="179" spans="31:34" x14ac:dyDescent="0.25">
      <c r="AE179" s="8" t="str">
        <f t="shared" si="6"/>
        <v/>
      </c>
      <c r="AF179" s="8" t="str">
        <f t="shared" si="7"/>
        <v/>
      </c>
      <c r="AG179" s="8" t="str">
        <f>IF(TRIM($E179)&lt;&gt;"Tax Paid","",IF(COUNTIFS(LISTS!$F$2:$F$26,$AE179,LISTS!$G$2:$G$26,$AF179)=0,"NOT ON LIST",""))</f>
        <v/>
      </c>
      <c r="AH179" s="8" t="str">
        <f t="shared" si="8"/>
        <v/>
      </c>
    </row>
    <row r="180" spans="31:34" x14ac:dyDescent="0.25">
      <c r="AE180" s="8" t="str">
        <f t="shared" si="6"/>
        <v/>
      </c>
      <c r="AF180" s="8" t="str">
        <f t="shared" si="7"/>
        <v/>
      </c>
      <c r="AG180" s="8" t="str">
        <f>IF(TRIM($E180)&lt;&gt;"Tax Paid","",IF(COUNTIFS(LISTS!$F$2:$F$26,$AE180,LISTS!$G$2:$G$26,$AF180)=0,"NOT ON LIST",""))</f>
        <v/>
      </c>
      <c r="AH180" s="8" t="str">
        <f t="shared" si="8"/>
        <v/>
      </c>
    </row>
    <row r="181" spans="31:34" x14ac:dyDescent="0.25">
      <c r="AE181" s="8" t="str">
        <f t="shared" si="6"/>
        <v/>
      </c>
      <c r="AF181" s="8" t="str">
        <f t="shared" si="7"/>
        <v/>
      </c>
      <c r="AG181" s="8" t="str">
        <f>IF(TRIM($E181)&lt;&gt;"Tax Paid","",IF(COUNTIFS(LISTS!$F$2:$F$26,$AE181,LISTS!$G$2:$G$26,$AF181)=0,"NOT ON LIST",""))</f>
        <v/>
      </c>
      <c r="AH181" s="8" t="str">
        <f t="shared" si="8"/>
        <v/>
      </c>
    </row>
    <row r="182" spans="31:34" x14ac:dyDescent="0.25">
      <c r="AE182" s="8" t="str">
        <f t="shared" si="6"/>
        <v/>
      </c>
      <c r="AF182" s="8" t="str">
        <f t="shared" si="7"/>
        <v/>
      </c>
      <c r="AG182" s="8" t="str">
        <f>IF(TRIM($E182)&lt;&gt;"Tax Paid","",IF(COUNTIFS(LISTS!$F$2:$F$26,$AE182,LISTS!$G$2:$G$26,$AF182)=0,"NOT ON LIST",""))</f>
        <v/>
      </c>
      <c r="AH182" s="8" t="str">
        <f t="shared" si="8"/>
        <v/>
      </c>
    </row>
    <row r="183" spans="31:34" x14ac:dyDescent="0.25">
      <c r="AE183" s="8" t="str">
        <f t="shared" si="6"/>
        <v/>
      </c>
      <c r="AF183" s="8" t="str">
        <f t="shared" si="7"/>
        <v/>
      </c>
      <c r="AG183" s="8" t="str">
        <f>IF(TRIM($E183)&lt;&gt;"Tax Paid","",IF(COUNTIFS(LISTS!$F$2:$F$26,$AE183,LISTS!$G$2:$G$26,$AF183)=0,"NOT ON LIST",""))</f>
        <v/>
      </c>
      <c r="AH183" s="8" t="str">
        <f t="shared" si="8"/>
        <v/>
      </c>
    </row>
    <row r="184" spans="31:34" x14ac:dyDescent="0.25">
      <c r="AE184" s="8" t="str">
        <f t="shared" si="6"/>
        <v/>
      </c>
      <c r="AF184" s="8" t="str">
        <f t="shared" si="7"/>
        <v/>
      </c>
      <c r="AG184" s="8" t="str">
        <f>IF(TRIM($E184)&lt;&gt;"Tax Paid","",IF(COUNTIFS(LISTS!$F$2:$F$26,$AE184,LISTS!$G$2:$G$26,$AF184)=0,"NOT ON LIST",""))</f>
        <v/>
      </c>
      <c r="AH184" s="8" t="str">
        <f t="shared" si="8"/>
        <v/>
      </c>
    </row>
    <row r="185" spans="31:34" x14ac:dyDescent="0.25">
      <c r="AE185" s="8" t="str">
        <f t="shared" si="6"/>
        <v/>
      </c>
      <c r="AF185" s="8" t="str">
        <f t="shared" si="7"/>
        <v/>
      </c>
      <c r="AG185" s="8" t="str">
        <f>IF(TRIM($E185)&lt;&gt;"Tax Paid","",IF(COUNTIFS(LISTS!$F$2:$F$26,$AE185,LISTS!$G$2:$G$26,$AF185)=0,"NOT ON LIST",""))</f>
        <v/>
      </c>
      <c r="AH185" s="8" t="str">
        <f t="shared" si="8"/>
        <v/>
      </c>
    </row>
    <row r="186" spans="31:34" x14ac:dyDescent="0.25">
      <c r="AE186" s="8" t="str">
        <f t="shared" si="6"/>
        <v/>
      </c>
      <c r="AF186" s="8" t="str">
        <f t="shared" si="7"/>
        <v/>
      </c>
      <c r="AG186" s="8" t="str">
        <f>IF(TRIM($E186)&lt;&gt;"Tax Paid","",IF(COUNTIFS(LISTS!$F$2:$F$26,$AE186,LISTS!$G$2:$G$26,$AF186)=0,"NOT ON LIST",""))</f>
        <v/>
      </c>
      <c r="AH186" s="8" t="str">
        <f t="shared" si="8"/>
        <v/>
      </c>
    </row>
    <row r="187" spans="31:34" x14ac:dyDescent="0.25">
      <c r="AE187" s="8" t="str">
        <f t="shared" si="6"/>
        <v/>
      </c>
      <c r="AF187" s="8" t="str">
        <f t="shared" si="7"/>
        <v/>
      </c>
      <c r="AG187" s="8" t="str">
        <f>IF(TRIM($E187)&lt;&gt;"Tax Paid","",IF(COUNTIFS(LISTS!$F$2:$F$26,$AE187,LISTS!$G$2:$G$26,$AF187)=0,"NOT ON LIST",""))</f>
        <v/>
      </c>
      <c r="AH187" s="8" t="str">
        <f t="shared" si="8"/>
        <v/>
      </c>
    </row>
    <row r="188" spans="31:34" x14ac:dyDescent="0.25">
      <c r="AE188" s="8" t="str">
        <f t="shared" si="6"/>
        <v/>
      </c>
      <c r="AF188" s="8" t="str">
        <f t="shared" si="7"/>
        <v/>
      </c>
      <c r="AG188" s="8" t="str">
        <f>IF(TRIM($E188)&lt;&gt;"Tax Paid","",IF(COUNTIFS(LISTS!$F$2:$F$26,$AE188,LISTS!$G$2:$G$26,$AF188)=0,"NOT ON LIST",""))</f>
        <v/>
      </c>
      <c r="AH188" s="8" t="str">
        <f t="shared" si="8"/>
        <v/>
      </c>
    </row>
    <row r="189" spans="31:34" x14ac:dyDescent="0.25">
      <c r="AE189" s="8" t="str">
        <f t="shared" si="6"/>
        <v/>
      </c>
      <c r="AF189" s="8" t="str">
        <f t="shared" si="7"/>
        <v/>
      </c>
      <c r="AG189" s="8" t="str">
        <f>IF(TRIM($E189)&lt;&gt;"Tax Paid","",IF(COUNTIFS(LISTS!$F$2:$F$26,$AE189,LISTS!$G$2:$G$26,$AF189)=0,"NOT ON LIST",""))</f>
        <v/>
      </c>
      <c r="AH189" s="8" t="str">
        <f t="shared" si="8"/>
        <v/>
      </c>
    </row>
    <row r="190" spans="31:34" x14ac:dyDescent="0.25">
      <c r="AE190" s="8" t="str">
        <f t="shared" si="6"/>
        <v/>
      </c>
      <c r="AF190" s="8" t="str">
        <f t="shared" si="7"/>
        <v/>
      </c>
      <c r="AG190" s="8" t="str">
        <f>IF(TRIM($E190)&lt;&gt;"Tax Paid","",IF(COUNTIFS(LISTS!$F$2:$F$26,$AE190,LISTS!$G$2:$G$26,$AF190)=0,"NOT ON LIST",""))</f>
        <v/>
      </c>
      <c r="AH190" s="8" t="str">
        <f t="shared" si="8"/>
        <v/>
      </c>
    </row>
    <row r="191" spans="31:34" x14ac:dyDescent="0.25">
      <c r="AE191" s="8" t="str">
        <f t="shared" si="6"/>
        <v/>
      </c>
      <c r="AF191" s="8" t="str">
        <f t="shared" si="7"/>
        <v/>
      </c>
      <c r="AG191" s="8" t="str">
        <f>IF(TRIM($E191)&lt;&gt;"Tax Paid","",IF(COUNTIFS(LISTS!$F$2:$F$26,$AE191,LISTS!$G$2:$G$26,$AF191)=0,"NOT ON LIST",""))</f>
        <v/>
      </c>
      <c r="AH191" s="8" t="str">
        <f t="shared" si="8"/>
        <v/>
      </c>
    </row>
    <row r="192" spans="31:34" x14ac:dyDescent="0.25">
      <c r="AE192" s="8" t="str">
        <f t="shared" si="6"/>
        <v/>
      </c>
      <c r="AF192" s="8" t="str">
        <f t="shared" si="7"/>
        <v/>
      </c>
      <c r="AG192" s="8" t="str">
        <f>IF(TRIM($E192)&lt;&gt;"Tax Paid","",IF(COUNTIFS(LISTS!$F$2:$F$26,$AE192,LISTS!$G$2:$G$26,$AF192)=0,"NOT ON LIST",""))</f>
        <v/>
      </c>
      <c r="AH192" s="8" t="str">
        <f t="shared" si="8"/>
        <v/>
      </c>
    </row>
    <row r="193" spans="31:34" x14ac:dyDescent="0.25">
      <c r="AE193" s="8" t="str">
        <f t="shared" si="6"/>
        <v/>
      </c>
      <c r="AF193" s="8" t="str">
        <f t="shared" si="7"/>
        <v/>
      </c>
      <c r="AG193" s="8" t="str">
        <f>IF(TRIM($E193)&lt;&gt;"Tax Paid","",IF(COUNTIFS(LISTS!$F$2:$F$26,$AE193,LISTS!$G$2:$G$26,$AF193)=0,"NOT ON LIST",""))</f>
        <v/>
      </c>
      <c r="AH193" s="8" t="str">
        <f t="shared" si="8"/>
        <v/>
      </c>
    </row>
    <row r="194" spans="31:34" x14ac:dyDescent="0.25">
      <c r="AE194" s="8" t="str">
        <f t="shared" ref="AE194:AE257" si="9">IF(TRIM($E194)="Tax Paid",TRIM($S194),"")</f>
        <v/>
      </c>
      <c r="AF194" s="8" t="str">
        <f t="shared" ref="AF194:AF257" si="10">IF(TRIM($E194)="Tax Paid",ROUND($Z194/100,5),"")</f>
        <v/>
      </c>
      <c r="AG194" s="8" t="str">
        <f>IF(TRIM($E194)&lt;&gt;"Tax Paid","",IF(COUNTIFS(LISTS!$F$2:$F$26,$AE194,LISTS!$G$2:$G$26,$AF194)=0,"NOT ON LIST",""))</f>
        <v/>
      </c>
      <c r="AH194" s="8" t="str">
        <f t="shared" ref="AH194:AH257" si="11">IF($AG194="","",IF($AE194="","(no county)",$AE194)&amp;" ("&amp;SUBSTITUTE(TEXT($AF194,"0.###%"),".%","%")&amp;")")</f>
        <v/>
      </c>
    </row>
    <row r="195" spans="31:34" x14ac:dyDescent="0.25">
      <c r="AE195" s="8" t="str">
        <f t="shared" si="9"/>
        <v/>
      </c>
      <c r="AF195" s="8" t="str">
        <f t="shared" si="10"/>
        <v/>
      </c>
      <c r="AG195" s="8" t="str">
        <f>IF(TRIM($E195)&lt;&gt;"Tax Paid","",IF(COUNTIFS(LISTS!$F$2:$F$26,$AE195,LISTS!$G$2:$G$26,$AF195)=0,"NOT ON LIST",""))</f>
        <v/>
      </c>
      <c r="AH195" s="8" t="str">
        <f t="shared" si="11"/>
        <v/>
      </c>
    </row>
    <row r="196" spans="31:34" x14ac:dyDescent="0.25">
      <c r="AE196" s="8" t="str">
        <f t="shared" si="9"/>
        <v/>
      </c>
      <c r="AF196" s="8" t="str">
        <f t="shared" si="10"/>
        <v/>
      </c>
      <c r="AG196" s="8" t="str">
        <f>IF(TRIM($E196)&lt;&gt;"Tax Paid","",IF(COUNTIFS(LISTS!$F$2:$F$26,$AE196,LISTS!$G$2:$G$26,$AF196)=0,"NOT ON LIST",""))</f>
        <v/>
      </c>
      <c r="AH196" s="8" t="str">
        <f t="shared" si="11"/>
        <v/>
      </c>
    </row>
    <row r="197" spans="31:34" x14ac:dyDescent="0.25">
      <c r="AE197" s="8" t="str">
        <f t="shared" si="9"/>
        <v/>
      </c>
      <c r="AF197" s="8" t="str">
        <f t="shared" si="10"/>
        <v/>
      </c>
      <c r="AG197" s="8" t="str">
        <f>IF(TRIM($E197)&lt;&gt;"Tax Paid","",IF(COUNTIFS(LISTS!$F$2:$F$26,$AE197,LISTS!$G$2:$G$26,$AF197)=0,"NOT ON LIST",""))</f>
        <v/>
      </c>
      <c r="AH197" s="8" t="str">
        <f t="shared" si="11"/>
        <v/>
      </c>
    </row>
    <row r="198" spans="31:34" x14ac:dyDescent="0.25">
      <c r="AE198" s="8" t="str">
        <f t="shared" si="9"/>
        <v/>
      </c>
      <c r="AF198" s="8" t="str">
        <f t="shared" si="10"/>
        <v/>
      </c>
      <c r="AG198" s="8" t="str">
        <f>IF(TRIM($E198)&lt;&gt;"Tax Paid","",IF(COUNTIFS(LISTS!$F$2:$F$26,$AE198,LISTS!$G$2:$G$26,$AF198)=0,"NOT ON LIST",""))</f>
        <v/>
      </c>
      <c r="AH198" s="8" t="str">
        <f t="shared" si="11"/>
        <v/>
      </c>
    </row>
    <row r="199" spans="31:34" x14ac:dyDescent="0.25">
      <c r="AE199" s="8" t="str">
        <f t="shared" si="9"/>
        <v/>
      </c>
      <c r="AF199" s="8" t="str">
        <f t="shared" si="10"/>
        <v/>
      </c>
      <c r="AG199" s="8" t="str">
        <f>IF(TRIM($E199)&lt;&gt;"Tax Paid","",IF(COUNTIFS(LISTS!$F$2:$F$26,$AE199,LISTS!$G$2:$G$26,$AF199)=0,"NOT ON LIST",""))</f>
        <v/>
      </c>
      <c r="AH199" s="8" t="str">
        <f t="shared" si="11"/>
        <v/>
      </c>
    </row>
    <row r="200" spans="31:34" x14ac:dyDescent="0.25">
      <c r="AE200" s="8" t="str">
        <f t="shared" si="9"/>
        <v/>
      </c>
      <c r="AF200" s="8" t="str">
        <f t="shared" si="10"/>
        <v/>
      </c>
      <c r="AG200" s="8" t="str">
        <f>IF(TRIM($E200)&lt;&gt;"Tax Paid","",IF(COUNTIFS(LISTS!$F$2:$F$26,$AE200,LISTS!$G$2:$G$26,$AF200)=0,"NOT ON LIST",""))</f>
        <v/>
      </c>
      <c r="AH200" s="8" t="str">
        <f t="shared" si="11"/>
        <v/>
      </c>
    </row>
    <row r="201" spans="31:34" x14ac:dyDescent="0.25">
      <c r="AE201" s="8" t="str">
        <f t="shared" si="9"/>
        <v/>
      </c>
      <c r="AF201" s="8" t="str">
        <f t="shared" si="10"/>
        <v/>
      </c>
      <c r="AG201" s="8" t="str">
        <f>IF(TRIM($E201)&lt;&gt;"Tax Paid","",IF(COUNTIFS(LISTS!$F$2:$F$26,$AE201,LISTS!$G$2:$G$26,$AF201)=0,"NOT ON LIST",""))</f>
        <v/>
      </c>
      <c r="AH201" s="8" t="str">
        <f t="shared" si="11"/>
        <v/>
      </c>
    </row>
    <row r="202" spans="31:34" x14ac:dyDescent="0.25">
      <c r="AE202" s="8" t="str">
        <f t="shared" si="9"/>
        <v/>
      </c>
      <c r="AF202" s="8" t="str">
        <f t="shared" si="10"/>
        <v/>
      </c>
      <c r="AG202" s="8" t="str">
        <f>IF(TRIM($E202)&lt;&gt;"Tax Paid","",IF(COUNTIFS(LISTS!$F$2:$F$26,$AE202,LISTS!$G$2:$G$26,$AF202)=0,"NOT ON LIST",""))</f>
        <v/>
      </c>
      <c r="AH202" s="8" t="str">
        <f t="shared" si="11"/>
        <v/>
      </c>
    </row>
    <row r="203" spans="31:34" x14ac:dyDescent="0.25">
      <c r="AE203" s="8" t="str">
        <f t="shared" si="9"/>
        <v/>
      </c>
      <c r="AF203" s="8" t="str">
        <f t="shared" si="10"/>
        <v/>
      </c>
      <c r="AG203" s="8" t="str">
        <f>IF(TRIM($E203)&lt;&gt;"Tax Paid","",IF(COUNTIFS(LISTS!$F$2:$F$26,$AE203,LISTS!$G$2:$G$26,$AF203)=0,"NOT ON LIST",""))</f>
        <v/>
      </c>
      <c r="AH203" s="8" t="str">
        <f t="shared" si="11"/>
        <v/>
      </c>
    </row>
    <row r="204" spans="31:34" x14ac:dyDescent="0.25">
      <c r="AE204" s="8" t="str">
        <f t="shared" si="9"/>
        <v/>
      </c>
      <c r="AF204" s="8" t="str">
        <f t="shared" si="10"/>
        <v/>
      </c>
      <c r="AG204" s="8" t="str">
        <f>IF(TRIM($E204)&lt;&gt;"Tax Paid","",IF(COUNTIFS(LISTS!$F$2:$F$26,$AE204,LISTS!$G$2:$G$26,$AF204)=0,"NOT ON LIST",""))</f>
        <v/>
      </c>
      <c r="AH204" s="8" t="str">
        <f t="shared" si="11"/>
        <v/>
      </c>
    </row>
    <row r="205" spans="31:34" x14ac:dyDescent="0.25">
      <c r="AE205" s="8" t="str">
        <f t="shared" si="9"/>
        <v/>
      </c>
      <c r="AF205" s="8" t="str">
        <f t="shared" si="10"/>
        <v/>
      </c>
      <c r="AG205" s="8" t="str">
        <f>IF(TRIM($E205)&lt;&gt;"Tax Paid","",IF(COUNTIFS(LISTS!$F$2:$F$26,$AE205,LISTS!$G$2:$G$26,$AF205)=0,"NOT ON LIST",""))</f>
        <v/>
      </c>
      <c r="AH205" s="8" t="str">
        <f t="shared" si="11"/>
        <v/>
      </c>
    </row>
    <row r="206" spans="31:34" x14ac:dyDescent="0.25">
      <c r="AE206" s="8" t="str">
        <f t="shared" si="9"/>
        <v/>
      </c>
      <c r="AF206" s="8" t="str">
        <f t="shared" si="10"/>
        <v/>
      </c>
      <c r="AG206" s="8" t="str">
        <f>IF(TRIM($E206)&lt;&gt;"Tax Paid","",IF(COUNTIFS(LISTS!$F$2:$F$26,$AE206,LISTS!$G$2:$G$26,$AF206)=0,"NOT ON LIST",""))</f>
        <v/>
      </c>
      <c r="AH206" s="8" t="str">
        <f t="shared" si="11"/>
        <v/>
      </c>
    </row>
    <row r="207" spans="31:34" x14ac:dyDescent="0.25">
      <c r="AE207" s="8" t="str">
        <f t="shared" si="9"/>
        <v/>
      </c>
      <c r="AF207" s="8" t="str">
        <f t="shared" si="10"/>
        <v/>
      </c>
      <c r="AG207" s="8" t="str">
        <f>IF(TRIM($E207)&lt;&gt;"Tax Paid","",IF(COUNTIFS(LISTS!$F$2:$F$26,$AE207,LISTS!$G$2:$G$26,$AF207)=0,"NOT ON LIST",""))</f>
        <v/>
      </c>
      <c r="AH207" s="8" t="str">
        <f t="shared" si="11"/>
        <v/>
      </c>
    </row>
    <row r="208" spans="31:34" x14ac:dyDescent="0.25">
      <c r="AE208" s="8" t="str">
        <f t="shared" si="9"/>
        <v/>
      </c>
      <c r="AF208" s="8" t="str">
        <f t="shared" si="10"/>
        <v/>
      </c>
      <c r="AG208" s="8" t="str">
        <f>IF(TRIM($E208)&lt;&gt;"Tax Paid","",IF(COUNTIFS(LISTS!$F$2:$F$26,$AE208,LISTS!$G$2:$G$26,$AF208)=0,"NOT ON LIST",""))</f>
        <v/>
      </c>
      <c r="AH208" s="8" t="str">
        <f t="shared" si="11"/>
        <v/>
      </c>
    </row>
    <row r="209" spans="31:34" x14ac:dyDescent="0.25">
      <c r="AE209" s="8" t="str">
        <f t="shared" si="9"/>
        <v/>
      </c>
      <c r="AF209" s="8" t="str">
        <f t="shared" si="10"/>
        <v/>
      </c>
      <c r="AG209" s="8" t="str">
        <f>IF(TRIM($E209)&lt;&gt;"Tax Paid","",IF(COUNTIFS(LISTS!$F$2:$F$26,$AE209,LISTS!$G$2:$G$26,$AF209)=0,"NOT ON LIST",""))</f>
        <v/>
      </c>
      <c r="AH209" s="8" t="str">
        <f t="shared" si="11"/>
        <v/>
      </c>
    </row>
    <row r="210" spans="31:34" x14ac:dyDescent="0.25">
      <c r="AE210" s="8" t="str">
        <f t="shared" si="9"/>
        <v/>
      </c>
      <c r="AF210" s="8" t="str">
        <f t="shared" si="10"/>
        <v/>
      </c>
      <c r="AG210" s="8" t="str">
        <f>IF(TRIM($E210)&lt;&gt;"Tax Paid","",IF(COUNTIFS(LISTS!$F$2:$F$26,$AE210,LISTS!$G$2:$G$26,$AF210)=0,"NOT ON LIST",""))</f>
        <v/>
      </c>
      <c r="AH210" s="8" t="str">
        <f t="shared" si="11"/>
        <v/>
      </c>
    </row>
    <row r="211" spans="31:34" x14ac:dyDescent="0.25">
      <c r="AE211" s="8" t="str">
        <f t="shared" si="9"/>
        <v/>
      </c>
      <c r="AF211" s="8" t="str">
        <f t="shared" si="10"/>
        <v/>
      </c>
      <c r="AG211" s="8" t="str">
        <f>IF(TRIM($E211)&lt;&gt;"Tax Paid","",IF(COUNTIFS(LISTS!$F$2:$F$26,$AE211,LISTS!$G$2:$G$26,$AF211)=0,"NOT ON LIST",""))</f>
        <v/>
      </c>
      <c r="AH211" s="8" t="str">
        <f t="shared" si="11"/>
        <v/>
      </c>
    </row>
    <row r="212" spans="31:34" x14ac:dyDescent="0.25">
      <c r="AE212" s="8" t="str">
        <f t="shared" si="9"/>
        <v/>
      </c>
      <c r="AF212" s="8" t="str">
        <f t="shared" si="10"/>
        <v/>
      </c>
      <c r="AG212" s="8" t="str">
        <f>IF(TRIM($E212)&lt;&gt;"Tax Paid","",IF(COUNTIFS(LISTS!$F$2:$F$26,$AE212,LISTS!$G$2:$G$26,$AF212)=0,"NOT ON LIST",""))</f>
        <v/>
      </c>
      <c r="AH212" s="8" t="str">
        <f t="shared" si="11"/>
        <v/>
      </c>
    </row>
    <row r="213" spans="31:34" x14ac:dyDescent="0.25">
      <c r="AE213" s="8" t="str">
        <f t="shared" si="9"/>
        <v/>
      </c>
      <c r="AF213" s="8" t="str">
        <f t="shared" si="10"/>
        <v/>
      </c>
      <c r="AG213" s="8" t="str">
        <f>IF(TRIM($E213)&lt;&gt;"Tax Paid","",IF(COUNTIFS(LISTS!$F$2:$F$26,$AE213,LISTS!$G$2:$G$26,$AF213)=0,"NOT ON LIST",""))</f>
        <v/>
      </c>
      <c r="AH213" s="8" t="str">
        <f t="shared" si="11"/>
        <v/>
      </c>
    </row>
    <row r="214" spans="31:34" x14ac:dyDescent="0.25">
      <c r="AE214" s="8" t="str">
        <f t="shared" si="9"/>
        <v/>
      </c>
      <c r="AF214" s="8" t="str">
        <f t="shared" si="10"/>
        <v/>
      </c>
      <c r="AG214" s="8" t="str">
        <f>IF(TRIM($E214)&lt;&gt;"Tax Paid","",IF(COUNTIFS(LISTS!$F$2:$F$26,$AE214,LISTS!$G$2:$G$26,$AF214)=0,"NOT ON LIST",""))</f>
        <v/>
      </c>
      <c r="AH214" s="8" t="str">
        <f t="shared" si="11"/>
        <v/>
      </c>
    </row>
    <row r="215" spans="31:34" x14ac:dyDescent="0.25">
      <c r="AE215" s="8" t="str">
        <f t="shared" si="9"/>
        <v/>
      </c>
      <c r="AF215" s="8" t="str">
        <f t="shared" si="10"/>
        <v/>
      </c>
      <c r="AG215" s="8" t="str">
        <f>IF(TRIM($E215)&lt;&gt;"Tax Paid","",IF(COUNTIFS(LISTS!$F$2:$F$26,$AE215,LISTS!$G$2:$G$26,$AF215)=0,"NOT ON LIST",""))</f>
        <v/>
      </c>
      <c r="AH215" s="8" t="str">
        <f t="shared" si="11"/>
        <v/>
      </c>
    </row>
    <row r="216" spans="31:34" x14ac:dyDescent="0.25">
      <c r="AE216" s="8" t="str">
        <f t="shared" si="9"/>
        <v/>
      </c>
      <c r="AF216" s="8" t="str">
        <f t="shared" si="10"/>
        <v/>
      </c>
      <c r="AG216" s="8" t="str">
        <f>IF(TRIM($E216)&lt;&gt;"Tax Paid","",IF(COUNTIFS(LISTS!$F$2:$F$26,$AE216,LISTS!$G$2:$G$26,$AF216)=0,"NOT ON LIST",""))</f>
        <v/>
      </c>
      <c r="AH216" s="8" t="str">
        <f t="shared" si="11"/>
        <v/>
      </c>
    </row>
    <row r="217" spans="31:34" x14ac:dyDescent="0.25">
      <c r="AE217" s="8" t="str">
        <f t="shared" si="9"/>
        <v/>
      </c>
      <c r="AF217" s="8" t="str">
        <f t="shared" si="10"/>
        <v/>
      </c>
      <c r="AG217" s="8" t="str">
        <f>IF(TRIM($E217)&lt;&gt;"Tax Paid","",IF(COUNTIFS(LISTS!$F$2:$F$26,$AE217,LISTS!$G$2:$G$26,$AF217)=0,"NOT ON LIST",""))</f>
        <v/>
      </c>
      <c r="AH217" s="8" t="str">
        <f t="shared" si="11"/>
        <v/>
      </c>
    </row>
    <row r="218" spans="31:34" x14ac:dyDescent="0.25">
      <c r="AE218" s="8" t="str">
        <f t="shared" si="9"/>
        <v/>
      </c>
      <c r="AF218" s="8" t="str">
        <f t="shared" si="10"/>
        <v/>
      </c>
      <c r="AG218" s="8" t="str">
        <f>IF(TRIM($E218)&lt;&gt;"Tax Paid","",IF(COUNTIFS(LISTS!$F$2:$F$26,$AE218,LISTS!$G$2:$G$26,$AF218)=0,"NOT ON LIST",""))</f>
        <v/>
      </c>
      <c r="AH218" s="8" t="str">
        <f t="shared" si="11"/>
        <v/>
      </c>
    </row>
    <row r="219" spans="31:34" x14ac:dyDescent="0.25">
      <c r="AE219" s="8" t="str">
        <f t="shared" si="9"/>
        <v/>
      </c>
      <c r="AF219" s="8" t="str">
        <f t="shared" si="10"/>
        <v/>
      </c>
      <c r="AG219" s="8" t="str">
        <f>IF(TRIM($E219)&lt;&gt;"Tax Paid","",IF(COUNTIFS(LISTS!$F$2:$F$26,$AE219,LISTS!$G$2:$G$26,$AF219)=0,"NOT ON LIST",""))</f>
        <v/>
      </c>
      <c r="AH219" s="8" t="str">
        <f t="shared" si="11"/>
        <v/>
      </c>
    </row>
    <row r="220" spans="31:34" x14ac:dyDescent="0.25">
      <c r="AE220" s="8" t="str">
        <f t="shared" si="9"/>
        <v/>
      </c>
      <c r="AF220" s="8" t="str">
        <f t="shared" si="10"/>
        <v/>
      </c>
      <c r="AG220" s="8" t="str">
        <f>IF(TRIM($E220)&lt;&gt;"Tax Paid","",IF(COUNTIFS(LISTS!$F$2:$F$26,$AE220,LISTS!$G$2:$G$26,$AF220)=0,"NOT ON LIST",""))</f>
        <v/>
      </c>
      <c r="AH220" s="8" t="str">
        <f t="shared" si="11"/>
        <v/>
      </c>
    </row>
    <row r="221" spans="31:34" x14ac:dyDescent="0.25">
      <c r="AE221" s="8" t="str">
        <f t="shared" si="9"/>
        <v/>
      </c>
      <c r="AF221" s="8" t="str">
        <f t="shared" si="10"/>
        <v/>
      </c>
      <c r="AG221" s="8" t="str">
        <f>IF(TRIM($E221)&lt;&gt;"Tax Paid","",IF(COUNTIFS(LISTS!$F$2:$F$26,$AE221,LISTS!$G$2:$G$26,$AF221)=0,"NOT ON LIST",""))</f>
        <v/>
      </c>
      <c r="AH221" s="8" t="str">
        <f t="shared" si="11"/>
        <v/>
      </c>
    </row>
    <row r="222" spans="31:34" x14ac:dyDescent="0.25">
      <c r="AE222" s="8" t="str">
        <f t="shared" si="9"/>
        <v/>
      </c>
      <c r="AF222" s="8" t="str">
        <f t="shared" si="10"/>
        <v/>
      </c>
      <c r="AG222" s="8" t="str">
        <f>IF(TRIM($E222)&lt;&gt;"Tax Paid","",IF(COUNTIFS(LISTS!$F$2:$F$26,$AE222,LISTS!$G$2:$G$26,$AF222)=0,"NOT ON LIST",""))</f>
        <v/>
      </c>
      <c r="AH222" s="8" t="str">
        <f t="shared" si="11"/>
        <v/>
      </c>
    </row>
    <row r="223" spans="31:34" x14ac:dyDescent="0.25">
      <c r="AE223" s="8" t="str">
        <f t="shared" si="9"/>
        <v/>
      </c>
      <c r="AF223" s="8" t="str">
        <f t="shared" si="10"/>
        <v/>
      </c>
      <c r="AG223" s="8" t="str">
        <f>IF(TRIM($E223)&lt;&gt;"Tax Paid","",IF(COUNTIFS(LISTS!$F$2:$F$26,$AE223,LISTS!$G$2:$G$26,$AF223)=0,"NOT ON LIST",""))</f>
        <v/>
      </c>
      <c r="AH223" s="8" t="str">
        <f t="shared" si="11"/>
        <v/>
      </c>
    </row>
    <row r="224" spans="31:34" x14ac:dyDescent="0.25">
      <c r="AE224" s="8" t="str">
        <f t="shared" si="9"/>
        <v/>
      </c>
      <c r="AF224" s="8" t="str">
        <f t="shared" si="10"/>
        <v/>
      </c>
      <c r="AG224" s="8" t="str">
        <f>IF(TRIM($E224)&lt;&gt;"Tax Paid","",IF(COUNTIFS(LISTS!$F$2:$F$26,$AE224,LISTS!$G$2:$G$26,$AF224)=0,"NOT ON LIST",""))</f>
        <v/>
      </c>
      <c r="AH224" s="8" t="str">
        <f t="shared" si="11"/>
        <v/>
      </c>
    </row>
    <row r="225" spans="31:34" x14ac:dyDescent="0.25">
      <c r="AE225" s="8" t="str">
        <f t="shared" si="9"/>
        <v/>
      </c>
      <c r="AF225" s="8" t="str">
        <f t="shared" si="10"/>
        <v/>
      </c>
      <c r="AG225" s="8" t="str">
        <f>IF(TRIM($E225)&lt;&gt;"Tax Paid","",IF(COUNTIFS(LISTS!$F$2:$F$26,$AE225,LISTS!$G$2:$G$26,$AF225)=0,"NOT ON LIST",""))</f>
        <v/>
      </c>
      <c r="AH225" s="8" t="str">
        <f t="shared" si="11"/>
        <v/>
      </c>
    </row>
    <row r="226" spans="31:34" x14ac:dyDescent="0.25">
      <c r="AE226" s="8" t="str">
        <f t="shared" si="9"/>
        <v/>
      </c>
      <c r="AF226" s="8" t="str">
        <f t="shared" si="10"/>
        <v/>
      </c>
      <c r="AG226" s="8" t="str">
        <f>IF(TRIM($E226)&lt;&gt;"Tax Paid","",IF(COUNTIFS(LISTS!$F$2:$F$26,$AE226,LISTS!$G$2:$G$26,$AF226)=0,"NOT ON LIST",""))</f>
        <v/>
      </c>
      <c r="AH226" s="8" t="str">
        <f t="shared" si="11"/>
        <v/>
      </c>
    </row>
    <row r="227" spans="31:34" x14ac:dyDescent="0.25">
      <c r="AE227" s="8" t="str">
        <f t="shared" si="9"/>
        <v/>
      </c>
      <c r="AF227" s="8" t="str">
        <f t="shared" si="10"/>
        <v/>
      </c>
      <c r="AG227" s="8" t="str">
        <f>IF(TRIM($E227)&lt;&gt;"Tax Paid","",IF(COUNTIFS(LISTS!$F$2:$F$26,$AE227,LISTS!$G$2:$G$26,$AF227)=0,"NOT ON LIST",""))</f>
        <v/>
      </c>
      <c r="AH227" s="8" t="str">
        <f t="shared" si="11"/>
        <v/>
      </c>
    </row>
    <row r="228" spans="31:34" x14ac:dyDescent="0.25">
      <c r="AE228" s="8" t="str">
        <f t="shared" si="9"/>
        <v/>
      </c>
      <c r="AF228" s="8" t="str">
        <f t="shared" si="10"/>
        <v/>
      </c>
      <c r="AG228" s="8" t="str">
        <f>IF(TRIM($E228)&lt;&gt;"Tax Paid","",IF(COUNTIFS(LISTS!$F$2:$F$26,$AE228,LISTS!$G$2:$G$26,$AF228)=0,"NOT ON LIST",""))</f>
        <v/>
      </c>
      <c r="AH228" s="8" t="str">
        <f t="shared" si="11"/>
        <v/>
      </c>
    </row>
    <row r="229" spans="31:34" x14ac:dyDescent="0.25">
      <c r="AE229" s="8" t="str">
        <f t="shared" si="9"/>
        <v/>
      </c>
      <c r="AF229" s="8" t="str">
        <f t="shared" si="10"/>
        <v/>
      </c>
      <c r="AG229" s="8" t="str">
        <f>IF(TRIM($E229)&lt;&gt;"Tax Paid","",IF(COUNTIFS(LISTS!$F$2:$F$26,$AE229,LISTS!$G$2:$G$26,$AF229)=0,"NOT ON LIST",""))</f>
        <v/>
      </c>
      <c r="AH229" s="8" t="str">
        <f t="shared" si="11"/>
        <v/>
      </c>
    </row>
    <row r="230" spans="31:34" x14ac:dyDescent="0.25">
      <c r="AE230" s="8" t="str">
        <f t="shared" si="9"/>
        <v/>
      </c>
      <c r="AF230" s="8" t="str">
        <f t="shared" si="10"/>
        <v/>
      </c>
      <c r="AG230" s="8" t="str">
        <f>IF(TRIM($E230)&lt;&gt;"Tax Paid","",IF(COUNTIFS(LISTS!$F$2:$F$26,$AE230,LISTS!$G$2:$G$26,$AF230)=0,"NOT ON LIST",""))</f>
        <v/>
      </c>
      <c r="AH230" s="8" t="str">
        <f t="shared" si="11"/>
        <v/>
      </c>
    </row>
    <row r="231" spans="31:34" x14ac:dyDescent="0.25">
      <c r="AE231" s="8" t="str">
        <f t="shared" si="9"/>
        <v/>
      </c>
      <c r="AF231" s="8" t="str">
        <f t="shared" si="10"/>
        <v/>
      </c>
      <c r="AG231" s="8" t="str">
        <f>IF(TRIM($E231)&lt;&gt;"Tax Paid","",IF(COUNTIFS(LISTS!$F$2:$F$26,$AE231,LISTS!$G$2:$G$26,$AF231)=0,"NOT ON LIST",""))</f>
        <v/>
      </c>
      <c r="AH231" s="8" t="str">
        <f t="shared" si="11"/>
        <v/>
      </c>
    </row>
    <row r="232" spans="31:34" x14ac:dyDescent="0.25">
      <c r="AE232" s="8" t="str">
        <f t="shared" si="9"/>
        <v/>
      </c>
      <c r="AF232" s="8" t="str">
        <f t="shared" si="10"/>
        <v/>
      </c>
      <c r="AG232" s="8" t="str">
        <f>IF(TRIM($E232)&lt;&gt;"Tax Paid","",IF(COUNTIFS(LISTS!$F$2:$F$26,$AE232,LISTS!$G$2:$G$26,$AF232)=0,"NOT ON LIST",""))</f>
        <v/>
      </c>
      <c r="AH232" s="8" t="str">
        <f t="shared" si="11"/>
        <v/>
      </c>
    </row>
    <row r="233" spans="31:34" x14ac:dyDescent="0.25">
      <c r="AE233" s="8" t="str">
        <f t="shared" si="9"/>
        <v/>
      </c>
      <c r="AF233" s="8" t="str">
        <f t="shared" si="10"/>
        <v/>
      </c>
      <c r="AG233" s="8" t="str">
        <f>IF(TRIM($E233)&lt;&gt;"Tax Paid","",IF(COUNTIFS(LISTS!$F$2:$F$26,$AE233,LISTS!$G$2:$G$26,$AF233)=0,"NOT ON LIST",""))</f>
        <v/>
      </c>
      <c r="AH233" s="8" t="str">
        <f t="shared" si="11"/>
        <v/>
      </c>
    </row>
    <row r="234" spans="31:34" x14ac:dyDescent="0.25">
      <c r="AE234" s="8" t="str">
        <f t="shared" si="9"/>
        <v/>
      </c>
      <c r="AF234" s="8" t="str">
        <f t="shared" si="10"/>
        <v/>
      </c>
      <c r="AG234" s="8" t="str">
        <f>IF(TRIM($E234)&lt;&gt;"Tax Paid","",IF(COUNTIFS(LISTS!$F$2:$F$26,$AE234,LISTS!$G$2:$G$26,$AF234)=0,"NOT ON LIST",""))</f>
        <v/>
      </c>
      <c r="AH234" s="8" t="str">
        <f t="shared" si="11"/>
        <v/>
      </c>
    </row>
    <row r="235" spans="31:34" x14ac:dyDescent="0.25">
      <c r="AE235" s="8" t="str">
        <f t="shared" si="9"/>
        <v/>
      </c>
      <c r="AF235" s="8" t="str">
        <f t="shared" si="10"/>
        <v/>
      </c>
      <c r="AG235" s="8" t="str">
        <f>IF(TRIM($E235)&lt;&gt;"Tax Paid","",IF(COUNTIFS(LISTS!$F$2:$F$26,$AE235,LISTS!$G$2:$G$26,$AF235)=0,"NOT ON LIST",""))</f>
        <v/>
      </c>
      <c r="AH235" s="8" t="str">
        <f t="shared" si="11"/>
        <v/>
      </c>
    </row>
    <row r="236" spans="31:34" x14ac:dyDescent="0.25">
      <c r="AE236" s="8" t="str">
        <f t="shared" si="9"/>
        <v/>
      </c>
      <c r="AF236" s="8" t="str">
        <f t="shared" si="10"/>
        <v/>
      </c>
      <c r="AG236" s="8" t="str">
        <f>IF(TRIM($E236)&lt;&gt;"Tax Paid","",IF(COUNTIFS(LISTS!$F$2:$F$26,$AE236,LISTS!$G$2:$G$26,$AF236)=0,"NOT ON LIST",""))</f>
        <v/>
      </c>
      <c r="AH236" s="8" t="str">
        <f t="shared" si="11"/>
        <v/>
      </c>
    </row>
    <row r="237" spans="31:34" x14ac:dyDescent="0.25">
      <c r="AE237" s="8" t="str">
        <f t="shared" si="9"/>
        <v/>
      </c>
      <c r="AF237" s="8" t="str">
        <f t="shared" si="10"/>
        <v/>
      </c>
      <c r="AG237" s="8" t="str">
        <f>IF(TRIM($E237)&lt;&gt;"Tax Paid","",IF(COUNTIFS(LISTS!$F$2:$F$26,$AE237,LISTS!$G$2:$G$26,$AF237)=0,"NOT ON LIST",""))</f>
        <v/>
      </c>
      <c r="AH237" s="8" t="str">
        <f t="shared" si="11"/>
        <v/>
      </c>
    </row>
    <row r="238" spans="31:34" x14ac:dyDescent="0.25">
      <c r="AE238" s="8" t="str">
        <f t="shared" si="9"/>
        <v/>
      </c>
      <c r="AF238" s="8" t="str">
        <f t="shared" si="10"/>
        <v/>
      </c>
      <c r="AG238" s="8" t="str">
        <f>IF(TRIM($E238)&lt;&gt;"Tax Paid","",IF(COUNTIFS(LISTS!$F$2:$F$26,$AE238,LISTS!$G$2:$G$26,$AF238)=0,"NOT ON LIST",""))</f>
        <v/>
      </c>
      <c r="AH238" s="8" t="str">
        <f t="shared" si="11"/>
        <v/>
      </c>
    </row>
    <row r="239" spans="31:34" x14ac:dyDescent="0.25">
      <c r="AE239" s="8" t="str">
        <f t="shared" si="9"/>
        <v/>
      </c>
      <c r="AF239" s="8" t="str">
        <f t="shared" si="10"/>
        <v/>
      </c>
      <c r="AG239" s="8" t="str">
        <f>IF(TRIM($E239)&lt;&gt;"Tax Paid","",IF(COUNTIFS(LISTS!$F$2:$F$26,$AE239,LISTS!$G$2:$G$26,$AF239)=0,"NOT ON LIST",""))</f>
        <v/>
      </c>
      <c r="AH239" s="8" t="str">
        <f t="shared" si="11"/>
        <v/>
      </c>
    </row>
    <row r="240" spans="31:34" x14ac:dyDescent="0.25">
      <c r="AE240" s="8" t="str">
        <f t="shared" si="9"/>
        <v/>
      </c>
      <c r="AF240" s="8" t="str">
        <f t="shared" si="10"/>
        <v/>
      </c>
      <c r="AG240" s="8" t="str">
        <f>IF(TRIM($E240)&lt;&gt;"Tax Paid","",IF(COUNTIFS(LISTS!$F$2:$F$26,$AE240,LISTS!$G$2:$G$26,$AF240)=0,"NOT ON LIST",""))</f>
        <v/>
      </c>
      <c r="AH240" s="8" t="str">
        <f t="shared" si="11"/>
        <v/>
      </c>
    </row>
    <row r="241" spans="31:34" x14ac:dyDescent="0.25">
      <c r="AE241" s="8" t="str">
        <f t="shared" si="9"/>
        <v/>
      </c>
      <c r="AF241" s="8" t="str">
        <f t="shared" si="10"/>
        <v/>
      </c>
      <c r="AG241" s="8" t="str">
        <f>IF(TRIM($E241)&lt;&gt;"Tax Paid","",IF(COUNTIFS(LISTS!$F$2:$F$26,$AE241,LISTS!$G$2:$G$26,$AF241)=0,"NOT ON LIST",""))</f>
        <v/>
      </c>
      <c r="AH241" s="8" t="str">
        <f t="shared" si="11"/>
        <v/>
      </c>
    </row>
    <row r="242" spans="31:34" x14ac:dyDescent="0.25">
      <c r="AE242" s="8" t="str">
        <f t="shared" si="9"/>
        <v/>
      </c>
      <c r="AF242" s="8" t="str">
        <f t="shared" si="10"/>
        <v/>
      </c>
      <c r="AG242" s="8" t="str">
        <f>IF(TRIM($E242)&lt;&gt;"Tax Paid","",IF(COUNTIFS(LISTS!$F$2:$F$26,$AE242,LISTS!$G$2:$G$26,$AF242)=0,"NOT ON LIST",""))</f>
        <v/>
      </c>
      <c r="AH242" s="8" t="str">
        <f t="shared" si="11"/>
        <v/>
      </c>
    </row>
    <row r="243" spans="31:34" x14ac:dyDescent="0.25">
      <c r="AE243" s="8" t="str">
        <f t="shared" si="9"/>
        <v/>
      </c>
      <c r="AF243" s="8" t="str">
        <f t="shared" si="10"/>
        <v/>
      </c>
      <c r="AG243" s="8" t="str">
        <f>IF(TRIM($E243)&lt;&gt;"Tax Paid","",IF(COUNTIFS(LISTS!$F$2:$F$26,$AE243,LISTS!$G$2:$G$26,$AF243)=0,"NOT ON LIST",""))</f>
        <v/>
      </c>
      <c r="AH243" s="8" t="str">
        <f t="shared" si="11"/>
        <v/>
      </c>
    </row>
    <row r="244" spans="31:34" x14ac:dyDescent="0.25">
      <c r="AE244" s="8" t="str">
        <f t="shared" si="9"/>
        <v/>
      </c>
      <c r="AF244" s="8" t="str">
        <f t="shared" si="10"/>
        <v/>
      </c>
      <c r="AG244" s="8" t="str">
        <f>IF(TRIM($E244)&lt;&gt;"Tax Paid","",IF(COUNTIFS(LISTS!$F$2:$F$26,$AE244,LISTS!$G$2:$G$26,$AF244)=0,"NOT ON LIST",""))</f>
        <v/>
      </c>
      <c r="AH244" s="8" t="str">
        <f t="shared" si="11"/>
        <v/>
      </c>
    </row>
    <row r="245" spans="31:34" x14ac:dyDescent="0.25">
      <c r="AE245" s="8" t="str">
        <f t="shared" si="9"/>
        <v/>
      </c>
      <c r="AF245" s="8" t="str">
        <f t="shared" si="10"/>
        <v/>
      </c>
      <c r="AG245" s="8" t="str">
        <f>IF(TRIM($E245)&lt;&gt;"Tax Paid","",IF(COUNTIFS(LISTS!$F$2:$F$26,$AE245,LISTS!$G$2:$G$26,$AF245)=0,"NOT ON LIST",""))</f>
        <v/>
      </c>
      <c r="AH245" s="8" t="str">
        <f t="shared" si="11"/>
        <v/>
      </c>
    </row>
    <row r="246" spans="31:34" x14ac:dyDescent="0.25">
      <c r="AE246" s="8" t="str">
        <f t="shared" si="9"/>
        <v/>
      </c>
      <c r="AF246" s="8" t="str">
        <f t="shared" si="10"/>
        <v/>
      </c>
      <c r="AG246" s="8" t="str">
        <f>IF(TRIM($E246)&lt;&gt;"Tax Paid","",IF(COUNTIFS(LISTS!$F$2:$F$26,$AE246,LISTS!$G$2:$G$26,$AF246)=0,"NOT ON LIST",""))</f>
        <v/>
      </c>
      <c r="AH246" s="8" t="str">
        <f t="shared" si="11"/>
        <v/>
      </c>
    </row>
    <row r="247" spans="31:34" x14ac:dyDescent="0.25">
      <c r="AE247" s="8" t="str">
        <f t="shared" si="9"/>
        <v/>
      </c>
      <c r="AF247" s="8" t="str">
        <f t="shared" si="10"/>
        <v/>
      </c>
      <c r="AG247" s="8" t="str">
        <f>IF(TRIM($E247)&lt;&gt;"Tax Paid","",IF(COUNTIFS(LISTS!$F$2:$F$26,$AE247,LISTS!$G$2:$G$26,$AF247)=0,"NOT ON LIST",""))</f>
        <v/>
      </c>
      <c r="AH247" s="8" t="str">
        <f t="shared" si="11"/>
        <v/>
      </c>
    </row>
    <row r="248" spans="31:34" x14ac:dyDescent="0.25">
      <c r="AE248" s="8" t="str">
        <f t="shared" si="9"/>
        <v/>
      </c>
      <c r="AF248" s="8" t="str">
        <f t="shared" si="10"/>
        <v/>
      </c>
      <c r="AG248" s="8" t="str">
        <f>IF(TRIM($E248)&lt;&gt;"Tax Paid","",IF(COUNTIFS(LISTS!$F$2:$F$26,$AE248,LISTS!$G$2:$G$26,$AF248)=0,"NOT ON LIST",""))</f>
        <v/>
      </c>
      <c r="AH248" s="8" t="str">
        <f t="shared" si="11"/>
        <v/>
      </c>
    </row>
    <row r="249" spans="31:34" x14ac:dyDescent="0.25">
      <c r="AE249" s="8" t="str">
        <f t="shared" si="9"/>
        <v/>
      </c>
      <c r="AF249" s="8" t="str">
        <f t="shared" si="10"/>
        <v/>
      </c>
      <c r="AG249" s="8" t="str">
        <f>IF(TRIM($E249)&lt;&gt;"Tax Paid","",IF(COUNTIFS(LISTS!$F$2:$F$26,$AE249,LISTS!$G$2:$G$26,$AF249)=0,"NOT ON LIST",""))</f>
        <v/>
      </c>
      <c r="AH249" s="8" t="str">
        <f t="shared" si="11"/>
        <v/>
      </c>
    </row>
    <row r="250" spans="31:34" x14ac:dyDescent="0.25">
      <c r="AE250" s="8" t="str">
        <f t="shared" si="9"/>
        <v/>
      </c>
      <c r="AF250" s="8" t="str">
        <f t="shared" si="10"/>
        <v/>
      </c>
      <c r="AG250" s="8" t="str">
        <f>IF(TRIM($E250)&lt;&gt;"Tax Paid","",IF(COUNTIFS(LISTS!$F$2:$F$26,$AE250,LISTS!$G$2:$G$26,$AF250)=0,"NOT ON LIST",""))</f>
        <v/>
      </c>
      <c r="AH250" s="8" t="str">
        <f t="shared" si="11"/>
        <v/>
      </c>
    </row>
    <row r="251" spans="31:34" x14ac:dyDescent="0.25">
      <c r="AE251" s="8" t="str">
        <f t="shared" si="9"/>
        <v/>
      </c>
      <c r="AF251" s="8" t="str">
        <f t="shared" si="10"/>
        <v/>
      </c>
      <c r="AG251" s="8" t="str">
        <f>IF(TRIM($E251)&lt;&gt;"Tax Paid","",IF(COUNTIFS(LISTS!$F$2:$F$26,$AE251,LISTS!$G$2:$G$26,$AF251)=0,"NOT ON LIST",""))</f>
        <v/>
      </c>
      <c r="AH251" s="8" t="str">
        <f t="shared" si="11"/>
        <v/>
      </c>
    </row>
    <row r="252" spans="31:34" x14ac:dyDescent="0.25">
      <c r="AE252" s="8" t="str">
        <f t="shared" si="9"/>
        <v/>
      </c>
      <c r="AF252" s="8" t="str">
        <f t="shared" si="10"/>
        <v/>
      </c>
      <c r="AG252" s="8" t="str">
        <f>IF(TRIM($E252)&lt;&gt;"Tax Paid","",IF(COUNTIFS(LISTS!$F$2:$F$26,$AE252,LISTS!$G$2:$G$26,$AF252)=0,"NOT ON LIST",""))</f>
        <v/>
      </c>
      <c r="AH252" s="8" t="str">
        <f t="shared" si="11"/>
        <v/>
      </c>
    </row>
    <row r="253" spans="31:34" x14ac:dyDescent="0.25">
      <c r="AE253" s="8" t="str">
        <f t="shared" si="9"/>
        <v/>
      </c>
      <c r="AF253" s="8" t="str">
        <f t="shared" si="10"/>
        <v/>
      </c>
      <c r="AG253" s="8" t="str">
        <f>IF(TRIM($E253)&lt;&gt;"Tax Paid","",IF(COUNTIFS(LISTS!$F$2:$F$26,$AE253,LISTS!$G$2:$G$26,$AF253)=0,"NOT ON LIST",""))</f>
        <v/>
      </c>
      <c r="AH253" s="8" t="str">
        <f t="shared" si="11"/>
        <v/>
      </c>
    </row>
    <row r="254" spans="31:34" x14ac:dyDescent="0.25">
      <c r="AE254" s="8" t="str">
        <f t="shared" si="9"/>
        <v/>
      </c>
      <c r="AF254" s="8" t="str">
        <f t="shared" si="10"/>
        <v/>
      </c>
      <c r="AG254" s="8" t="str">
        <f>IF(TRIM($E254)&lt;&gt;"Tax Paid","",IF(COUNTIFS(LISTS!$F$2:$F$26,$AE254,LISTS!$G$2:$G$26,$AF254)=0,"NOT ON LIST",""))</f>
        <v/>
      </c>
      <c r="AH254" s="8" t="str">
        <f t="shared" si="11"/>
        <v/>
      </c>
    </row>
    <row r="255" spans="31:34" x14ac:dyDescent="0.25">
      <c r="AE255" s="8" t="str">
        <f t="shared" si="9"/>
        <v/>
      </c>
      <c r="AF255" s="8" t="str">
        <f t="shared" si="10"/>
        <v/>
      </c>
      <c r="AG255" s="8" t="str">
        <f>IF(TRIM($E255)&lt;&gt;"Tax Paid","",IF(COUNTIFS(LISTS!$F$2:$F$26,$AE255,LISTS!$G$2:$G$26,$AF255)=0,"NOT ON LIST",""))</f>
        <v/>
      </c>
      <c r="AH255" s="8" t="str">
        <f t="shared" si="11"/>
        <v/>
      </c>
    </row>
    <row r="256" spans="31:34" x14ac:dyDescent="0.25">
      <c r="AE256" s="8" t="str">
        <f t="shared" si="9"/>
        <v/>
      </c>
      <c r="AF256" s="8" t="str">
        <f t="shared" si="10"/>
        <v/>
      </c>
      <c r="AG256" s="8" t="str">
        <f>IF(TRIM($E256)&lt;&gt;"Tax Paid","",IF(COUNTIFS(LISTS!$F$2:$F$26,$AE256,LISTS!$G$2:$G$26,$AF256)=0,"NOT ON LIST",""))</f>
        <v/>
      </c>
      <c r="AH256" s="8" t="str">
        <f t="shared" si="11"/>
        <v/>
      </c>
    </row>
    <row r="257" spans="31:34" x14ac:dyDescent="0.25">
      <c r="AE257" s="8" t="str">
        <f t="shared" si="9"/>
        <v/>
      </c>
      <c r="AF257" s="8" t="str">
        <f t="shared" si="10"/>
        <v/>
      </c>
      <c r="AG257" s="8" t="str">
        <f>IF(TRIM($E257)&lt;&gt;"Tax Paid","",IF(COUNTIFS(LISTS!$F$2:$F$26,$AE257,LISTS!$G$2:$G$26,$AF257)=0,"NOT ON LIST",""))</f>
        <v/>
      </c>
      <c r="AH257" s="8" t="str">
        <f t="shared" si="11"/>
        <v/>
      </c>
    </row>
    <row r="258" spans="31:34" x14ac:dyDescent="0.25">
      <c r="AE258" s="8" t="str">
        <f t="shared" ref="AE258:AE321" si="12">IF(TRIM($E258)="Tax Paid",TRIM($S258),"")</f>
        <v/>
      </c>
      <c r="AF258" s="8" t="str">
        <f t="shared" ref="AF258:AF321" si="13">IF(TRIM($E258)="Tax Paid",ROUND($Z258/100,5),"")</f>
        <v/>
      </c>
      <c r="AG258" s="8" t="str">
        <f>IF(TRIM($E258)&lt;&gt;"Tax Paid","",IF(COUNTIFS(LISTS!$F$2:$F$26,$AE258,LISTS!$G$2:$G$26,$AF258)=0,"NOT ON LIST",""))</f>
        <v/>
      </c>
      <c r="AH258" s="8" t="str">
        <f t="shared" ref="AH258:AH321" si="14">IF($AG258="","",IF($AE258="","(no county)",$AE258)&amp;" ("&amp;SUBSTITUTE(TEXT($AF258,"0.###%"),".%","%")&amp;")")</f>
        <v/>
      </c>
    </row>
    <row r="259" spans="31:34" x14ac:dyDescent="0.25">
      <c r="AE259" s="8" t="str">
        <f t="shared" si="12"/>
        <v/>
      </c>
      <c r="AF259" s="8" t="str">
        <f t="shared" si="13"/>
        <v/>
      </c>
      <c r="AG259" s="8" t="str">
        <f>IF(TRIM($E259)&lt;&gt;"Tax Paid","",IF(COUNTIFS(LISTS!$F$2:$F$26,$AE259,LISTS!$G$2:$G$26,$AF259)=0,"NOT ON LIST",""))</f>
        <v/>
      </c>
      <c r="AH259" s="8" t="str">
        <f t="shared" si="14"/>
        <v/>
      </c>
    </row>
    <row r="260" spans="31:34" x14ac:dyDescent="0.25">
      <c r="AE260" s="8" t="str">
        <f t="shared" si="12"/>
        <v/>
      </c>
      <c r="AF260" s="8" t="str">
        <f t="shared" si="13"/>
        <v/>
      </c>
      <c r="AG260" s="8" t="str">
        <f>IF(TRIM($E260)&lt;&gt;"Tax Paid","",IF(COUNTIFS(LISTS!$F$2:$F$26,$AE260,LISTS!$G$2:$G$26,$AF260)=0,"NOT ON LIST",""))</f>
        <v/>
      </c>
      <c r="AH260" s="8" t="str">
        <f t="shared" si="14"/>
        <v/>
      </c>
    </row>
    <row r="261" spans="31:34" x14ac:dyDescent="0.25">
      <c r="AE261" s="8" t="str">
        <f t="shared" si="12"/>
        <v/>
      </c>
      <c r="AF261" s="8" t="str">
        <f t="shared" si="13"/>
        <v/>
      </c>
      <c r="AG261" s="8" t="str">
        <f>IF(TRIM($E261)&lt;&gt;"Tax Paid","",IF(COUNTIFS(LISTS!$F$2:$F$26,$AE261,LISTS!$G$2:$G$26,$AF261)=0,"NOT ON LIST",""))</f>
        <v/>
      </c>
      <c r="AH261" s="8" t="str">
        <f t="shared" si="14"/>
        <v/>
      </c>
    </row>
    <row r="262" spans="31:34" x14ac:dyDescent="0.25">
      <c r="AE262" s="8" t="str">
        <f t="shared" si="12"/>
        <v/>
      </c>
      <c r="AF262" s="8" t="str">
        <f t="shared" si="13"/>
        <v/>
      </c>
      <c r="AG262" s="8" t="str">
        <f>IF(TRIM($E262)&lt;&gt;"Tax Paid","",IF(COUNTIFS(LISTS!$F$2:$F$26,$AE262,LISTS!$G$2:$G$26,$AF262)=0,"NOT ON LIST",""))</f>
        <v/>
      </c>
      <c r="AH262" s="8" t="str">
        <f t="shared" si="14"/>
        <v/>
      </c>
    </row>
    <row r="263" spans="31:34" x14ac:dyDescent="0.25">
      <c r="AE263" s="8" t="str">
        <f t="shared" si="12"/>
        <v/>
      </c>
      <c r="AF263" s="8" t="str">
        <f t="shared" si="13"/>
        <v/>
      </c>
      <c r="AG263" s="8" t="str">
        <f>IF(TRIM($E263)&lt;&gt;"Tax Paid","",IF(COUNTIFS(LISTS!$F$2:$F$26,$AE263,LISTS!$G$2:$G$26,$AF263)=0,"NOT ON LIST",""))</f>
        <v/>
      </c>
      <c r="AH263" s="8" t="str">
        <f t="shared" si="14"/>
        <v/>
      </c>
    </row>
    <row r="264" spans="31:34" x14ac:dyDescent="0.25">
      <c r="AE264" s="8" t="str">
        <f t="shared" si="12"/>
        <v/>
      </c>
      <c r="AF264" s="8" t="str">
        <f t="shared" si="13"/>
        <v/>
      </c>
      <c r="AG264" s="8" t="str">
        <f>IF(TRIM($E264)&lt;&gt;"Tax Paid","",IF(COUNTIFS(LISTS!$F$2:$F$26,$AE264,LISTS!$G$2:$G$26,$AF264)=0,"NOT ON LIST",""))</f>
        <v/>
      </c>
      <c r="AH264" s="8" t="str">
        <f t="shared" si="14"/>
        <v/>
      </c>
    </row>
    <row r="265" spans="31:34" x14ac:dyDescent="0.25">
      <c r="AE265" s="8" t="str">
        <f t="shared" si="12"/>
        <v/>
      </c>
      <c r="AF265" s="8" t="str">
        <f t="shared" si="13"/>
        <v/>
      </c>
      <c r="AG265" s="8" t="str">
        <f>IF(TRIM($E265)&lt;&gt;"Tax Paid","",IF(COUNTIFS(LISTS!$F$2:$F$26,$AE265,LISTS!$G$2:$G$26,$AF265)=0,"NOT ON LIST",""))</f>
        <v/>
      </c>
      <c r="AH265" s="8" t="str">
        <f t="shared" si="14"/>
        <v/>
      </c>
    </row>
    <row r="266" spans="31:34" x14ac:dyDescent="0.25">
      <c r="AE266" s="8" t="str">
        <f t="shared" si="12"/>
        <v/>
      </c>
      <c r="AF266" s="8" t="str">
        <f t="shared" si="13"/>
        <v/>
      </c>
      <c r="AG266" s="8" t="str">
        <f>IF(TRIM($E266)&lt;&gt;"Tax Paid","",IF(COUNTIFS(LISTS!$F$2:$F$26,$AE266,LISTS!$G$2:$G$26,$AF266)=0,"NOT ON LIST",""))</f>
        <v/>
      </c>
      <c r="AH266" s="8" t="str">
        <f t="shared" si="14"/>
        <v/>
      </c>
    </row>
    <row r="267" spans="31:34" x14ac:dyDescent="0.25">
      <c r="AE267" s="8" t="str">
        <f t="shared" si="12"/>
        <v/>
      </c>
      <c r="AF267" s="8" t="str">
        <f t="shared" si="13"/>
        <v/>
      </c>
      <c r="AG267" s="8" t="str">
        <f>IF(TRIM($E267)&lt;&gt;"Tax Paid","",IF(COUNTIFS(LISTS!$F$2:$F$26,$AE267,LISTS!$G$2:$G$26,$AF267)=0,"NOT ON LIST",""))</f>
        <v/>
      </c>
      <c r="AH267" s="8" t="str">
        <f t="shared" si="14"/>
        <v/>
      </c>
    </row>
    <row r="268" spans="31:34" x14ac:dyDescent="0.25">
      <c r="AE268" s="8" t="str">
        <f t="shared" si="12"/>
        <v/>
      </c>
      <c r="AF268" s="8" t="str">
        <f t="shared" si="13"/>
        <v/>
      </c>
      <c r="AG268" s="8" t="str">
        <f>IF(TRIM($E268)&lt;&gt;"Tax Paid","",IF(COUNTIFS(LISTS!$F$2:$F$26,$AE268,LISTS!$G$2:$G$26,$AF268)=0,"NOT ON LIST",""))</f>
        <v/>
      </c>
      <c r="AH268" s="8" t="str">
        <f t="shared" si="14"/>
        <v/>
      </c>
    </row>
    <row r="269" spans="31:34" x14ac:dyDescent="0.25">
      <c r="AE269" s="8" t="str">
        <f t="shared" si="12"/>
        <v/>
      </c>
      <c r="AF269" s="8" t="str">
        <f t="shared" si="13"/>
        <v/>
      </c>
      <c r="AG269" s="8" t="str">
        <f>IF(TRIM($E269)&lt;&gt;"Tax Paid","",IF(COUNTIFS(LISTS!$F$2:$F$26,$AE269,LISTS!$G$2:$G$26,$AF269)=0,"NOT ON LIST",""))</f>
        <v/>
      </c>
      <c r="AH269" s="8" t="str">
        <f t="shared" si="14"/>
        <v/>
      </c>
    </row>
    <row r="270" spans="31:34" x14ac:dyDescent="0.25">
      <c r="AE270" s="8" t="str">
        <f t="shared" si="12"/>
        <v/>
      </c>
      <c r="AF270" s="8" t="str">
        <f t="shared" si="13"/>
        <v/>
      </c>
      <c r="AG270" s="8" t="str">
        <f>IF(TRIM($E270)&lt;&gt;"Tax Paid","",IF(COUNTIFS(LISTS!$F$2:$F$26,$AE270,LISTS!$G$2:$G$26,$AF270)=0,"NOT ON LIST",""))</f>
        <v/>
      </c>
      <c r="AH270" s="8" t="str">
        <f t="shared" si="14"/>
        <v/>
      </c>
    </row>
    <row r="271" spans="31:34" x14ac:dyDescent="0.25">
      <c r="AE271" s="8" t="str">
        <f t="shared" si="12"/>
        <v/>
      </c>
      <c r="AF271" s="8" t="str">
        <f t="shared" si="13"/>
        <v/>
      </c>
      <c r="AG271" s="8" t="str">
        <f>IF(TRIM($E271)&lt;&gt;"Tax Paid","",IF(COUNTIFS(LISTS!$F$2:$F$26,$AE271,LISTS!$G$2:$G$26,$AF271)=0,"NOT ON LIST",""))</f>
        <v/>
      </c>
      <c r="AH271" s="8" t="str">
        <f t="shared" si="14"/>
        <v/>
      </c>
    </row>
    <row r="272" spans="31:34" x14ac:dyDescent="0.25">
      <c r="AE272" s="8" t="str">
        <f t="shared" si="12"/>
        <v/>
      </c>
      <c r="AF272" s="8" t="str">
        <f t="shared" si="13"/>
        <v/>
      </c>
      <c r="AG272" s="8" t="str">
        <f>IF(TRIM($E272)&lt;&gt;"Tax Paid","",IF(COUNTIFS(LISTS!$F$2:$F$26,$AE272,LISTS!$G$2:$G$26,$AF272)=0,"NOT ON LIST",""))</f>
        <v/>
      </c>
      <c r="AH272" s="8" t="str">
        <f t="shared" si="14"/>
        <v/>
      </c>
    </row>
    <row r="273" spans="31:34" x14ac:dyDescent="0.25">
      <c r="AE273" s="8" t="str">
        <f t="shared" si="12"/>
        <v/>
      </c>
      <c r="AF273" s="8" t="str">
        <f t="shared" si="13"/>
        <v/>
      </c>
      <c r="AG273" s="8" t="str">
        <f>IF(TRIM($E273)&lt;&gt;"Tax Paid","",IF(COUNTIFS(LISTS!$F$2:$F$26,$AE273,LISTS!$G$2:$G$26,$AF273)=0,"NOT ON LIST",""))</f>
        <v/>
      </c>
      <c r="AH273" s="8" t="str">
        <f t="shared" si="14"/>
        <v/>
      </c>
    </row>
    <row r="274" spans="31:34" x14ac:dyDescent="0.25">
      <c r="AE274" s="8" t="str">
        <f t="shared" si="12"/>
        <v/>
      </c>
      <c r="AF274" s="8" t="str">
        <f t="shared" si="13"/>
        <v/>
      </c>
      <c r="AG274" s="8" t="str">
        <f>IF(TRIM($E274)&lt;&gt;"Tax Paid","",IF(COUNTIFS(LISTS!$F$2:$F$26,$AE274,LISTS!$G$2:$G$26,$AF274)=0,"NOT ON LIST",""))</f>
        <v/>
      </c>
      <c r="AH274" s="8" t="str">
        <f t="shared" si="14"/>
        <v/>
      </c>
    </row>
    <row r="275" spans="31:34" x14ac:dyDescent="0.25">
      <c r="AE275" s="8" t="str">
        <f t="shared" si="12"/>
        <v/>
      </c>
      <c r="AF275" s="8" t="str">
        <f t="shared" si="13"/>
        <v/>
      </c>
      <c r="AG275" s="8" t="str">
        <f>IF(TRIM($E275)&lt;&gt;"Tax Paid","",IF(COUNTIFS(LISTS!$F$2:$F$26,$AE275,LISTS!$G$2:$G$26,$AF275)=0,"NOT ON LIST",""))</f>
        <v/>
      </c>
      <c r="AH275" s="8" t="str">
        <f t="shared" si="14"/>
        <v/>
      </c>
    </row>
    <row r="276" spans="31:34" x14ac:dyDescent="0.25">
      <c r="AE276" s="8" t="str">
        <f t="shared" si="12"/>
        <v/>
      </c>
      <c r="AF276" s="8" t="str">
        <f t="shared" si="13"/>
        <v/>
      </c>
      <c r="AG276" s="8" t="str">
        <f>IF(TRIM($E276)&lt;&gt;"Tax Paid","",IF(COUNTIFS(LISTS!$F$2:$F$26,$AE276,LISTS!$G$2:$G$26,$AF276)=0,"NOT ON LIST",""))</f>
        <v/>
      </c>
      <c r="AH276" s="8" t="str">
        <f t="shared" si="14"/>
        <v/>
      </c>
    </row>
    <row r="277" spans="31:34" x14ac:dyDescent="0.25">
      <c r="AE277" s="8" t="str">
        <f t="shared" si="12"/>
        <v/>
      </c>
      <c r="AF277" s="8" t="str">
        <f t="shared" si="13"/>
        <v/>
      </c>
      <c r="AG277" s="8" t="str">
        <f>IF(TRIM($E277)&lt;&gt;"Tax Paid","",IF(COUNTIFS(LISTS!$F$2:$F$26,$AE277,LISTS!$G$2:$G$26,$AF277)=0,"NOT ON LIST",""))</f>
        <v/>
      </c>
      <c r="AH277" s="8" t="str">
        <f t="shared" si="14"/>
        <v/>
      </c>
    </row>
    <row r="278" spans="31:34" x14ac:dyDescent="0.25">
      <c r="AE278" s="8" t="str">
        <f t="shared" si="12"/>
        <v/>
      </c>
      <c r="AF278" s="8" t="str">
        <f t="shared" si="13"/>
        <v/>
      </c>
      <c r="AG278" s="8" t="str">
        <f>IF(TRIM($E278)&lt;&gt;"Tax Paid","",IF(COUNTIFS(LISTS!$F$2:$F$26,$AE278,LISTS!$G$2:$G$26,$AF278)=0,"NOT ON LIST",""))</f>
        <v/>
      </c>
      <c r="AH278" s="8" t="str">
        <f t="shared" si="14"/>
        <v/>
      </c>
    </row>
    <row r="279" spans="31:34" x14ac:dyDescent="0.25">
      <c r="AE279" s="8" t="str">
        <f t="shared" si="12"/>
        <v/>
      </c>
      <c r="AF279" s="8" t="str">
        <f t="shared" si="13"/>
        <v/>
      </c>
      <c r="AG279" s="8" t="str">
        <f>IF(TRIM($E279)&lt;&gt;"Tax Paid","",IF(COUNTIFS(LISTS!$F$2:$F$26,$AE279,LISTS!$G$2:$G$26,$AF279)=0,"NOT ON LIST",""))</f>
        <v/>
      </c>
      <c r="AH279" s="8" t="str">
        <f t="shared" si="14"/>
        <v/>
      </c>
    </row>
    <row r="280" spans="31:34" x14ac:dyDescent="0.25">
      <c r="AE280" s="8" t="str">
        <f t="shared" si="12"/>
        <v/>
      </c>
      <c r="AF280" s="8" t="str">
        <f t="shared" si="13"/>
        <v/>
      </c>
      <c r="AG280" s="8" t="str">
        <f>IF(TRIM($E280)&lt;&gt;"Tax Paid","",IF(COUNTIFS(LISTS!$F$2:$F$26,$AE280,LISTS!$G$2:$G$26,$AF280)=0,"NOT ON LIST",""))</f>
        <v/>
      </c>
      <c r="AH280" s="8" t="str">
        <f t="shared" si="14"/>
        <v/>
      </c>
    </row>
    <row r="281" spans="31:34" x14ac:dyDescent="0.25">
      <c r="AE281" s="8" t="str">
        <f t="shared" si="12"/>
        <v/>
      </c>
      <c r="AF281" s="8" t="str">
        <f t="shared" si="13"/>
        <v/>
      </c>
      <c r="AG281" s="8" t="str">
        <f>IF(TRIM($E281)&lt;&gt;"Tax Paid","",IF(COUNTIFS(LISTS!$F$2:$F$26,$AE281,LISTS!$G$2:$G$26,$AF281)=0,"NOT ON LIST",""))</f>
        <v/>
      </c>
      <c r="AH281" s="8" t="str">
        <f t="shared" si="14"/>
        <v/>
      </c>
    </row>
    <row r="282" spans="31:34" x14ac:dyDescent="0.25">
      <c r="AE282" s="8" t="str">
        <f t="shared" si="12"/>
        <v/>
      </c>
      <c r="AF282" s="8" t="str">
        <f t="shared" si="13"/>
        <v/>
      </c>
      <c r="AG282" s="8" t="str">
        <f>IF(TRIM($E282)&lt;&gt;"Tax Paid","",IF(COUNTIFS(LISTS!$F$2:$F$26,$AE282,LISTS!$G$2:$G$26,$AF282)=0,"NOT ON LIST",""))</f>
        <v/>
      </c>
      <c r="AH282" s="8" t="str">
        <f t="shared" si="14"/>
        <v/>
      </c>
    </row>
    <row r="283" spans="31:34" x14ac:dyDescent="0.25">
      <c r="AE283" s="8" t="str">
        <f t="shared" si="12"/>
        <v/>
      </c>
      <c r="AF283" s="8" t="str">
        <f t="shared" si="13"/>
        <v/>
      </c>
      <c r="AG283" s="8" t="str">
        <f>IF(TRIM($E283)&lt;&gt;"Tax Paid","",IF(COUNTIFS(LISTS!$F$2:$F$26,$AE283,LISTS!$G$2:$G$26,$AF283)=0,"NOT ON LIST",""))</f>
        <v/>
      </c>
      <c r="AH283" s="8" t="str">
        <f t="shared" si="14"/>
        <v/>
      </c>
    </row>
    <row r="284" spans="31:34" x14ac:dyDescent="0.25">
      <c r="AE284" s="8" t="str">
        <f t="shared" si="12"/>
        <v/>
      </c>
      <c r="AF284" s="8" t="str">
        <f t="shared" si="13"/>
        <v/>
      </c>
      <c r="AG284" s="8" t="str">
        <f>IF(TRIM($E284)&lt;&gt;"Tax Paid","",IF(COUNTIFS(LISTS!$F$2:$F$26,$AE284,LISTS!$G$2:$G$26,$AF284)=0,"NOT ON LIST",""))</f>
        <v/>
      </c>
      <c r="AH284" s="8" t="str">
        <f t="shared" si="14"/>
        <v/>
      </c>
    </row>
    <row r="285" spans="31:34" x14ac:dyDescent="0.25">
      <c r="AE285" s="8" t="str">
        <f t="shared" si="12"/>
        <v/>
      </c>
      <c r="AF285" s="8" t="str">
        <f t="shared" si="13"/>
        <v/>
      </c>
      <c r="AG285" s="8" t="str">
        <f>IF(TRIM($E285)&lt;&gt;"Tax Paid","",IF(COUNTIFS(LISTS!$F$2:$F$26,$AE285,LISTS!$G$2:$G$26,$AF285)=0,"NOT ON LIST",""))</f>
        <v/>
      </c>
      <c r="AH285" s="8" t="str">
        <f t="shared" si="14"/>
        <v/>
      </c>
    </row>
    <row r="286" spans="31:34" x14ac:dyDescent="0.25">
      <c r="AE286" s="8" t="str">
        <f t="shared" si="12"/>
        <v/>
      </c>
      <c r="AF286" s="8" t="str">
        <f t="shared" si="13"/>
        <v/>
      </c>
      <c r="AG286" s="8" t="str">
        <f>IF(TRIM($E286)&lt;&gt;"Tax Paid","",IF(COUNTIFS(LISTS!$F$2:$F$26,$AE286,LISTS!$G$2:$G$26,$AF286)=0,"NOT ON LIST",""))</f>
        <v/>
      </c>
      <c r="AH286" s="8" t="str">
        <f t="shared" si="14"/>
        <v/>
      </c>
    </row>
    <row r="287" spans="31:34" x14ac:dyDescent="0.25">
      <c r="AE287" s="8" t="str">
        <f t="shared" si="12"/>
        <v/>
      </c>
      <c r="AF287" s="8" t="str">
        <f t="shared" si="13"/>
        <v/>
      </c>
      <c r="AG287" s="8" t="str">
        <f>IF(TRIM($E287)&lt;&gt;"Tax Paid","",IF(COUNTIFS(LISTS!$F$2:$F$26,$AE287,LISTS!$G$2:$G$26,$AF287)=0,"NOT ON LIST",""))</f>
        <v/>
      </c>
      <c r="AH287" s="8" t="str">
        <f t="shared" si="14"/>
        <v/>
      </c>
    </row>
    <row r="288" spans="31:34" x14ac:dyDescent="0.25">
      <c r="AE288" s="8" t="str">
        <f t="shared" si="12"/>
        <v/>
      </c>
      <c r="AF288" s="8" t="str">
        <f t="shared" si="13"/>
        <v/>
      </c>
      <c r="AG288" s="8" t="str">
        <f>IF(TRIM($E288)&lt;&gt;"Tax Paid","",IF(COUNTIFS(LISTS!$F$2:$F$26,$AE288,LISTS!$G$2:$G$26,$AF288)=0,"NOT ON LIST",""))</f>
        <v/>
      </c>
      <c r="AH288" s="8" t="str">
        <f t="shared" si="14"/>
        <v/>
      </c>
    </row>
    <row r="289" spans="31:34" x14ac:dyDescent="0.25">
      <c r="AE289" s="8" t="str">
        <f t="shared" si="12"/>
        <v/>
      </c>
      <c r="AF289" s="8" t="str">
        <f t="shared" si="13"/>
        <v/>
      </c>
      <c r="AG289" s="8" t="str">
        <f>IF(TRIM($E289)&lt;&gt;"Tax Paid","",IF(COUNTIFS(LISTS!$F$2:$F$26,$AE289,LISTS!$G$2:$G$26,$AF289)=0,"NOT ON LIST",""))</f>
        <v/>
      </c>
      <c r="AH289" s="8" t="str">
        <f t="shared" si="14"/>
        <v/>
      </c>
    </row>
    <row r="290" spans="31:34" x14ac:dyDescent="0.25">
      <c r="AE290" s="8" t="str">
        <f t="shared" si="12"/>
        <v/>
      </c>
      <c r="AF290" s="8" t="str">
        <f t="shared" si="13"/>
        <v/>
      </c>
      <c r="AG290" s="8" t="str">
        <f>IF(TRIM($E290)&lt;&gt;"Tax Paid","",IF(COUNTIFS(LISTS!$F$2:$F$26,$AE290,LISTS!$G$2:$G$26,$AF290)=0,"NOT ON LIST",""))</f>
        <v/>
      </c>
      <c r="AH290" s="8" t="str">
        <f t="shared" si="14"/>
        <v/>
      </c>
    </row>
    <row r="291" spans="31:34" x14ac:dyDescent="0.25">
      <c r="AE291" s="8" t="str">
        <f t="shared" si="12"/>
        <v/>
      </c>
      <c r="AF291" s="8" t="str">
        <f t="shared" si="13"/>
        <v/>
      </c>
      <c r="AG291" s="8" t="str">
        <f>IF(TRIM($E291)&lt;&gt;"Tax Paid","",IF(COUNTIFS(LISTS!$F$2:$F$26,$AE291,LISTS!$G$2:$G$26,$AF291)=0,"NOT ON LIST",""))</f>
        <v/>
      </c>
      <c r="AH291" s="8" t="str">
        <f t="shared" si="14"/>
        <v/>
      </c>
    </row>
    <row r="292" spans="31:34" x14ac:dyDescent="0.25">
      <c r="AE292" s="8" t="str">
        <f t="shared" si="12"/>
        <v/>
      </c>
      <c r="AF292" s="8" t="str">
        <f t="shared" si="13"/>
        <v/>
      </c>
      <c r="AG292" s="8" t="str">
        <f>IF(TRIM($E292)&lt;&gt;"Tax Paid","",IF(COUNTIFS(LISTS!$F$2:$F$26,$AE292,LISTS!$G$2:$G$26,$AF292)=0,"NOT ON LIST",""))</f>
        <v/>
      </c>
      <c r="AH292" s="8" t="str">
        <f t="shared" si="14"/>
        <v/>
      </c>
    </row>
    <row r="293" spans="31:34" x14ac:dyDescent="0.25">
      <c r="AE293" s="8" t="str">
        <f t="shared" si="12"/>
        <v/>
      </c>
      <c r="AF293" s="8" t="str">
        <f t="shared" si="13"/>
        <v/>
      </c>
      <c r="AG293" s="8" t="str">
        <f>IF(TRIM($E293)&lt;&gt;"Tax Paid","",IF(COUNTIFS(LISTS!$F$2:$F$26,$AE293,LISTS!$G$2:$G$26,$AF293)=0,"NOT ON LIST",""))</f>
        <v/>
      </c>
      <c r="AH293" s="8" t="str">
        <f t="shared" si="14"/>
        <v/>
      </c>
    </row>
    <row r="294" spans="31:34" x14ac:dyDescent="0.25">
      <c r="AE294" s="8" t="str">
        <f t="shared" si="12"/>
        <v/>
      </c>
      <c r="AF294" s="8" t="str">
        <f t="shared" si="13"/>
        <v/>
      </c>
      <c r="AG294" s="8" t="str">
        <f>IF(TRIM($E294)&lt;&gt;"Tax Paid","",IF(COUNTIFS(LISTS!$F$2:$F$26,$AE294,LISTS!$G$2:$G$26,$AF294)=0,"NOT ON LIST",""))</f>
        <v/>
      </c>
      <c r="AH294" s="8" t="str">
        <f t="shared" si="14"/>
        <v/>
      </c>
    </row>
    <row r="295" spans="31:34" x14ac:dyDescent="0.25">
      <c r="AE295" s="8" t="str">
        <f t="shared" si="12"/>
        <v/>
      </c>
      <c r="AF295" s="8" t="str">
        <f t="shared" si="13"/>
        <v/>
      </c>
      <c r="AG295" s="8" t="str">
        <f>IF(TRIM($E295)&lt;&gt;"Tax Paid","",IF(COUNTIFS(LISTS!$F$2:$F$26,$AE295,LISTS!$G$2:$G$26,$AF295)=0,"NOT ON LIST",""))</f>
        <v/>
      </c>
      <c r="AH295" s="8" t="str">
        <f t="shared" si="14"/>
        <v/>
      </c>
    </row>
    <row r="296" spans="31:34" x14ac:dyDescent="0.25">
      <c r="AE296" s="8" t="str">
        <f t="shared" si="12"/>
        <v/>
      </c>
      <c r="AF296" s="8" t="str">
        <f t="shared" si="13"/>
        <v/>
      </c>
      <c r="AG296" s="8" t="str">
        <f>IF(TRIM($E296)&lt;&gt;"Tax Paid","",IF(COUNTIFS(LISTS!$F$2:$F$26,$AE296,LISTS!$G$2:$G$26,$AF296)=0,"NOT ON LIST",""))</f>
        <v/>
      </c>
      <c r="AH296" s="8" t="str">
        <f t="shared" si="14"/>
        <v/>
      </c>
    </row>
    <row r="297" spans="31:34" x14ac:dyDescent="0.25">
      <c r="AE297" s="8" t="str">
        <f t="shared" si="12"/>
        <v/>
      </c>
      <c r="AF297" s="8" t="str">
        <f t="shared" si="13"/>
        <v/>
      </c>
      <c r="AG297" s="8" t="str">
        <f>IF(TRIM($E297)&lt;&gt;"Tax Paid","",IF(COUNTIFS(LISTS!$F$2:$F$26,$AE297,LISTS!$G$2:$G$26,$AF297)=0,"NOT ON LIST",""))</f>
        <v/>
      </c>
      <c r="AH297" s="8" t="str">
        <f t="shared" si="14"/>
        <v/>
      </c>
    </row>
    <row r="298" spans="31:34" x14ac:dyDescent="0.25">
      <c r="AE298" s="8" t="str">
        <f t="shared" si="12"/>
        <v/>
      </c>
      <c r="AF298" s="8" t="str">
        <f t="shared" si="13"/>
        <v/>
      </c>
      <c r="AG298" s="8" t="str">
        <f>IF(TRIM($E298)&lt;&gt;"Tax Paid","",IF(COUNTIFS(LISTS!$F$2:$F$26,$AE298,LISTS!$G$2:$G$26,$AF298)=0,"NOT ON LIST",""))</f>
        <v/>
      </c>
      <c r="AH298" s="8" t="str">
        <f t="shared" si="14"/>
        <v/>
      </c>
    </row>
    <row r="299" spans="31:34" x14ac:dyDescent="0.25">
      <c r="AE299" s="8" t="str">
        <f t="shared" si="12"/>
        <v/>
      </c>
      <c r="AF299" s="8" t="str">
        <f t="shared" si="13"/>
        <v/>
      </c>
      <c r="AG299" s="8" t="str">
        <f>IF(TRIM($E299)&lt;&gt;"Tax Paid","",IF(COUNTIFS(LISTS!$F$2:$F$26,$AE299,LISTS!$G$2:$G$26,$AF299)=0,"NOT ON LIST",""))</f>
        <v/>
      </c>
      <c r="AH299" s="8" t="str">
        <f t="shared" si="14"/>
        <v/>
      </c>
    </row>
    <row r="300" spans="31:34" x14ac:dyDescent="0.25">
      <c r="AE300" s="8" t="str">
        <f t="shared" si="12"/>
        <v/>
      </c>
      <c r="AF300" s="8" t="str">
        <f t="shared" si="13"/>
        <v/>
      </c>
      <c r="AG300" s="8" t="str">
        <f>IF(TRIM($E300)&lt;&gt;"Tax Paid","",IF(COUNTIFS(LISTS!$F$2:$F$26,$AE300,LISTS!$G$2:$G$26,$AF300)=0,"NOT ON LIST",""))</f>
        <v/>
      </c>
      <c r="AH300" s="8" t="str">
        <f t="shared" si="14"/>
        <v/>
      </c>
    </row>
    <row r="301" spans="31:34" x14ac:dyDescent="0.25">
      <c r="AE301" s="8" t="str">
        <f t="shared" si="12"/>
        <v/>
      </c>
      <c r="AF301" s="8" t="str">
        <f t="shared" si="13"/>
        <v/>
      </c>
      <c r="AG301" s="8" t="str">
        <f>IF(TRIM($E301)&lt;&gt;"Tax Paid","",IF(COUNTIFS(LISTS!$F$2:$F$26,$AE301,LISTS!$G$2:$G$26,$AF301)=0,"NOT ON LIST",""))</f>
        <v/>
      </c>
      <c r="AH301" s="8" t="str">
        <f t="shared" si="14"/>
        <v/>
      </c>
    </row>
    <row r="302" spans="31:34" x14ac:dyDescent="0.25">
      <c r="AE302" s="8" t="str">
        <f t="shared" si="12"/>
        <v/>
      </c>
      <c r="AF302" s="8" t="str">
        <f t="shared" si="13"/>
        <v/>
      </c>
      <c r="AG302" s="8" t="str">
        <f>IF(TRIM($E302)&lt;&gt;"Tax Paid","",IF(COUNTIFS(LISTS!$F$2:$F$26,$AE302,LISTS!$G$2:$G$26,$AF302)=0,"NOT ON LIST",""))</f>
        <v/>
      </c>
      <c r="AH302" s="8" t="str">
        <f t="shared" si="14"/>
        <v/>
      </c>
    </row>
    <row r="303" spans="31:34" x14ac:dyDescent="0.25">
      <c r="AE303" s="8" t="str">
        <f t="shared" si="12"/>
        <v/>
      </c>
      <c r="AF303" s="8" t="str">
        <f t="shared" si="13"/>
        <v/>
      </c>
      <c r="AG303" s="8" t="str">
        <f>IF(TRIM($E303)&lt;&gt;"Tax Paid","",IF(COUNTIFS(LISTS!$F$2:$F$26,$AE303,LISTS!$G$2:$G$26,$AF303)=0,"NOT ON LIST",""))</f>
        <v/>
      </c>
      <c r="AH303" s="8" t="str">
        <f t="shared" si="14"/>
        <v/>
      </c>
    </row>
    <row r="304" spans="31:34" x14ac:dyDescent="0.25">
      <c r="AE304" s="8" t="str">
        <f t="shared" si="12"/>
        <v/>
      </c>
      <c r="AF304" s="8" t="str">
        <f t="shared" si="13"/>
        <v/>
      </c>
      <c r="AG304" s="8" t="str">
        <f>IF(TRIM($E304)&lt;&gt;"Tax Paid","",IF(COUNTIFS(LISTS!$F$2:$F$26,$AE304,LISTS!$G$2:$G$26,$AF304)=0,"NOT ON LIST",""))</f>
        <v/>
      </c>
      <c r="AH304" s="8" t="str">
        <f t="shared" si="14"/>
        <v/>
      </c>
    </row>
    <row r="305" spans="31:34" x14ac:dyDescent="0.25">
      <c r="AE305" s="8" t="str">
        <f t="shared" si="12"/>
        <v/>
      </c>
      <c r="AF305" s="8" t="str">
        <f t="shared" si="13"/>
        <v/>
      </c>
      <c r="AG305" s="8" t="str">
        <f>IF(TRIM($E305)&lt;&gt;"Tax Paid","",IF(COUNTIFS(LISTS!$F$2:$F$26,$AE305,LISTS!$G$2:$G$26,$AF305)=0,"NOT ON LIST",""))</f>
        <v/>
      </c>
      <c r="AH305" s="8" t="str">
        <f t="shared" si="14"/>
        <v/>
      </c>
    </row>
    <row r="306" spans="31:34" x14ac:dyDescent="0.25">
      <c r="AE306" s="8" t="str">
        <f t="shared" si="12"/>
        <v/>
      </c>
      <c r="AF306" s="8" t="str">
        <f t="shared" si="13"/>
        <v/>
      </c>
      <c r="AG306" s="8" t="str">
        <f>IF(TRIM($E306)&lt;&gt;"Tax Paid","",IF(COUNTIFS(LISTS!$F$2:$F$26,$AE306,LISTS!$G$2:$G$26,$AF306)=0,"NOT ON LIST",""))</f>
        <v/>
      </c>
      <c r="AH306" s="8" t="str">
        <f t="shared" si="14"/>
        <v/>
      </c>
    </row>
    <row r="307" spans="31:34" x14ac:dyDescent="0.25">
      <c r="AE307" s="8" t="str">
        <f t="shared" si="12"/>
        <v/>
      </c>
      <c r="AF307" s="8" t="str">
        <f t="shared" si="13"/>
        <v/>
      </c>
      <c r="AG307" s="8" t="str">
        <f>IF(TRIM($E307)&lt;&gt;"Tax Paid","",IF(COUNTIFS(LISTS!$F$2:$F$26,$AE307,LISTS!$G$2:$G$26,$AF307)=0,"NOT ON LIST",""))</f>
        <v/>
      </c>
      <c r="AH307" s="8" t="str">
        <f t="shared" si="14"/>
        <v/>
      </c>
    </row>
    <row r="308" spans="31:34" x14ac:dyDescent="0.25">
      <c r="AE308" s="8" t="str">
        <f t="shared" si="12"/>
        <v/>
      </c>
      <c r="AF308" s="8" t="str">
        <f t="shared" si="13"/>
        <v/>
      </c>
      <c r="AG308" s="8" t="str">
        <f>IF(TRIM($E308)&lt;&gt;"Tax Paid","",IF(COUNTIFS(LISTS!$F$2:$F$26,$AE308,LISTS!$G$2:$G$26,$AF308)=0,"NOT ON LIST",""))</f>
        <v/>
      </c>
      <c r="AH308" s="8" t="str">
        <f t="shared" si="14"/>
        <v/>
      </c>
    </row>
    <row r="309" spans="31:34" x14ac:dyDescent="0.25">
      <c r="AE309" s="8" t="str">
        <f t="shared" si="12"/>
        <v/>
      </c>
      <c r="AF309" s="8" t="str">
        <f t="shared" si="13"/>
        <v/>
      </c>
      <c r="AG309" s="8" t="str">
        <f>IF(TRIM($E309)&lt;&gt;"Tax Paid","",IF(COUNTIFS(LISTS!$F$2:$F$26,$AE309,LISTS!$G$2:$G$26,$AF309)=0,"NOT ON LIST",""))</f>
        <v/>
      </c>
      <c r="AH309" s="8" t="str">
        <f t="shared" si="14"/>
        <v/>
      </c>
    </row>
    <row r="310" spans="31:34" x14ac:dyDescent="0.25">
      <c r="AE310" s="8" t="str">
        <f t="shared" si="12"/>
        <v/>
      </c>
      <c r="AF310" s="8" t="str">
        <f t="shared" si="13"/>
        <v/>
      </c>
      <c r="AG310" s="8" t="str">
        <f>IF(TRIM($E310)&lt;&gt;"Tax Paid","",IF(COUNTIFS(LISTS!$F$2:$F$26,$AE310,LISTS!$G$2:$G$26,$AF310)=0,"NOT ON LIST",""))</f>
        <v/>
      </c>
      <c r="AH310" s="8" t="str">
        <f t="shared" si="14"/>
        <v/>
      </c>
    </row>
    <row r="311" spans="31:34" x14ac:dyDescent="0.25">
      <c r="AE311" s="8" t="str">
        <f t="shared" si="12"/>
        <v/>
      </c>
      <c r="AF311" s="8" t="str">
        <f t="shared" si="13"/>
        <v/>
      </c>
      <c r="AG311" s="8" t="str">
        <f>IF(TRIM($E311)&lt;&gt;"Tax Paid","",IF(COUNTIFS(LISTS!$F$2:$F$26,$AE311,LISTS!$G$2:$G$26,$AF311)=0,"NOT ON LIST",""))</f>
        <v/>
      </c>
      <c r="AH311" s="8" t="str">
        <f t="shared" si="14"/>
        <v/>
      </c>
    </row>
    <row r="312" spans="31:34" x14ac:dyDescent="0.25">
      <c r="AE312" s="8" t="str">
        <f t="shared" si="12"/>
        <v/>
      </c>
      <c r="AF312" s="8" t="str">
        <f t="shared" si="13"/>
        <v/>
      </c>
      <c r="AG312" s="8" t="str">
        <f>IF(TRIM($E312)&lt;&gt;"Tax Paid","",IF(COUNTIFS(LISTS!$F$2:$F$26,$AE312,LISTS!$G$2:$G$26,$AF312)=0,"NOT ON LIST",""))</f>
        <v/>
      </c>
      <c r="AH312" s="8" t="str">
        <f t="shared" si="14"/>
        <v/>
      </c>
    </row>
    <row r="313" spans="31:34" x14ac:dyDescent="0.25">
      <c r="AE313" s="8" t="str">
        <f t="shared" si="12"/>
        <v/>
      </c>
      <c r="AF313" s="8" t="str">
        <f t="shared" si="13"/>
        <v/>
      </c>
      <c r="AG313" s="8" t="str">
        <f>IF(TRIM($E313)&lt;&gt;"Tax Paid","",IF(COUNTIFS(LISTS!$F$2:$F$26,$AE313,LISTS!$G$2:$G$26,$AF313)=0,"NOT ON LIST",""))</f>
        <v/>
      </c>
      <c r="AH313" s="8" t="str">
        <f t="shared" si="14"/>
        <v/>
      </c>
    </row>
    <row r="314" spans="31:34" x14ac:dyDescent="0.25">
      <c r="AE314" s="8" t="str">
        <f t="shared" si="12"/>
        <v/>
      </c>
      <c r="AF314" s="8" t="str">
        <f t="shared" si="13"/>
        <v/>
      </c>
      <c r="AG314" s="8" t="str">
        <f>IF(TRIM($E314)&lt;&gt;"Tax Paid","",IF(COUNTIFS(LISTS!$F$2:$F$26,$AE314,LISTS!$G$2:$G$26,$AF314)=0,"NOT ON LIST",""))</f>
        <v/>
      </c>
      <c r="AH314" s="8" t="str">
        <f t="shared" si="14"/>
        <v/>
      </c>
    </row>
    <row r="315" spans="31:34" x14ac:dyDescent="0.25">
      <c r="AE315" s="8" t="str">
        <f t="shared" si="12"/>
        <v/>
      </c>
      <c r="AF315" s="8" t="str">
        <f t="shared" si="13"/>
        <v/>
      </c>
      <c r="AG315" s="8" t="str">
        <f>IF(TRIM($E315)&lt;&gt;"Tax Paid","",IF(COUNTIFS(LISTS!$F$2:$F$26,$AE315,LISTS!$G$2:$G$26,$AF315)=0,"NOT ON LIST",""))</f>
        <v/>
      </c>
      <c r="AH315" s="8" t="str">
        <f t="shared" si="14"/>
        <v/>
      </c>
    </row>
    <row r="316" spans="31:34" x14ac:dyDescent="0.25">
      <c r="AE316" s="8" t="str">
        <f t="shared" si="12"/>
        <v/>
      </c>
      <c r="AF316" s="8" t="str">
        <f t="shared" si="13"/>
        <v/>
      </c>
      <c r="AG316" s="8" t="str">
        <f>IF(TRIM($E316)&lt;&gt;"Tax Paid","",IF(COUNTIFS(LISTS!$F$2:$F$26,$AE316,LISTS!$G$2:$G$26,$AF316)=0,"NOT ON LIST",""))</f>
        <v/>
      </c>
      <c r="AH316" s="8" t="str">
        <f t="shared" si="14"/>
        <v/>
      </c>
    </row>
    <row r="317" spans="31:34" x14ac:dyDescent="0.25">
      <c r="AE317" s="8" t="str">
        <f t="shared" si="12"/>
        <v/>
      </c>
      <c r="AF317" s="8" t="str">
        <f t="shared" si="13"/>
        <v/>
      </c>
      <c r="AG317" s="8" t="str">
        <f>IF(TRIM($E317)&lt;&gt;"Tax Paid","",IF(COUNTIFS(LISTS!$F$2:$F$26,$AE317,LISTS!$G$2:$G$26,$AF317)=0,"NOT ON LIST",""))</f>
        <v/>
      </c>
      <c r="AH317" s="8" t="str">
        <f t="shared" si="14"/>
        <v/>
      </c>
    </row>
    <row r="318" spans="31:34" x14ac:dyDescent="0.25">
      <c r="AE318" s="8" t="str">
        <f t="shared" si="12"/>
        <v/>
      </c>
      <c r="AF318" s="8" t="str">
        <f t="shared" si="13"/>
        <v/>
      </c>
      <c r="AG318" s="8" t="str">
        <f>IF(TRIM($E318)&lt;&gt;"Tax Paid","",IF(COUNTIFS(LISTS!$F$2:$F$26,$AE318,LISTS!$G$2:$G$26,$AF318)=0,"NOT ON LIST",""))</f>
        <v/>
      </c>
      <c r="AH318" s="8" t="str">
        <f t="shared" si="14"/>
        <v/>
      </c>
    </row>
    <row r="319" spans="31:34" x14ac:dyDescent="0.25">
      <c r="AE319" s="8" t="str">
        <f t="shared" si="12"/>
        <v/>
      </c>
      <c r="AF319" s="8" t="str">
        <f t="shared" si="13"/>
        <v/>
      </c>
      <c r="AG319" s="8" t="str">
        <f>IF(TRIM($E319)&lt;&gt;"Tax Paid","",IF(COUNTIFS(LISTS!$F$2:$F$26,$AE319,LISTS!$G$2:$G$26,$AF319)=0,"NOT ON LIST",""))</f>
        <v/>
      </c>
      <c r="AH319" s="8" t="str">
        <f t="shared" si="14"/>
        <v/>
      </c>
    </row>
    <row r="320" spans="31:34" x14ac:dyDescent="0.25">
      <c r="AE320" s="8" t="str">
        <f t="shared" si="12"/>
        <v/>
      </c>
      <c r="AF320" s="8" t="str">
        <f t="shared" si="13"/>
        <v/>
      </c>
      <c r="AG320" s="8" t="str">
        <f>IF(TRIM($E320)&lt;&gt;"Tax Paid","",IF(COUNTIFS(LISTS!$F$2:$F$26,$AE320,LISTS!$G$2:$G$26,$AF320)=0,"NOT ON LIST",""))</f>
        <v/>
      </c>
      <c r="AH320" s="8" t="str">
        <f t="shared" si="14"/>
        <v/>
      </c>
    </row>
    <row r="321" spans="31:34" x14ac:dyDescent="0.25">
      <c r="AE321" s="8" t="str">
        <f t="shared" si="12"/>
        <v/>
      </c>
      <c r="AF321" s="8" t="str">
        <f t="shared" si="13"/>
        <v/>
      </c>
      <c r="AG321" s="8" t="str">
        <f>IF(TRIM($E321)&lt;&gt;"Tax Paid","",IF(COUNTIFS(LISTS!$F$2:$F$26,$AE321,LISTS!$G$2:$G$26,$AF321)=0,"NOT ON LIST",""))</f>
        <v/>
      </c>
      <c r="AH321" s="8" t="str">
        <f t="shared" si="14"/>
        <v/>
      </c>
    </row>
    <row r="322" spans="31:34" x14ac:dyDescent="0.25">
      <c r="AE322" s="8" t="str">
        <f t="shared" ref="AE322:AE385" si="15">IF(TRIM($E322)="Tax Paid",TRIM($S322),"")</f>
        <v/>
      </c>
      <c r="AF322" s="8" t="str">
        <f t="shared" ref="AF322:AF385" si="16">IF(TRIM($E322)="Tax Paid",ROUND($Z322/100,5),"")</f>
        <v/>
      </c>
      <c r="AG322" s="8" t="str">
        <f>IF(TRIM($E322)&lt;&gt;"Tax Paid","",IF(COUNTIFS(LISTS!$F$2:$F$26,$AE322,LISTS!$G$2:$G$26,$AF322)=0,"NOT ON LIST",""))</f>
        <v/>
      </c>
      <c r="AH322" s="8" t="str">
        <f t="shared" ref="AH322:AH385" si="17">IF($AG322="","",IF($AE322="","(no county)",$AE322)&amp;" ("&amp;SUBSTITUTE(TEXT($AF322,"0.###%"),".%","%")&amp;")")</f>
        <v/>
      </c>
    </row>
    <row r="323" spans="31:34" x14ac:dyDescent="0.25">
      <c r="AE323" s="8" t="str">
        <f t="shared" si="15"/>
        <v/>
      </c>
      <c r="AF323" s="8" t="str">
        <f t="shared" si="16"/>
        <v/>
      </c>
      <c r="AG323" s="8" t="str">
        <f>IF(TRIM($E323)&lt;&gt;"Tax Paid","",IF(COUNTIFS(LISTS!$F$2:$F$26,$AE323,LISTS!$G$2:$G$26,$AF323)=0,"NOT ON LIST",""))</f>
        <v/>
      </c>
      <c r="AH323" s="8" t="str">
        <f t="shared" si="17"/>
        <v/>
      </c>
    </row>
    <row r="324" spans="31:34" x14ac:dyDescent="0.25">
      <c r="AE324" s="8" t="str">
        <f t="shared" si="15"/>
        <v/>
      </c>
      <c r="AF324" s="8" t="str">
        <f t="shared" si="16"/>
        <v/>
      </c>
      <c r="AG324" s="8" t="str">
        <f>IF(TRIM($E324)&lt;&gt;"Tax Paid","",IF(COUNTIFS(LISTS!$F$2:$F$26,$AE324,LISTS!$G$2:$G$26,$AF324)=0,"NOT ON LIST",""))</f>
        <v/>
      </c>
      <c r="AH324" s="8" t="str">
        <f t="shared" si="17"/>
        <v/>
      </c>
    </row>
    <row r="325" spans="31:34" x14ac:dyDescent="0.25">
      <c r="AE325" s="8" t="str">
        <f t="shared" si="15"/>
        <v/>
      </c>
      <c r="AF325" s="8" t="str">
        <f t="shared" si="16"/>
        <v/>
      </c>
      <c r="AG325" s="8" t="str">
        <f>IF(TRIM($E325)&lt;&gt;"Tax Paid","",IF(COUNTIFS(LISTS!$F$2:$F$26,$AE325,LISTS!$G$2:$G$26,$AF325)=0,"NOT ON LIST",""))</f>
        <v/>
      </c>
      <c r="AH325" s="8" t="str">
        <f t="shared" si="17"/>
        <v/>
      </c>
    </row>
    <row r="326" spans="31:34" x14ac:dyDescent="0.25">
      <c r="AE326" s="8" t="str">
        <f t="shared" si="15"/>
        <v/>
      </c>
      <c r="AF326" s="8" t="str">
        <f t="shared" si="16"/>
        <v/>
      </c>
      <c r="AG326" s="8" t="str">
        <f>IF(TRIM($E326)&lt;&gt;"Tax Paid","",IF(COUNTIFS(LISTS!$F$2:$F$26,$AE326,LISTS!$G$2:$G$26,$AF326)=0,"NOT ON LIST",""))</f>
        <v/>
      </c>
      <c r="AH326" s="8" t="str">
        <f t="shared" si="17"/>
        <v/>
      </c>
    </row>
    <row r="327" spans="31:34" x14ac:dyDescent="0.25">
      <c r="AE327" s="8" t="str">
        <f t="shared" si="15"/>
        <v/>
      </c>
      <c r="AF327" s="8" t="str">
        <f t="shared" si="16"/>
        <v/>
      </c>
      <c r="AG327" s="8" t="str">
        <f>IF(TRIM($E327)&lt;&gt;"Tax Paid","",IF(COUNTIFS(LISTS!$F$2:$F$26,$AE327,LISTS!$G$2:$G$26,$AF327)=0,"NOT ON LIST",""))</f>
        <v/>
      </c>
      <c r="AH327" s="8" t="str">
        <f t="shared" si="17"/>
        <v/>
      </c>
    </row>
    <row r="328" spans="31:34" x14ac:dyDescent="0.25">
      <c r="AE328" s="8" t="str">
        <f t="shared" si="15"/>
        <v/>
      </c>
      <c r="AF328" s="8" t="str">
        <f t="shared" si="16"/>
        <v/>
      </c>
      <c r="AG328" s="8" t="str">
        <f>IF(TRIM($E328)&lt;&gt;"Tax Paid","",IF(COUNTIFS(LISTS!$F$2:$F$26,$AE328,LISTS!$G$2:$G$26,$AF328)=0,"NOT ON LIST",""))</f>
        <v/>
      </c>
      <c r="AH328" s="8" t="str">
        <f t="shared" si="17"/>
        <v/>
      </c>
    </row>
    <row r="329" spans="31:34" x14ac:dyDescent="0.25">
      <c r="AE329" s="8" t="str">
        <f t="shared" si="15"/>
        <v/>
      </c>
      <c r="AF329" s="8" t="str">
        <f t="shared" si="16"/>
        <v/>
      </c>
      <c r="AG329" s="8" t="str">
        <f>IF(TRIM($E329)&lt;&gt;"Tax Paid","",IF(COUNTIFS(LISTS!$F$2:$F$26,$AE329,LISTS!$G$2:$G$26,$AF329)=0,"NOT ON LIST",""))</f>
        <v/>
      </c>
      <c r="AH329" s="8" t="str">
        <f t="shared" si="17"/>
        <v/>
      </c>
    </row>
    <row r="330" spans="31:34" x14ac:dyDescent="0.25">
      <c r="AE330" s="8" t="str">
        <f t="shared" si="15"/>
        <v/>
      </c>
      <c r="AF330" s="8" t="str">
        <f t="shared" si="16"/>
        <v/>
      </c>
      <c r="AG330" s="8" t="str">
        <f>IF(TRIM($E330)&lt;&gt;"Tax Paid","",IF(COUNTIFS(LISTS!$F$2:$F$26,$AE330,LISTS!$G$2:$G$26,$AF330)=0,"NOT ON LIST",""))</f>
        <v/>
      </c>
      <c r="AH330" s="8" t="str">
        <f t="shared" si="17"/>
        <v/>
      </c>
    </row>
    <row r="331" spans="31:34" x14ac:dyDescent="0.25">
      <c r="AE331" s="8" t="str">
        <f t="shared" si="15"/>
        <v/>
      </c>
      <c r="AF331" s="8" t="str">
        <f t="shared" si="16"/>
        <v/>
      </c>
      <c r="AG331" s="8" t="str">
        <f>IF(TRIM($E331)&lt;&gt;"Tax Paid","",IF(COUNTIFS(LISTS!$F$2:$F$26,$AE331,LISTS!$G$2:$G$26,$AF331)=0,"NOT ON LIST",""))</f>
        <v/>
      </c>
      <c r="AH331" s="8" t="str">
        <f t="shared" si="17"/>
        <v/>
      </c>
    </row>
    <row r="332" spans="31:34" x14ac:dyDescent="0.25">
      <c r="AE332" s="8" t="str">
        <f t="shared" si="15"/>
        <v/>
      </c>
      <c r="AF332" s="8" t="str">
        <f t="shared" si="16"/>
        <v/>
      </c>
      <c r="AG332" s="8" t="str">
        <f>IF(TRIM($E332)&lt;&gt;"Tax Paid","",IF(COUNTIFS(LISTS!$F$2:$F$26,$AE332,LISTS!$G$2:$G$26,$AF332)=0,"NOT ON LIST",""))</f>
        <v/>
      </c>
      <c r="AH332" s="8" t="str">
        <f t="shared" si="17"/>
        <v/>
      </c>
    </row>
    <row r="333" spans="31:34" x14ac:dyDescent="0.25">
      <c r="AE333" s="8" t="str">
        <f t="shared" si="15"/>
        <v/>
      </c>
      <c r="AF333" s="8" t="str">
        <f t="shared" si="16"/>
        <v/>
      </c>
      <c r="AG333" s="8" t="str">
        <f>IF(TRIM($E333)&lt;&gt;"Tax Paid","",IF(COUNTIFS(LISTS!$F$2:$F$26,$AE333,LISTS!$G$2:$G$26,$AF333)=0,"NOT ON LIST",""))</f>
        <v/>
      </c>
      <c r="AH333" s="8" t="str">
        <f t="shared" si="17"/>
        <v/>
      </c>
    </row>
    <row r="334" spans="31:34" x14ac:dyDescent="0.25">
      <c r="AE334" s="8" t="str">
        <f t="shared" si="15"/>
        <v/>
      </c>
      <c r="AF334" s="8" t="str">
        <f t="shared" si="16"/>
        <v/>
      </c>
      <c r="AG334" s="8" t="str">
        <f>IF(TRIM($E334)&lt;&gt;"Tax Paid","",IF(COUNTIFS(LISTS!$F$2:$F$26,$AE334,LISTS!$G$2:$G$26,$AF334)=0,"NOT ON LIST",""))</f>
        <v/>
      </c>
      <c r="AH334" s="8" t="str">
        <f t="shared" si="17"/>
        <v/>
      </c>
    </row>
    <row r="335" spans="31:34" x14ac:dyDescent="0.25">
      <c r="AE335" s="8" t="str">
        <f t="shared" si="15"/>
        <v/>
      </c>
      <c r="AF335" s="8" t="str">
        <f t="shared" si="16"/>
        <v/>
      </c>
      <c r="AG335" s="8" t="str">
        <f>IF(TRIM($E335)&lt;&gt;"Tax Paid","",IF(COUNTIFS(LISTS!$F$2:$F$26,$AE335,LISTS!$G$2:$G$26,$AF335)=0,"NOT ON LIST",""))</f>
        <v/>
      </c>
      <c r="AH335" s="8" t="str">
        <f t="shared" si="17"/>
        <v/>
      </c>
    </row>
    <row r="336" spans="31:34" x14ac:dyDescent="0.25">
      <c r="AE336" s="8" t="str">
        <f t="shared" si="15"/>
        <v/>
      </c>
      <c r="AF336" s="8" t="str">
        <f t="shared" si="16"/>
        <v/>
      </c>
      <c r="AG336" s="8" t="str">
        <f>IF(TRIM($E336)&lt;&gt;"Tax Paid","",IF(COUNTIFS(LISTS!$F$2:$F$26,$AE336,LISTS!$G$2:$G$26,$AF336)=0,"NOT ON LIST",""))</f>
        <v/>
      </c>
      <c r="AH336" s="8" t="str">
        <f t="shared" si="17"/>
        <v/>
      </c>
    </row>
    <row r="337" spans="31:34" x14ac:dyDescent="0.25">
      <c r="AE337" s="8" t="str">
        <f t="shared" si="15"/>
        <v/>
      </c>
      <c r="AF337" s="8" t="str">
        <f t="shared" si="16"/>
        <v/>
      </c>
      <c r="AG337" s="8" t="str">
        <f>IF(TRIM($E337)&lt;&gt;"Tax Paid","",IF(COUNTIFS(LISTS!$F$2:$F$26,$AE337,LISTS!$G$2:$G$26,$AF337)=0,"NOT ON LIST",""))</f>
        <v/>
      </c>
      <c r="AH337" s="8" t="str">
        <f t="shared" si="17"/>
        <v/>
      </c>
    </row>
    <row r="338" spans="31:34" x14ac:dyDescent="0.25">
      <c r="AE338" s="8" t="str">
        <f t="shared" si="15"/>
        <v/>
      </c>
      <c r="AF338" s="8" t="str">
        <f t="shared" si="16"/>
        <v/>
      </c>
      <c r="AG338" s="8" t="str">
        <f>IF(TRIM($E338)&lt;&gt;"Tax Paid","",IF(COUNTIFS(LISTS!$F$2:$F$26,$AE338,LISTS!$G$2:$G$26,$AF338)=0,"NOT ON LIST",""))</f>
        <v/>
      </c>
      <c r="AH338" s="8" t="str">
        <f t="shared" si="17"/>
        <v/>
      </c>
    </row>
    <row r="339" spans="31:34" x14ac:dyDescent="0.25">
      <c r="AE339" s="8" t="str">
        <f t="shared" si="15"/>
        <v/>
      </c>
      <c r="AF339" s="8" t="str">
        <f t="shared" si="16"/>
        <v/>
      </c>
      <c r="AG339" s="8" t="str">
        <f>IF(TRIM($E339)&lt;&gt;"Tax Paid","",IF(COUNTIFS(LISTS!$F$2:$F$26,$AE339,LISTS!$G$2:$G$26,$AF339)=0,"NOT ON LIST",""))</f>
        <v/>
      </c>
      <c r="AH339" s="8" t="str">
        <f t="shared" si="17"/>
        <v/>
      </c>
    </row>
    <row r="340" spans="31:34" x14ac:dyDescent="0.25">
      <c r="AE340" s="8" t="str">
        <f t="shared" si="15"/>
        <v/>
      </c>
      <c r="AF340" s="8" t="str">
        <f t="shared" si="16"/>
        <v/>
      </c>
      <c r="AG340" s="8" t="str">
        <f>IF(TRIM($E340)&lt;&gt;"Tax Paid","",IF(COUNTIFS(LISTS!$F$2:$F$26,$AE340,LISTS!$G$2:$G$26,$AF340)=0,"NOT ON LIST",""))</f>
        <v/>
      </c>
      <c r="AH340" s="8" t="str">
        <f t="shared" si="17"/>
        <v/>
      </c>
    </row>
    <row r="341" spans="31:34" x14ac:dyDescent="0.25">
      <c r="AE341" s="8" t="str">
        <f t="shared" si="15"/>
        <v/>
      </c>
      <c r="AF341" s="8" t="str">
        <f t="shared" si="16"/>
        <v/>
      </c>
      <c r="AG341" s="8" t="str">
        <f>IF(TRIM($E341)&lt;&gt;"Tax Paid","",IF(COUNTIFS(LISTS!$F$2:$F$26,$AE341,LISTS!$G$2:$G$26,$AF341)=0,"NOT ON LIST",""))</f>
        <v/>
      </c>
      <c r="AH341" s="8" t="str">
        <f t="shared" si="17"/>
        <v/>
      </c>
    </row>
    <row r="342" spans="31:34" x14ac:dyDescent="0.25">
      <c r="AE342" s="8" t="str">
        <f t="shared" si="15"/>
        <v/>
      </c>
      <c r="AF342" s="8" t="str">
        <f t="shared" si="16"/>
        <v/>
      </c>
      <c r="AG342" s="8" t="str">
        <f>IF(TRIM($E342)&lt;&gt;"Tax Paid","",IF(COUNTIFS(LISTS!$F$2:$F$26,$AE342,LISTS!$G$2:$G$26,$AF342)=0,"NOT ON LIST",""))</f>
        <v/>
      </c>
      <c r="AH342" s="8" t="str">
        <f t="shared" si="17"/>
        <v/>
      </c>
    </row>
    <row r="343" spans="31:34" x14ac:dyDescent="0.25">
      <c r="AE343" s="8" t="str">
        <f t="shared" si="15"/>
        <v/>
      </c>
      <c r="AF343" s="8" t="str">
        <f t="shared" si="16"/>
        <v/>
      </c>
      <c r="AG343" s="8" t="str">
        <f>IF(TRIM($E343)&lt;&gt;"Tax Paid","",IF(COUNTIFS(LISTS!$F$2:$F$26,$AE343,LISTS!$G$2:$G$26,$AF343)=0,"NOT ON LIST",""))</f>
        <v/>
      </c>
      <c r="AH343" s="8" t="str">
        <f t="shared" si="17"/>
        <v/>
      </c>
    </row>
    <row r="344" spans="31:34" x14ac:dyDescent="0.25">
      <c r="AE344" s="8" t="str">
        <f t="shared" si="15"/>
        <v/>
      </c>
      <c r="AF344" s="8" t="str">
        <f t="shared" si="16"/>
        <v/>
      </c>
      <c r="AG344" s="8" t="str">
        <f>IF(TRIM($E344)&lt;&gt;"Tax Paid","",IF(COUNTIFS(LISTS!$F$2:$F$26,$AE344,LISTS!$G$2:$G$26,$AF344)=0,"NOT ON LIST",""))</f>
        <v/>
      </c>
      <c r="AH344" s="8" t="str">
        <f t="shared" si="17"/>
        <v/>
      </c>
    </row>
    <row r="345" spans="31:34" x14ac:dyDescent="0.25">
      <c r="AE345" s="8" t="str">
        <f t="shared" si="15"/>
        <v/>
      </c>
      <c r="AF345" s="8" t="str">
        <f t="shared" si="16"/>
        <v/>
      </c>
      <c r="AG345" s="8" t="str">
        <f>IF(TRIM($E345)&lt;&gt;"Tax Paid","",IF(COUNTIFS(LISTS!$F$2:$F$26,$AE345,LISTS!$G$2:$G$26,$AF345)=0,"NOT ON LIST",""))</f>
        <v/>
      </c>
      <c r="AH345" s="8" t="str">
        <f t="shared" si="17"/>
        <v/>
      </c>
    </row>
    <row r="346" spans="31:34" x14ac:dyDescent="0.25">
      <c r="AE346" s="8" t="str">
        <f t="shared" si="15"/>
        <v/>
      </c>
      <c r="AF346" s="8" t="str">
        <f t="shared" si="16"/>
        <v/>
      </c>
      <c r="AG346" s="8" t="str">
        <f>IF(TRIM($E346)&lt;&gt;"Tax Paid","",IF(COUNTIFS(LISTS!$F$2:$F$26,$AE346,LISTS!$G$2:$G$26,$AF346)=0,"NOT ON LIST",""))</f>
        <v/>
      </c>
      <c r="AH346" s="8" t="str">
        <f t="shared" si="17"/>
        <v/>
      </c>
    </row>
    <row r="347" spans="31:34" x14ac:dyDescent="0.25">
      <c r="AE347" s="8" t="str">
        <f t="shared" si="15"/>
        <v/>
      </c>
      <c r="AF347" s="8" t="str">
        <f t="shared" si="16"/>
        <v/>
      </c>
      <c r="AG347" s="8" t="str">
        <f>IF(TRIM($E347)&lt;&gt;"Tax Paid","",IF(COUNTIFS(LISTS!$F$2:$F$26,$AE347,LISTS!$G$2:$G$26,$AF347)=0,"NOT ON LIST",""))</f>
        <v/>
      </c>
      <c r="AH347" s="8" t="str">
        <f t="shared" si="17"/>
        <v/>
      </c>
    </row>
    <row r="348" spans="31:34" x14ac:dyDescent="0.25">
      <c r="AE348" s="8" t="str">
        <f t="shared" si="15"/>
        <v/>
      </c>
      <c r="AF348" s="8" t="str">
        <f t="shared" si="16"/>
        <v/>
      </c>
      <c r="AG348" s="8" t="str">
        <f>IF(TRIM($E348)&lt;&gt;"Tax Paid","",IF(COUNTIFS(LISTS!$F$2:$F$26,$AE348,LISTS!$G$2:$G$26,$AF348)=0,"NOT ON LIST",""))</f>
        <v/>
      </c>
      <c r="AH348" s="8" t="str">
        <f t="shared" si="17"/>
        <v/>
      </c>
    </row>
    <row r="349" spans="31:34" x14ac:dyDescent="0.25">
      <c r="AE349" s="8" t="str">
        <f t="shared" si="15"/>
        <v/>
      </c>
      <c r="AF349" s="8" t="str">
        <f t="shared" si="16"/>
        <v/>
      </c>
      <c r="AG349" s="8" t="str">
        <f>IF(TRIM($E349)&lt;&gt;"Tax Paid","",IF(COUNTIFS(LISTS!$F$2:$F$26,$AE349,LISTS!$G$2:$G$26,$AF349)=0,"NOT ON LIST",""))</f>
        <v/>
      </c>
      <c r="AH349" s="8" t="str">
        <f t="shared" si="17"/>
        <v/>
      </c>
    </row>
    <row r="350" spans="31:34" x14ac:dyDescent="0.25">
      <c r="AE350" s="8" t="str">
        <f t="shared" si="15"/>
        <v/>
      </c>
      <c r="AF350" s="8" t="str">
        <f t="shared" si="16"/>
        <v/>
      </c>
      <c r="AG350" s="8" t="str">
        <f>IF(TRIM($E350)&lt;&gt;"Tax Paid","",IF(COUNTIFS(LISTS!$F$2:$F$26,$AE350,LISTS!$G$2:$G$26,$AF350)=0,"NOT ON LIST",""))</f>
        <v/>
      </c>
      <c r="AH350" s="8" t="str">
        <f t="shared" si="17"/>
        <v/>
      </c>
    </row>
    <row r="351" spans="31:34" x14ac:dyDescent="0.25">
      <c r="AE351" s="8" t="str">
        <f t="shared" si="15"/>
        <v/>
      </c>
      <c r="AF351" s="8" t="str">
        <f t="shared" si="16"/>
        <v/>
      </c>
      <c r="AG351" s="8" t="str">
        <f>IF(TRIM($E351)&lt;&gt;"Tax Paid","",IF(COUNTIFS(LISTS!$F$2:$F$26,$AE351,LISTS!$G$2:$G$26,$AF351)=0,"NOT ON LIST",""))</f>
        <v/>
      </c>
      <c r="AH351" s="8" t="str">
        <f t="shared" si="17"/>
        <v/>
      </c>
    </row>
    <row r="352" spans="31:34" x14ac:dyDescent="0.25">
      <c r="AE352" s="8" t="str">
        <f t="shared" si="15"/>
        <v/>
      </c>
      <c r="AF352" s="8" t="str">
        <f t="shared" si="16"/>
        <v/>
      </c>
      <c r="AG352" s="8" t="str">
        <f>IF(TRIM($E352)&lt;&gt;"Tax Paid","",IF(COUNTIFS(LISTS!$F$2:$F$26,$AE352,LISTS!$G$2:$G$26,$AF352)=0,"NOT ON LIST",""))</f>
        <v/>
      </c>
      <c r="AH352" s="8" t="str">
        <f t="shared" si="17"/>
        <v/>
      </c>
    </row>
    <row r="353" spans="31:34" x14ac:dyDescent="0.25">
      <c r="AE353" s="8" t="str">
        <f t="shared" si="15"/>
        <v/>
      </c>
      <c r="AF353" s="8" t="str">
        <f t="shared" si="16"/>
        <v/>
      </c>
      <c r="AG353" s="8" t="str">
        <f>IF(TRIM($E353)&lt;&gt;"Tax Paid","",IF(COUNTIFS(LISTS!$F$2:$F$26,$AE353,LISTS!$G$2:$G$26,$AF353)=0,"NOT ON LIST",""))</f>
        <v/>
      </c>
      <c r="AH353" s="8" t="str">
        <f t="shared" si="17"/>
        <v/>
      </c>
    </row>
    <row r="354" spans="31:34" x14ac:dyDescent="0.25">
      <c r="AE354" s="8" t="str">
        <f t="shared" si="15"/>
        <v/>
      </c>
      <c r="AF354" s="8" t="str">
        <f t="shared" si="16"/>
        <v/>
      </c>
      <c r="AG354" s="8" t="str">
        <f>IF(TRIM($E354)&lt;&gt;"Tax Paid","",IF(COUNTIFS(LISTS!$F$2:$F$26,$AE354,LISTS!$G$2:$G$26,$AF354)=0,"NOT ON LIST",""))</f>
        <v/>
      </c>
      <c r="AH354" s="8" t="str">
        <f t="shared" si="17"/>
        <v/>
      </c>
    </row>
    <row r="355" spans="31:34" x14ac:dyDescent="0.25">
      <c r="AE355" s="8" t="str">
        <f t="shared" si="15"/>
        <v/>
      </c>
      <c r="AF355" s="8" t="str">
        <f t="shared" si="16"/>
        <v/>
      </c>
      <c r="AG355" s="8" t="str">
        <f>IF(TRIM($E355)&lt;&gt;"Tax Paid","",IF(COUNTIFS(LISTS!$F$2:$F$26,$AE355,LISTS!$G$2:$G$26,$AF355)=0,"NOT ON LIST",""))</f>
        <v/>
      </c>
      <c r="AH355" s="8" t="str">
        <f t="shared" si="17"/>
        <v/>
      </c>
    </row>
    <row r="356" spans="31:34" x14ac:dyDescent="0.25">
      <c r="AE356" s="8" t="str">
        <f t="shared" si="15"/>
        <v/>
      </c>
      <c r="AF356" s="8" t="str">
        <f t="shared" si="16"/>
        <v/>
      </c>
      <c r="AG356" s="8" t="str">
        <f>IF(TRIM($E356)&lt;&gt;"Tax Paid","",IF(COUNTIFS(LISTS!$F$2:$F$26,$AE356,LISTS!$G$2:$G$26,$AF356)=0,"NOT ON LIST",""))</f>
        <v/>
      </c>
      <c r="AH356" s="8" t="str">
        <f t="shared" si="17"/>
        <v/>
      </c>
    </row>
    <row r="357" spans="31:34" x14ac:dyDescent="0.25">
      <c r="AE357" s="8" t="str">
        <f t="shared" si="15"/>
        <v/>
      </c>
      <c r="AF357" s="8" t="str">
        <f t="shared" si="16"/>
        <v/>
      </c>
      <c r="AG357" s="8" t="str">
        <f>IF(TRIM($E357)&lt;&gt;"Tax Paid","",IF(COUNTIFS(LISTS!$F$2:$F$26,$AE357,LISTS!$G$2:$G$26,$AF357)=0,"NOT ON LIST",""))</f>
        <v/>
      </c>
      <c r="AH357" s="8" t="str">
        <f t="shared" si="17"/>
        <v/>
      </c>
    </row>
    <row r="358" spans="31:34" x14ac:dyDescent="0.25">
      <c r="AE358" s="8" t="str">
        <f t="shared" si="15"/>
        <v/>
      </c>
      <c r="AF358" s="8" t="str">
        <f t="shared" si="16"/>
        <v/>
      </c>
      <c r="AG358" s="8" t="str">
        <f>IF(TRIM($E358)&lt;&gt;"Tax Paid","",IF(COUNTIFS(LISTS!$F$2:$F$26,$AE358,LISTS!$G$2:$G$26,$AF358)=0,"NOT ON LIST",""))</f>
        <v/>
      </c>
      <c r="AH358" s="8" t="str">
        <f t="shared" si="17"/>
        <v/>
      </c>
    </row>
    <row r="359" spans="31:34" x14ac:dyDescent="0.25">
      <c r="AE359" s="8" t="str">
        <f t="shared" si="15"/>
        <v/>
      </c>
      <c r="AF359" s="8" t="str">
        <f t="shared" si="16"/>
        <v/>
      </c>
      <c r="AG359" s="8" t="str">
        <f>IF(TRIM($E359)&lt;&gt;"Tax Paid","",IF(COUNTIFS(LISTS!$F$2:$F$26,$AE359,LISTS!$G$2:$G$26,$AF359)=0,"NOT ON LIST",""))</f>
        <v/>
      </c>
      <c r="AH359" s="8" t="str">
        <f t="shared" si="17"/>
        <v/>
      </c>
    </row>
    <row r="360" spans="31:34" x14ac:dyDescent="0.25">
      <c r="AE360" s="8" t="str">
        <f t="shared" si="15"/>
        <v/>
      </c>
      <c r="AF360" s="8" t="str">
        <f t="shared" si="16"/>
        <v/>
      </c>
      <c r="AG360" s="8" t="str">
        <f>IF(TRIM($E360)&lt;&gt;"Tax Paid","",IF(COUNTIFS(LISTS!$F$2:$F$26,$AE360,LISTS!$G$2:$G$26,$AF360)=0,"NOT ON LIST",""))</f>
        <v/>
      </c>
      <c r="AH360" s="8" t="str">
        <f t="shared" si="17"/>
        <v/>
      </c>
    </row>
    <row r="361" spans="31:34" x14ac:dyDescent="0.25">
      <c r="AE361" s="8" t="str">
        <f t="shared" si="15"/>
        <v/>
      </c>
      <c r="AF361" s="8" t="str">
        <f t="shared" si="16"/>
        <v/>
      </c>
      <c r="AG361" s="8" t="str">
        <f>IF(TRIM($E361)&lt;&gt;"Tax Paid","",IF(COUNTIFS(LISTS!$F$2:$F$26,$AE361,LISTS!$G$2:$G$26,$AF361)=0,"NOT ON LIST",""))</f>
        <v/>
      </c>
      <c r="AH361" s="8" t="str">
        <f t="shared" si="17"/>
        <v/>
      </c>
    </row>
    <row r="362" spans="31:34" x14ac:dyDescent="0.25">
      <c r="AE362" s="8" t="str">
        <f t="shared" si="15"/>
        <v/>
      </c>
      <c r="AF362" s="8" t="str">
        <f t="shared" si="16"/>
        <v/>
      </c>
      <c r="AG362" s="8" t="str">
        <f>IF(TRIM($E362)&lt;&gt;"Tax Paid","",IF(COUNTIFS(LISTS!$F$2:$F$26,$AE362,LISTS!$G$2:$G$26,$AF362)=0,"NOT ON LIST",""))</f>
        <v/>
      </c>
      <c r="AH362" s="8" t="str">
        <f t="shared" si="17"/>
        <v/>
      </c>
    </row>
    <row r="363" spans="31:34" x14ac:dyDescent="0.25">
      <c r="AE363" s="8" t="str">
        <f t="shared" si="15"/>
        <v/>
      </c>
      <c r="AF363" s="8" t="str">
        <f t="shared" si="16"/>
        <v/>
      </c>
      <c r="AG363" s="8" t="str">
        <f>IF(TRIM($E363)&lt;&gt;"Tax Paid","",IF(COUNTIFS(LISTS!$F$2:$F$26,$AE363,LISTS!$G$2:$G$26,$AF363)=0,"NOT ON LIST",""))</f>
        <v/>
      </c>
      <c r="AH363" s="8" t="str">
        <f t="shared" si="17"/>
        <v/>
      </c>
    </row>
    <row r="364" spans="31:34" x14ac:dyDescent="0.25">
      <c r="AE364" s="8" t="str">
        <f t="shared" si="15"/>
        <v/>
      </c>
      <c r="AF364" s="8" t="str">
        <f t="shared" si="16"/>
        <v/>
      </c>
      <c r="AG364" s="8" t="str">
        <f>IF(TRIM($E364)&lt;&gt;"Tax Paid","",IF(COUNTIFS(LISTS!$F$2:$F$26,$AE364,LISTS!$G$2:$G$26,$AF364)=0,"NOT ON LIST",""))</f>
        <v/>
      </c>
      <c r="AH364" s="8" t="str">
        <f t="shared" si="17"/>
        <v/>
      </c>
    </row>
    <row r="365" spans="31:34" x14ac:dyDescent="0.25">
      <c r="AE365" s="8" t="str">
        <f t="shared" si="15"/>
        <v/>
      </c>
      <c r="AF365" s="8" t="str">
        <f t="shared" si="16"/>
        <v/>
      </c>
      <c r="AG365" s="8" t="str">
        <f>IF(TRIM($E365)&lt;&gt;"Tax Paid","",IF(COUNTIFS(LISTS!$F$2:$F$26,$AE365,LISTS!$G$2:$G$26,$AF365)=0,"NOT ON LIST",""))</f>
        <v/>
      </c>
      <c r="AH365" s="8" t="str">
        <f t="shared" si="17"/>
        <v/>
      </c>
    </row>
    <row r="366" spans="31:34" x14ac:dyDescent="0.25">
      <c r="AE366" s="8" t="str">
        <f t="shared" si="15"/>
        <v/>
      </c>
      <c r="AF366" s="8" t="str">
        <f t="shared" si="16"/>
        <v/>
      </c>
      <c r="AG366" s="8" t="str">
        <f>IF(TRIM($E366)&lt;&gt;"Tax Paid","",IF(COUNTIFS(LISTS!$F$2:$F$26,$AE366,LISTS!$G$2:$G$26,$AF366)=0,"NOT ON LIST",""))</f>
        <v/>
      </c>
      <c r="AH366" s="8" t="str">
        <f t="shared" si="17"/>
        <v/>
      </c>
    </row>
    <row r="367" spans="31:34" x14ac:dyDescent="0.25">
      <c r="AE367" s="8" t="str">
        <f t="shared" si="15"/>
        <v/>
      </c>
      <c r="AF367" s="8" t="str">
        <f t="shared" si="16"/>
        <v/>
      </c>
      <c r="AG367" s="8" t="str">
        <f>IF(TRIM($E367)&lt;&gt;"Tax Paid","",IF(COUNTIFS(LISTS!$F$2:$F$26,$AE367,LISTS!$G$2:$G$26,$AF367)=0,"NOT ON LIST",""))</f>
        <v/>
      </c>
      <c r="AH367" s="8" t="str">
        <f t="shared" si="17"/>
        <v/>
      </c>
    </row>
    <row r="368" spans="31:34" x14ac:dyDescent="0.25">
      <c r="AE368" s="8" t="str">
        <f t="shared" si="15"/>
        <v/>
      </c>
      <c r="AF368" s="8" t="str">
        <f t="shared" si="16"/>
        <v/>
      </c>
      <c r="AG368" s="8" t="str">
        <f>IF(TRIM($E368)&lt;&gt;"Tax Paid","",IF(COUNTIFS(LISTS!$F$2:$F$26,$AE368,LISTS!$G$2:$G$26,$AF368)=0,"NOT ON LIST",""))</f>
        <v/>
      </c>
      <c r="AH368" s="8" t="str">
        <f t="shared" si="17"/>
        <v/>
      </c>
    </row>
    <row r="369" spans="31:34" x14ac:dyDescent="0.25">
      <c r="AE369" s="8" t="str">
        <f t="shared" si="15"/>
        <v/>
      </c>
      <c r="AF369" s="8" t="str">
        <f t="shared" si="16"/>
        <v/>
      </c>
      <c r="AG369" s="8" t="str">
        <f>IF(TRIM($E369)&lt;&gt;"Tax Paid","",IF(COUNTIFS(LISTS!$F$2:$F$26,$AE369,LISTS!$G$2:$G$26,$AF369)=0,"NOT ON LIST",""))</f>
        <v/>
      </c>
      <c r="AH369" s="8" t="str">
        <f t="shared" si="17"/>
        <v/>
      </c>
    </row>
    <row r="370" spans="31:34" x14ac:dyDescent="0.25">
      <c r="AE370" s="8" t="str">
        <f t="shared" si="15"/>
        <v/>
      </c>
      <c r="AF370" s="8" t="str">
        <f t="shared" si="16"/>
        <v/>
      </c>
      <c r="AG370" s="8" t="str">
        <f>IF(TRIM($E370)&lt;&gt;"Tax Paid","",IF(COUNTIFS(LISTS!$F$2:$F$26,$AE370,LISTS!$G$2:$G$26,$AF370)=0,"NOT ON LIST",""))</f>
        <v/>
      </c>
      <c r="AH370" s="8" t="str">
        <f t="shared" si="17"/>
        <v/>
      </c>
    </row>
    <row r="371" spans="31:34" x14ac:dyDescent="0.25">
      <c r="AE371" s="8" t="str">
        <f t="shared" si="15"/>
        <v/>
      </c>
      <c r="AF371" s="8" t="str">
        <f t="shared" si="16"/>
        <v/>
      </c>
      <c r="AG371" s="8" t="str">
        <f>IF(TRIM($E371)&lt;&gt;"Tax Paid","",IF(COUNTIFS(LISTS!$F$2:$F$26,$AE371,LISTS!$G$2:$G$26,$AF371)=0,"NOT ON LIST",""))</f>
        <v/>
      </c>
      <c r="AH371" s="8" t="str">
        <f t="shared" si="17"/>
        <v/>
      </c>
    </row>
    <row r="372" spans="31:34" x14ac:dyDescent="0.25">
      <c r="AE372" s="8" t="str">
        <f t="shared" si="15"/>
        <v/>
      </c>
      <c r="AF372" s="8" t="str">
        <f t="shared" si="16"/>
        <v/>
      </c>
      <c r="AG372" s="8" t="str">
        <f>IF(TRIM($E372)&lt;&gt;"Tax Paid","",IF(COUNTIFS(LISTS!$F$2:$F$26,$AE372,LISTS!$G$2:$G$26,$AF372)=0,"NOT ON LIST",""))</f>
        <v/>
      </c>
      <c r="AH372" s="8" t="str">
        <f t="shared" si="17"/>
        <v/>
      </c>
    </row>
    <row r="373" spans="31:34" x14ac:dyDescent="0.25">
      <c r="AE373" s="8" t="str">
        <f t="shared" si="15"/>
        <v/>
      </c>
      <c r="AF373" s="8" t="str">
        <f t="shared" si="16"/>
        <v/>
      </c>
      <c r="AG373" s="8" t="str">
        <f>IF(TRIM($E373)&lt;&gt;"Tax Paid","",IF(COUNTIFS(LISTS!$F$2:$F$26,$AE373,LISTS!$G$2:$G$26,$AF373)=0,"NOT ON LIST",""))</f>
        <v/>
      </c>
      <c r="AH373" s="8" t="str">
        <f t="shared" si="17"/>
        <v/>
      </c>
    </row>
    <row r="374" spans="31:34" x14ac:dyDescent="0.25">
      <c r="AE374" s="8" t="str">
        <f t="shared" si="15"/>
        <v/>
      </c>
      <c r="AF374" s="8" t="str">
        <f t="shared" si="16"/>
        <v/>
      </c>
      <c r="AG374" s="8" t="str">
        <f>IF(TRIM($E374)&lt;&gt;"Tax Paid","",IF(COUNTIFS(LISTS!$F$2:$F$26,$AE374,LISTS!$G$2:$G$26,$AF374)=0,"NOT ON LIST",""))</f>
        <v/>
      </c>
      <c r="AH374" s="8" t="str">
        <f t="shared" si="17"/>
        <v/>
      </c>
    </row>
    <row r="375" spans="31:34" x14ac:dyDescent="0.25">
      <c r="AE375" s="8" t="str">
        <f t="shared" si="15"/>
        <v/>
      </c>
      <c r="AF375" s="8" t="str">
        <f t="shared" si="16"/>
        <v/>
      </c>
      <c r="AG375" s="8" t="str">
        <f>IF(TRIM($E375)&lt;&gt;"Tax Paid","",IF(COUNTIFS(LISTS!$F$2:$F$26,$AE375,LISTS!$G$2:$G$26,$AF375)=0,"NOT ON LIST",""))</f>
        <v/>
      </c>
      <c r="AH375" s="8" t="str">
        <f t="shared" si="17"/>
        <v/>
      </c>
    </row>
    <row r="376" spans="31:34" x14ac:dyDescent="0.25">
      <c r="AE376" s="8" t="str">
        <f t="shared" si="15"/>
        <v/>
      </c>
      <c r="AF376" s="8" t="str">
        <f t="shared" si="16"/>
        <v/>
      </c>
      <c r="AG376" s="8" t="str">
        <f>IF(TRIM($E376)&lt;&gt;"Tax Paid","",IF(COUNTIFS(LISTS!$F$2:$F$26,$AE376,LISTS!$G$2:$G$26,$AF376)=0,"NOT ON LIST",""))</f>
        <v/>
      </c>
      <c r="AH376" s="8" t="str">
        <f t="shared" si="17"/>
        <v/>
      </c>
    </row>
    <row r="377" spans="31:34" x14ac:dyDescent="0.25">
      <c r="AE377" s="8" t="str">
        <f t="shared" si="15"/>
        <v/>
      </c>
      <c r="AF377" s="8" t="str">
        <f t="shared" si="16"/>
        <v/>
      </c>
      <c r="AG377" s="8" t="str">
        <f>IF(TRIM($E377)&lt;&gt;"Tax Paid","",IF(COUNTIFS(LISTS!$F$2:$F$26,$AE377,LISTS!$G$2:$G$26,$AF377)=0,"NOT ON LIST",""))</f>
        <v/>
      </c>
      <c r="AH377" s="8" t="str">
        <f t="shared" si="17"/>
        <v/>
      </c>
    </row>
    <row r="378" spans="31:34" x14ac:dyDescent="0.25">
      <c r="AE378" s="8" t="str">
        <f t="shared" si="15"/>
        <v/>
      </c>
      <c r="AF378" s="8" t="str">
        <f t="shared" si="16"/>
        <v/>
      </c>
      <c r="AG378" s="8" t="str">
        <f>IF(TRIM($E378)&lt;&gt;"Tax Paid","",IF(COUNTIFS(LISTS!$F$2:$F$26,$AE378,LISTS!$G$2:$G$26,$AF378)=0,"NOT ON LIST",""))</f>
        <v/>
      </c>
      <c r="AH378" s="8" t="str">
        <f t="shared" si="17"/>
        <v/>
      </c>
    </row>
    <row r="379" spans="31:34" x14ac:dyDescent="0.25">
      <c r="AE379" s="8" t="str">
        <f t="shared" si="15"/>
        <v/>
      </c>
      <c r="AF379" s="8" t="str">
        <f t="shared" si="16"/>
        <v/>
      </c>
      <c r="AG379" s="8" t="str">
        <f>IF(TRIM($E379)&lt;&gt;"Tax Paid","",IF(COUNTIFS(LISTS!$F$2:$F$26,$AE379,LISTS!$G$2:$G$26,$AF379)=0,"NOT ON LIST",""))</f>
        <v/>
      </c>
      <c r="AH379" s="8" t="str">
        <f t="shared" si="17"/>
        <v/>
      </c>
    </row>
    <row r="380" spans="31:34" x14ac:dyDescent="0.25">
      <c r="AE380" s="8" t="str">
        <f t="shared" si="15"/>
        <v/>
      </c>
      <c r="AF380" s="8" t="str">
        <f t="shared" si="16"/>
        <v/>
      </c>
      <c r="AG380" s="8" t="str">
        <f>IF(TRIM($E380)&lt;&gt;"Tax Paid","",IF(COUNTIFS(LISTS!$F$2:$F$26,$AE380,LISTS!$G$2:$G$26,$AF380)=0,"NOT ON LIST",""))</f>
        <v/>
      </c>
      <c r="AH380" s="8" t="str">
        <f t="shared" si="17"/>
        <v/>
      </c>
    </row>
    <row r="381" spans="31:34" x14ac:dyDescent="0.25">
      <c r="AE381" s="8" t="str">
        <f t="shared" si="15"/>
        <v/>
      </c>
      <c r="AF381" s="8" t="str">
        <f t="shared" si="16"/>
        <v/>
      </c>
      <c r="AG381" s="8" t="str">
        <f>IF(TRIM($E381)&lt;&gt;"Tax Paid","",IF(COUNTIFS(LISTS!$F$2:$F$26,$AE381,LISTS!$G$2:$G$26,$AF381)=0,"NOT ON LIST",""))</f>
        <v/>
      </c>
      <c r="AH381" s="8" t="str">
        <f t="shared" si="17"/>
        <v/>
      </c>
    </row>
    <row r="382" spans="31:34" x14ac:dyDescent="0.25">
      <c r="AE382" s="8" t="str">
        <f t="shared" si="15"/>
        <v/>
      </c>
      <c r="AF382" s="8" t="str">
        <f t="shared" si="16"/>
        <v/>
      </c>
      <c r="AG382" s="8" t="str">
        <f>IF(TRIM($E382)&lt;&gt;"Tax Paid","",IF(COUNTIFS(LISTS!$F$2:$F$26,$AE382,LISTS!$G$2:$G$26,$AF382)=0,"NOT ON LIST",""))</f>
        <v/>
      </c>
      <c r="AH382" s="8" t="str">
        <f t="shared" si="17"/>
        <v/>
      </c>
    </row>
    <row r="383" spans="31:34" x14ac:dyDescent="0.25">
      <c r="AE383" s="8" t="str">
        <f t="shared" si="15"/>
        <v/>
      </c>
      <c r="AF383" s="8" t="str">
        <f t="shared" si="16"/>
        <v/>
      </c>
      <c r="AG383" s="8" t="str">
        <f>IF(TRIM($E383)&lt;&gt;"Tax Paid","",IF(COUNTIFS(LISTS!$F$2:$F$26,$AE383,LISTS!$G$2:$G$26,$AF383)=0,"NOT ON LIST",""))</f>
        <v/>
      </c>
      <c r="AH383" s="8" t="str">
        <f t="shared" si="17"/>
        <v/>
      </c>
    </row>
    <row r="384" spans="31:34" x14ac:dyDescent="0.25">
      <c r="AE384" s="8" t="str">
        <f t="shared" si="15"/>
        <v/>
      </c>
      <c r="AF384" s="8" t="str">
        <f t="shared" si="16"/>
        <v/>
      </c>
      <c r="AG384" s="8" t="str">
        <f>IF(TRIM($E384)&lt;&gt;"Tax Paid","",IF(COUNTIFS(LISTS!$F$2:$F$26,$AE384,LISTS!$G$2:$G$26,$AF384)=0,"NOT ON LIST",""))</f>
        <v/>
      </c>
      <c r="AH384" s="8" t="str">
        <f t="shared" si="17"/>
        <v/>
      </c>
    </row>
    <row r="385" spans="31:34" x14ac:dyDescent="0.25">
      <c r="AE385" s="8" t="str">
        <f t="shared" si="15"/>
        <v/>
      </c>
      <c r="AF385" s="8" t="str">
        <f t="shared" si="16"/>
        <v/>
      </c>
      <c r="AG385" s="8" t="str">
        <f>IF(TRIM($E385)&lt;&gt;"Tax Paid","",IF(COUNTIFS(LISTS!$F$2:$F$26,$AE385,LISTS!$G$2:$G$26,$AF385)=0,"NOT ON LIST",""))</f>
        <v/>
      </c>
      <c r="AH385" s="8" t="str">
        <f t="shared" si="17"/>
        <v/>
      </c>
    </row>
    <row r="386" spans="31:34" x14ac:dyDescent="0.25">
      <c r="AE386" s="8" t="str">
        <f t="shared" ref="AE386:AE449" si="18">IF(TRIM($E386)="Tax Paid",TRIM($S386),"")</f>
        <v/>
      </c>
      <c r="AF386" s="8" t="str">
        <f t="shared" ref="AF386:AF449" si="19">IF(TRIM($E386)="Tax Paid",ROUND($Z386/100,5),"")</f>
        <v/>
      </c>
      <c r="AG386" s="8" t="str">
        <f>IF(TRIM($E386)&lt;&gt;"Tax Paid","",IF(COUNTIFS(LISTS!$F$2:$F$26,$AE386,LISTS!$G$2:$G$26,$AF386)=0,"NOT ON LIST",""))</f>
        <v/>
      </c>
      <c r="AH386" s="8" t="str">
        <f t="shared" ref="AH386:AH449" si="20">IF($AG386="","",IF($AE386="","(no county)",$AE386)&amp;" ("&amp;SUBSTITUTE(TEXT($AF386,"0.###%"),".%","%")&amp;")")</f>
        <v/>
      </c>
    </row>
    <row r="387" spans="31:34" x14ac:dyDescent="0.25">
      <c r="AE387" s="8" t="str">
        <f t="shared" si="18"/>
        <v/>
      </c>
      <c r="AF387" s="8" t="str">
        <f t="shared" si="19"/>
        <v/>
      </c>
      <c r="AG387" s="8" t="str">
        <f>IF(TRIM($E387)&lt;&gt;"Tax Paid","",IF(COUNTIFS(LISTS!$F$2:$F$26,$AE387,LISTS!$G$2:$G$26,$AF387)=0,"NOT ON LIST",""))</f>
        <v/>
      </c>
      <c r="AH387" s="8" t="str">
        <f t="shared" si="20"/>
        <v/>
      </c>
    </row>
    <row r="388" spans="31:34" x14ac:dyDescent="0.25">
      <c r="AE388" s="8" t="str">
        <f t="shared" si="18"/>
        <v/>
      </c>
      <c r="AF388" s="8" t="str">
        <f t="shared" si="19"/>
        <v/>
      </c>
      <c r="AG388" s="8" t="str">
        <f>IF(TRIM($E388)&lt;&gt;"Tax Paid","",IF(COUNTIFS(LISTS!$F$2:$F$26,$AE388,LISTS!$G$2:$G$26,$AF388)=0,"NOT ON LIST",""))</f>
        <v/>
      </c>
      <c r="AH388" s="8" t="str">
        <f t="shared" si="20"/>
        <v/>
      </c>
    </row>
    <row r="389" spans="31:34" x14ac:dyDescent="0.25">
      <c r="AE389" s="8" t="str">
        <f t="shared" si="18"/>
        <v/>
      </c>
      <c r="AF389" s="8" t="str">
        <f t="shared" si="19"/>
        <v/>
      </c>
      <c r="AG389" s="8" t="str">
        <f>IF(TRIM($E389)&lt;&gt;"Tax Paid","",IF(COUNTIFS(LISTS!$F$2:$F$26,$AE389,LISTS!$G$2:$G$26,$AF389)=0,"NOT ON LIST",""))</f>
        <v/>
      </c>
      <c r="AH389" s="8" t="str">
        <f t="shared" si="20"/>
        <v/>
      </c>
    </row>
    <row r="390" spans="31:34" x14ac:dyDescent="0.25">
      <c r="AE390" s="8" t="str">
        <f t="shared" si="18"/>
        <v/>
      </c>
      <c r="AF390" s="8" t="str">
        <f t="shared" si="19"/>
        <v/>
      </c>
      <c r="AG390" s="8" t="str">
        <f>IF(TRIM($E390)&lt;&gt;"Tax Paid","",IF(COUNTIFS(LISTS!$F$2:$F$26,$AE390,LISTS!$G$2:$G$26,$AF390)=0,"NOT ON LIST",""))</f>
        <v/>
      </c>
      <c r="AH390" s="8" t="str">
        <f t="shared" si="20"/>
        <v/>
      </c>
    </row>
    <row r="391" spans="31:34" x14ac:dyDescent="0.25">
      <c r="AE391" s="8" t="str">
        <f t="shared" si="18"/>
        <v/>
      </c>
      <c r="AF391" s="8" t="str">
        <f t="shared" si="19"/>
        <v/>
      </c>
      <c r="AG391" s="8" t="str">
        <f>IF(TRIM($E391)&lt;&gt;"Tax Paid","",IF(COUNTIFS(LISTS!$F$2:$F$26,$AE391,LISTS!$G$2:$G$26,$AF391)=0,"NOT ON LIST",""))</f>
        <v/>
      </c>
      <c r="AH391" s="8" t="str">
        <f t="shared" si="20"/>
        <v/>
      </c>
    </row>
    <row r="392" spans="31:34" x14ac:dyDescent="0.25">
      <c r="AE392" s="8" t="str">
        <f t="shared" si="18"/>
        <v/>
      </c>
      <c r="AF392" s="8" t="str">
        <f t="shared" si="19"/>
        <v/>
      </c>
      <c r="AG392" s="8" t="str">
        <f>IF(TRIM($E392)&lt;&gt;"Tax Paid","",IF(COUNTIFS(LISTS!$F$2:$F$26,$AE392,LISTS!$G$2:$G$26,$AF392)=0,"NOT ON LIST",""))</f>
        <v/>
      </c>
      <c r="AH392" s="8" t="str">
        <f t="shared" si="20"/>
        <v/>
      </c>
    </row>
    <row r="393" spans="31:34" x14ac:dyDescent="0.25">
      <c r="AE393" s="8" t="str">
        <f t="shared" si="18"/>
        <v/>
      </c>
      <c r="AF393" s="8" t="str">
        <f t="shared" si="19"/>
        <v/>
      </c>
      <c r="AG393" s="8" t="str">
        <f>IF(TRIM($E393)&lt;&gt;"Tax Paid","",IF(COUNTIFS(LISTS!$F$2:$F$26,$AE393,LISTS!$G$2:$G$26,$AF393)=0,"NOT ON LIST",""))</f>
        <v/>
      </c>
      <c r="AH393" s="8" t="str">
        <f t="shared" si="20"/>
        <v/>
      </c>
    </row>
    <row r="394" spans="31:34" x14ac:dyDescent="0.25">
      <c r="AE394" s="8" t="str">
        <f t="shared" si="18"/>
        <v/>
      </c>
      <c r="AF394" s="8" t="str">
        <f t="shared" si="19"/>
        <v/>
      </c>
      <c r="AG394" s="8" t="str">
        <f>IF(TRIM($E394)&lt;&gt;"Tax Paid","",IF(COUNTIFS(LISTS!$F$2:$F$26,$AE394,LISTS!$G$2:$G$26,$AF394)=0,"NOT ON LIST",""))</f>
        <v/>
      </c>
      <c r="AH394" s="8" t="str">
        <f t="shared" si="20"/>
        <v/>
      </c>
    </row>
    <row r="395" spans="31:34" x14ac:dyDescent="0.25">
      <c r="AE395" s="8" t="str">
        <f t="shared" si="18"/>
        <v/>
      </c>
      <c r="AF395" s="8" t="str">
        <f t="shared" si="19"/>
        <v/>
      </c>
      <c r="AG395" s="8" t="str">
        <f>IF(TRIM($E395)&lt;&gt;"Tax Paid","",IF(COUNTIFS(LISTS!$F$2:$F$26,$AE395,LISTS!$G$2:$G$26,$AF395)=0,"NOT ON LIST",""))</f>
        <v/>
      </c>
      <c r="AH395" s="8" t="str">
        <f t="shared" si="20"/>
        <v/>
      </c>
    </row>
    <row r="396" spans="31:34" x14ac:dyDescent="0.25">
      <c r="AE396" s="8" t="str">
        <f t="shared" si="18"/>
        <v/>
      </c>
      <c r="AF396" s="8" t="str">
        <f t="shared" si="19"/>
        <v/>
      </c>
      <c r="AG396" s="8" t="str">
        <f>IF(TRIM($E396)&lt;&gt;"Tax Paid","",IF(COUNTIFS(LISTS!$F$2:$F$26,$AE396,LISTS!$G$2:$G$26,$AF396)=0,"NOT ON LIST",""))</f>
        <v/>
      </c>
      <c r="AH396" s="8" t="str">
        <f t="shared" si="20"/>
        <v/>
      </c>
    </row>
    <row r="397" spans="31:34" x14ac:dyDescent="0.25">
      <c r="AE397" s="8" t="str">
        <f t="shared" si="18"/>
        <v/>
      </c>
      <c r="AF397" s="8" t="str">
        <f t="shared" si="19"/>
        <v/>
      </c>
      <c r="AG397" s="8" t="str">
        <f>IF(TRIM($E397)&lt;&gt;"Tax Paid","",IF(COUNTIFS(LISTS!$F$2:$F$26,$AE397,LISTS!$G$2:$G$26,$AF397)=0,"NOT ON LIST",""))</f>
        <v/>
      </c>
      <c r="AH397" s="8" t="str">
        <f t="shared" si="20"/>
        <v/>
      </c>
    </row>
    <row r="398" spans="31:34" x14ac:dyDescent="0.25">
      <c r="AE398" s="8" t="str">
        <f t="shared" si="18"/>
        <v/>
      </c>
      <c r="AF398" s="8" t="str">
        <f t="shared" si="19"/>
        <v/>
      </c>
      <c r="AG398" s="8" t="str">
        <f>IF(TRIM($E398)&lt;&gt;"Tax Paid","",IF(COUNTIFS(LISTS!$F$2:$F$26,$AE398,LISTS!$G$2:$G$26,$AF398)=0,"NOT ON LIST",""))</f>
        <v/>
      </c>
      <c r="AH398" s="8" t="str">
        <f t="shared" si="20"/>
        <v/>
      </c>
    </row>
    <row r="399" spans="31:34" x14ac:dyDescent="0.25">
      <c r="AE399" s="8" t="str">
        <f t="shared" si="18"/>
        <v/>
      </c>
      <c r="AF399" s="8" t="str">
        <f t="shared" si="19"/>
        <v/>
      </c>
      <c r="AG399" s="8" t="str">
        <f>IF(TRIM($E399)&lt;&gt;"Tax Paid","",IF(COUNTIFS(LISTS!$F$2:$F$26,$AE399,LISTS!$G$2:$G$26,$AF399)=0,"NOT ON LIST",""))</f>
        <v/>
      </c>
      <c r="AH399" s="8" t="str">
        <f t="shared" si="20"/>
        <v/>
      </c>
    </row>
    <row r="400" spans="31:34" x14ac:dyDescent="0.25">
      <c r="AE400" s="8" t="str">
        <f t="shared" si="18"/>
        <v/>
      </c>
      <c r="AF400" s="8" t="str">
        <f t="shared" si="19"/>
        <v/>
      </c>
      <c r="AG400" s="8" t="str">
        <f>IF(TRIM($E400)&lt;&gt;"Tax Paid","",IF(COUNTIFS(LISTS!$F$2:$F$26,$AE400,LISTS!$G$2:$G$26,$AF400)=0,"NOT ON LIST",""))</f>
        <v/>
      </c>
      <c r="AH400" s="8" t="str">
        <f t="shared" si="20"/>
        <v/>
      </c>
    </row>
    <row r="401" spans="31:34" x14ac:dyDescent="0.25">
      <c r="AE401" s="8" t="str">
        <f t="shared" si="18"/>
        <v/>
      </c>
      <c r="AF401" s="8" t="str">
        <f t="shared" si="19"/>
        <v/>
      </c>
      <c r="AG401" s="8" t="str">
        <f>IF(TRIM($E401)&lt;&gt;"Tax Paid","",IF(COUNTIFS(LISTS!$F$2:$F$26,$AE401,LISTS!$G$2:$G$26,$AF401)=0,"NOT ON LIST",""))</f>
        <v/>
      </c>
      <c r="AH401" s="8" t="str">
        <f t="shared" si="20"/>
        <v/>
      </c>
    </row>
    <row r="402" spans="31:34" x14ac:dyDescent="0.25">
      <c r="AE402" s="8" t="str">
        <f t="shared" si="18"/>
        <v/>
      </c>
      <c r="AF402" s="8" t="str">
        <f t="shared" si="19"/>
        <v/>
      </c>
      <c r="AG402" s="8" t="str">
        <f>IF(TRIM($E402)&lt;&gt;"Tax Paid","",IF(COUNTIFS(LISTS!$F$2:$F$26,$AE402,LISTS!$G$2:$G$26,$AF402)=0,"NOT ON LIST",""))</f>
        <v/>
      </c>
      <c r="AH402" s="8" t="str">
        <f t="shared" si="20"/>
        <v/>
      </c>
    </row>
    <row r="403" spans="31:34" x14ac:dyDescent="0.25">
      <c r="AE403" s="8" t="str">
        <f t="shared" si="18"/>
        <v/>
      </c>
      <c r="AF403" s="8" t="str">
        <f t="shared" si="19"/>
        <v/>
      </c>
      <c r="AG403" s="8" t="str">
        <f>IF(TRIM($E403)&lt;&gt;"Tax Paid","",IF(COUNTIFS(LISTS!$F$2:$F$26,$AE403,LISTS!$G$2:$G$26,$AF403)=0,"NOT ON LIST",""))</f>
        <v/>
      </c>
      <c r="AH403" s="8" t="str">
        <f t="shared" si="20"/>
        <v/>
      </c>
    </row>
    <row r="404" spans="31:34" x14ac:dyDescent="0.25">
      <c r="AE404" s="8" t="str">
        <f t="shared" si="18"/>
        <v/>
      </c>
      <c r="AF404" s="8" t="str">
        <f t="shared" si="19"/>
        <v/>
      </c>
      <c r="AG404" s="8" t="str">
        <f>IF(TRIM($E404)&lt;&gt;"Tax Paid","",IF(COUNTIFS(LISTS!$F$2:$F$26,$AE404,LISTS!$G$2:$G$26,$AF404)=0,"NOT ON LIST",""))</f>
        <v/>
      </c>
      <c r="AH404" s="8" t="str">
        <f t="shared" si="20"/>
        <v/>
      </c>
    </row>
    <row r="405" spans="31:34" x14ac:dyDescent="0.25">
      <c r="AE405" s="8" t="str">
        <f t="shared" si="18"/>
        <v/>
      </c>
      <c r="AF405" s="8" t="str">
        <f t="shared" si="19"/>
        <v/>
      </c>
      <c r="AG405" s="8" t="str">
        <f>IF(TRIM($E405)&lt;&gt;"Tax Paid","",IF(COUNTIFS(LISTS!$F$2:$F$26,$AE405,LISTS!$G$2:$G$26,$AF405)=0,"NOT ON LIST",""))</f>
        <v/>
      </c>
      <c r="AH405" s="8" t="str">
        <f t="shared" si="20"/>
        <v/>
      </c>
    </row>
    <row r="406" spans="31:34" x14ac:dyDescent="0.25">
      <c r="AE406" s="8" t="str">
        <f t="shared" si="18"/>
        <v/>
      </c>
      <c r="AF406" s="8" t="str">
        <f t="shared" si="19"/>
        <v/>
      </c>
      <c r="AG406" s="8" t="str">
        <f>IF(TRIM($E406)&lt;&gt;"Tax Paid","",IF(COUNTIFS(LISTS!$F$2:$F$26,$AE406,LISTS!$G$2:$G$26,$AF406)=0,"NOT ON LIST",""))</f>
        <v/>
      </c>
      <c r="AH406" s="8" t="str">
        <f t="shared" si="20"/>
        <v/>
      </c>
    </row>
    <row r="407" spans="31:34" x14ac:dyDescent="0.25">
      <c r="AE407" s="8" t="str">
        <f t="shared" si="18"/>
        <v/>
      </c>
      <c r="AF407" s="8" t="str">
        <f t="shared" si="19"/>
        <v/>
      </c>
      <c r="AG407" s="8" t="str">
        <f>IF(TRIM($E407)&lt;&gt;"Tax Paid","",IF(COUNTIFS(LISTS!$F$2:$F$26,$AE407,LISTS!$G$2:$G$26,$AF407)=0,"NOT ON LIST",""))</f>
        <v/>
      </c>
      <c r="AH407" s="8" t="str">
        <f t="shared" si="20"/>
        <v/>
      </c>
    </row>
    <row r="408" spans="31:34" x14ac:dyDescent="0.25">
      <c r="AE408" s="8" t="str">
        <f t="shared" si="18"/>
        <v/>
      </c>
      <c r="AF408" s="8" t="str">
        <f t="shared" si="19"/>
        <v/>
      </c>
      <c r="AG408" s="8" t="str">
        <f>IF(TRIM($E408)&lt;&gt;"Tax Paid","",IF(COUNTIFS(LISTS!$F$2:$F$26,$AE408,LISTS!$G$2:$G$26,$AF408)=0,"NOT ON LIST",""))</f>
        <v/>
      </c>
      <c r="AH408" s="8" t="str">
        <f t="shared" si="20"/>
        <v/>
      </c>
    </row>
    <row r="409" spans="31:34" x14ac:dyDescent="0.25">
      <c r="AE409" s="8" t="str">
        <f t="shared" si="18"/>
        <v/>
      </c>
      <c r="AF409" s="8" t="str">
        <f t="shared" si="19"/>
        <v/>
      </c>
      <c r="AG409" s="8" t="str">
        <f>IF(TRIM($E409)&lt;&gt;"Tax Paid","",IF(COUNTIFS(LISTS!$F$2:$F$26,$AE409,LISTS!$G$2:$G$26,$AF409)=0,"NOT ON LIST",""))</f>
        <v/>
      </c>
      <c r="AH409" s="8" t="str">
        <f t="shared" si="20"/>
        <v/>
      </c>
    </row>
    <row r="410" spans="31:34" x14ac:dyDescent="0.25">
      <c r="AE410" s="8" t="str">
        <f t="shared" si="18"/>
        <v/>
      </c>
      <c r="AF410" s="8" t="str">
        <f t="shared" si="19"/>
        <v/>
      </c>
      <c r="AG410" s="8" t="str">
        <f>IF(TRIM($E410)&lt;&gt;"Tax Paid","",IF(COUNTIFS(LISTS!$F$2:$F$26,$AE410,LISTS!$G$2:$G$26,$AF410)=0,"NOT ON LIST",""))</f>
        <v/>
      </c>
      <c r="AH410" s="8" t="str">
        <f t="shared" si="20"/>
        <v/>
      </c>
    </row>
    <row r="411" spans="31:34" x14ac:dyDescent="0.25">
      <c r="AE411" s="8" t="str">
        <f t="shared" si="18"/>
        <v/>
      </c>
      <c r="AF411" s="8" t="str">
        <f t="shared" si="19"/>
        <v/>
      </c>
      <c r="AG411" s="8" t="str">
        <f>IF(TRIM($E411)&lt;&gt;"Tax Paid","",IF(COUNTIFS(LISTS!$F$2:$F$26,$AE411,LISTS!$G$2:$G$26,$AF411)=0,"NOT ON LIST",""))</f>
        <v/>
      </c>
      <c r="AH411" s="8" t="str">
        <f t="shared" si="20"/>
        <v/>
      </c>
    </row>
    <row r="412" spans="31:34" x14ac:dyDescent="0.25">
      <c r="AE412" s="8" t="str">
        <f t="shared" si="18"/>
        <v/>
      </c>
      <c r="AF412" s="8" t="str">
        <f t="shared" si="19"/>
        <v/>
      </c>
      <c r="AG412" s="8" t="str">
        <f>IF(TRIM($E412)&lt;&gt;"Tax Paid","",IF(COUNTIFS(LISTS!$F$2:$F$26,$AE412,LISTS!$G$2:$G$26,$AF412)=0,"NOT ON LIST",""))</f>
        <v/>
      </c>
      <c r="AH412" s="8" t="str">
        <f t="shared" si="20"/>
        <v/>
      </c>
    </row>
    <row r="413" spans="31:34" x14ac:dyDescent="0.25">
      <c r="AE413" s="8" t="str">
        <f t="shared" si="18"/>
        <v/>
      </c>
      <c r="AF413" s="8" t="str">
        <f t="shared" si="19"/>
        <v/>
      </c>
      <c r="AG413" s="8" t="str">
        <f>IF(TRIM($E413)&lt;&gt;"Tax Paid","",IF(COUNTIFS(LISTS!$F$2:$F$26,$AE413,LISTS!$G$2:$G$26,$AF413)=0,"NOT ON LIST",""))</f>
        <v/>
      </c>
      <c r="AH413" s="8" t="str">
        <f t="shared" si="20"/>
        <v/>
      </c>
    </row>
    <row r="414" spans="31:34" x14ac:dyDescent="0.25">
      <c r="AE414" s="8" t="str">
        <f t="shared" si="18"/>
        <v/>
      </c>
      <c r="AF414" s="8" t="str">
        <f t="shared" si="19"/>
        <v/>
      </c>
      <c r="AG414" s="8" t="str">
        <f>IF(TRIM($E414)&lt;&gt;"Tax Paid","",IF(COUNTIFS(LISTS!$F$2:$F$26,$AE414,LISTS!$G$2:$G$26,$AF414)=0,"NOT ON LIST",""))</f>
        <v/>
      </c>
      <c r="AH414" s="8" t="str">
        <f t="shared" si="20"/>
        <v/>
      </c>
    </row>
    <row r="415" spans="31:34" x14ac:dyDescent="0.25">
      <c r="AE415" s="8" t="str">
        <f t="shared" si="18"/>
        <v/>
      </c>
      <c r="AF415" s="8" t="str">
        <f t="shared" si="19"/>
        <v/>
      </c>
      <c r="AG415" s="8" t="str">
        <f>IF(TRIM($E415)&lt;&gt;"Tax Paid","",IF(COUNTIFS(LISTS!$F$2:$F$26,$AE415,LISTS!$G$2:$G$26,$AF415)=0,"NOT ON LIST",""))</f>
        <v/>
      </c>
      <c r="AH415" s="8" t="str">
        <f t="shared" si="20"/>
        <v/>
      </c>
    </row>
    <row r="416" spans="31:34" x14ac:dyDescent="0.25">
      <c r="AE416" s="8" t="str">
        <f t="shared" si="18"/>
        <v/>
      </c>
      <c r="AF416" s="8" t="str">
        <f t="shared" si="19"/>
        <v/>
      </c>
      <c r="AG416" s="8" t="str">
        <f>IF(TRIM($E416)&lt;&gt;"Tax Paid","",IF(COUNTIFS(LISTS!$F$2:$F$26,$AE416,LISTS!$G$2:$G$26,$AF416)=0,"NOT ON LIST",""))</f>
        <v/>
      </c>
      <c r="AH416" s="8" t="str">
        <f t="shared" si="20"/>
        <v/>
      </c>
    </row>
    <row r="417" spans="31:34" x14ac:dyDescent="0.25">
      <c r="AE417" s="8" t="str">
        <f t="shared" si="18"/>
        <v/>
      </c>
      <c r="AF417" s="8" t="str">
        <f t="shared" si="19"/>
        <v/>
      </c>
      <c r="AG417" s="8" t="str">
        <f>IF(TRIM($E417)&lt;&gt;"Tax Paid","",IF(COUNTIFS(LISTS!$F$2:$F$26,$AE417,LISTS!$G$2:$G$26,$AF417)=0,"NOT ON LIST",""))</f>
        <v/>
      </c>
      <c r="AH417" s="8" t="str">
        <f t="shared" si="20"/>
        <v/>
      </c>
    </row>
    <row r="418" spans="31:34" x14ac:dyDescent="0.25">
      <c r="AE418" s="8" t="str">
        <f t="shared" si="18"/>
        <v/>
      </c>
      <c r="AF418" s="8" t="str">
        <f t="shared" si="19"/>
        <v/>
      </c>
      <c r="AG418" s="8" t="str">
        <f>IF(TRIM($E418)&lt;&gt;"Tax Paid","",IF(COUNTIFS(LISTS!$F$2:$F$26,$AE418,LISTS!$G$2:$G$26,$AF418)=0,"NOT ON LIST",""))</f>
        <v/>
      </c>
      <c r="AH418" s="8" t="str">
        <f t="shared" si="20"/>
        <v/>
      </c>
    </row>
    <row r="419" spans="31:34" x14ac:dyDescent="0.25">
      <c r="AE419" s="8" t="str">
        <f t="shared" si="18"/>
        <v/>
      </c>
      <c r="AF419" s="8" t="str">
        <f t="shared" si="19"/>
        <v/>
      </c>
      <c r="AG419" s="8" t="str">
        <f>IF(TRIM($E419)&lt;&gt;"Tax Paid","",IF(COUNTIFS(LISTS!$F$2:$F$26,$AE419,LISTS!$G$2:$G$26,$AF419)=0,"NOT ON LIST",""))</f>
        <v/>
      </c>
      <c r="AH419" s="8" t="str">
        <f t="shared" si="20"/>
        <v/>
      </c>
    </row>
    <row r="420" spans="31:34" x14ac:dyDescent="0.25">
      <c r="AE420" s="8" t="str">
        <f t="shared" si="18"/>
        <v/>
      </c>
      <c r="AF420" s="8" t="str">
        <f t="shared" si="19"/>
        <v/>
      </c>
      <c r="AG420" s="8" t="str">
        <f>IF(TRIM($E420)&lt;&gt;"Tax Paid","",IF(COUNTIFS(LISTS!$F$2:$F$26,$AE420,LISTS!$G$2:$G$26,$AF420)=0,"NOT ON LIST",""))</f>
        <v/>
      </c>
      <c r="AH420" s="8" t="str">
        <f t="shared" si="20"/>
        <v/>
      </c>
    </row>
    <row r="421" spans="31:34" x14ac:dyDescent="0.25">
      <c r="AE421" s="8" t="str">
        <f t="shared" si="18"/>
        <v/>
      </c>
      <c r="AF421" s="8" t="str">
        <f t="shared" si="19"/>
        <v/>
      </c>
      <c r="AG421" s="8" t="str">
        <f>IF(TRIM($E421)&lt;&gt;"Tax Paid","",IF(COUNTIFS(LISTS!$F$2:$F$26,$AE421,LISTS!$G$2:$G$26,$AF421)=0,"NOT ON LIST",""))</f>
        <v/>
      </c>
      <c r="AH421" s="8" t="str">
        <f t="shared" si="20"/>
        <v/>
      </c>
    </row>
    <row r="422" spans="31:34" x14ac:dyDescent="0.25">
      <c r="AE422" s="8" t="str">
        <f t="shared" si="18"/>
        <v/>
      </c>
      <c r="AF422" s="8" t="str">
        <f t="shared" si="19"/>
        <v/>
      </c>
      <c r="AG422" s="8" t="str">
        <f>IF(TRIM($E422)&lt;&gt;"Tax Paid","",IF(COUNTIFS(LISTS!$F$2:$F$26,$AE422,LISTS!$G$2:$G$26,$AF422)=0,"NOT ON LIST",""))</f>
        <v/>
      </c>
      <c r="AH422" s="8" t="str">
        <f t="shared" si="20"/>
        <v/>
      </c>
    </row>
    <row r="423" spans="31:34" x14ac:dyDescent="0.25">
      <c r="AE423" s="8" t="str">
        <f t="shared" si="18"/>
        <v/>
      </c>
      <c r="AF423" s="8" t="str">
        <f t="shared" si="19"/>
        <v/>
      </c>
      <c r="AG423" s="8" t="str">
        <f>IF(TRIM($E423)&lt;&gt;"Tax Paid","",IF(COUNTIFS(LISTS!$F$2:$F$26,$AE423,LISTS!$G$2:$G$26,$AF423)=0,"NOT ON LIST",""))</f>
        <v/>
      </c>
      <c r="AH423" s="8" t="str">
        <f t="shared" si="20"/>
        <v/>
      </c>
    </row>
    <row r="424" spans="31:34" x14ac:dyDescent="0.25">
      <c r="AE424" s="8" t="str">
        <f t="shared" si="18"/>
        <v/>
      </c>
      <c r="AF424" s="8" t="str">
        <f t="shared" si="19"/>
        <v/>
      </c>
      <c r="AG424" s="8" t="str">
        <f>IF(TRIM($E424)&lt;&gt;"Tax Paid","",IF(COUNTIFS(LISTS!$F$2:$F$26,$AE424,LISTS!$G$2:$G$26,$AF424)=0,"NOT ON LIST",""))</f>
        <v/>
      </c>
      <c r="AH424" s="8" t="str">
        <f t="shared" si="20"/>
        <v/>
      </c>
    </row>
    <row r="425" spans="31:34" x14ac:dyDescent="0.25">
      <c r="AE425" s="8" t="str">
        <f t="shared" si="18"/>
        <v/>
      </c>
      <c r="AF425" s="8" t="str">
        <f t="shared" si="19"/>
        <v/>
      </c>
      <c r="AG425" s="8" t="str">
        <f>IF(TRIM($E425)&lt;&gt;"Tax Paid","",IF(COUNTIFS(LISTS!$F$2:$F$26,$AE425,LISTS!$G$2:$G$26,$AF425)=0,"NOT ON LIST",""))</f>
        <v/>
      </c>
      <c r="AH425" s="8" t="str">
        <f t="shared" si="20"/>
        <v/>
      </c>
    </row>
    <row r="426" spans="31:34" x14ac:dyDescent="0.25">
      <c r="AE426" s="8" t="str">
        <f t="shared" si="18"/>
        <v/>
      </c>
      <c r="AF426" s="8" t="str">
        <f t="shared" si="19"/>
        <v/>
      </c>
      <c r="AG426" s="8" t="str">
        <f>IF(TRIM($E426)&lt;&gt;"Tax Paid","",IF(COUNTIFS(LISTS!$F$2:$F$26,$AE426,LISTS!$G$2:$G$26,$AF426)=0,"NOT ON LIST",""))</f>
        <v/>
      </c>
      <c r="AH426" s="8" t="str">
        <f t="shared" si="20"/>
        <v/>
      </c>
    </row>
    <row r="427" spans="31:34" x14ac:dyDescent="0.25">
      <c r="AE427" s="8" t="str">
        <f t="shared" si="18"/>
        <v/>
      </c>
      <c r="AF427" s="8" t="str">
        <f t="shared" si="19"/>
        <v/>
      </c>
      <c r="AG427" s="8" t="str">
        <f>IF(TRIM($E427)&lt;&gt;"Tax Paid","",IF(COUNTIFS(LISTS!$F$2:$F$26,$AE427,LISTS!$G$2:$G$26,$AF427)=0,"NOT ON LIST",""))</f>
        <v/>
      </c>
      <c r="AH427" s="8" t="str">
        <f t="shared" si="20"/>
        <v/>
      </c>
    </row>
    <row r="428" spans="31:34" x14ac:dyDescent="0.25">
      <c r="AE428" s="8" t="str">
        <f t="shared" si="18"/>
        <v/>
      </c>
      <c r="AF428" s="8" t="str">
        <f t="shared" si="19"/>
        <v/>
      </c>
      <c r="AG428" s="8" t="str">
        <f>IF(TRIM($E428)&lt;&gt;"Tax Paid","",IF(COUNTIFS(LISTS!$F$2:$F$26,$AE428,LISTS!$G$2:$G$26,$AF428)=0,"NOT ON LIST",""))</f>
        <v/>
      </c>
      <c r="AH428" s="8" t="str">
        <f t="shared" si="20"/>
        <v/>
      </c>
    </row>
    <row r="429" spans="31:34" x14ac:dyDescent="0.25">
      <c r="AE429" s="8" t="str">
        <f t="shared" si="18"/>
        <v/>
      </c>
      <c r="AF429" s="8" t="str">
        <f t="shared" si="19"/>
        <v/>
      </c>
      <c r="AG429" s="8" t="str">
        <f>IF(TRIM($E429)&lt;&gt;"Tax Paid","",IF(COUNTIFS(LISTS!$F$2:$F$26,$AE429,LISTS!$G$2:$G$26,$AF429)=0,"NOT ON LIST",""))</f>
        <v/>
      </c>
      <c r="AH429" s="8" t="str">
        <f t="shared" si="20"/>
        <v/>
      </c>
    </row>
    <row r="430" spans="31:34" x14ac:dyDescent="0.25">
      <c r="AE430" s="8" t="str">
        <f t="shared" si="18"/>
        <v/>
      </c>
      <c r="AF430" s="8" t="str">
        <f t="shared" si="19"/>
        <v/>
      </c>
      <c r="AG430" s="8" t="str">
        <f>IF(TRIM($E430)&lt;&gt;"Tax Paid","",IF(COUNTIFS(LISTS!$F$2:$F$26,$AE430,LISTS!$G$2:$G$26,$AF430)=0,"NOT ON LIST",""))</f>
        <v/>
      </c>
      <c r="AH430" s="8" t="str">
        <f t="shared" si="20"/>
        <v/>
      </c>
    </row>
    <row r="431" spans="31:34" x14ac:dyDescent="0.25">
      <c r="AE431" s="8" t="str">
        <f t="shared" si="18"/>
        <v/>
      </c>
      <c r="AF431" s="8" t="str">
        <f t="shared" si="19"/>
        <v/>
      </c>
      <c r="AG431" s="8" t="str">
        <f>IF(TRIM($E431)&lt;&gt;"Tax Paid","",IF(COUNTIFS(LISTS!$F$2:$F$26,$AE431,LISTS!$G$2:$G$26,$AF431)=0,"NOT ON LIST",""))</f>
        <v/>
      </c>
      <c r="AH431" s="8" t="str">
        <f t="shared" si="20"/>
        <v/>
      </c>
    </row>
    <row r="432" spans="31:34" x14ac:dyDescent="0.25">
      <c r="AE432" s="8" t="str">
        <f t="shared" si="18"/>
        <v/>
      </c>
      <c r="AF432" s="8" t="str">
        <f t="shared" si="19"/>
        <v/>
      </c>
      <c r="AG432" s="8" t="str">
        <f>IF(TRIM($E432)&lt;&gt;"Tax Paid","",IF(COUNTIFS(LISTS!$F$2:$F$26,$AE432,LISTS!$G$2:$G$26,$AF432)=0,"NOT ON LIST",""))</f>
        <v/>
      </c>
      <c r="AH432" s="8" t="str">
        <f t="shared" si="20"/>
        <v/>
      </c>
    </row>
    <row r="433" spans="31:34" x14ac:dyDescent="0.25">
      <c r="AE433" s="8" t="str">
        <f t="shared" si="18"/>
        <v/>
      </c>
      <c r="AF433" s="8" t="str">
        <f t="shared" si="19"/>
        <v/>
      </c>
      <c r="AG433" s="8" t="str">
        <f>IF(TRIM($E433)&lt;&gt;"Tax Paid","",IF(COUNTIFS(LISTS!$F$2:$F$26,$AE433,LISTS!$G$2:$G$26,$AF433)=0,"NOT ON LIST",""))</f>
        <v/>
      </c>
      <c r="AH433" s="8" t="str">
        <f t="shared" si="20"/>
        <v/>
      </c>
    </row>
    <row r="434" spans="31:34" x14ac:dyDescent="0.25">
      <c r="AE434" s="8" t="str">
        <f t="shared" si="18"/>
        <v/>
      </c>
      <c r="AF434" s="8" t="str">
        <f t="shared" si="19"/>
        <v/>
      </c>
      <c r="AG434" s="8" t="str">
        <f>IF(TRIM($E434)&lt;&gt;"Tax Paid","",IF(COUNTIFS(LISTS!$F$2:$F$26,$AE434,LISTS!$G$2:$G$26,$AF434)=0,"NOT ON LIST",""))</f>
        <v/>
      </c>
      <c r="AH434" s="8" t="str">
        <f t="shared" si="20"/>
        <v/>
      </c>
    </row>
    <row r="435" spans="31:34" x14ac:dyDescent="0.25">
      <c r="AE435" s="8" t="str">
        <f t="shared" si="18"/>
        <v/>
      </c>
      <c r="AF435" s="8" t="str">
        <f t="shared" si="19"/>
        <v/>
      </c>
      <c r="AG435" s="8" t="str">
        <f>IF(TRIM($E435)&lt;&gt;"Tax Paid","",IF(COUNTIFS(LISTS!$F$2:$F$26,$AE435,LISTS!$G$2:$G$26,$AF435)=0,"NOT ON LIST",""))</f>
        <v/>
      </c>
      <c r="AH435" s="8" t="str">
        <f t="shared" si="20"/>
        <v/>
      </c>
    </row>
    <row r="436" spans="31:34" x14ac:dyDescent="0.25">
      <c r="AE436" s="8" t="str">
        <f t="shared" si="18"/>
        <v/>
      </c>
      <c r="AF436" s="8" t="str">
        <f t="shared" si="19"/>
        <v/>
      </c>
      <c r="AG436" s="8" t="str">
        <f>IF(TRIM($E436)&lt;&gt;"Tax Paid","",IF(COUNTIFS(LISTS!$F$2:$F$26,$AE436,LISTS!$G$2:$G$26,$AF436)=0,"NOT ON LIST",""))</f>
        <v/>
      </c>
      <c r="AH436" s="8" t="str">
        <f t="shared" si="20"/>
        <v/>
      </c>
    </row>
    <row r="437" spans="31:34" x14ac:dyDescent="0.25">
      <c r="AE437" s="8" t="str">
        <f t="shared" si="18"/>
        <v/>
      </c>
      <c r="AF437" s="8" t="str">
        <f t="shared" si="19"/>
        <v/>
      </c>
      <c r="AG437" s="8" t="str">
        <f>IF(TRIM($E437)&lt;&gt;"Tax Paid","",IF(COUNTIFS(LISTS!$F$2:$F$26,$AE437,LISTS!$G$2:$G$26,$AF437)=0,"NOT ON LIST",""))</f>
        <v/>
      </c>
      <c r="AH437" s="8" t="str">
        <f t="shared" si="20"/>
        <v/>
      </c>
    </row>
    <row r="438" spans="31:34" x14ac:dyDescent="0.25">
      <c r="AE438" s="8" t="str">
        <f t="shared" si="18"/>
        <v/>
      </c>
      <c r="AF438" s="8" t="str">
        <f t="shared" si="19"/>
        <v/>
      </c>
      <c r="AG438" s="8" t="str">
        <f>IF(TRIM($E438)&lt;&gt;"Tax Paid","",IF(COUNTIFS(LISTS!$F$2:$F$26,$AE438,LISTS!$G$2:$G$26,$AF438)=0,"NOT ON LIST",""))</f>
        <v/>
      </c>
      <c r="AH438" s="8" t="str">
        <f t="shared" si="20"/>
        <v/>
      </c>
    </row>
    <row r="439" spans="31:34" x14ac:dyDescent="0.25">
      <c r="AE439" s="8" t="str">
        <f t="shared" si="18"/>
        <v/>
      </c>
      <c r="AF439" s="8" t="str">
        <f t="shared" si="19"/>
        <v/>
      </c>
      <c r="AG439" s="8" t="str">
        <f>IF(TRIM($E439)&lt;&gt;"Tax Paid","",IF(COUNTIFS(LISTS!$F$2:$F$26,$AE439,LISTS!$G$2:$G$26,$AF439)=0,"NOT ON LIST",""))</f>
        <v/>
      </c>
      <c r="AH439" s="8" t="str">
        <f t="shared" si="20"/>
        <v/>
      </c>
    </row>
    <row r="440" spans="31:34" x14ac:dyDescent="0.25">
      <c r="AE440" s="8" t="str">
        <f t="shared" si="18"/>
        <v/>
      </c>
      <c r="AF440" s="8" t="str">
        <f t="shared" si="19"/>
        <v/>
      </c>
      <c r="AG440" s="8" t="str">
        <f>IF(TRIM($E440)&lt;&gt;"Tax Paid","",IF(COUNTIFS(LISTS!$F$2:$F$26,$AE440,LISTS!$G$2:$G$26,$AF440)=0,"NOT ON LIST",""))</f>
        <v/>
      </c>
      <c r="AH440" s="8" t="str">
        <f t="shared" si="20"/>
        <v/>
      </c>
    </row>
    <row r="441" spans="31:34" x14ac:dyDescent="0.25">
      <c r="AE441" s="8" t="str">
        <f t="shared" si="18"/>
        <v/>
      </c>
      <c r="AF441" s="8" t="str">
        <f t="shared" si="19"/>
        <v/>
      </c>
      <c r="AG441" s="8" t="str">
        <f>IF(TRIM($E441)&lt;&gt;"Tax Paid","",IF(COUNTIFS(LISTS!$F$2:$F$26,$AE441,LISTS!$G$2:$G$26,$AF441)=0,"NOT ON LIST",""))</f>
        <v/>
      </c>
      <c r="AH441" s="8" t="str">
        <f t="shared" si="20"/>
        <v/>
      </c>
    </row>
    <row r="442" spans="31:34" x14ac:dyDescent="0.25">
      <c r="AE442" s="8" t="str">
        <f t="shared" si="18"/>
        <v/>
      </c>
      <c r="AF442" s="8" t="str">
        <f t="shared" si="19"/>
        <v/>
      </c>
      <c r="AG442" s="8" t="str">
        <f>IF(TRIM($E442)&lt;&gt;"Tax Paid","",IF(COUNTIFS(LISTS!$F$2:$F$26,$AE442,LISTS!$G$2:$G$26,$AF442)=0,"NOT ON LIST",""))</f>
        <v/>
      </c>
      <c r="AH442" s="8" t="str">
        <f t="shared" si="20"/>
        <v/>
      </c>
    </row>
    <row r="443" spans="31:34" x14ac:dyDescent="0.25">
      <c r="AE443" s="8" t="str">
        <f t="shared" si="18"/>
        <v/>
      </c>
      <c r="AF443" s="8" t="str">
        <f t="shared" si="19"/>
        <v/>
      </c>
      <c r="AG443" s="8" t="str">
        <f>IF(TRIM($E443)&lt;&gt;"Tax Paid","",IF(COUNTIFS(LISTS!$F$2:$F$26,$AE443,LISTS!$G$2:$G$26,$AF443)=0,"NOT ON LIST",""))</f>
        <v/>
      </c>
      <c r="AH443" s="8" t="str">
        <f t="shared" si="20"/>
        <v/>
      </c>
    </row>
    <row r="444" spans="31:34" x14ac:dyDescent="0.25">
      <c r="AE444" s="8" t="str">
        <f t="shared" si="18"/>
        <v/>
      </c>
      <c r="AF444" s="8" t="str">
        <f t="shared" si="19"/>
        <v/>
      </c>
      <c r="AG444" s="8" t="str">
        <f>IF(TRIM($E444)&lt;&gt;"Tax Paid","",IF(COUNTIFS(LISTS!$F$2:$F$26,$AE444,LISTS!$G$2:$G$26,$AF444)=0,"NOT ON LIST",""))</f>
        <v/>
      </c>
      <c r="AH444" s="8" t="str">
        <f t="shared" si="20"/>
        <v/>
      </c>
    </row>
    <row r="445" spans="31:34" x14ac:dyDescent="0.25">
      <c r="AE445" s="8" t="str">
        <f t="shared" si="18"/>
        <v/>
      </c>
      <c r="AF445" s="8" t="str">
        <f t="shared" si="19"/>
        <v/>
      </c>
      <c r="AG445" s="8" t="str">
        <f>IF(TRIM($E445)&lt;&gt;"Tax Paid","",IF(COUNTIFS(LISTS!$F$2:$F$26,$AE445,LISTS!$G$2:$G$26,$AF445)=0,"NOT ON LIST",""))</f>
        <v/>
      </c>
      <c r="AH445" s="8" t="str">
        <f t="shared" si="20"/>
        <v/>
      </c>
    </row>
    <row r="446" spans="31:34" x14ac:dyDescent="0.25">
      <c r="AE446" s="8" t="str">
        <f t="shared" si="18"/>
        <v/>
      </c>
      <c r="AF446" s="8" t="str">
        <f t="shared" si="19"/>
        <v/>
      </c>
      <c r="AG446" s="8" t="str">
        <f>IF(TRIM($E446)&lt;&gt;"Tax Paid","",IF(COUNTIFS(LISTS!$F$2:$F$26,$AE446,LISTS!$G$2:$G$26,$AF446)=0,"NOT ON LIST",""))</f>
        <v/>
      </c>
      <c r="AH446" s="8" t="str">
        <f t="shared" si="20"/>
        <v/>
      </c>
    </row>
    <row r="447" spans="31:34" x14ac:dyDescent="0.25">
      <c r="AE447" s="8" t="str">
        <f t="shared" si="18"/>
        <v/>
      </c>
      <c r="AF447" s="8" t="str">
        <f t="shared" si="19"/>
        <v/>
      </c>
      <c r="AG447" s="8" t="str">
        <f>IF(TRIM($E447)&lt;&gt;"Tax Paid","",IF(COUNTIFS(LISTS!$F$2:$F$26,$AE447,LISTS!$G$2:$G$26,$AF447)=0,"NOT ON LIST",""))</f>
        <v/>
      </c>
      <c r="AH447" s="8" t="str">
        <f t="shared" si="20"/>
        <v/>
      </c>
    </row>
    <row r="448" spans="31:34" x14ac:dyDescent="0.25">
      <c r="AE448" s="8" t="str">
        <f t="shared" si="18"/>
        <v/>
      </c>
      <c r="AF448" s="8" t="str">
        <f t="shared" si="19"/>
        <v/>
      </c>
      <c r="AG448" s="8" t="str">
        <f>IF(TRIM($E448)&lt;&gt;"Tax Paid","",IF(COUNTIFS(LISTS!$F$2:$F$26,$AE448,LISTS!$G$2:$G$26,$AF448)=0,"NOT ON LIST",""))</f>
        <v/>
      </c>
      <c r="AH448" s="8" t="str">
        <f t="shared" si="20"/>
        <v/>
      </c>
    </row>
    <row r="449" spans="31:34" x14ac:dyDescent="0.25">
      <c r="AE449" s="8" t="str">
        <f t="shared" si="18"/>
        <v/>
      </c>
      <c r="AF449" s="8" t="str">
        <f t="shared" si="19"/>
        <v/>
      </c>
      <c r="AG449" s="8" t="str">
        <f>IF(TRIM($E449)&lt;&gt;"Tax Paid","",IF(COUNTIFS(LISTS!$F$2:$F$26,$AE449,LISTS!$G$2:$G$26,$AF449)=0,"NOT ON LIST",""))</f>
        <v/>
      </c>
      <c r="AH449" s="8" t="str">
        <f t="shared" si="20"/>
        <v/>
      </c>
    </row>
    <row r="450" spans="31:34" x14ac:dyDescent="0.25">
      <c r="AE450" s="8" t="str">
        <f t="shared" ref="AE450:AE513" si="21">IF(TRIM($E450)="Tax Paid",TRIM($S450),"")</f>
        <v/>
      </c>
      <c r="AF450" s="8" t="str">
        <f t="shared" ref="AF450:AF513" si="22">IF(TRIM($E450)="Tax Paid",ROUND($Z450/100,5),"")</f>
        <v/>
      </c>
      <c r="AG450" s="8" t="str">
        <f>IF(TRIM($E450)&lt;&gt;"Tax Paid","",IF(COUNTIFS(LISTS!$F$2:$F$26,$AE450,LISTS!$G$2:$G$26,$AF450)=0,"NOT ON LIST",""))</f>
        <v/>
      </c>
      <c r="AH450" s="8" t="str">
        <f t="shared" ref="AH450:AH513" si="23">IF($AG450="","",IF($AE450="","(no county)",$AE450)&amp;" ("&amp;SUBSTITUTE(TEXT($AF450,"0.###%"),".%","%")&amp;")")</f>
        <v/>
      </c>
    </row>
    <row r="451" spans="31:34" x14ac:dyDescent="0.25">
      <c r="AE451" s="8" t="str">
        <f t="shared" si="21"/>
        <v/>
      </c>
      <c r="AF451" s="8" t="str">
        <f t="shared" si="22"/>
        <v/>
      </c>
      <c r="AG451" s="8" t="str">
        <f>IF(TRIM($E451)&lt;&gt;"Tax Paid","",IF(COUNTIFS(LISTS!$F$2:$F$26,$AE451,LISTS!$G$2:$G$26,$AF451)=0,"NOT ON LIST",""))</f>
        <v/>
      </c>
      <c r="AH451" s="8" t="str">
        <f t="shared" si="23"/>
        <v/>
      </c>
    </row>
    <row r="452" spans="31:34" x14ac:dyDescent="0.25">
      <c r="AE452" s="8" t="str">
        <f t="shared" si="21"/>
        <v/>
      </c>
      <c r="AF452" s="8" t="str">
        <f t="shared" si="22"/>
        <v/>
      </c>
      <c r="AG452" s="8" t="str">
        <f>IF(TRIM($E452)&lt;&gt;"Tax Paid","",IF(COUNTIFS(LISTS!$F$2:$F$26,$AE452,LISTS!$G$2:$G$26,$AF452)=0,"NOT ON LIST",""))</f>
        <v/>
      </c>
      <c r="AH452" s="8" t="str">
        <f t="shared" si="23"/>
        <v/>
      </c>
    </row>
    <row r="453" spans="31:34" x14ac:dyDescent="0.25">
      <c r="AE453" s="8" t="str">
        <f t="shared" si="21"/>
        <v/>
      </c>
      <c r="AF453" s="8" t="str">
        <f t="shared" si="22"/>
        <v/>
      </c>
      <c r="AG453" s="8" t="str">
        <f>IF(TRIM($E453)&lt;&gt;"Tax Paid","",IF(COUNTIFS(LISTS!$F$2:$F$26,$AE453,LISTS!$G$2:$G$26,$AF453)=0,"NOT ON LIST",""))</f>
        <v/>
      </c>
      <c r="AH453" s="8" t="str">
        <f t="shared" si="23"/>
        <v/>
      </c>
    </row>
    <row r="454" spans="31:34" x14ac:dyDescent="0.25">
      <c r="AE454" s="8" t="str">
        <f t="shared" si="21"/>
        <v/>
      </c>
      <c r="AF454" s="8" t="str">
        <f t="shared" si="22"/>
        <v/>
      </c>
      <c r="AG454" s="8" t="str">
        <f>IF(TRIM($E454)&lt;&gt;"Tax Paid","",IF(COUNTIFS(LISTS!$F$2:$F$26,$AE454,LISTS!$G$2:$G$26,$AF454)=0,"NOT ON LIST",""))</f>
        <v/>
      </c>
      <c r="AH454" s="8" t="str">
        <f t="shared" si="23"/>
        <v/>
      </c>
    </row>
    <row r="455" spans="31:34" x14ac:dyDescent="0.25">
      <c r="AE455" s="8" t="str">
        <f t="shared" si="21"/>
        <v/>
      </c>
      <c r="AF455" s="8" t="str">
        <f t="shared" si="22"/>
        <v/>
      </c>
      <c r="AG455" s="8" t="str">
        <f>IF(TRIM($E455)&lt;&gt;"Tax Paid","",IF(COUNTIFS(LISTS!$F$2:$F$26,$AE455,LISTS!$G$2:$G$26,$AF455)=0,"NOT ON LIST",""))</f>
        <v/>
      </c>
      <c r="AH455" s="8" t="str">
        <f t="shared" si="23"/>
        <v/>
      </c>
    </row>
    <row r="456" spans="31:34" x14ac:dyDescent="0.25">
      <c r="AE456" s="8" t="str">
        <f t="shared" si="21"/>
        <v/>
      </c>
      <c r="AF456" s="8" t="str">
        <f t="shared" si="22"/>
        <v/>
      </c>
      <c r="AG456" s="8" t="str">
        <f>IF(TRIM($E456)&lt;&gt;"Tax Paid","",IF(COUNTIFS(LISTS!$F$2:$F$26,$AE456,LISTS!$G$2:$G$26,$AF456)=0,"NOT ON LIST",""))</f>
        <v/>
      </c>
      <c r="AH456" s="8" t="str">
        <f t="shared" si="23"/>
        <v/>
      </c>
    </row>
    <row r="457" spans="31:34" x14ac:dyDescent="0.25">
      <c r="AE457" s="8" t="str">
        <f t="shared" si="21"/>
        <v/>
      </c>
      <c r="AF457" s="8" t="str">
        <f t="shared" si="22"/>
        <v/>
      </c>
      <c r="AG457" s="8" t="str">
        <f>IF(TRIM($E457)&lt;&gt;"Tax Paid","",IF(COUNTIFS(LISTS!$F$2:$F$26,$AE457,LISTS!$G$2:$G$26,$AF457)=0,"NOT ON LIST",""))</f>
        <v/>
      </c>
      <c r="AH457" s="8" t="str">
        <f t="shared" si="23"/>
        <v/>
      </c>
    </row>
    <row r="458" spans="31:34" x14ac:dyDescent="0.25">
      <c r="AE458" s="8" t="str">
        <f t="shared" si="21"/>
        <v/>
      </c>
      <c r="AF458" s="8" t="str">
        <f t="shared" si="22"/>
        <v/>
      </c>
      <c r="AG458" s="8" t="str">
        <f>IF(TRIM($E458)&lt;&gt;"Tax Paid","",IF(COUNTIFS(LISTS!$F$2:$F$26,$AE458,LISTS!$G$2:$G$26,$AF458)=0,"NOT ON LIST",""))</f>
        <v/>
      </c>
      <c r="AH458" s="8" t="str">
        <f t="shared" si="23"/>
        <v/>
      </c>
    </row>
    <row r="459" spans="31:34" x14ac:dyDescent="0.25">
      <c r="AE459" s="8" t="str">
        <f t="shared" si="21"/>
        <v/>
      </c>
      <c r="AF459" s="8" t="str">
        <f t="shared" si="22"/>
        <v/>
      </c>
      <c r="AG459" s="8" t="str">
        <f>IF(TRIM($E459)&lt;&gt;"Tax Paid","",IF(COUNTIFS(LISTS!$F$2:$F$26,$AE459,LISTS!$G$2:$G$26,$AF459)=0,"NOT ON LIST",""))</f>
        <v/>
      </c>
      <c r="AH459" s="8" t="str">
        <f t="shared" si="23"/>
        <v/>
      </c>
    </row>
    <row r="460" spans="31:34" x14ac:dyDescent="0.25">
      <c r="AE460" s="8" t="str">
        <f t="shared" si="21"/>
        <v/>
      </c>
      <c r="AF460" s="8" t="str">
        <f t="shared" si="22"/>
        <v/>
      </c>
      <c r="AG460" s="8" t="str">
        <f>IF(TRIM($E460)&lt;&gt;"Tax Paid","",IF(COUNTIFS(LISTS!$F$2:$F$26,$AE460,LISTS!$G$2:$G$26,$AF460)=0,"NOT ON LIST",""))</f>
        <v/>
      </c>
      <c r="AH460" s="8" t="str">
        <f t="shared" si="23"/>
        <v/>
      </c>
    </row>
    <row r="461" spans="31:34" x14ac:dyDescent="0.25">
      <c r="AE461" s="8" t="str">
        <f t="shared" si="21"/>
        <v/>
      </c>
      <c r="AF461" s="8" t="str">
        <f t="shared" si="22"/>
        <v/>
      </c>
      <c r="AG461" s="8" t="str">
        <f>IF(TRIM($E461)&lt;&gt;"Tax Paid","",IF(COUNTIFS(LISTS!$F$2:$F$26,$AE461,LISTS!$G$2:$G$26,$AF461)=0,"NOT ON LIST",""))</f>
        <v/>
      </c>
      <c r="AH461" s="8" t="str">
        <f t="shared" si="23"/>
        <v/>
      </c>
    </row>
    <row r="462" spans="31:34" x14ac:dyDescent="0.25">
      <c r="AE462" s="8" t="str">
        <f t="shared" si="21"/>
        <v/>
      </c>
      <c r="AF462" s="8" t="str">
        <f t="shared" si="22"/>
        <v/>
      </c>
      <c r="AG462" s="8" t="str">
        <f>IF(TRIM($E462)&lt;&gt;"Tax Paid","",IF(COUNTIFS(LISTS!$F$2:$F$26,$AE462,LISTS!$G$2:$G$26,$AF462)=0,"NOT ON LIST",""))</f>
        <v/>
      </c>
      <c r="AH462" s="8" t="str">
        <f t="shared" si="23"/>
        <v/>
      </c>
    </row>
    <row r="463" spans="31:34" x14ac:dyDescent="0.25">
      <c r="AE463" s="8" t="str">
        <f t="shared" si="21"/>
        <v/>
      </c>
      <c r="AF463" s="8" t="str">
        <f t="shared" si="22"/>
        <v/>
      </c>
      <c r="AG463" s="8" t="str">
        <f>IF(TRIM($E463)&lt;&gt;"Tax Paid","",IF(COUNTIFS(LISTS!$F$2:$F$26,$AE463,LISTS!$G$2:$G$26,$AF463)=0,"NOT ON LIST",""))</f>
        <v/>
      </c>
      <c r="AH463" s="8" t="str">
        <f t="shared" si="23"/>
        <v/>
      </c>
    </row>
    <row r="464" spans="31:34" x14ac:dyDescent="0.25">
      <c r="AE464" s="8" t="str">
        <f t="shared" si="21"/>
        <v/>
      </c>
      <c r="AF464" s="8" t="str">
        <f t="shared" si="22"/>
        <v/>
      </c>
      <c r="AG464" s="8" t="str">
        <f>IF(TRIM($E464)&lt;&gt;"Tax Paid","",IF(COUNTIFS(LISTS!$F$2:$F$26,$AE464,LISTS!$G$2:$G$26,$AF464)=0,"NOT ON LIST",""))</f>
        <v/>
      </c>
      <c r="AH464" s="8" t="str">
        <f t="shared" si="23"/>
        <v/>
      </c>
    </row>
    <row r="465" spans="31:34" x14ac:dyDescent="0.25">
      <c r="AE465" s="8" t="str">
        <f t="shared" si="21"/>
        <v/>
      </c>
      <c r="AF465" s="8" t="str">
        <f t="shared" si="22"/>
        <v/>
      </c>
      <c r="AG465" s="8" t="str">
        <f>IF(TRIM($E465)&lt;&gt;"Tax Paid","",IF(COUNTIFS(LISTS!$F$2:$F$26,$AE465,LISTS!$G$2:$G$26,$AF465)=0,"NOT ON LIST",""))</f>
        <v/>
      </c>
      <c r="AH465" s="8" t="str">
        <f t="shared" si="23"/>
        <v/>
      </c>
    </row>
    <row r="466" spans="31:34" x14ac:dyDescent="0.25">
      <c r="AE466" s="8" t="str">
        <f t="shared" si="21"/>
        <v/>
      </c>
      <c r="AF466" s="8" t="str">
        <f t="shared" si="22"/>
        <v/>
      </c>
      <c r="AG466" s="8" t="str">
        <f>IF(TRIM($E466)&lt;&gt;"Tax Paid","",IF(COUNTIFS(LISTS!$F$2:$F$26,$AE466,LISTS!$G$2:$G$26,$AF466)=0,"NOT ON LIST",""))</f>
        <v/>
      </c>
      <c r="AH466" s="8" t="str">
        <f t="shared" si="23"/>
        <v/>
      </c>
    </row>
    <row r="467" spans="31:34" x14ac:dyDescent="0.25">
      <c r="AE467" s="8" t="str">
        <f t="shared" si="21"/>
        <v/>
      </c>
      <c r="AF467" s="8" t="str">
        <f t="shared" si="22"/>
        <v/>
      </c>
      <c r="AG467" s="8" t="str">
        <f>IF(TRIM($E467)&lt;&gt;"Tax Paid","",IF(COUNTIFS(LISTS!$F$2:$F$26,$AE467,LISTS!$G$2:$G$26,$AF467)=0,"NOT ON LIST",""))</f>
        <v/>
      </c>
      <c r="AH467" s="8" t="str">
        <f t="shared" si="23"/>
        <v/>
      </c>
    </row>
    <row r="468" spans="31:34" x14ac:dyDescent="0.25">
      <c r="AE468" s="8" t="str">
        <f t="shared" si="21"/>
        <v/>
      </c>
      <c r="AF468" s="8" t="str">
        <f t="shared" si="22"/>
        <v/>
      </c>
      <c r="AG468" s="8" t="str">
        <f>IF(TRIM($E468)&lt;&gt;"Tax Paid","",IF(COUNTIFS(LISTS!$F$2:$F$26,$AE468,LISTS!$G$2:$G$26,$AF468)=0,"NOT ON LIST",""))</f>
        <v/>
      </c>
      <c r="AH468" s="8" t="str">
        <f t="shared" si="23"/>
        <v/>
      </c>
    </row>
    <row r="469" spans="31:34" x14ac:dyDescent="0.25">
      <c r="AE469" s="8" t="str">
        <f t="shared" si="21"/>
        <v/>
      </c>
      <c r="AF469" s="8" t="str">
        <f t="shared" si="22"/>
        <v/>
      </c>
      <c r="AG469" s="8" t="str">
        <f>IF(TRIM($E469)&lt;&gt;"Tax Paid","",IF(COUNTIFS(LISTS!$F$2:$F$26,$AE469,LISTS!$G$2:$G$26,$AF469)=0,"NOT ON LIST",""))</f>
        <v/>
      </c>
      <c r="AH469" s="8" t="str">
        <f t="shared" si="23"/>
        <v/>
      </c>
    </row>
    <row r="470" spans="31:34" x14ac:dyDescent="0.25">
      <c r="AE470" s="8" t="str">
        <f t="shared" si="21"/>
        <v/>
      </c>
      <c r="AF470" s="8" t="str">
        <f t="shared" si="22"/>
        <v/>
      </c>
      <c r="AG470" s="8" t="str">
        <f>IF(TRIM($E470)&lt;&gt;"Tax Paid","",IF(COUNTIFS(LISTS!$F$2:$F$26,$AE470,LISTS!$G$2:$G$26,$AF470)=0,"NOT ON LIST",""))</f>
        <v/>
      </c>
      <c r="AH470" s="8" t="str">
        <f t="shared" si="23"/>
        <v/>
      </c>
    </row>
    <row r="471" spans="31:34" x14ac:dyDescent="0.25">
      <c r="AE471" s="8" t="str">
        <f t="shared" si="21"/>
        <v/>
      </c>
      <c r="AF471" s="8" t="str">
        <f t="shared" si="22"/>
        <v/>
      </c>
      <c r="AG471" s="8" t="str">
        <f>IF(TRIM($E471)&lt;&gt;"Tax Paid","",IF(COUNTIFS(LISTS!$F$2:$F$26,$AE471,LISTS!$G$2:$G$26,$AF471)=0,"NOT ON LIST",""))</f>
        <v/>
      </c>
      <c r="AH471" s="8" t="str">
        <f t="shared" si="23"/>
        <v/>
      </c>
    </row>
    <row r="472" spans="31:34" x14ac:dyDescent="0.25">
      <c r="AE472" s="8" t="str">
        <f t="shared" si="21"/>
        <v/>
      </c>
      <c r="AF472" s="8" t="str">
        <f t="shared" si="22"/>
        <v/>
      </c>
      <c r="AG472" s="8" t="str">
        <f>IF(TRIM($E472)&lt;&gt;"Tax Paid","",IF(COUNTIFS(LISTS!$F$2:$F$26,$AE472,LISTS!$G$2:$G$26,$AF472)=0,"NOT ON LIST",""))</f>
        <v/>
      </c>
      <c r="AH472" s="8" t="str">
        <f t="shared" si="23"/>
        <v/>
      </c>
    </row>
    <row r="473" spans="31:34" x14ac:dyDescent="0.25">
      <c r="AE473" s="8" t="str">
        <f t="shared" si="21"/>
        <v/>
      </c>
      <c r="AF473" s="8" t="str">
        <f t="shared" si="22"/>
        <v/>
      </c>
      <c r="AG473" s="8" t="str">
        <f>IF(TRIM($E473)&lt;&gt;"Tax Paid","",IF(COUNTIFS(LISTS!$F$2:$F$26,$AE473,LISTS!$G$2:$G$26,$AF473)=0,"NOT ON LIST",""))</f>
        <v/>
      </c>
      <c r="AH473" s="8" t="str">
        <f t="shared" si="23"/>
        <v/>
      </c>
    </row>
    <row r="474" spans="31:34" x14ac:dyDescent="0.25">
      <c r="AE474" s="8" t="str">
        <f t="shared" si="21"/>
        <v/>
      </c>
      <c r="AF474" s="8" t="str">
        <f t="shared" si="22"/>
        <v/>
      </c>
      <c r="AG474" s="8" t="str">
        <f>IF(TRIM($E474)&lt;&gt;"Tax Paid","",IF(COUNTIFS(LISTS!$F$2:$F$26,$AE474,LISTS!$G$2:$G$26,$AF474)=0,"NOT ON LIST",""))</f>
        <v/>
      </c>
      <c r="AH474" s="8" t="str">
        <f t="shared" si="23"/>
        <v/>
      </c>
    </row>
    <row r="475" spans="31:34" x14ac:dyDescent="0.25">
      <c r="AE475" s="8" t="str">
        <f t="shared" si="21"/>
        <v/>
      </c>
      <c r="AF475" s="8" t="str">
        <f t="shared" si="22"/>
        <v/>
      </c>
      <c r="AG475" s="8" t="str">
        <f>IF(TRIM($E475)&lt;&gt;"Tax Paid","",IF(COUNTIFS(LISTS!$F$2:$F$26,$AE475,LISTS!$G$2:$G$26,$AF475)=0,"NOT ON LIST",""))</f>
        <v/>
      </c>
      <c r="AH475" s="8" t="str">
        <f t="shared" si="23"/>
        <v/>
      </c>
    </row>
    <row r="476" spans="31:34" x14ac:dyDescent="0.25">
      <c r="AE476" s="8" t="str">
        <f t="shared" si="21"/>
        <v/>
      </c>
      <c r="AF476" s="8" t="str">
        <f t="shared" si="22"/>
        <v/>
      </c>
      <c r="AG476" s="8" t="str">
        <f>IF(TRIM($E476)&lt;&gt;"Tax Paid","",IF(COUNTIFS(LISTS!$F$2:$F$26,$AE476,LISTS!$G$2:$G$26,$AF476)=0,"NOT ON LIST",""))</f>
        <v/>
      </c>
      <c r="AH476" s="8" t="str">
        <f t="shared" si="23"/>
        <v/>
      </c>
    </row>
    <row r="477" spans="31:34" x14ac:dyDescent="0.25">
      <c r="AE477" s="8" t="str">
        <f t="shared" si="21"/>
        <v/>
      </c>
      <c r="AF477" s="8" t="str">
        <f t="shared" si="22"/>
        <v/>
      </c>
      <c r="AG477" s="8" t="str">
        <f>IF(TRIM($E477)&lt;&gt;"Tax Paid","",IF(COUNTIFS(LISTS!$F$2:$F$26,$AE477,LISTS!$G$2:$G$26,$AF477)=0,"NOT ON LIST",""))</f>
        <v/>
      </c>
      <c r="AH477" s="8" t="str">
        <f t="shared" si="23"/>
        <v/>
      </c>
    </row>
    <row r="478" spans="31:34" x14ac:dyDescent="0.25">
      <c r="AE478" s="8" t="str">
        <f t="shared" si="21"/>
        <v/>
      </c>
      <c r="AF478" s="8" t="str">
        <f t="shared" si="22"/>
        <v/>
      </c>
      <c r="AG478" s="8" t="str">
        <f>IF(TRIM($E478)&lt;&gt;"Tax Paid","",IF(COUNTIFS(LISTS!$F$2:$F$26,$AE478,LISTS!$G$2:$G$26,$AF478)=0,"NOT ON LIST",""))</f>
        <v/>
      </c>
      <c r="AH478" s="8" t="str">
        <f t="shared" si="23"/>
        <v/>
      </c>
    </row>
    <row r="479" spans="31:34" x14ac:dyDescent="0.25">
      <c r="AE479" s="8" t="str">
        <f t="shared" si="21"/>
        <v/>
      </c>
      <c r="AF479" s="8" t="str">
        <f t="shared" si="22"/>
        <v/>
      </c>
      <c r="AG479" s="8" t="str">
        <f>IF(TRIM($E479)&lt;&gt;"Tax Paid","",IF(COUNTIFS(LISTS!$F$2:$F$26,$AE479,LISTS!$G$2:$G$26,$AF479)=0,"NOT ON LIST",""))</f>
        <v/>
      </c>
      <c r="AH479" s="8" t="str">
        <f t="shared" si="23"/>
        <v/>
      </c>
    </row>
    <row r="480" spans="31:34" x14ac:dyDescent="0.25">
      <c r="AE480" s="8" t="str">
        <f t="shared" si="21"/>
        <v/>
      </c>
      <c r="AF480" s="8" t="str">
        <f t="shared" si="22"/>
        <v/>
      </c>
      <c r="AG480" s="8" t="str">
        <f>IF(TRIM($E480)&lt;&gt;"Tax Paid","",IF(COUNTIFS(LISTS!$F$2:$F$26,$AE480,LISTS!$G$2:$G$26,$AF480)=0,"NOT ON LIST",""))</f>
        <v/>
      </c>
      <c r="AH480" s="8" t="str">
        <f t="shared" si="23"/>
        <v/>
      </c>
    </row>
    <row r="481" spans="31:34" x14ac:dyDescent="0.25">
      <c r="AE481" s="8" t="str">
        <f t="shared" si="21"/>
        <v/>
      </c>
      <c r="AF481" s="8" t="str">
        <f t="shared" si="22"/>
        <v/>
      </c>
      <c r="AG481" s="8" t="str">
        <f>IF(TRIM($E481)&lt;&gt;"Tax Paid","",IF(COUNTIFS(LISTS!$F$2:$F$26,$AE481,LISTS!$G$2:$G$26,$AF481)=0,"NOT ON LIST",""))</f>
        <v/>
      </c>
      <c r="AH481" s="8" t="str">
        <f t="shared" si="23"/>
        <v/>
      </c>
    </row>
    <row r="482" spans="31:34" x14ac:dyDescent="0.25">
      <c r="AE482" s="8" t="str">
        <f t="shared" si="21"/>
        <v/>
      </c>
      <c r="AF482" s="8" t="str">
        <f t="shared" si="22"/>
        <v/>
      </c>
      <c r="AG482" s="8" t="str">
        <f>IF(TRIM($E482)&lt;&gt;"Tax Paid","",IF(COUNTIFS(LISTS!$F$2:$F$26,$AE482,LISTS!$G$2:$G$26,$AF482)=0,"NOT ON LIST",""))</f>
        <v/>
      </c>
      <c r="AH482" s="8" t="str">
        <f t="shared" si="23"/>
        <v/>
      </c>
    </row>
    <row r="483" spans="31:34" x14ac:dyDescent="0.25">
      <c r="AE483" s="8" t="str">
        <f t="shared" si="21"/>
        <v/>
      </c>
      <c r="AF483" s="8" t="str">
        <f t="shared" si="22"/>
        <v/>
      </c>
      <c r="AG483" s="8" t="str">
        <f>IF(TRIM($E483)&lt;&gt;"Tax Paid","",IF(COUNTIFS(LISTS!$F$2:$F$26,$AE483,LISTS!$G$2:$G$26,$AF483)=0,"NOT ON LIST",""))</f>
        <v/>
      </c>
      <c r="AH483" s="8" t="str">
        <f t="shared" si="23"/>
        <v/>
      </c>
    </row>
    <row r="484" spans="31:34" x14ac:dyDescent="0.25">
      <c r="AE484" s="8" t="str">
        <f t="shared" si="21"/>
        <v/>
      </c>
      <c r="AF484" s="8" t="str">
        <f t="shared" si="22"/>
        <v/>
      </c>
      <c r="AG484" s="8" t="str">
        <f>IF(TRIM($E484)&lt;&gt;"Tax Paid","",IF(COUNTIFS(LISTS!$F$2:$F$26,$AE484,LISTS!$G$2:$G$26,$AF484)=0,"NOT ON LIST",""))</f>
        <v/>
      </c>
      <c r="AH484" s="8" t="str">
        <f t="shared" si="23"/>
        <v/>
      </c>
    </row>
    <row r="485" spans="31:34" x14ac:dyDescent="0.25">
      <c r="AE485" s="8" t="str">
        <f t="shared" si="21"/>
        <v/>
      </c>
      <c r="AF485" s="8" t="str">
        <f t="shared" si="22"/>
        <v/>
      </c>
      <c r="AG485" s="8" t="str">
        <f>IF(TRIM($E485)&lt;&gt;"Tax Paid","",IF(COUNTIFS(LISTS!$F$2:$F$26,$AE485,LISTS!$G$2:$G$26,$AF485)=0,"NOT ON LIST",""))</f>
        <v/>
      </c>
      <c r="AH485" s="8" t="str">
        <f t="shared" si="23"/>
        <v/>
      </c>
    </row>
    <row r="486" spans="31:34" x14ac:dyDescent="0.25">
      <c r="AE486" s="8" t="str">
        <f t="shared" si="21"/>
        <v/>
      </c>
      <c r="AF486" s="8" t="str">
        <f t="shared" si="22"/>
        <v/>
      </c>
      <c r="AG486" s="8" t="str">
        <f>IF(TRIM($E486)&lt;&gt;"Tax Paid","",IF(COUNTIFS(LISTS!$F$2:$F$26,$AE486,LISTS!$G$2:$G$26,$AF486)=0,"NOT ON LIST",""))</f>
        <v/>
      </c>
      <c r="AH486" s="8" t="str">
        <f t="shared" si="23"/>
        <v/>
      </c>
    </row>
    <row r="487" spans="31:34" x14ac:dyDescent="0.25">
      <c r="AE487" s="8" t="str">
        <f t="shared" si="21"/>
        <v/>
      </c>
      <c r="AF487" s="8" t="str">
        <f t="shared" si="22"/>
        <v/>
      </c>
      <c r="AG487" s="8" t="str">
        <f>IF(TRIM($E487)&lt;&gt;"Tax Paid","",IF(COUNTIFS(LISTS!$F$2:$F$26,$AE487,LISTS!$G$2:$G$26,$AF487)=0,"NOT ON LIST",""))</f>
        <v/>
      </c>
      <c r="AH487" s="8" t="str">
        <f t="shared" si="23"/>
        <v/>
      </c>
    </row>
    <row r="488" spans="31:34" x14ac:dyDescent="0.25">
      <c r="AE488" s="8" t="str">
        <f t="shared" si="21"/>
        <v/>
      </c>
      <c r="AF488" s="8" t="str">
        <f t="shared" si="22"/>
        <v/>
      </c>
      <c r="AG488" s="8" t="str">
        <f>IF(TRIM($E488)&lt;&gt;"Tax Paid","",IF(COUNTIFS(LISTS!$F$2:$F$26,$AE488,LISTS!$G$2:$G$26,$AF488)=0,"NOT ON LIST",""))</f>
        <v/>
      </c>
      <c r="AH488" s="8" t="str">
        <f t="shared" si="23"/>
        <v/>
      </c>
    </row>
    <row r="489" spans="31:34" x14ac:dyDescent="0.25">
      <c r="AE489" s="8" t="str">
        <f t="shared" si="21"/>
        <v/>
      </c>
      <c r="AF489" s="8" t="str">
        <f t="shared" si="22"/>
        <v/>
      </c>
      <c r="AG489" s="8" t="str">
        <f>IF(TRIM($E489)&lt;&gt;"Tax Paid","",IF(COUNTIFS(LISTS!$F$2:$F$26,$AE489,LISTS!$G$2:$G$26,$AF489)=0,"NOT ON LIST",""))</f>
        <v/>
      </c>
      <c r="AH489" s="8" t="str">
        <f t="shared" si="23"/>
        <v/>
      </c>
    </row>
    <row r="490" spans="31:34" x14ac:dyDescent="0.25">
      <c r="AE490" s="8" t="str">
        <f t="shared" si="21"/>
        <v/>
      </c>
      <c r="AF490" s="8" t="str">
        <f t="shared" si="22"/>
        <v/>
      </c>
      <c r="AG490" s="8" t="str">
        <f>IF(TRIM($E490)&lt;&gt;"Tax Paid","",IF(COUNTIFS(LISTS!$F$2:$F$26,$AE490,LISTS!$G$2:$G$26,$AF490)=0,"NOT ON LIST",""))</f>
        <v/>
      </c>
      <c r="AH490" s="8" t="str">
        <f t="shared" si="23"/>
        <v/>
      </c>
    </row>
    <row r="491" spans="31:34" x14ac:dyDescent="0.25">
      <c r="AE491" s="8" t="str">
        <f t="shared" si="21"/>
        <v/>
      </c>
      <c r="AF491" s="8" t="str">
        <f t="shared" si="22"/>
        <v/>
      </c>
      <c r="AG491" s="8" t="str">
        <f>IF(TRIM($E491)&lt;&gt;"Tax Paid","",IF(COUNTIFS(LISTS!$F$2:$F$26,$AE491,LISTS!$G$2:$G$26,$AF491)=0,"NOT ON LIST",""))</f>
        <v/>
      </c>
      <c r="AH491" s="8" t="str">
        <f t="shared" si="23"/>
        <v/>
      </c>
    </row>
    <row r="492" spans="31:34" x14ac:dyDescent="0.25">
      <c r="AE492" s="8" t="str">
        <f t="shared" si="21"/>
        <v/>
      </c>
      <c r="AF492" s="8" t="str">
        <f t="shared" si="22"/>
        <v/>
      </c>
      <c r="AG492" s="8" t="str">
        <f>IF(TRIM($E492)&lt;&gt;"Tax Paid","",IF(COUNTIFS(LISTS!$F$2:$F$26,$AE492,LISTS!$G$2:$G$26,$AF492)=0,"NOT ON LIST",""))</f>
        <v/>
      </c>
      <c r="AH492" s="8" t="str">
        <f t="shared" si="23"/>
        <v/>
      </c>
    </row>
    <row r="493" spans="31:34" x14ac:dyDescent="0.25">
      <c r="AE493" s="8" t="str">
        <f t="shared" si="21"/>
        <v/>
      </c>
      <c r="AF493" s="8" t="str">
        <f t="shared" si="22"/>
        <v/>
      </c>
      <c r="AG493" s="8" t="str">
        <f>IF(TRIM($E493)&lt;&gt;"Tax Paid","",IF(COUNTIFS(LISTS!$F$2:$F$26,$AE493,LISTS!$G$2:$G$26,$AF493)=0,"NOT ON LIST",""))</f>
        <v/>
      </c>
      <c r="AH493" s="8" t="str">
        <f t="shared" si="23"/>
        <v/>
      </c>
    </row>
    <row r="494" spans="31:34" x14ac:dyDescent="0.25">
      <c r="AE494" s="8" t="str">
        <f t="shared" si="21"/>
        <v/>
      </c>
      <c r="AF494" s="8" t="str">
        <f t="shared" si="22"/>
        <v/>
      </c>
      <c r="AG494" s="8" t="str">
        <f>IF(TRIM($E494)&lt;&gt;"Tax Paid","",IF(COUNTIFS(LISTS!$F$2:$F$26,$AE494,LISTS!$G$2:$G$26,$AF494)=0,"NOT ON LIST",""))</f>
        <v/>
      </c>
      <c r="AH494" s="8" t="str">
        <f t="shared" si="23"/>
        <v/>
      </c>
    </row>
    <row r="495" spans="31:34" x14ac:dyDescent="0.25">
      <c r="AE495" s="8" t="str">
        <f t="shared" si="21"/>
        <v/>
      </c>
      <c r="AF495" s="8" t="str">
        <f t="shared" si="22"/>
        <v/>
      </c>
      <c r="AG495" s="8" t="str">
        <f>IF(TRIM($E495)&lt;&gt;"Tax Paid","",IF(COUNTIFS(LISTS!$F$2:$F$26,$AE495,LISTS!$G$2:$G$26,$AF495)=0,"NOT ON LIST",""))</f>
        <v/>
      </c>
      <c r="AH495" s="8" t="str">
        <f t="shared" si="23"/>
        <v/>
      </c>
    </row>
    <row r="496" spans="31:34" x14ac:dyDescent="0.25">
      <c r="AE496" s="8" t="str">
        <f t="shared" si="21"/>
        <v/>
      </c>
      <c r="AF496" s="8" t="str">
        <f t="shared" si="22"/>
        <v/>
      </c>
      <c r="AG496" s="8" t="str">
        <f>IF(TRIM($E496)&lt;&gt;"Tax Paid","",IF(COUNTIFS(LISTS!$F$2:$F$26,$AE496,LISTS!$G$2:$G$26,$AF496)=0,"NOT ON LIST",""))</f>
        <v/>
      </c>
      <c r="AH496" s="8" t="str">
        <f t="shared" si="23"/>
        <v/>
      </c>
    </row>
    <row r="497" spans="31:34" x14ac:dyDescent="0.25">
      <c r="AE497" s="8" t="str">
        <f t="shared" si="21"/>
        <v/>
      </c>
      <c r="AF497" s="8" t="str">
        <f t="shared" si="22"/>
        <v/>
      </c>
      <c r="AG497" s="8" t="str">
        <f>IF(TRIM($E497)&lt;&gt;"Tax Paid","",IF(COUNTIFS(LISTS!$F$2:$F$26,$AE497,LISTS!$G$2:$G$26,$AF497)=0,"NOT ON LIST",""))</f>
        <v/>
      </c>
      <c r="AH497" s="8" t="str">
        <f t="shared" si="23"/>
        <v/>
      </c>
    </row>
    <row r="498" spans="31:34" x14ac:dyDescent="0.25">
      <c r="AE498" s="8" t="str">
        <f t="shared" si="21"/>
        <v/>
      </c>
      <c r="AF498" s="8" t="str">
        <f t="shared" si="22"/>
        <v/>
      </c>
      <c r="AG498" s="8" t="str">
        <f>IF(TRIM($E498)&lt;&gt;"Tax Paid","",IF(COUNTIFS(LISTS!$F$2:$F$26,$AE498,LISTS!$G$2:$G$26,$AF498)=0,"NOT ON LIST",""))</f>
        <v/>
      </c>
      <c r="AH498" s="8" t="str">
        <f t="shared" si="23"/>
        <v/>
      </c>
    </row>
    <row r="499" spans="31:34" x14ac:dyDescent="0.25">
      <c r="AE499" s="8" t="str">
        <f t="shared" si="21"/>
        <v/>
      </c>
      <c r="AF499" s="8" t="str">
        <f t="shared" si="22"/>
        <v/>
      </c>
      <c r="AG499" s="8" t="str">
        <f>IF(TRIM($E499)&lt;&gt;"Tax Paid","",IF(COUNTIFS(LISTS!$F$2:$F$26,$AE499,LISTS!$G$2:$G$26,$AF499)=0,"NOT ON LIST",""))</f>
        <v/>
      </c>
      <c r="AH499" s="8" t="str">
        <f t="shared" si="23"/>
        <v/>
      </c>
    </row>
    <row r="500" spans="31:34" x14ac:dyDescent="0.25">
      <c r="AE500" s="8" t="str">
        <f t="shared" si="21"/>
        <v/>
      </c>
      <c r="AF500" s="8" t="str">
        <f t="shared" si="22"/>
        <v/>
      </c>
      <c r="AG500" s="8" t="str">
        <f>IF(TRIM($E500)&lt;&gt;"Tax Paid","",IF(COUNTIFS(LISTS!$F$2:$F$26,$AE500,LISTS!$G$2:$G$26,$AF500)=0,"NOT ON LIST",""))</f>
        <v/>
      </c>
      <c r="AH500" s="8" t="str">
        <f t="shared" si="23"/>
        <v/>
      </c>
    </row>
    <row r="501" spans="31:34" x14ac:dyDescent="0.25">
      <c r="AE501" s="8" t="str">
        <f t="shared" si="21"/>
        <v/>
      </c>
      <c r="AF501" s="8" t="str">
        <f t="shared" si="22"/>
        <v/>
      </c>
      <c r="AG501" s="8" t="str">
        <f>IF(TRIM($E501)&lt;&gt;"Tax Paid","",IF(COUNTIFS(LISTS!$F$2:$F$26,$AE501,LISTS!$G$2:$G$26,$AF501)=0,"NOT ON LIST",""))</f>
        <v/>
      </c>
      <c r="AH501" s="8" t="str">
        <f t="shared" si="23"/>
        <v/>
      </c>
    </row>
    <row r="502" spans="31:34" x14ac:dyDescent="0.25">
      <c r="AE502" s="8" t="str">
        <f t="shared" si="21"/>
        <v/>
      </c>
      <c r="AF502" s="8" t="str">
        <f t="shared" si="22"/>
        <v/>
      </c>
      <c r="AG502" s="8" t="str">
        <f>IF(TRIM($E502)&lt;&gt;"Tax Paid","",IF(COUNTIFS(LISTS!$F$2:$F$26,$AE502,LISTS!$G$2:$G$26,$AF502)=0,"NOT ON LIST",""))</f>
        <v/>
      </c>
      <c r="AH502" s="8" t="str">
        <f t="shared" si="23"/>
        <v/>
      </c>
    </row>
    <row r="503" spans="31:34" x14ac:dyDescent="0.25">
      <c r="AE503" s="8" t="str">
        <f t="shared" si="21"/>
        <v/>
      </c>
      <c r="AF503" s="8" t="str">
        <f t="shared" si="22"/>
        <v/>
      </c>
      <c r="AG503" s="8" t="str">
        <f>IF(TRIM($E503)&lt;&gt;"Tax Paid","",IF(COUNTIFS(LISTS!$F$2:$F$26,$AE503,LISTS!$G$2:$G$26,$AF503)=0,"NOT ON LIST",""))</f>
        <v/>
      </c>
      <c r="AH503" s="8" t="str">
        <f t="shared" si="23"/>
        <v/>
      </c>
    </row>
    <row r="504" spans="31:34" x14ac:dyDescent="0.25">
      <c r="AE504" s="8" t="str">
        <f t="shared" si="21"/>
        <v/>
      </c>
      <c r="AF504" s="8" t="str">
        <f t="shared" si="22"/>
        <v/>
      </c>
      <c r="AG504" s="8" t="str">
        <f>IF(TRIM($E504)&lt;&gt;"Tax Paid","",IF(COUNTIFS(LISTS!$F$2:$F$26,$AE504,LISTS!$G$2:$G$26,$AF504)=0,"NOT ON LIST",""))</f>
        <v/>
      </c>
      <c r="AH504" s="8" t="str">
        <f t="shared" si="23"/>
        <v/>
      </c>
    </row>
    <row r="505" spans="31:34" x14ac:dyDescent="0.25">
      <c r="AE505" s="8" t="str">
        <f t="shared" si="21"/>
        <v/>
      </c>
      <c r="AF505" s="8" t="str">
        <f t="shared" si="22"/>
        <v/>
      </c>
      <c r="AG505" s="8" t="str">
        <f>IF(TRIM($E505)&lt;&gt;"Tax Paid","",IF(COUNTIFS(LISTS!$F$2:$F$26,$AE505,LISTS!$G$2:$G$26,$AF505)=0,"NOT ON LIST",""))</f>
        <v/>
      </c>
      <c r="AH505" s="8" t="str">
        <f t="shared" si="23"/>
        <v/>
      </c>
    </row>
    <row r="506" spans="31:34" x14ac:dyDescent="0.25">
      <c r="AE506" s="8" t="str">
        <f t="shared" si="21"/>
        <v/>
      </c>
      <c r="AF506" s="8" t="str">
        <f t="shared" si="22"/>
        <v/>
      </c>
      <c r="AG506" s="8" t="str">
        <f>IF(TRIM($E506)&lt;&gt;"Tax Paid","",IF(COUNTIFS(LISTS!$F$2:$F$26,$AE506,LISTS!$G$2:$G$26,$AF506)=0,"NOT ON LIST",""))</f>
        <v/>
      </c>
      <c r="AH506" s="8" t="str">
        <f t="shared" si="23"/>
        <v/>
      </c>
    </row>
    <row r="507" spans="31:34" x14ac:dyDescent="0.25">
      <c r="AE507" s="8" t="str">
        <f t="shared" si="21"/>
        <v/>
      </c>
      <c r="AF507" s="8" t="str">
        <f t="shared" si="22"/>
        <v/>
      </c>
      <c r="AG507" s="8" t="str">
        <f>IF(TRIM($E507)&lt;&gt;"Tax Paid","",IF(COUNTIFS(LISTS!$F$2:$F$26,$AE507,LISTS!$G$2:$G$26,$AF507)=0,"NOT ON LIST",""))</f>
        <v/>
      </c>
      <c r="AH507" s="8" t="str">
        <f t="shared" si="23"/>
        <v/>
      </c>
    </row>
    <row r="508" spans="31:34" x14ac:dyDescent="0.25">
      <c r="AE508" s="8" t="str">
        <f t="shared" si="21"/>
        <v/>
      </c>
      <c r="AF508" s="8" t="str">
        <f t="shared" si="22"/>
        <v/>
      </c>
      <c r="AG508" s="8" t="str">
        <f>IF(TRIM($E508)&lt;&gt;"Tax Paid","",IF(COUNTIFS(LISTS!$F$2:$F$26,$AE508,LISTS!$G$2:$G$26,$AF508)=0,"NOT ON LIST",""))</f>
        <v/>
      </c>
      <c r="AH508" s="8" t="str">
        <f t="shared" si="23"/>
        <v/>
      </c>
    </row>
    <row r="509" spans="31:34" x14ac:dyDescent="0.25">
      <c r="AE509" s="8" t="str">
        <f t="shared" si="21"/>
        <v/>
      </c>
      <c r="AF509" s="8" t="str">
        <f t="shared" si="22"/>
        <v/>
      </c>
      <c r="AG509" s="8" t="str">
        <f>IF(TRIM($E509)&lt;&gt;"Tax Paid","",IF(COUNTIFS(LISTS!$F$2:$F$26,$AE509,LISTS!$G$2:$G$26,$AF509)=0,"NOT ON LIST",""))</f>
        <v/>
      </c>
      <c r="AH509" s="8" t="str">
        <f t="shared" si="23"/>
        <v/>
      </c>
    </row>
    <row r="510" spans="31:34" x14ac:dyDescent="0.25">
      <c r="AE510" s="8" t="str">
        <f t="shared" si="21"/>
        <v/>
      </c>
      <c r="AF510" s="8" t="str">
        <f t="shared" si="22"/>
        <v/>
      </c>
      <c r="AG510" s="8" t="str">
        <f>IF(TRIM($E510)&lt;&gt;"Tax Paid","",IF(COUNTIFS(LISTS!$F$2:$F$26,$AE510,LISTS!$G$2:$G$26,$AF510)=0,"NOT ON LIST",""))</f>
        <v/>
      </c>
      <c r="AH510" s="8" t="str">
        <f t="shared" si="23"/>
        <v/>
      </c>
    </row>
    <row r="511" spans="31:34" x14ac:dyDescent="0.25">
      <c r="AE511" s="8" t="str">
        <f t="shared" si="21"/>
        <v/>
      </c>
      <c r="AF511" s="8" t="str">
        <f t="shared" si="22"/>
        <v/>
      </c>
      <c r="AG511" s="8" t="str">
        <f>IF(TRIM($E511)&lt;&gt;"Tax Paid","",IF(COUNTIFS(LISTS!$F$2:$F$26,$AE511,LISTS!$G$2:$G$26,$AF511)=0,"NOT ON LIST",""))</f>
        <v/>
      </c>
      <c r="AH511" s="8" t="str">
        <f t="shared" si="23"/>
        <v/>
      </c>
    </row>
    <row r="512" spans="31:34" x14ac:dyDescent="0.25">
      <c r="AE512" s="8" t="str">
        <f t="shared" si="21"/>
        <v/>
      </c>
      <c r="AF512" s="8" t="str">
        <f t="shared" si="22"/>
        <v/>
      </c>
      <c r="AG512" s="8" t="str">
        <f>IF(TRIM($E512)&lt;&gt;"Tax Paid","",IF(COUNTIFS(LISTS!$F$2:$F$26,$AE512,LISTS!$G$2:$G$26,$AF512)=0,"NOT ON LIST",""))</f>
        <v/>
      </c>
      <c r="AH512" s="8" t="str">
        <f t="shared" si="23"/>
        <v/>
      </c>
    </row>
    <row r="513" spans="31:34" x14ac:dyDescent="0.25">
      <c r="AE513" s="8" t="str">
        <f t="shared" si="21"/>
        <v/>
      </c>
      <c r="AF513" s="8" t="str">
        <f t="shared" si="22"/>
        <v/>
      </c>
      <c r="AG513" s="8" t="str">
        <f>IF(TRIM($E513)&lt;&gt;"Tax Paid","",IF(COUNTIFS(LISTS!$F$2:$F$26,$AE513,LISTS!$G$2:$G$26,$AF513)=0,"NOT ON LIST",""))</f>
        <v/>
      </c>
      <c r="AH513" s="8" t="str">
        <f t="shared" si="23"/>
        <v/>
      </c>
    </row>
    <row r="514" spans="31:34" x14ac:dyDescent="0.25">
      <c r="AE514" s="8" t="str">
        <f t="shared" ref="AE514:AE577" si="24">IF(TRIM($E514)="Tax Paid",TRIM($S514),"")</f>
        <v/>
      </c>
      <c r="AF514" s="8" t="str">
        <f t="shared" ref="AF514:AF577" si="25">IF(TRIM($E514)="Tax Paid",ROUND($Z514/100,5),"")</f>
        <v/>
      </c>
      <c r="AG514" s="8" t="str">
        <f>IF(TRIM($E514)&lt;&gt;"Tax Paid","",IF(COUNTIFS(LISTS!$F$2:$F$26,$AE514,LISTS!$G$2:$G$26,$AF514)=0,"NOT ON LIST",""))</f>
        <v/>
      </c>
      <c r="AH514" s="8" t="str">
        <f t="shared" ref="AH514:AH577" si="26">IF($AG514="","",IF($AE514="","(no county)",$AE514)&amp;" ("&amp;SUBSTITUTE(TEXT($AF514,"0.###%"),".%","%")&amp;")")</f>
        <v/>
      </c>
    </row>
    <row r="515" spans="31:34" x14ac:dyDescent="0.25">
      <c r="AE515" s="8" t="str">
        <f t="shared" si="24"/>
        <v/>
      </c>
      <c r="AF515" s="8" t="str">
        <f t="shared" si="25"/>
        <v/>
      </c>
      <c r="AG515" s="8" t="str">
        <f>IF(TRIM($E515)&lt;&gt;"Tax Paid","",IF(COUNTIFS(LISTS!$F$2:$F$26,$AE515,LISTS!$G$2:$G$26,$AF515)=0,"NOT ON LIST",""))</f>
        <v/>
      </c>
      <c r="AH515" s="8" t="str">
        <f t="shared" si="26"/>
        <v/>
      </c>
    </row>
    <row r="516" spans="31:34" x14ac:dyDescent="0.25">
      <c r="AE516" s="8" t="str">
        <f t="shared" si="24"/>
        <v/>
      </c>
      <c r="AF516" s="8" t="str">
        <f t="shared" si="25"/>
        <v/>
      </c>
      <c r="AG516" s="8" t="str">
        <f>IF(TRIM($E516)&lt;&gt;"Tax Paid","",IF(COUNTIFS(LISTS!$F$2:$F$26,$AE516,LISTS!$G$2:$G$26,$AF516)=0,"NOT ON LIST",""))</f>
        <v/>
      </c>
      <c r="AH516" s="8" t="str">
        <f t="shared" si="26"/>
        <v/>
      </c>
    </row>
    <row r="517" spans="31:34" x14ac:dyDescent="0.25">
      <c r="AE517" s="8" t="str">
        <f t="shared" si="24"/>
        <v/>
      </c>
      <c r="AF517" s="8" t="str">
        <f t="shared" si="25"/>
        <v/>
      </c>
      <c r="AG517" s="8" t="str">
        <f>IF(TRIM($E517)&lt;&gt;"Tax Paid","",IF(COUNTIFS(LISTS!$F$2:$F$26,$AE517,LISTS!$G$2:$G$26,$AF517)=0,"NOT ON LIST",""))</f>
        <v/>
      </c>
      <c r="AH517" s="8" t="str">
        <f t="shared" si="26"/>
        <v/>
      </c>
    </row>
    <row r="518" spans="31:34" x14ac:dyDescent="0.25">
      <c r="AE518" s="8" t="str">
        <f t="shared" si="24"/>
        <v/>
      </c>
      <c r="AF518" s="8" t="str">
        <f t="shared" si="25"/>
        <v/>
      </c>
      <c r="AG518" s="8" t="str">
        <f>IF(TRIM($E518)&lt;&gt;"Tax Paid","",IF(COUNTIFS(LISTS!$F$2:$F$26,$AE518,LISTS!$G$2:$G$26,$AF518)=0,"NOT ON LIST",""))</f>
        <v/>
      </c>
      <c r="AH518" s="8" t="str">
        <f t="shared" si="26"/>
        <v/>
      </c>
    </row>
    <row r="519" spans="31:34" x14ac:dyDescent="0.25">
      <c r="AE519" s="8" t="str">
        <f t="shared" si="24"/>
        <v/>
      </c>
      <c r="AF519" s="8" t="str">
        <f t="shared" si="25"/>
        <v/>
      </c>
      <c r="AG519" s="8" t="str">
        <f>IF(TRIM($E519)&lt;&gt;"Tax Paid","",IF(COUNTIFS(LISTS!$F$2:$F$26,$AE519,LISTS!$G$2:$G$26,$AF519)=0,"NOT ON LIST",""))</f>
        <v/>
      </c>
      <c r="AH519" s="8" t="str">
        <f t="shared" si="26"/>
        <v/>
      </c>
    </row>
    <row r="520" spans="31:34" x14ac:dyDescent="0.25">
      <c r="AE520" s="8" t="str">
        <f t="shared" si="24"/>
        <v/>
      </c>
      <c r="AF520" s="8" t="str">
        <f t="shared" si="25"/>
        <v/>
      </c>
      <c r="AG520" s="8" t="str">
        <f>IF(TRIM($E520)&lt;&gt;"Tax Paid","",IF(COUNTIFS(LISTS!$F$2:$F$26,$AE520,LISTS!$G$2:$G$26,$AF520)=0,"NOT ON LIST",""))</f>
        <v/>
      </c>
      <c r="AH520" s="8" t="str">
        <f t="shared" si="26"/>
        <v/>
      </c>
    </row>
    <row r="521" spans="31:34" x14ac:dyDescent="0.25">
      <c r="AE521" s="8" t="str">
        <f t="shared" si="24"/>
        <v/>
      </c>
      <c r="AF521" s="8" t="str">
        <f t="shared" si="25"/>
        <v/>
      </c>
      <c r="AG521" s="8" t="str">
        <f>IF(TRIM($E521)&lt;&gt;"Tax Paid","",IF(COUNTIFS(LISTS!$F$2:$F$26,$AE521,LISTS!$G$2:$G$26,$AF521)=0,"NOT ON LIST",""))</f>
        <v/>
      </c>
      <c r="AH521" s="8" t="str">
        <f t="shared" si="26"/>
        <v/>
      </c>
    </row>
    <row r="522" spans="31:34" x14ac:dyDescent="0.25">
      <c r="AE522" s="8" t="str">
        <f t="shared" si="24"/>
        <v/>
      </c>
      <c r="AF522" s="8" t="str">
        <f t="shared" si="25"/>
        <v/>
      </c>
      <c r="AG522" s="8" t="str">
        <f>IF(TRIM($E522)&lt;&gt;"Tax Paid","",IF(COUNTIFS(LISTS!$F$2:$F$26,$AE522,LISTS!$G$2:$G$26,$AF522)=0,"NOT ON LIST",""))</f>
        <v/>
      </c>
      <c r="AH522" s="8" t="str">
        <f t="shared" si="26"/>
        <v/>
      </c>
    </row>
    <row r="523" spans="31:34" x14ac:dyDescent="0.25">
      <c r="AE523" s="8" t="str">
        <f t="shared" si="24"/>
        <v/>
      </c>
      <c r="AF523" s="8" t="str">
        <f t="shared" si="25"/>
        <v/>
      </c>
      <c r="AG523" s="8" t="str">
        <f>IF(TRIM($E523)&lt;&gt;"Tax Paid","",IF(COUNTIFS(LISTS!$F$2:$F$26,$AE523,LISTS!$G$2:$G$26,$AF523)=0,"NOT ON LIST",""))</f>
        <v/>
      </c>
      <c r="AH523" s="8" t="str">
        <f t="shared" si="26"/>
        <v/>
      </c>
    </row>
    <row r="524" spans="31:34" x14ac:dyDescent="0.25">
      <c r="AE524" s="8" t="str">
        <f t="shared" si="24"/>
        <v/>
      </c>
      <c r="AF524" s="8" t="str">
        <f t="shared" si="25"/>
        <v/>
      </c>
      <c r="AG524" s="8" t="str">
        <f>IF(TRIM($E524)&lt;&gt;"Tax Paid","",IF(COUNTIFS(LISTS!$F$2:$F$26,$AE524,LISTS!$G$2:$G$26,$AF524)=0,"NOT ON LIST",""))</f>
        <v/>
      </c>
      <c r="AH524" s="8" t="str">
        <f t="shared" si="26"/>
        <v/>
      </c>
    </row>
    <row r="525" spans="31:34" x14ac:dyDescent="0.25">
      <c r="AE525" s="8" t="str">
        <f t="shared" si="24"/>
        <v/>
      </c>
      <c r="AF525" s="8" t="str">
        <f t="shared" si="25"/>
        <v/>
      </c>
      <c r="AG525" s="8" t="str">
        <f>IF(TRIM($E525)&lt;&gt;"Tax Paid","",IF(COUNTIFS(LISTS!$F$2:$F$26,$AE525,LISTS!$G$2:$G$26,$AF525)=0,"NOT ON LIST",""))</f>
        <v/>
      </c>
      <c r="AH525" s="8" t="str">
        <f t="shared" si="26"/>
        <v/>
      </c>
    </row>
    <row r="526" spans="31:34" x14ac:dyDescent="0.25">
      <c r="AE526" s="8" t="str">
        <f t="shared" si="24"/>
        <v/>
      </c>
      <c r="AF526" s="8" t="str">
        <f t="shared" si="25"/>
        <v/>
      </c>
      <c r="AG526" s="8" t="str">
        <f>IF(TRIM($E526)&lt;&gt;"Tax Paid","",IF(COUNTIFS(LISTS!$F$2:$F$26,$AE526,LISTS!$G$2:$G$26,$AF526)=0,"NOT ON LIST",""))</f>
        <v/>
      </c>
      <c r="AH526" s="8" t="str">
        <f t="shared" si="26"/>
        <v/>
      </c>
    </row>
    <row r="527" spans="31:34" x14ac:dyDescent="0.25">
      <c r="AE527" s="8" t="str">
        <f t="shared" si="24"/>
        <v/>
      </c>
      <c r="AF527" s="8" t="str">
        <f t="shared" si="25"/>
        <v/>
      </c>
      <c r="AG527" s="8" t="str">
        <f>IF(TRIM($E527)&lt;&gt;"Tax Paid","",IF(COUNTIFS(LISTS!$F$2:$F$26,$AE527,LISTS!$G$2:$G$26,$AF527)=0,"NOT ON LIST",""))</f>
        <v/>
      </c>
      <c r="AH527" s="8" t="str">
        <f t="shared" si="26"/>
        <v/>
      </c>
    </row>
    <row r="528" spans="31:34" x14ac:dyDescent="0.25">
      <c r="AE528" s="8" t="str">
        <f t="shared" si="24"/>
        <v/>
      </c>
      <c r="AF528" s="8" t="str">
        <f t="shared" si="25"/>
        <v/>
      </c>
      <c r="AG528" s="8" t="str">
        <f>IF(TRIM($E528)&lt;&gt;"Tax Paid","",IF(COUNTIFS(LISTS!$F$2:$F$26,$AE528,LISTS!$G$2:$G$26,$AF528)=0,"NOT ON LIST",""))</f>
        <v/>
      </c>
      <c r="AH528" s="8" t="str">
        <f t="shared" si="26"/>
        <v/>
      </c>
    </row>
    <row r="529" spans="31:34" x14ac:dyDescent="0.25">
      <c r="AE529" s="8" t="str">
        <f t="shared" si="24"/>
        <v/>
      </c>
      <c r="AF529" s="8" t="str">
        <f t="shared" si="25"/>
        <v/>
      </c>
      <c r="AG529" s="8" t="str">
        <f>IF(TRIM($E529)&lt;&gt;"Tax Paid","",IF(COUNTIFS(LISTS!$F$2:$F$26,$AE529,LISTS!$G$2:$G$26,$AF529)=0,"NOT ON LIST",""))</f>
        <v/>
      </c>
      <c r="AH529" s="8" t="str">
        <f t="shared" si="26"/>
        <v/>
      </c>
    </row>
    <row r="530" spans="31:34" x14ac:dyDescent="0.25">
      <c r="AE530" s="8" t="str">
        <f t="shared" si="24"/>
        <v/>
      </c>
      <c r="AF530" s="8" t="str">
        <f t="shared" si="25"/>
        <v/>
      </c>
      <c r="AG530" s="8" t="str">
        <f>IF(TRIM($E530)&lt;&gt;"Tax Paid","",IF(COUNTIFS(LISTS!$F$2:$F$26,$AE530,LISTS!$G$2:$G$26,$AF530)=0,"NOT ON LIST",""))</f>
        <v/>
      </c>
      <c r="AH530" s="8" t="str">
        <f t="shared" si="26"/>
        <v/>
      </c>
    </row>
    <row r="531" spans="31:34" x14ac:dyDescent="0.25">
      <c r="AE531" s="8" t="str">
        <f t="shared" si="24"/>
        <v/>
      </c>
      <c r="AF531" s="8" t="str">
        <f t="shared" si="25"/>
        <v/>
      </c>
      <c r="AG531" s="8" t="str">
        <f>IF(TRIM($E531)&lt;&gt;"Tax Paid","",IF(COUNTIFS(LISTS!$F$2:$F$26,$AE531,LISTS!$G$2:$G$26,$AF531)=0,"NOT ON LIST",""))</f>
        <v/>
      </c>
      <c r="AH531" s="8" t="str">
        <f t="shared" si="26"/>
        <v/>
      </c>
    </row>
    <row r="532" spans="31:34" x14ac:dyDescent="0.25">
      <c r="AE532" s="8" t="str">
        <f t="shared" si="24"/>
        <v/>
      </c>
      <c r="AF532" s="8" t="str">
        <f t="shared" si="25"/>
        <v/>
      </c>
      <c r="AG532" s="8" t="str">
        <f>IF(TRIM($E532)&lt;&gt;"Tax Paid","",IF(COUNTIFS(LISTS!$F$2:$F$26,$AE532,LISTS!$G$2:$G$26,$AF532)=0,"NOT ON LIST",""))</f>
        <v/>
      </c>
      <c r="AH532" s="8" t="str">
        <f t="shared" si="26"/>
        <v/>
      </c>
    </row>
    <row r="533" spans="31:34" x14ac:dyDescent="0.25">
      <c r="AE533" s="8" t="str">
        <f t="shared" si="24"/>
        <v/>
      </c>
      <c r="AF533" s="8" t="str">
        <f t="shared" si="25"/>
        <v/>
      </c>
      <c r="AG533" s="8" t="str">
        <f>IF(TRIM($E533)&lt;&gt;"Tax Paid","",IF(COUNTIFS(LISTS!$F$2:$F$26,$AE533,LISTS!$G$2:$G$26,$AF533)=0,"NOT ON LIST",""))</f>
        <v/>
      </c>
      <c r="AH533" s="8" t="str">
        <f t="shared" si="26"/>
        <v/>
      </c>
    </row>
    <row r="534" spans="31:34" x14ac:dyDescent="0.25">
      <c r="AE534" s="8" t="str">
        <f t="shared" si="24"/>
        <v/>
      </c>
      <c r="AF534" s="8" t="str">
        <f t="shared" si="25"/>
        <v/>
      </c>
      <c r="AG534" s="8" t="str">
        <f>IF(TRIM($E534)&lt;&gt;"Tax Paid","",IF(COUNTIFS(LISTS!$F$2:$F$26,$AE534,LISTS!$G$2:$G$26,$AF534)=0,"NOT ON LIST",""))</f>
        <v/>
      </c>
      <c r="AH534" s="8" t="str">
        <f t="shared" si="26"/>
        <v/>
      </c>
    </row>
    <row r="535" spans="31:34" x14ac:dyDescent="0.25">
      <c r="AE535" s="8" t="str">
        <f t="shared" si="24"/>
        <v/>
      </c>
      <c r="AF535" s="8" t="str">
        <f t="shared" si="25"/>
        <v/>
      </c>
      <c r="AG535" s="8" t="str">
        <f>IF(TRIM($E535)&lt;&gt;"Tax Paid","",IF(COUNTIFS(LISTS!$F$2:$F$26,$AE535,LISTS!$G$2:$G$26,$AF535)=0,"NOT ON LIST",""))</f>
        <v/>
      </c>
      <c r="AH535" s="8" t="str">
        <f t="shared" si="26"/>
        <v/>
      </c>
    </row>
    <row r="536" spans="31:34" x14ac:dyDescent="0.25">
      <c r="AE536" s="8" t="str">
        <f t="shared" si="24"/>
        <v/>
      </c>
      <c r="AF536" s="8" t="str">
        <f t="shared" si="25"/>
        <v/>
      </c>
      <c r="AG536" s="8" t="str">
        <f>IF(TRIM($E536)&lt;&gt;"Tax Paid","",IF(COUNTIFS(LISTS!$F$2:$F$26,$AE536,LISTS!$G$2:$G$26,$AF536)=0,"NOT ON LIST",""))</f>
        <v/>
      </c>
      <c r="AH536" s="8" t="str">
        <f t="shared" si="26"/>
        <v/>
      </c>
    </row>
    <row r="537" spans="31:34" x14ac:dyDescent="0.25">
      <c r="AE537" s="8" t="str">
        <f t="shared" si="24"/>
        <v/>
      </c>
      <c r="AF537" s="8" t="str">
        <f t="shared" si="25"/>
        <v/>
      </c>
      <c r="AG537" s="8" t="str">
        <f>IF(TRIM($E537)&lt;&gt;"Tax Paid","",IF(COUNTIFS(LISTS!$F$2:$F$26,$AE537,LISTS!$G$2:$G$26,$AF537)=0,"NOT ON LIST",""))</f>
        <v/>
      </c>
      <c r="AH537" s="8" t="str">
        <f t="shared" si="26"/>
        <v/>
      </c>
    </row>
    <row r="538" spans="31:34" x14ac:dyDescent="0.25">
      <c r="AE538" s="8" t="str">
        <f t="shared" si="24"/>
        <v/>
      </c>
      <c r="AF538" s="8" t="str">
        <f t="shared" si="25"/>
        <v/>
      </c>
      <c r="AG538" s="8" t="str">
        <f>IF(TRIM($E538)&lt;&gt;"Tax Paid","",IF(COUNTIFS(LISTS!$F$2:$F$26,$AE538,LISTS!$G$2:$G$26,$AF538)=0,"NOT ON LIST",""))</f>
        <v/>
      </c>
      <c r="AH538" s="8" t="str">
        <f t="shared" si="26"/>
        <v/>
      </c>
    </row>
    <row r="539" spans="31:34" x14ac:dyDescent="0.25">
      <c r="AE539" s="8" t="str">
        <f t="shared" si="24"/>
        <v/>
      </c>
      <c r="AF539" s="8" t="str">
        <f t="shared" si="25"/>
        <v/>
      </c>
      <c r="AG539" s="8" t="str">
        <f>IF(TRIM($E539)&lt;&gt;"Tax Paid","",IF(COUNTIFS(LISTS!$F$2:$F$26,$AE539,LISTS!$G$2:$G$26,$AF539)=0,"NOT ON LIST",""))</f>
        <v/>
      </c>
      <c r="AH539" s="8" t="str">
        <f t="shared" si="26"/>
        <v/>
      </c>
    </row>
    <row r="540" spans="31:34" x14ac:dyDescent="0.25">
      <c r="AE540" s="8" t="str">
        <f t="shared" si="24"/>
        <v/>
      </c>
      <c r="AF540" s="8" t="str">
        <f t="shared" si="25"/>
        <v/>
      </c>
      <c r="AG540" s="8" t="str">
        <f>IF(TRIM($E540)&lt;&gt;"Tax Paid","",IF(COUNTIFS(LISTS!$F$2:$F$26,$AE540,LISTS!$G$2:$G$26,$AF540)=0,"NOT ON LIST",""))</f>
        <v/>
      </c>
      <c r="AH540" s="8" t="str">
        <f t="shared" si="26"/>
        <v/>
      </c>
    </row>
    <row r="541" spans="31:34" x14ac:dyDescent="0.25">
      <c r="AE541" s="8" t="str">
        <f t="shared" si="24"/>
        <v/>
      </c>
      <c r="AF541" s="8" t="str">
        <f t="shared" si="25"/>
        <v/>
      </c>
      <c r="AG541" s="8" t="str">
        <f>IF(TRIM($E541)&lt;&gt;"Tax Paid","",IF(COUNTIFS(LISTS!$F$2:$F$26,$AE541,LISTS!$G$2:$G$26,$AF541)=0,"NOT ON LIST",""))</f>
        <v/>
      </c>
      <c r="AH541" s="8" t="str">
        <f t="shared" si="26"/>
        <v/>
      </c>
    </row>
    <row r="542" spans="31:34" x14ac:dyDescent="0.25">
      <c r="AE542" s="8" t="str">
        <f t="shared" si="24"/>
        <v/>
      </c>
      <c r="AF542" s="8" t="str">
        <f t="shared" si="25"/>
        <v/>
      </c>
      <c r="AG542" s="8" t="str">
        <f>IF(TRIM($E542)&lt;&gt;"Tax Paid","",IF(COUNTIFS(LISTS!$F$2:$F$26,$AE542,LISTS!$G$2:$G$26,$AF542)=0,"NOT ON LIST",""))</f>
        <v/>
      </c>
      <c r="AH542" s="8" t="str">
        <f t="shared" si="26"/>
        <v/>
      </c>
    </row>
    <row r="543" spans="31:34" x14ac:dyDescent="0.25">
      <c r="AE543" s="8" t="str">
        <f t="shared" si="24"/>
        <v/>
      </c>
      <c r="AF543" s="8" t="str">
        <f t="shared" si="25"/>
        <v/>
      </c>
      <c r="AG543" s="8" t="str">
        <f>IF(TRIM($E543)&lt;&gt;"Tax Paid","",IF(COUNTIFS(LISTS!$F$2:$F$26,$AE543,LISTS!$G$2:$G$26,$AF543)=0,"NOT ON LIST",""))</f>
        <v/>
      </c>
      <c r="AH543" s="8" t="str">
        <f t="shared" si="26"/>
        <v/>
      </c>
    </row>
    <row r="544" spans="31:34" x14ac:dyDescent="0.25">
      <c r="AE544" s="8" t="str">
        <f t="shared" si="24"/>
        <v/>
      </c>
      <c r="AF544" s="8" t="str">
        <f t="shared" si="25"/>
        <v/>
      </c>
      <c r="AG544" s="8" t="str">
        <f>IF(TRIM($E544)&lt;&gt;"Tax Paid","",IF(COUNTIFS(LISTS!$F$2:$F$26,$AE544,LISTS!$G$2:$G$26,$AF544)=0,"NOT ON LIST",""))</f>
        <v/>
      </c>
      <c r="AH544" s="8" t="str">
        <f t="shared" si="26"/>
        <v/>
      </c>
    </row>
    <row r="545" spans="31:34" x14ac:dyDescent="0.25">
      <c r="AE545" s="8" t="str">
        <f t="shared" si="24"/>
        <v/>
      </c>
      <c r="AF545" s="8" t="str">
        <f t="shared" si="25"/>
        <v/>
      </c>
      <c r="AG545" s="8" t="str">
        <f>IF(TRIM($E545)&lt;&gt;"Tax Paid","",IF(COUNTIFS(LISTS!$F$2:$F$26,$AE545,LISTS!$G$2:$G$26,$AF545)=0,"NOT ON LIST",""))</f>
        <v/>
      </c>
      <c r="AH545" s="8" t="str">
        <f t="shared" si="26"/>
        <v/>
      </c>
    </row>
    <row r="546" spans="31:34" x14ac:dyDescent="0.25">
      <c r="AE546" s="8" t="str">
        <f t="shared" si="24"/>
        <v/>
      </c>
      <c r="AF546" s="8" t="str">
        <f t="shared" si="25"/>
        <v/>
      </c>
      <c r="AG546" s="8" t="str">
        <f>IF(TRIM($E546)&lt;&gt;"Tax Paid","",IF(COUNTIFS(LISTS!$F$2:$F$26,$AE546,LISTS!$G$2:$G$26,$AF546)=0,"NOT ON LIST",""))</f>
        <v/>
      </c>
      <c r="AH546" s="8" t="str">
        <f t="shared" si="26"/>
        <v/>
      </c>
    </row>
    <row r="547" spans="31:34" x14ac:dyDescent="0.25">
      <c r="AE547" s="8" t="str">
        <f t="shared" si="24"/>
        <v/>
      </c>
      <c r="AF547" s="8" t="str">
        <f t="shared" si="25"/>
        <v/>
      </c>
      <c r="AG547" s="8" t="str">
        <f>IF(TRIM($E547)&lt;&gt;"Tax Paid","",IF(COUNTIFS(LISTS!$F$2:$F$26,$AE547,LISTS!$G$2:$G$26,$AF547)=0,"NOT ON LIST",""))</f>
        <v/>
      </c>
      <c r="AH547" s="8" t="str">
        <f t="shared" si="26"/>
        <v/>
      </c>
    </row>
    <row r="548" spans="31:34" x14ac:dyDescent="0.25">
      <c r="AE548" s="8" t="str">
        <f t="shared" si="24"/>
        <v/>
      </c>
      <c r="AF548" s="8" t="str">
        <f t="shared" si="25"/>
        <v/>
      </c>
      <c r="AG548" s="8" t="str">
        <f>IF(TRIM($E548)&lt;&gt;"Tax Paid","",IF(COUNTIFS(LISTS!$F$2:$F$26,$AE548,LISTS!$G$2:$G$26,$AF548)=0,"NOT ON LIST",""))</f>
        <v/>
      </c>
      <c r="AH548" s="8" t="str">
        <f t="shared" si="26"/>
        <v/>
      </c>
    </row>
    <row r="549" spans="31:34" x14ac:dyDescent="0.25">
      <c r="AE549" s="8" t="str">
        <f t="shared" si="24"/>
        <v/>
      </c>
      <c r="AF549" s="8" t="str">
        <f t="shared" si="25"/>
        <v/>
      </c>
      <c r="AG549" s="8" t="str">
        <f>IF(TRIM($E549)&lt;&gt;"Tax Paid","",IF(COUNTIFS(LISTS!$F$2:$F$26,$AE549,LISTS!$G$2:$G$26,$AF549)=0,"NOT ON LIST",""))</f>
        <v/>
      </c>
      <c r="AH549" s="8" t="str">
        <f t="shared" si="26"/>
        <v/>
      </c>
    </row>
    <row r="550" spans="31:34" x14ac:dyDescent="0.25">
      <c r="AE550" s="8" t="str">
        <f t="shared" si="24"/>
        <v/>
      </c>
      <c r="AF550" s="8" t="str">
        <f t="shared" si="25"/>
        <v/>
      </c>
      <c r="AG550" s="8" t="str">
        <f>IF(TRIM($E550)&lt;&gt;"Tax Paid","",IF(COUNTIFS(LISTS!$F$2:$F$26,$AE550,LISTS!$G$2:$G$26,$AF550)=0,"NOT ON LIST",""))</f>
        <v/>
      </c>
      <c r="AH550" s="8" t="str">
        <f t="shared" si="26"/>
        <v/>
      </c>
    </row>
    <row r="551" spans="31:34" x14ac:dyDescent="0.25">
      <c r="AE551" s="8" t="str">
        <f t="shared" si="24"/>
        <v/>
      </c>
      <c r="AF551" s="8" t="str">
        <f t="shared" si="25"/>
        <v/>
      </c>
      <c r="AG551" s="8" t="str">
        <f>IF(TRIM($E551)&lt;&gt;"Tax Paid","",IF(COUNTIFS(LISTS!$F$2:$F$26,$AE551,LISTS!$G$2:$G$26,$AF551)=0,"NOT ON LIST",""))</f>
        <v/>
      </c>
      <c r="AH551" s="8" t="str">
        <f t="shared" si="26"/>
        <v/>
      </c>
    </row>
    <row r="552" spans="31:34" x14ac:dyDescent="0.25">
      <c r="AE552" s="8" t="str">
        <f t="shared" si="24"/>
        <v/>
      </c>
      <c r="AF552" s="8" t="str">
        <f t="shared" si="25"/>
        <v/>
      </c>
      <c r="AG552" s="8" t="str">
        <f>IF(TRIM($E552)&lt;&gt;"Tax Paid","",IF(COUNTIFS(LISTS!$F$2:$F$26,$AE552,LISTS!$G$2:$G$26,$AF552)=0,"NOT ON LIST",""))</f>
        <v/>
      </c>
      <c r="AH552" s="8" t="str">
        <f t="shared" si="26"/>
        <v/>
      </c>
    </row>
    <row r="553" spans="31:34" x14ac:dyDescent="0.25">
      <c r="AE553" s="8" t="str">
        <f t="shared" si="24"/>
        <v/>
      </c>
      <c r="AF553" s="8" t="str">
        <f t="shared" si="25"/>
        <v/>
      </c>
      <c r="AG553" s="8" t="str">
        <f>IF(TRIM($E553)&lt;&gt;"Tax Paid","",IF(COUNTIFS(LISTS!$F$2:$F$26,$AE553,LISTS!$G$2:$G$26,$AF553)=0,"NOT ON LIST",""))</f>
        <v/>
      </c>
      <c r="AH553" s="8" t="str">
        <f t="shared" si="26"/>
        <v/>
      </c>
    </row>
    <row r="554" spans="31:34" x14ac:dyDescent="0.25">
      <c r="AE554" s="8" t="str">
        <f t="shared" si="24"/>
        <v/>
      </c>
      <c r="AF554" s="8" t="str">
        <f t="shared" si="25"/>
        <v/>
      </c>
      <c r="AG554" s="8" t="str">
        <f>IF(TRIM($E554)&lt;&gt;"Tax Paid","",IF(COUNTIFS(LISTS!$F$2:$F$26,$AE554,LISTS!$G$2:$G$26,$AF554)=0,"NOT ON LIST",""))</f>
        <v/>
      </c>
      <c r="AH554" s="8" t="str">
        <f t="shared" si="26"/>
        <v/>
      </c>
    </row>
    <row r="555" spans="31:34" x14ac:dyDescent="0.25">
      <c r="AE555" s="8" t="str">
        <f t="shared" si="24"/>
        <v/>
      </c>
      <c r="AF555" s="8" t="str">
        <f t="shared" si="25"/>
        <v/>
      </c>
      <c r="AG555" s="8" t="str">
        <f>IF(TRIM($E555)&lt;&gt;"Tax Paid","",IF(COUNTIFS(LISTS!$F$2:$F$26,$AE555,LISTS!$G$2:$G$26,$AF555)=0,"NOT ON LIST",""))</f>
        <v/>
      </c>
      <c r="AH555" s="8" t="str">
        <f t="shared" si="26"/>
        <v/>
      </c>
    </row>
    <row r="556" spans="31:34" x14ac:dyDescent="0.25">
      <c r="AE556" s="8" t="str">
        <f t="shared" si="24"/>
        <v/>
      </c>
      <c r="AF556" s="8" t="str">
        <f t="shared" si="25"/>
        <v/>
      </c>
      <c r="AG556" s="8" t="str">
        <f>IF(TRIM($E556)&lt;&gt;"Tax Paid","",IF(COUNTIFS(LISTS!$F$2:$F$26,$AE556,LISTS!$G$2:$G$26,$AF556)=0,"NOT ON LIST",""))</f>
        <v/>
      </c>
      <c r="AH556" s="8" t="str">
        <f t="shared" si="26"/>
        <v/>
      </c>
    </row>
    <row r="557" spans="31:34" x14ac:dyDescent="0.25">
      <c r="AE557" s="8" t="str">
        <f t="shared" si="24"/>
        <v/>
      </c>
      <c r="AF557" s="8" t="str">
        <f t="shared" si="25"/>
        <v/>
      </c>
      <c r="AG557" s="8" t="str">
        <f>IF(TRIM($E557)&lt;&gt;"Tax Paid","",IF(COUNTIFS(LISTS!$F$2:$F$26,$AE557,LISTS!$G$2:$G$26,$AF557)=0,"NOT ON LIST",""))</f>
        <v/>
      </c>
      <c r="AH557" s="8" t="str">
        <f t="shared" si="26"/>
        <v/>
      </c>
    </row>
    <row r="558" spans="31:34" x14ac:dyDescent="0.25">
      <c r="AE558" s="8" t="str">
        <f t="shared" si="24"/>
        <v/>
      </c>
      <c r="AF558" s="8" t="str">
        <f t="shared" si="25"/>
        <v/>
      </c>
      <c r="AG558" s="8" t="str">
        <f>IF(TRIM($E558)&lt;&gt;"Tax Paid","",IF(COUNTIFS(LISTS!$F$2:$F$26,$AE558,LISTS!$G$2:$G$26,$AF558)=0,"NOT ON LIST",""))</f>
        <v/>
      </c>
      <c r="AH558" s="8" t="str">
        <f t="shared" si="26"/>
        <v/>
      </c>
    </row>
    <row r="559" spans="31:34" x14ac:dyDescent="0.25">
      <c r="AE559" s="8" t="str">
        <f t="shared" si="24"/>
        <v/>
      </c>
      <c r="AF559" s="8" t="str">
        <f t="shared" si="25"/>
        <v/>
      </c>
      <c r="AG559" s="8" t="str">
        <f>IF(TRIM($E559)&lt;&gt;"Tax Paid","",IF(COUNTIFS(LISTS!$F$2:$F$26,$AE559,LISTS!$G$2:$G$26,$AF559)=0,"NOT ON LIST",""))</f>
        <v/>
      </c>
      <c r="AH559" s="8" t="str">
        <f t="shared" si="26"/>
        <v/>
      </c>
    </row>
    <row r="560" spans="31:34" x14ac:dyDescent="0.25">
      <c r="AE560" s="8" t="str">
        <f t="shared" si="24"/>
        <v/>
      </c>
      <c r="AF560" s="8" t="str">
        <f t="shared" si="25"/>
        <v/>
      </c>
      <c r="AG560" s="8" t="str">
        <f>IF(TRIM($E560)&lt;&gt;"Tax Paid","",IF(COUNTIFS(LISTS!$F$2:$F$26,$AE560,LISTS!$G$2:$G$26,$AF560)=0,"NOT ON LIST",""))</f>
        <v/>
      </c>
      <c r="AH560" s="8" t="str">
        <f t="shared" si="26"/>
        <v/>
      </c>
    </row>
    <row r="561" spans="31:34" x14ac:dyDescent="0.25">
      <c r="AE561" s="8" t="str">
        <f t="shared" si="24"/>
        <v/>
      </c>
      <c r="AF561" s="8" t="str">
        <f t="shared" si="25"/>
        <v/>
      </c>
      <c r="AG561" s="8" t="str">
        <f>IF(TRIM($E561)&lt;&gt;"Tax Paid","",IF(COUNTIFS(LISTS!$F$2:$F$26,$AE561,LISTS!$G$2:$G$26,$AF561)=0,"NOT ON LIST",""))</f>
        <v/>
      </c>
      <c r="AH561" s="8" t="str">
        <f t="shared" si="26"/>
        <v/>
      </c>
    </row>
    <row r="562" spans="31:34" x14ac:dyDescent="0.25">
      <c r="AE562" s="8" t="str">
        <f t="shared" si="24"/>
        <v/>
      </c>
      <c r="AF562" s="8" t="str">
        <f t="shared" si="25"/>
        <v/>
      </c>
      <c r="AG562" s="8" t="str">
        <f>IF(TRIM($E562)&lt;&gt;"Tax Paid","",IF(COUNTIFS(LISTS!$F$2:$F$26,$AE562,LISTS!$G$2:$G$26,$AF562)=0,"NOT ON LIST",""))</f>
        <v/>
      </c>
      <c r="AH562" s="8" t="str">
        <f t="shared" si="26"/>
        <v/>
      </c>
    </row>
    <row r="563" spans="31:34" x14ac:dyDescent="0.25">
      <c r="AE563" s="8" t="str">
        <f t="shared" si="24"/>
        <v/>
      </c>
      <c r="AF563" s="8" t="str">
        <f t="shared" si="25"/>
        <v/>
      </c>
      <c r="AG563" s="8" t="str">
        <f>IF(TRIM($E563)&lt;&gt;"Tax Paid","",IF(COUNTIFS(LISTS!$F$2:$F$26,$AE563,LISTS!$G$2:$G$26,$AF563)=0,"NOT ON LIST",""))</f>
        <v/>
      </c>
      <c r="AH563" s="8" t="str">
        <f t="shared" si="26"/>
        <v/>
      </c>
    </row>
    <row r="564" spans="31:34" x14ac:dyDescent="0.25">
      <c r="AE564" s="8" t="str">
        <f t="shared" si="24"/>
        <v/>
      </c>
      <c r="AF564" s="8" t="str">
        <f t="shared" si="25"/>
        <v/>
      </c>
      <c r="AG564" s="8" t="str">
        <f>IF(TRIM($E564)&lt;&gt;"Tax Paid","",IF(COUNTIFS(LISTS!$F$2:$F$26,$AE564,LISTS!$G$2:$G$26,$AF564)=0,"NOT ON LIST",""))</f>
        <v/>
      </c>
      <c r="AH564" s="8" t="str">
        <f t="shared" si="26"/>
        <v/>
      </c>
    </row>
    <row r="565" spans="31:34" x14ac:dyDescent="0.25">
      <c r="AE565" s="8" t="str">
        <f t="shared" si="24"/>
        <v/>
      </c>
      <c r="AF565" s="8" t="str">
        <f t="shared" si="25"/>
        <v/>
      </c>
      <c r="AG565" s="8" t="str">
        <f>IF(TRIM($E565)&lt;&gt;"Tax Paid","",IF(COUNTIFS(LISTS!$F$2:$F$26,$AE565,LISTS!$G$2:$G$26,$AF565)=0,"NOT ON LIST",""))</f>
        <v/>
      </c>
      <c r="AH565" s="8" t="str">
        <f t="shared" si="26"/>
        <v/>
      </c>
    </row>
    <row r="566" spans="31:34" x14ac:dyDescent="0.25">
      <c r="AE566" s="8" t="str">
        <f t="shared" si="24"/>
        <v/>
      </c>
      <c r="AF566" s="8" t="str">
        <f t="shared" si="25"/>
        <v/>
      </c>
      <c r="AG566" s="8" t="str">
        <f>IF(TRIM($E566)&lt;&gt;"Tax Paid","",IF(COUNTIFS(LISTS!$F$2:$F$26,$AE566,LISTS!$G$2:$G$26,$AF566)=0,"NOT ON LIST",""))</f>
        <v/>
      </c>
      <c r="AH566" s="8" t="str">
        <f t="shared" si="26"/>
        <v/>
      </c>
    </row>
    <row r="567" spans="31:34" x14ac:dyDescent="0.25">
      <c r="AE567" s="8" t="str">
        <f t="shared" si="24"/>
        <v/>
      </c>
      <c r="AF567" s="8" t="str">
        <f t="shared" si="25"/>
        <v/>
      </c>
      <c r="AG567" s="8" t="str">
        <f>IF(TRIM($E567)&lt;&gt;"Tax Paid","",IF(COUNTIFS(LISTS!$F$2:$F$26,$AE567,LISTS!$G$2:$G$26,$AF567)=0,"NOT ON LIST",""))</f>
        <v/>
      </c>
      <c r="AH567" s="8" t="str">
        <f t="shared" si="26"/>
        <v/>
      </c>
    </row>
    <row r="568" spans="31:34" x14ac:dyDescent="0.25">
      <c r="AE568" s="8" t="str">
        <f t="shared" si="24"/>
        <v/>
      </c>
      <c r="AF568" s="8" t="str">
        <f t="shared" si="25"/>
        <v/>
      </c>
      <c r="AG568" s="8" t="str">
        <f>IF(TRIM($E568)&lt;&gt;"Tax Paid","",IF(COUNTIFS(LISTS!$F$2:$F$26,$AE568,LISTS!$G$2:$G$26,$AF568)=0,"NOT ON LIST",""))</f>
        <v/>
      </c>
      <c r="AH568" s="8" t="str">
        <f t="shared" si="26"/>
        <v/>
      </c>
    </row>
    <row r="569" spans="31:34" x14ac:dyDescent="0.25">
      <c r="AE569" s="8" t="str">
        <f t="shared" si="24"/>
        <v/>
      </c>
      <c r="AF569" s="8" t="str">
        <f t="shared" si="25"/>
        <v/>
      </c>
      <c r="AG569" s="8" t="str">
        <f>IF(TRIM($E569)&lt;&gt;"Tax Paid","",IF(COUNTIFS(LISTS!$F$2:$F$26,$AE569,LISTS!$G$2:$G$26,$AF569)=0,"NOT ON LIST",""))</f>
        <v/>
      </c>
      <c r="AH569" s="8" t="str">
        <f t="shared" si="26"/>
        <v/>
      </c>
    </row>
    <row r="570" spans="31:34" x14ac:dyDescent="0.25">
      <c r="AE570" s="8" t="str">
        <f t="shared" si="24"/>
        <v/>
      </c>
      <c r="AF570" s="8" t="str">
        <f t="shared" si="25"/>
        <v/>
      </c>
      <c r="AG570" s="8" t="str">
        <f>IF(TRIM($E570)&lt;&gt;"Tax Paid","",IF(COUNTIFS(LISTS!$F$2:$F$26,$AE570,LISTS!$G$2:$G$26,$AF570)=0,"NOT ON LIST",""))</f>
        <v/>
      </c>
      <c r="AH570" s="8" t="str">
        <f t="shared" si="26"/>
        <v/>
      </c>
    </row>
    <row r="571" spans="31:34" x14ac:dyDescent="0.25">
      <c r="AE571" s="8" t="str">
        <f t="shared" si="24"/>
        <v/>
      </c>
      <c r="AF571" s="8" t="str">
        <f t="shared" si="25"/>
        <v/>
      </c>
      <c r="AG571" s="8" t="str">
        <f>IF(TRIM($E571)&lt;&gt;"Tax Paid","",IF(COUNTIFS(LISTS!$F$2:$F$26,$AE571,LISTS!$G$2:$G$26,$AF571)=0,"NOT ON LIST",""))</f>
        <v/>
      </c>
      <c r="AH571" s="8" t="str">
        <f t="shared" si="26"/>
        <v/>
      </c>
    </row>
    <row r="572" spans="31:34" x14ac:dyDescent="0.25">
      <c r="AE572" s="8" t="str">
        <f t="shared" si="24"/>
        <v/>
      </c>
      <c r="AF572" s="8" t="str">
        <f t="shared" si="25"/>
        <v/>
      </c>
      <c r="AG572" s="8" t="str">
        <f>IF(TRIM($E572)&lt;&gt;"Tax Paid","",IF(COUNTIFS(LISTS!$F$2:$F$26,$AE572,LISTS!$G$2:$G$26,$AF572)=0,"NOT ON LIST",""))</f>
        <v/>
      </c>
      <c r="AH572" s="8" t="str">
        <f t="shared" si="26"/>
        <v/>
      </c>
    </row>
    <row r="573" spans="31:34" x14ac:dyDescent="0.25">
      <c r="AE573" s="8" t="str">
        <f t="shared" si="24"/>
        <v/>
      </c>
      <c r="AF573" s="8" t="str">
        <f t="shared" si="25"/>
        <v/>
      </c>
      <c r="AG573" s="8" t="str">
        <f>IF(TRIM($E573)&lt;&gt;"Tax Paid","",IF(COUNTIFS(LISTS!$F$2:$F$26,$AE573,LISTS!$G$2:$G$26,$AF573)=0,"NOT ON LIST",""))</f>
        <v/>
      </c>
      <c r="AH573" s="8" t="str">
        <f t="shared" si="26"/>
        <v/>
      </c>
    </row>
    <row r="574" spans="31:34" x14ac:dyDescent="0.25">
      <c r="AE574" s="8" t="str">
        <f t="shared" si="24"/>
        <v/>
      </c>
      <c r="AF574" s="8" t="str">
        <f t="shared" si="25"/>
        <v/>
      </c>
      <c r="AG574" s="8" t="str">
        <f>IF(TRIM($E574)&lt;&gt;"Tax Paid","",IF(COUNTIFS(LISTS!$F$2:$F$26,$AE574,LISTS!$G$2:$G$26,$AF574)=0,"NOT ON LIST",""))</f>
        <v/>
      </c>
      <c r="AH574" s="8" t="str">
        <f t="shared" si="26"/>
        <v/>
      </c>
    </row>
    <row r="575" spans="31:34" x14ac:dyDescent="0.25">
      <c r="AE575" s="8" t="str">
        <f t="shared" si="24"/>
        <v/>
      </c>
      <c r="AF575" s="8" t="str">
        <f t="shared" si="25"/>
        <v/>
      </c>
      <c r="AG575" s="8" t="str">
        <f>IF(TRIM($E575)&lt;&gt;"Tax Paid","",IF(COUNTIFS(LISTS!$F$2:$F$26,$AE575,LISTS!$G$2:$G$26,$AF575)=0,"NOT ON LIST",""))</f>
        <v/>
      </c>
      <c r="AH575" s="8" t="str">
        <f t="shared" si="26"/>
        <v/>
      </c>
    </row>
    <row r="576" spans="31:34" x14ac:dyDescent="0.25">
      <c r="AE576" s="8" t="str">
        <f t="shared" si="24"/>
        <v/>
      </c>
      <c r="AF576" s="8" t="str">
        <f t="shared" si="25"/>
        <v/>
      </c>
      <c r="AG576" s="8" t="str">
        <f>IF(TRIM($E576)&lt;&gt;"Tax Paid","",IF(COUNTIFS(LISTS!$F$2:$F$26,$AE576,LISTS!$G$2:$G$26,$AF576)=0,"NOT ON LIST",""))</f>
        <v/>
      </c>
      <c r="AH576" s="8" t="str">
        <f t="shared" si="26"/>
        <v/>
      </c>
    </row>
    <row r="577" spans="31:34" x14ac:dyDescent="0.25">
      <c r="AE577" s="8" t="str">
        <f t="shared" si="24"/>
        <v/>
      </c>
      <c r="AF577" s="8" t="str">
        <f t="shared" si="25"/>
        <v/>
      </c>
      <c r="AG577" s="8" t="str">
        <f>IF(TRIM($E577)&lt;&gt;"Tax Paid","",IF(COUNTIFS(LISTS!$F$2:$F$26,$AE577,LISTS!$G$2:$G$26,$AF577)=0,"NOT ON LIST",""))</f>
        <v/>
      </c>
      <c r="AH577" s="8" t="str">
        <f t="shared" si="26"/>
        <v/>
      </c>
    </row>
    <row r="578" spans="31:34" x14ac:dyDescent="0.25">
      <c r="AE578" s="8" t="str">
        <f t="shared" ref="AE578:AE641" si="27">IF(TRIM($E578)="Tax Paid",TRIM($S578),"")</f>
        <v/>
      </c>
      <c r="AF578" s="8" t="str">
        <f t="shared" ref="AF578:AF641" si="28">IF(TRIM($E578)="Tax Paid",ROUND($Z578/100,5),"")</f>
        <v/>
      </c>
      <c r="AG578" s="8" t="str">
        <f>IF(TRIM($E578)&lt;&gt;"Tax Paid","",IF(COUNTIFS(LISTS!$F$2:$F$26,$AE578,LISTS!$G$2:$G$26,$AF578)=0,"NOT ON LIST",""))</f>
        <v/>
      </c>
      <c r="AH578" s="8" t="str">
        <f t="shared" ref="AH578:AH641" si="29">IF($AG578="","",IF($AE578="","(no county)",$AE578)&amp;" ("&amp;SUBSTITUTE(TEXT($AF578,"0.###%"),".%","%")&amp;")")</f>
        <v/>
      </c>
    </row>
    <row r="579" spans="31:34" x14ac:dyDescent="0.25">
      <c r="AE579" s="8" t="str">
        <f t="shared" si="27"/>
        <v/>
      </c>
      <c r="AF579" s="8" t="str">
        <f t="shared" si="28"/>
        <v/>
      </c>
      <c r="AG579" s="8" t="str">
        <f>IF(TRIM($E579)&lt;&gt;"Tax Paid","",IF(COUNTIFS(LISTS!$F$2:$F$26,$AE579,LISTS!$G$2:$G$26,$AF579)=0,"NOT ON LIST",""))</f>
        <v/>
      </c>
      <c r="AH579" s="8" t="str">
        <f t="shared" si="29"/>
        <v/>
      </c>
    </row>
    <row r="580" spans="31:34" x14ac:dyDescent="0.25">
      <c r="AE580" s="8" t="str">
        <f t="shared" si="27"/>
        <v/>
      </c>
      <c r="AF580" s="8" t="str">
        <f t="shared" si="28"/>
        <v/>
      </c>
      <c r="AG580" s="8" t="str">
        <f>IF(TRIM($E580)&lt;&gt;"Tax Paid","",IF(COUNTIFS(LISTS!$F$2:$F$26,$AE580,LISTS!$G$2:$G$26,$AF580)=0,"NOT ON LIST",""))</f>
        <v/>
      </c>
      <c r="AH580" s="8" t="str">
        <f t="shared" si="29"/>
        <v/>
      </c>
    </row>
    <row r="581" spans="31:34" x14ac:dyDescent="0.25">
      <c r="AE581" s="8" t="str">
        <f t="shared" si="27"/>
        <v/>
      </c>
      <c r="AF581" s="8" t="str">
        <f t="shared" si="28"/>
        <v/>
      </c>
      <c r="AG581" s="8" t="str">
        <f>IF(TRIM($E581)&lt;&gt;"Tax Paid","",IF(COUNTIFS(LISTS!$F$2:$F$26,$AE581,LISTS!$G$2:$G$26,$AF581)=0,"NOT ON LIST",""))</f>
        <v/>
      </c>
      <c r="AH581" s="8" t="str">
        <f t="shared" si="29"/>
        <v/>
      </c>
    </row>
    <row r="582" spans="31:34" x14ac:dyDescent="0.25">
      <c r="AE582" s="8" t="str">
        <f t="shared" si="27"/>
        <v/>
      </c>
      <c r="AF582" s="8" t="str">
        <f t="shared" si="28"/>
        <v/>
      </c>
      <c r="AG582" s="8" t="str">
        <f>IF(TRIM($E582)&lt;&gt;"Tax Paid","",IF(COUNTIFS(LISTS!$F$2:$F$26,$AE582,LISTS!$G$2:$G$26,$AF582)=0,"NOT ON LIST",""))</f>
        <v/>
      </c>
      <c r="AH582" s="8" t="str">
        <f t="shared" si="29"/>
        <v/>
      </c>
    </row>
    <row r="583" spans="31:34" x14ac:dyDescent="0.25">
      <c r="AE583" s="8" t="str">
        <f t="shared" si="27"/>
        <v/>
      </c>
      <c r="AF583" s="8" t="str">
        <f t="shared" si="28"/>
        <v/>
      </c>
      <c r="AG583" s="8" t="str">
        <f>IF(TRIM($E583)&lt;&gt;"Tax Paid","",IF(COUNTIFS(LISTS!$F$2:$F$26,$AE583,LISTS!$G$2:$G$26,$AF583)=0,"NOT ON LIST",""))</f>
        <v/>
      </c>
      <c r="AH583" s="8" t="str">
        <f t="shared" si="29"/>
        <v/>
      </c>
    </row>
    <row r="584" spans="31:34" x14ac:dyDescent="0.25">
      <c r="AE584" s="8" t="str">
        <f t="shared" si="27"/>
        <v/>
      </c>
      <c r="AF584" s="8" t="str">
        <f t="shared" si="28"/>
        <v/>
      </c>
      <c r="AG584" s="8" t="str">
        <f>IF(TRIM($E584)&lt;&gt;"Tax Paid","",IF(COUNTIFS(LISTS!$F$2:$F$26,$AE584,LISTS!$G$2:$G$26,$AF584)=0,"NOT ON LIST",""))</f>
        <v/>
      </c>
      <c r="AH584" s="8" t="str">
        <f t="shared" si="29"/>
        <v/>
      </c>
    </row>
    <row r="585" spans="31:34" x14ac:dyDescent="0.25">
      <c r="AE585" s="8" t="str">
        <f t="shared" si="27"/>
        <v/>
      </c>
      <c r="AF585" s="8" t="str">
        <f t="shared" si="28"/>
        <v/>
      </c>
      <c r="AG585" s="8" t="str">
        <f>IF(TRIM($E585)&lt;&gt;"Tax Paid","",IF(COUNTIFS(LISTS!$F$2:$F$26,$AE585,LISTS!$G$2:$G$26,$AF585)=0,"NOT ON LIST",""))</f>
        <v/>
      </c>
      <c r="AH585" s="8" t="str">
        <f t="shared" si="29"/>
        <v/>
      </c>
    </row>
    <row r="586" spans="31:34" x14ac:dyDescent="0.25">
      <c r="AE586" s="8" t="str">
        <f t="shared" si="27"/>
        <v/>
      </c>
      <c r="AF586" s="8" t="str">
        <f t="shared" si="28"/>
        <v/>
      </c>
      <c r="AG586" s="8" t="str">
        <f>IF(TRIM($E586)&lt;&gt;"Tax Paid","",IF(COUNTIFS(LISTS!$F$2:$F$26,$AE586,LISTS!$G$2:$G$26,$AF586)=0,"NOT ON LIST",""))</f>
        <v/>
      </c>
      <c r="AH586" s="8" t="str">
        <f t="shared" si="29"/>
        <v/>
      </c>
    </row>
    <row r="587" spans="31:34" x14ac:dyDescent="0.25">
      <c r="AE587" s="8" t="str">
        <f t="shared" si="27"/>
        <v/>
      </c>
      <c r="AF587" s="8" t="str">
        <f t="shared" si="28"/>
        <v/>
      </c>
      <c r="AG587" s="8" t="str">
        <f>IF(TRIM($E587)&lt;&gt;"Tax Paid","",IF(COUNTIFS(LISTS!$F$2:$F$26,$AE587,LISTS!$G$2:$G$26,$AF587)=0,"NOT ON LIST",""))</f>
        <v/>
      </c>
      <c r="AH587" s="8" t="str">
        <f t="shared" si="29"/>
        <v/>
      </c>
    </row>
    <row r="588" spans="31:34" x14ac:dyDescent="0.25">
      <c r="AE588" s="8" t="str">
        <f t="shared" si="27"/>
        <v/>
      </c>
      <c r="AF588" s="8" t="str">
        <f t="shared" si="28"/>
        <v/>
      </c>
      <c r="AG588" s="8" t="str">
        <f>IF(TRIM($E588)&lt;&gt;"Tax Paid","",IF(COUNTIFS(LISTS!$F$2:$F$26,$AE588,LISTS!$G$2:$G$26,$AF588)=0,"NOT ON LIST",""))</f>
        <v/>
      </c>
      <c r="AH588" s="8" t="str">
        <f t="shared" si="29"/>
        <v/>
      </c>
    </row>
    <row r="589" spans="31:34" x14ac:dyDescent="0.25">
      <c r="AE589" s="8" t="str">
        <f t="shared" si="27"/>
        <v/>
      </c>
      <c r="AF589" s="8" t="str">
        <f t="shared" si="28"/>
        <v/>
      </c>
      <c r="AG589" s="8" t="str">
        <f>IF(TRIM($E589)&lt;&gt;"Tax Paid","",IF(COUNTIFS(LISTS!$F$2:$F$26,$AE589,LISTS!$G$2:$G$26,$AF589)=0,"NOT ON LIST",""))</f>
        <v/>
      </c>
      <c r="AH589" s="8" t="str">
        <f t="shared" si="29"/>
        <v/>
      </c>
    </row>
    <row r="590" spans="31:34" x14ac:dyDescent="0.25">
      <c r="AE590" s="8" t="str">
        <f t="shared" si="27"/>
        <v/>
      </c>
      <c r="AF590" s="8" t="str">
        <f t="shared" si="28"/>
        <v/>
      </c>
      <c r="AG590" s="8" t="str">
        <f>IF(TRIM($E590)&lt;&gt;"Tax Paid","",IF(COUNTIFS(LISTS!$F$2:$F$26,$AE590,LISTS!$G$2:$G$26,$AF590)=0,"NOT ON LIST",""))</f>
        <v/>
      </c>
      <c r="AH590" s="8" t="str">
        <f t="shared" si="29"/>
        <v/>
      </c>
    </row>
    <row r="591" spans="31:34" x14ac:dyDescent="0.25">
      <c r="AE591" s="8" t="str">
        <f t="shared" si="27"/>
        <v/>
      </c>
      <c r="AF591" s="8" t="str">
        <f t="shared" si="28"/>
        <v/>
      </c>
      <c r="AG591" s="8" t="str">
        <f>IF(TRIM($E591)&lt;&gt;"Tax Paid","",IF(COUNTIFS(LISTS!$F$2:$F$26,$AE591,LISTS!$G$2:$G$26,$AF591)=0,"NOT ON LIST",""))</f>
        <v/>
      </c>
      <c r="AH591" s="8" t="str">
        <f t="shared" si="29"/>
        <v/>
      </c>
    </row>
    <row r="592" spans="31:34" x14ac:dyDescent="0.25">
      <c r="AE592" s="8" t="str">
        <f t="shared" si="27"/>
        <v/>
      </c>
      <c r="AF592" s="8" t="str">
        <f t="shared" si="28"/>
        <v/>
      </c>
      <c r="AG592" s="8" t="str">
        <f>IF(TRIM($E592)&lt;&gt;"Tax Paid","",IF(COUNTIFS(LISTS!$F$2:$F$26,$AE592,LISTS!$G$2:$G$26,$AF592)=0,"NOT ON LIST",""))</f>
        <v/>
      </c>
      <c r="AH592" s="8" t="str">
        <f t="shared" si="29"/>
        <v/>
      </c>
    </row>
    <row r="593" spans="31:34" x14ac:dyDescent="0.25">
      <c r="AE593" s="8" t="str">
        <f t="shared" si="27"/>
        <v/>
      </c>
      <c r="AF593" s="8" t="str">
        <f t="shared" si="28"/>
        <v/>
      </c>
      <c r="AG593" s="8" t="str">
        <f>IF(TRIM($E593)&lt;&gt;"Tax Paid","",IF(COUNTIFS(LISTS!$F$2:$F$26,$AE593,LISTS!$G$2:$G$26,$AF593)=0,"NOT ON LIST",""))</f>
        <v/>
      </c>
      <c r="AH593" s="8" t="str">
        <f t="shared" si="29"/>
        <v/>
      </c>
    </row>
    <row r="594" spans="31:34" x14ac:dyDescent="0.25">
      <c r="AE594" s="8" t="str">
        <f t="shared" si="27"/>
        <v/>
      </c>
      <c r="AF594" s="8" t="str">
        <f t="shared" si="28"/>
        <v/>
      </c>
      <c r="AG594" s="8" t="str">
        <f>IF(TRIM($E594)&lt;&gt;"Tax Paid","",IF(COUNTIFS(LISTS!$F$2:$F$26,$AE594,LISTS!$G$2:$G$26,$AF594)=0,"NOT ON LIST",""))</f>
        <v/>
      </c>
      <c r="AH594" s="8" t="str">
        <f t="shared" si="29"/>
        <v/>
      </c>
    </row>
    <row r="595" spans="31:34" x14ac:dyDescent="0.25">
      <c r="AE595" s="8" t="str">
        <f t="shared" si="27"/>
        <v/>
      </c>
      <c r="AF595" s="8" t="str">
        <f t="shared" si="28"/>
        <v/>
      </c>
      <c r="AG595" s="8" t="str">
        <f>IF(TRIM($E595)&lt;&gt;"Tax Paid","",IF(COUNTIFS(LISTS!$F$2:$F$26,$AE595,LISTS!$G$2:$G$26,$AF595)=0,"NOT ON LIST",""))</f>
        <v/>
      </c>
      <c r="AH595" s="8" t="str">
        <f t="shared" si="29"/>
        <v/>
      </c>
    </row>
    <row r="596" spans="31:34" x14ac:dyDescent="0.25">
      <c r="AE596" s="8" t="str">
        <f t="shared" si="27"/>
        <v/>
      </c>
      <c r="AF596" s="8" t="str">
        <f t="shared" si="28"/>
        <v/>
      </c>
      <c r="AG596" s="8" t="str">
        <f>IF(TRIM($E596)&lt;&gt;"Tax Paid","",IF(COUNTIFS(LISTS!$F$2:$F$26,$AE596,LISTS!$G$2:$G$26,$AF596)=0,"NOT ON LIST",""))</f>
        <v/>
      </c>
      <c r="AH596" s="8" t="str">
        <f t="shared" si="29"/>
        <v/>
      </c>
    </row>
    <row r="597" spans="31:34" x14ac:dyDescent="0.25">
      <c r="AE597" s="8" t="str">
        <f t="shared" si="27"/>
        <v/>
      </c>
      <c r="AF597" s="8" t="str">
        <f t="shared" si="28"/>
        <v/>
      </c>
      <c r="AG597" s="8" t="str">
        <f>IF(TRIM($E597)&lt;&gt;"Tax Paid","",IF(COUNTIFS(LISTS!$F$2:$F$26,$AE597,LISTS!$G$2:$G$26,$AF597)=0,"NOT ON LIST",""))</f>
        <v/>
      </c>
      <c r="AH597" s="8" t="str">
        <f t="shared" si="29"/>
        <v/>
      </c>
    </row>
    <row r="598" spans="31:34" x14ac:dyDescent="0.25">
      <c r="AE598" s="8" t="str">
        <f t="shared" si="27"/>
        <v/>
      </c>
      <c r="AF598" s="8" t="str">
        <f t="shared" si="28"/>
        <v/>
      </c>
      <c r="AG598" s="8" t="str">
        <f>IF(TRIM($E598)&lt;&gt;"Tax Paid","",IF(COUNTIFS(LISTS!$F$2:$F$26,$AE598,LISTS!$G$2:$G$26,$AF598)=0,"NOT ON LIST",""))</f>
        <v/>
      </c>
      <c r="AH598" s="8" t="str">
        <f t="shared" si="29"/>
        <v/>
      </c>
    </row>
    <row r="599" spans="31:34" x14ac:dyDescent="0.25">
      <c r="AE599" s="8" t="str">
        <f t="shared" si="27"/>
        <v/>
      </c>
      <c r="AF599" s="8" t="str">
        <f t="shared" si="28"/>
        <v/>
      </c>
      <c r="AG599" s="8" t="str">
        <f>IF(TRIM($E599)&lt;&gt;"Tax Paid","",IF(COUNTIFS(LISTS!$F$2:$F$26,$AE599,LISTS!$G$2:$G$26,$AF599)=0,"NOT ON LIST",""))</f>
        <v/>
      </c>
      <c r="AH599" s="8" t="str">
        <f t="shared" si="29"/>
        <v/>
      </c>
    </row>
    <row r="600" spans="31:34" x14ac:dyDescent="0.25">
      <c r="AE600" s="8" t="str">
        <f t="shared" si="27"/>
        <v/>
      </c>
      <c r="AF600" s="8" t="str">
        <f t="shared" si="28"/>
        <v/>
      </c>
      <c r="AG600" s="8" t="str">
        <f>IF(TRIM($E600)&lt;&gt;"Tax Paid","",IF(COUNTIFS(LISTS!$F$2:$F$26,$AE600,LISTS!$G$2:$G$26,$AF600)=0,"NOT ON LIST",""))</f>
        <v/>
      </c>
      <c r="AH600" s="8" t="str">
        <f t="shared" si="29"/>
        <v/>
      </c>
    </row>
    <row r="601" spans="31:34" x14ac:dyDescent="0.25">
      <c r="AE601" s="8" t="str">
        <f t="shared" si="27"/>
        <v/>
      </c>
      <c r="AF601" s="8" t="str">
        <f t="shared" si="28"/>
        <v/>
      </c>
      <c r="AG601" s="8" t="str">
        <f>IF(TRIM($E601)&lt;&gt;"Tax Paid","",IF(COUNTIFS(LISTS!$F$2:$F$26,$AE601,LISTS!$G$2:$G$26,$AF601)=0,"NOT ON LIST",""))</f>
        <v/>
      </c>
      <c r="AH601" s="8" t="str">
        <f t="shared" si="29"/>
        <v/>
      </c>
    </row>
    <row r="602" spans="31:34" x14ac:dyDescent="0.25">
      <c r="AE602" s="8" t="str">
        <f t="shared" si="27"/>
        <v/>
      </c>
      <c r="AF602" s="8" t="str">
        <f t="shared" si="28"/>
        <v/>
      </c>
      <c r="AG602" s="8" t="str">
        <f>IF(TRIM($E602)&lt;&gt;"Tax Paid","",IF(COUNTIFS(LISTS!$F$2:$F$26,$AE602,LISTS!$G$2:$G$26,$AF602)=0,"NOT ON LIST",""))</f>
        <v/>
      </c>
      <c r="AH602" s="8" t="str">
        <f t="shared" si="29"/>
        <v/>
      </c>
    </row>
    <row r="603" spans="31:34" x14ac:dyDescent="0.25">
      <c r="AE603" s="8" t="str">
        <f t="shared" si="27"/>
        <v/>
      </c>
      <c r="AF603" s="8" t="str">
        <f t="shared" si="28"/>
        <v/>
      </c>
      <c r="AG603" s="8" t="str">
        <f>IF(TRIM($E603)&lt;&gt;"Tax Paid","",IF(COUNTIFS(LISTS!$F$2:$F$26,$AE603,LISTS!$G$2:$G$26,$AF603)=0,"NOT ON LIST",""))</f>
        <v/>
      </c>
      <c r="AH603" s="8" t="str">
        <f t="shared" si="29"/>
        <v/>
      </c>
    </row>
    <row r="604" spans="31:34" x14ac:dyDescent="0.25">
      <c r="AE604" s="8" t="str">
        <f t="shared" si="27"/>
        <v/>
      </c>
      <c r="AF604" s="8" t="str">
        <f t="shared" si="28"/>
        <v/>
      </c>
      <c r="AG604" s="8" t="str">
        <f>IF(TRIM($E604)&lt;&gt;"Tax Paid","",IF(COUNTIFS(LISTS!$F$2:$F$26,$AE604,LISTS!$G$2:$G$26,$AF604)=0,"NOT ON LIST",""))</f>
        <v/>
      </c>
      <c r="AH604" s="8" t="str">
        <f t="shared" si="29"/>
        <v/>
      </c>
    </row>
    <row r="605" spans="31:34" x14ac:dyDescent="0.25">
      <c r="AE605" s="8" t="str">
        <f t="shared" si="27"/>
        <v/>
      </c>
      <c r="AF605" s="8" t="str">
        <f t="shared" si="28"/>
        <v/>
      </c>
      <c r="AG605" s="8" t="str">
        <f>IF(TRIM($E605)&lt;&gt;"Tax Paid","",IF(COUNTIFS(LISTS!$F$2:$F$26,$AE605,LISTS!$G$2:$G$26,$AF605)=0,"NOT ON LIST",""))</f>
        <v/>
      </c>
      <c r="AH605" s="8" t="str">
        <f t="shared" si="29"/>
        <v/>
      </c>
    </row>
    <row r="606" spans="31:34" x14ac:dyDescent="0.25">
      <c r="AE606" s="8" t="str">
        <f t="shared" si="27"/>
        <v/>
      </c>
      <c r="AF606" s="8" t="str">
        <f t="shared" si="28"/>
        <v/>
      </c>
      <c r="AG606" s="8" t="str">
        <f>IF(TRIM($E606)&lt;&gt;"Tax Paid","",IF(COUNTIFS(LISTS!$F$2:$F$26,$AE606,LISTS!$G$2:$G$26,$AF606)=0,"NOT ON LIST",""))</f>
        <v/>
      </c>
      <c r="AH606" s="8" t="str">
        <f t="shared" si="29"/>
        <v/>
      </c>
    </row>
    <row r="607" spans="31:34" x14ac:dyDescent="0.25">
      <c r="AE607" s="8" t="str">
        <f t="shared" si="27"/>
        <v/>
      </c>
      <c r="AF607" s="8" t="str">
        <f t="shared" si="28"/>
        <v/>
      </c>
      <c r="AG607" s="8" t="str">
        <f>IF(TRIM($E607)&lt;&gt;"Tax Paid","",IF(COUNTIFS(LISTS!$F$2:$F$26,$AE607,LISTS!$G$2:$G$26,$AF607)=0,"NOT ON LIST",""))</f>
        <v/>
      </c>
      <c r="AH607" s="8" t="str">
        <f t="shared" si="29"/>
        <v/>
      </c>
    </row>
    <row r="608" spans="31:34" x14ac:dyDescent="0.25">
      <c r="AE608" s="8" t="str">
        <f t="shared" si="27"/>
        <v/>
      </c>
      <c r="AF608" s="8" t="str">
        <f t="shared" si="28"/>
        <v/>
      </c>
      <c r="AG608" s="8" t="str">
        <f>IF(TRIM($E608)&lt;&gt;"Tax Paid","",IF(COUNTIFS(LISTS!$F$2:$F$26,$AE608,LISTS!$G$2:$G$26,$AF608)=0,"NOT ON LIST",""))</f>
        <v/>
      </c>
      <c r="AH608" s="8" t="str">
        <f t="shared" si="29"/>
        <v/>
      </c>
    </row>
    <row r="609" spans="31:34" x14ac:dyDescent="0.25">
      <c r="AE609" s="8" t="str">
        <f t="shared" si="27"/>
        <v/>
      </c>
      <c r="AF609" s="8" t="str">
        <f t="shared" si="28"/>
        <v/>
      </c>
      <c r="AG609" s="8" t="str">
        <f>IF(TRIM($E609)&lt;&gt;"Tax Paid","",IF(COUNTIFS(LISTS!$F$2:$F$26,$AE609,LISTS!$G$2:$G$26,$AF609)=0,"NOT ON LIST",""))</f>
        <v/>
      </c>
      <c r="AH609" s="8" t="str">
        <f t="shared" si="29"/>
        <v/>
      </c>
    </row>
    <row r="610" spans="31:34" x14ac:dyDescent="0.25">
      <c r="AE610" s="8" t="str">
        <f t="shared" si="27"/>
        <v/>
      </c>
      <c r="AF610" s="8" t="str">
        <f t="shared" si="28"/>
        <v/>
      </c>
      <c r="AG610" s="8" t="str">
        <f>IF(TRIM($E610)&lt;&gt;"Tax Paid","",IF(COUNTIFS(LISTS!$F$2:$F$26,$AE610,LISTS!$G$2:$G$26,$AF610)=0,"NOT ON LIST",""))</f>
        <v/>
      </c>
      <c r="AH610" s="8" t="str">
        <f t="shared" si="29"/>
        <v/>
      </c>
    </row>
    <row r="611" spans="31:34" x14ac:dyDescent="0.25">
      <c r="AE611" s="8" t="str">
        <f t="shared" si="27"/>
        <v/>
      </c>
      <c r="AF611" s="8" t="str">
        <f t="shared" si="28"/>
        <v/>
      </c>
      <c r="AG611" s="8" t="str">
        <f>IF(TRIM($E611)&lt;&gt;"Tax Paid","",IF(COUNTIFS(LISTS!$F$2:$F$26,$AE611,LISTS!$G$2:$G$26,$AF611)=0,"NOT ON LIST",""))</f>
        <v/>
      </c>
      <c r="AH611" s="8" t="str">
        <f t="shared" si="29"/>
        <v/>
      </c>
    </row>
    <row r="612" spans="31:34" x14ac:dyDescent="0.25">
      <c r="AE612" s="8" t="str">
        <f t="shared" si="27"/>
        <v/>
      </c>
      <c r="AF612" s="8" t="str">
        <f t="shared" si="28"/>
        <v/>
      </c>
      <c r="AG612" s="8" t="str">
        <f>IF(TRIM($E612)&lt;&gt;"Tax Paid","",IF(COUNTIFS(LISTS!$F$2:$F$26,$AE612,LISTS!$G$2:$G$26,$AF612)=0,"NOT ON LIST",""))</f>
        <v/>
      </c>
      <c r="AH612" s="8" t="str">
        <f t="shared" si="29"/>
        <v/>
      </c>
    </row>
    <row r="613" spans="31:34" x14ac:dyDescent="0.25">
      <c r="AE613" s="8" t="str">
        <f t="shared" si="27"/>
        <v/>
      </c>
      <c r="AF613" s="8" t="str">
        <f t="shared" si="28"/>
        <v/>
      </c>
      <c r="AG613" s="8" t="str">
        <f>IF(TRIM($E613)&lt;&gt;"Tax Paid","",IF(COUNTIFS(LISTS!$F$2:$F$26,$AE613,LISTS!$G$2:$G$26,$AF613)=0,"NOT ON LIST",""))</f>
        <v/>
      </c>
      <c r="AH613" s="8" t="str">
        <f t="shared" si="29"/>
        <v/>
      </c>
    </row>
    <row r="614" spans="31:34" x14ac:dyDescent="0.25">
      <c r="AE614" s="8" t="str">
        <f t="shared" si="27"/>
        <v/>
      </c>
      <c r="AF614" s="8" t="str">
        <f t="shared" si="28"/>
        <v/>
      </c>
      <c r="AG614" s="8" t="str">
        <f>IF(TRIM($E614)&lt;&gt;"Tax Paid","",IF(COUNTIFS(LISTS!$F$2:$F$26,$AE614,LISTS!$G$2:$G$26,$AF614)=0,"NOT ON LIST",""))</f>
        <v/>
      </c>
      <c r="AH614" s="8" t="str">
        <f t="shared" si="29"/>
        <v/>
      </c>
    </row>
    <row r="615" spans="31:34" x14ac:dyDescent="0.25">
      <c r="AE615" s="8" t="str">
        <f t="shared" si="27"/>
        <v/>
      </c>
      <c r="AF615" s="8" t="str">
        <f t="shared" si="28"/>
        <v/>
      </c>
      <c r="AG615" s="8" t="str">
        <f>IF(TRIM($E615)&lt;&gt;"Tax Paid","",IF(COUNTIFS(LISTS!$F$2:$F$26,$AE615,LISTS!$G$2:$G$26,$AF615)=0,"NOT ON LIST",""))</f>
        <v/>
      </c>
      <c r="AH615" s="8" t="str">
        <f t="shared" si="29"/>
        <v/>
      </c>
    </row>
    <row r="616" spans="31:34" x14ac:dyDescent="0.25">
      <c r="AE616" s="8" t="str">
        <f t="shared" si="27"/>
        <v/>
      </c>
      <c r="AF616" s="8" t="str">
        <f t="shared" si="28"/>
        <v/>
      </c>
      <c r="AG616" s="8" t="str">
        <f>IF(TRIM($E616)&lt;&gt;"Tax Paid","",IF(COUNTIFS(LISTS!$F$2:$F$26,$AE616,LISTS!$G$2:$G$26,$AF616)=0,"NOT ON LIST",""))</f>
        <v/>
      </c>
      <c r="AH616" s="8" t="str">
        <f t="shared" si="29"/>
        <v/>
      </c>
    </row>
    <row r="617" spans="31:34" x14ac:dyDescent="0.25">
      <c r="AE617" s="8" t="str">
        <f t="shared" si="27"/>
        <v/>
      </c>
      <c r="AF617" s="8" t="str">
        <f t="shared" si="28"/>
        <v/>
      </c>
      <c r="AG617" s="8" t="str">
        <f>IF(TRIM($E617)&lt;&gt;"Tax Paid","",IF(COUNTIFS(LISTS!$F$2:$F$26,$AE617,LISTS!$G$2:$G$26,$AF617)=0,"NOT ON LIST",""))</f>
        <v/>
      </c>
      <c r="AH617" s="8" t="str">
        <f t="shared" si="29"/>
        <v/>
      </c>
    </row>
    <row r="618" spans="31:34" x14ac:dyDescent="0.25">
      <c r="AE618" s="8" t="str">
        <f t="shared" si="27"/>
        <v/>
      </c>
      <c r="AF618" s="8" t="str">
        <f t="shared" si="28"/>
        <v/>
      </c>
      <c r="AG618" s="8" t="str">
        <f>IF(TRIM($E618)&lt;&gt;"Tax Paid","",IF(COUNTIFS(LISTS!$F$2:$F$26,$AE618,LISTS!$G$2:$G$26,$AF618)=0,"NOT ON LIST",""))</f>
        <v/>
      </c>
      <c r="AH618" s="8" t="str">
        <f t="shared" si="29"/>
        <v/>
      </c>
    </row>
    <row r="619" spans="31:34" x14ac:dyDescent="0.25">
      <c r="AE619" s="8" t="str">
        <f t="shared" si="27"/>
        <v/>
      </c>
      <c r="AF619" s="8" t="str">
        <f t="shared" si="28"/>
        <v/>
      </c>
      <c r="AG619" s="8" t="str">
        <f>IF(TRIM($E619)&lt;&gt;"Tax Paid","",IF(COUNTIFS(LISTS!$F$2:$F$26,$AE619,LISTS!$G$2:$G$26,$AF619)=0,"NOT ON LIST",""))</f>
        <v/>
      </c>
      <c r="AH619" s="8" t="str">
        <f t="shared" si="29"/>
        <v/>
      </c>
    </row>
    <row r="620" spans="31:34" x14ac:dyDescent="0.25">
      <c r="AE620" s="8" t="str">
        <f t="shared" si="27"/>
        <v/>
      </c>
      <c r="AF620" s="8" t="str">
        <f t="shared" si="28"/>
        <v/>
      </c>
      <c r="AG620" s="8" t="str">
        <f>IF(TRIM($E620)&lt;&gt;"Tax Paid","",IF(COUNTIFS(LISTS!$F$2:$F$26,$AE620,LISTS!$G$2:$G$26,$AF620)=0,"NOT ON LIST",""))</f>
        <v/>
      </c>
      <c r="AH620" s="8" t="str">
        <f t="shared" si="29"/>
        <v/>
      </c>
    </row>
    <row r="621" spans="31:34" x14ac:dyDescent="0.25">
      <c r="AE621" s="8" t="str">
        <f t="shared" si="27"/>
        <v/>
      </c>
      <c r="AF621" s="8" t="str">
        <f t="shared" si="28"/>
        <v/>
      </c>
      <c r="AG621" s="8" t="str">
        <f>IF(TRIM($E621)&lt;&gt;"Tax Paid","",IF(COUNTIFS(LISTS!$F$2:$F$26,$AE621,LISTS!$G$2:$G$26,$AF621)=0,"NOT ON LIST",""))</f>
        <v/>
      </c>
      <c r="AH621" s="8" t="str">
        <f t="shared" si="29"/>
        <v/>
      </c>
    </row>
    <row r="622" spans="31:34" x14ac:dyDescent="0.25">
      <c r="AE622" s="8" t="str">
        <f t="shared" si="27"/>
        <v/>
      </c>
      <c r="AF622" s="8" t="str">
        <f t="shared" si="28"/>
        <v/>
      </c>
      <c r="AG622" s="8" t="str">
        <f>IF(TRIM($E622)&lt;&gt;"Tax Paid","",IF(COUNTIFS(LISTS!$F$2:$F$26,$AE622,LISTS!$G$2:$G$26,$AF622)=0,"NOT ON LIST",""))</f>
        <v/>
      </c>
      <c r="AH622" s="8" t="str">
        <f t="shared" si="29"/>
        <v/>
      </c>
    </row>
    <row r="623" spans="31:34" x14ac:dyDescent="0.25">
      <c r="AE623" s="8" t="str">
        <f t="shared" si="27"/>
        <v/>
      </c>
      <c r="AF623" s="8" t="str">
        <f t="shared" si="28"/>
        <v/>
      </c>
      <c r="AG623" s="8" t="str">
        <f>IF(TRIM($E623)&lt;&gt;"Tax Paid","",IF(COUNTIFS(LISTS!$F$2:$F$26,$AE623,LISTS!$G$2:$G$26,$AF623)=0,"NOT ON LIST",""))</f>
        <v/>
      </c>
      <c r="AH623" s="8" t="str">
        <f t="shared" si="29"/>
        <v/>
      </c>
    </row>
    <row r="624" spans="31:34" x14ac:dyDescent="0.25">
      <c r="AE624" s="8" t="str">
        <f t="shared" si="27"/>
        <v/>
      </c>
      <c r="AF624" s="8" t="str">
        <f t="shared" si="28"/>
        <v/>
      </c>
      <c r="AG624" s="8" t="str">
        <f>IF(TRIM($E624)&lt;&gt;"Tax Paid","",IF(COUNTIFS(LISTS!$F$2:$F$26,$AE624,LISTS!$G$2:$G$26,$AF624)=0,"NOT ON LIST",""))</f>
        <v/>
      </c>
      <c r="AH624" s="8" t="str">
        <f t="shared" si="29"/>
        <v/>
      </c>
    </row>
    <row r="625" spans="31:34" x14ac:dyDescent="0.25">
      <c r="AE625" s="8" t="str">
        <f t="shared" si="27"/>
        <v/>
      </c>
      <c r="AF625" s="8" t="str">
        <f t="shared" si="28"/>
        <v/>
      </c>
      <c r="AG625" s="8" t="str">
        <f>IF(TRIM($E625)&lt;&gt;"Tax Paid","",IF(COUNTIFS(LISTS!$F$2:$F$26,$AE625,LISTS!$G$2:$G$26,$AF625)=0,"NOT ON LIST",""))</f>
        <v/>
      </c>
      <c r="AH625" s="8" t="str">
        <f t="shared" si="29"/>
        <v/>
      </c>
    </row>
    <row r="626" spans="31:34" x14ac:dyDescent="0.25">
      <c r="AE626" s="8" t="str">
        <f t="shared" si="27"/>
        <v/>
      </c>
      <c r="AF626" s="8" t="str">
        <f t="shared" si="28"/>
        <v/>
      </c>
      <c r="AG626" s="8" t="str">
        <f>IF(TRIM($E626)&lt;&gt;"Tax Paid","",IF(COUNTIFS(LISTS!$F$2:$F$26,$AE626,LISTS!$G$2:$G$26,$AF626)=0,"NOT ON LIST",""))</f>
        <v/>
      </c>
      <c r="AH626" s="8" t="str">
        <f t="shared" si="29"/>
        <v/>
      </c>
    </row>
    <row r="627" spans="31:34" x14ac:dyDescent="0.25">
      <c r="AE627" s="8" t="str">
        <f t="shared" si="27"/>
        <v/>
      </c>
      <c r="AF627" s="8" t="str">
        <f t="shared" si="28"/>
        <v/>
      </c>
      <c r="AG627" s="8" t="str">
        <f>IF(TRIM($E627)&lt;&gt;"Tax Paid","",IF(COUNTIFS(LISTS!$F$2:$F$26,$AE627,LISTS!$G$2:$G$26,$AF627)=0,"NOT ON LIST",""))</f>
        <v/>
      </c>
      <c r="AH627" s="8" t="str">
        <f t="shared" si="29"/>
        <v/>
      </c>
    </row>
    <row r="628" spans="31:34" x14ac:dyDescent="0.25">
      <c r="AE628" s="8" t="str">
        <f t="shared" si="27"/>
        <v/>
      </c>
      <c r="AF628" s="8" t="str">
        <f t="shared" si="28"/>
        <v/>
      </c>
      <c r="AG628" s="8" t="str">
        <f>IF(TRIM($E628)&lt;&gt;"Tax Paid","",IF(COUNTIFS(LISTS!$F$2:$F$26,$AE628,LISTS!$G$2:$G$26,$AF628)=0,"NOT ON LIST",""))</f>
        <v/>
      </c>
      <c r="AH628" s="8" t="str">
        <f t="shared" si="29"/>
        <v/>
      </c>
    </row>
    <row r="629" spans="31:34" x14ac:dyDescent="0.25">
      <c r="AE629" s="8" t="str">
        <f t="shared" si="27"/>
        <v/>
      </c>
      <c r="AF629" s="8" t="str">
        <f t="shared" si="28"/>
        <v/>
      </c>
      <c r="AG629" s="8" t="str">
        <f>IF(TRIM($E629)&lt;&gt;"Tax Paid","",IF(COUNTIFS(LISTS!$F$2:$F$26,$AE629,LISTS!$G$2:$G$26,$AF629)=0,"NOT ON LIST",""))</f>
        <v/>
      </c>
      <c r="AH629" s="8" t="str">
        <f t="shared" si="29"/>
        <v/>
      </c>
    </row>
    <row r="630" spans="31:34" x14ac:dyDescent="0.25">
      <c r="AE630" s="8" t="str">
        <f t="shared" si="27"/>
        <v/>
      </c>
      <c r="AF630" s="8" t="str">
        <f t="shared" si="28"/>
        <v/>
      </c>
      <c r="AG630" s="8" t="str">
        <f>IF(TRIM($E630)&lt;&gt;"Tax Paid","",IF(COUNTIFS(LISTS!$F$2:$F$26,$AE630,LISTS!$G$2:$G$26,$AF630)=0,"NOT ON LIST",""))</f>
        <v/>
      </c>
      <c r="AH630" s="8" t="str">
        <f t="shared" si="29"/>
        <v/>
      </c>
    </row>
    <row r="631" spans="31:34" x14ac:dyDescent="0.25">
      <c r="AE631" s="8" t="str">
        <f t="shared" si="27"/>
        <v/>
      </c>
      <c r="AF631" s="8" t="str">
        <f t="shared" si="28"/>
        <v/>
      </c>
      <c r="AG631" s="8" t="str">
        <f>IF(TRIM($E631)&lt;&gt;"Tax Paid","",IF(COUNTIFS(LISTS!$F$2:$F$26,$AE631,LISTS!$G$2:$G$26,$AF631)=0,"NOT ON LIST",""))</f>
        <v/>
      </c>
      <c r="AH631" s="8" t="str">
        <f t="shared" si="29"/>
        <v/>
      </c>
    </row>
    <row r="632" spans="31:34" x14ac:dyDescent="0.25">
      <c r="AE632" s="8" t="str">
        <f t="shared" si="27"/>
        <v/>
      </c>
      <c r="AF632" s="8" t="str">
        <f t="shared" si="28"/>
        <v/>
      </c>
      <c r="AG632" s="8" t="str">
        <f>IF(TRIM($E632)&lt;&gt;"Tax Paid","",IF(COUNTIFS(LISTS!$F$2:$F$26,$AE632,LISTS!$G$2:$G$26,$AF632)=0,"NOT ON LIST",""))</f>
        <v/>
      </c>
      <c r="AH632" s="8" t="str">
        <f t="shared" si="29"/>
        <v/>
      </c>
    </row>
    <row r="633" spans="31:34" x14ac:dyDescent="0.25">
      <c r="AE633" s="8" t="str">
        <f t="shared" si="27"/>
        <v/>
      </c>
      <c r="AF633" s="8" t="str">
        <f t="shared" si="28"/>
        <v/>
      </c>
      <c r="AG633" s="8" t="str">
        <f>IF(TRIM($E633)&lt;&gt;"Tax Paid","",IF(COUNTIFS(LISTS!$F$2:$F$26,$AE633,LISTS!$G$2:$G$26,$AF633)=0,"NOT ON LIST",""))</f>
        <v/>
      </c>
      <c r="AH633" s="8" t="str">
        <f t="shared" si="29"/>
        <v/>
      </c>
    </row>
    <row r="634" spans="31:34" x14ac:dyDescent="0.25">
      <c r="AE634" s="8" t="str">
        <f t="shared" si="27"/>
        <v/>
      </c>
      <c r="AF634" s="8" t="str">
        <f t="shared" si="28"/>
        <v/>
      </c>
      <c r="AG634" s="8" t="str">
        <f>IF(TRIM($E634)&lt;&gt;"Tax Paid","",IF(COUNTIFS(LISTS!$F$2:$F$26,$AE634,LISTS!$G$2:$G$26,$AF634)=0,"NOT ON LIST",""))</f>
        <v/>
      </c>
      <c r="AH634" s="8" t="str">
        <f t="shared" si="29"/>
        <v/>
      </c>
    </row>
    <row r="635" spans="31:34" x14ac:dyDescent="0.25">
      <c r="AE635" s="8" t="str">
        <f t="shared" si="27"/>
        <v/>
      </c>
      <c r="AF635" s="8" t="str">
        <f t="shared" si="28"/>
        <v/>
      </c>
      <c r="AG635" s="8" t="str">
        <f>IF(TRIM($E635)&lt;&gt;"Tax Paid","",IF(COUNTIFS(LISTS!$F$2:$F$26,$AE635,LISTS!$G$2:$G$26,$AF635)=0,"NOT ON LIST",""))</f>
        <v/>
      </c>
      <c r="AH635" s="8" t="str">
        <f t="shared" si="29"/>
        <v/>
      </c>
    </row>
    <row r="636" spans="31:34" x14ac:dyDescent="0.25">
      <c r="AE636" s="8" t="str">
        <f t="shared" si="27"/>
        <v/>
      </c>
      <c r="AF636" s="8" t="str">
        <f t="shared" si="28"/>
        <v/>
      </c>
      <c r="AG636" s="8" t="str">
        <f>IF(TRIM($E636)&lt;&gt;"Tax Paid","",IF(COUNTIFS(LISTS!$F$2:$F$26,$AE636,LISTS!$G$2:$G$26,$AF636)=0,"NOT ON LIST",""))</f>
        <v/>
      </c>
      <c r="AH636" s="8" t="str">
        <f t="shared" si="29"/>
        <v/>
      </c>
    </row>
    <row r="637" spans="31:34" x14ac:dyDescent="0.25">
      <c r="AE637" s="8" t="str">
        <f t="shared" si="27"/>
        <v/>
      </c>
      <c r="AF637" s="8" t="str">
        <f t="shared" si="28"/>
        <v/>
      </c>
      <c r="AG637" s="8" t="str">
        <f>IF(TRIM($E637)&lt;&gt;"Tax Paid","",IF(COUNTIFS(LISTS!$F$2:$F$26,$AE637,LISTS!$G$2:$G$26,$AF637)=0,"NOT ON LIST",""))</f>
        <v/>
      </c>
      <c r="AH637" s="8" t="str">
        <f t="shared" si="29"/>
        <v/>
      </c>
    </row>
    <row r="638" spans="31:34" x14ac:dyDescent="0.25">
      <c r="AE638" s="8" t="str">
        <f t="shared" si="27"/>
        <v/>
      </c>
      <c r="AF638" s="8" t="str">
        <f t="shared" si="28"/>
        <v/>
      </c>
      <c r="AG638" s="8" t="str">
        <f>IF(TRIM($E638)&lt;&gt;"Tax Paid","",IF(COUNTIFS(LISTS!$F$2:$F$26,$AE638,LISTS!$G$2:$G$26,$AF638)=0,"NOT ON LIST",""))</f>
        <v/>
      </c>
      <c r="AH638" s="8" t="str">
        <f t="shared" si="29"/>
        <v/>
      </c>
    </row>
    <row r="639" spans="31:34" x14ac:dyDescent="0.25">
      <c r="AE639" s="8" t="str">
        <f t="shared" si="27"/>
        <v/>
      </c>
      <c r="AF639" s="8" t="str">
        <f t="shared" si="28"/>
        <v/>
      </c>
      <c r="AG639" s="8" t="str">
        <f>IF(TRIM($E639)&lt;&gt;"Tax Paid","",IF(COUNTIFS(LISTS!$F$2:$F$26,$AE639,LISTS!$G$2:$G$26,$AF639)=0,"NOT ON LIST",""))</f>
        <v/>
      </c>
      <c r="AH639" s="8" t="str">
        <f t="shared" si="29"/>
        <v/>
      </c>
    </row>
    <row r="640" spans="31:34" x14ac:dyDescent="0.25">
      <c r="AE640" s="8" t="str">
        <f t="shared" si="27"/>
        <v/>
      </c>
      <c r="AF640" s="8" t="str">
        <f t="shared" si="28"/>
        <v/>
      </c>
      <c r="AG640" s="8" t="str">
        <f>IF(TRIM($E640)&lt;&gt;"Tax Paid","",IF(COUNTIFS(LISTS!$F$2:$F$26,$AE640,LISTS!$G$2:$G$26,$AF640)=0,"NOT ON LIST",""))</f>
        <v/>
      </c>
      <c r="AH640" s="8" t="str">
        <f t="shared" si="29"/>
        <v/>
      </c>
    </row>
    <row r="641" spans="31:34" x14ac:dyDescent="0.25">
      <c r="AE641" s="8" t="str">
        <f t="shared" si="27"/>
        <v/>
      </c>
      <c r="AF641" s="8" t="str">
        <f t="shared" si="28"/>
        <v/>
      </c>
      <c r="AG641" s="8" t="str">
        <f>IF(TRIM($E641)&lt;&gt;"Tax Paid","",IF(COUNTIFS(LISTS!$F$2:$F$26,$AE641,LISTS!$G$2:$G$26,$AF641)=0,"NOT ON LIST",""))</f>
        <v/>
      </c>
      <c r="AH641" s="8" t="str">
        <f t="shared" si="29"/>
        <v/>
      </c>
    </row>
    <row r="642" spans="31:34" x14ac:dyDescent="0.25">
      <c r="AE642" s="8" t="str">
        <f t="shared" ref="AE642:AE705" si="30">IF(TRIM($E642)="Tax Paid",TRIM($S642),"")</f>
        <v/>
      </c>
      <c r="AF642" s="8" t="str">
        <f t="shared" ref="AF642:AF705" si="31">IF(TRIM($E642)="Tax Paid",ROUND($Z642/100,5),"")</f>
        <v/>
      </c>
      <c r="AG642" s="8" t="str">
        <f>IF(TRIM($E642)&lt;&gt;"Tax Paid","",IF(COUNTIFS(LISTS!$F$2:$F$26,$AE642,LISTS!$G$2:$G$26,$AF642)=0,"NOT ON LIST",""))</f>
        <v/>
      </c>
      <c r="AH642" s="8" t="str">
        <f t="shared" ref="AH642:AH705" si="32">IF($AG642="","",IF($AE642="","(no county)",$AE642)&amp;" ("&amp;SUBSTITUTE(TEXT($AF642,"0.###%"),".%","%")&amp;")")</f>
        <v/>
      </c>
    </row>
    <row r="643" spans="31:34" x14ac:dyDescent="0.25">
      <c r="AE643" s="8" t="str">
        <f t="shared" si="30"/>
        <v/>
      </c>
      <c r="AF643" s="8" t="str">
        <f t="shared" si="31"/>
        <v/>
      </c>
      <c r="AG643" s="8" t="str">
        <f>IF(TRIM($E643)&lt;&gt;"Tax Paid","",IF(COUNTIFS(LISTS!$F$2:$F$26,$AE643,LISTS!$G$2:$G$26,$AF643)=0,"NOT ON LIST",""))</f>
        <v/>
      </c>
      <c r="AH643" s="8" t="str">
        <f t="shared" si="32"/>
        <v/>
      </c>
    </row>
    <row r="644" spans="31:34" x14ac:dyDescent="0.25">
      <c r="AE644" s="8" t="str">
        <f t="shared" si="30"/>
        <v/>
      </c>
      <c r="AF644" s="8" t="str">
        <f t="shared" si="31"/>
        <v/>
      </c>
      <c r="AG644" s="8" t="str">
        <f>IF(TRIM($E644)&lt;&gt;"Tax Paid","",IF(COUNTIFS(LISTS!$F$2:$F$26,$AE644,LISTS!$G$2:$G$26,$AF644)=0,"NOT ON LIST",""))</f>
        <v/>
      </c>
      <c r="AH644" s="8" t="str">
        <f t="shared" si="32"/>
        <v/>
      </c>
    </row>
    <row r="645" spans="31:34" x14ac:dyDescent="0.25">
      <c r="AE645" s="8" t="str">
        <f t="shared" si="30"/>
        <v/>
      </c>
      <c r="AF645" s="8" t="str">
        <f t="shared" si="31"/>
        <v/>
      </c>
      <c r="AG645" s="8" t="str">
        <f>IF(TRIM($E645)&lt;&gt;"Tax Paid","",IF(COUNTIFS(LISTS!$F$2:$F$26,$AE645,LISTS!$G$2:$G$26,$AF645)=0,"NOT ON LIST",""))</f>
        <v/>
      </c>
      <c r="AH645" s="8" t="str">
        <f t="shared" si="32"/>
        <v/>
      </c>
    </row>
    <row r="646" spans="31:34" x14ac:dyDescent="0.25">
      <c r="AE646" s="8" t="str">
        <f t="shared" si="30"/>
        <v/>
      </c>
      <c r="AF646" s="8" t="str">
        <f t="shared" si="31"/>
        <v/>
      </c>
      <c r="AG646" s="8" t="str">
        <f>IF(TRIM($E646)&lt;&gt;"Tax Paid","",IF(COUNTIFS(LISTS!$F$2:$F$26,$AE646,LISTS!$G$2:$G$26,$AF646)=0,"NOT ON LIST",""))</f>
        <v/>
      </c>
      <c r="AH646" s="8" t="str">
        <f t="shared" si="32"/>
        <v/>
      </c>
    </row>
    <row r="647" spans="31:34" x14ac:dyDescent="0.25">
      <c r="AE647" s="8" t="str">
        <f t="shared" si="30"/>
        <v/>
      </c>
      <c r="AF647" s="8" t="str">
        <f t="shared" si="31"/>
        <v/>
      </c>
      <c r="AG647" s="8" t="str">
        <f>IF(TRIM($E647)&lt;&gt;"Tax Paid","",IF(COUNTIFS(LISTS!$F$2:$F$26,$AE647,LISTS!$G$2:$G$26,$AF647)=0,"NOT ON LIST",""))</f>
        <v/>
      </c>
      <c r="AH647" s="8" t="str">
        <f t="shared" si="32"/>
        <v/>
      </c>
    </row>
    <row r="648" spans="31:34" x14ac:dyDescent="0.25">
      <c r="AE648" s="8" t="str">
        <f t="shared" si="30"/>
        <v/>
      </c>
      <c r="AF648" s="8" t="str">
        <f t="shared" si="31"/>
        <v/>
      </c>
      <c r="AG648" s="8" t="str">
        <f>IF(TRIM($E648)&lt;&gt;"Tax Paid","",IF(COUNTIFS(LISTS!$F$2:$F$26,$AE648,LISTS!$G$2:$G$26,$AF648)=0,"NOT ON LIST",""))</f>
        <v/>
      </c>
      <c r="AH648" s="8" t="str">
        <f t="shared" si="32"/>
        <v/>
      </c>
    </row>
    <row r="649" spans="31:34" x14ac:dyDescent="0.25">
      <c r="AE649" s="8" t="str">
        <f t="shared" si="30"/>
        <v/>
      </c>
      <c r="AF649" s="8" t="str">
        <f t="shared" si="31"/>
        <v/>
      </c>
      <c r="AG649" s="8" t="str">
        <f>IF(TRIM($E649)&lt;&gt;"Tax Paid","",IF(COUNTIFS(LISTS!$F$2:$F$26,$AE649,LISTS!$G$2:$G$26,$AF649)=0,"NOT ON LIST",""))</f>
        <v/>
      </c>
      <c r="AH649" s="8" t="str">
        <f t="shared" si="32"/>
        <v/>
      </c>
    </row>
    <row r="650" spans="31:34" x14ac:dyDescent="0.25">
      <c r="AE650" s="8" t="str">
        <f t="shared" si="30"/>
        <v/>
      </c>
      <c r="AF650" s="8" t="str">
        <f t="shared" si="31"/>
        <v/>
      </c>
      <c r="AG650" s="8" t="str">
        <f>IF(TRIM($E650)&lt;&gt;"Tax Paid","",IF(COUNTIFS(LISTS!$F$2:$F$26,$AE650,LISTS!$G$2:$G$26,$AF650)=0,"NOT ON LIST",""))</f>
        <v/>
      </c>
      <c r="AH650" s="8" t="str">
        <f t="shared" si="32"/>
        <v/>
      </c>
    </row>
    <row r="651" spans="31:34" x14ac:dyDescent="0.25">
      <c r="AE651" s="8" t="str">
        <f t="shared" si="30"/>
        <v/>
      </c>
      <c r="AF651" s="8" t="str">
        <f t="shared" si="31"/>
        <v/>
      </c>
      <c r="AG651" s="8" t="str">
        <f>IF(TRIM($E651)&lt;&gt;"Tax Paid","",IF(COUNTIFS(LISTS!$F$2:$F$26,$AE651,LISTS!$G$2:$G$26,$AF651)=0,"NOT ON LIST",""))</f>
        <v/>
      </c>
      <c r="AH651" s="8" t="str">
        <f t="shared" si="32"/>
        <v/>
      </c>
    </row>
    <row r="652" spans="31:34" x14ac:dyDescent="0.25">
      <c r="AE652" s="8" t="str">
        <f t="shared" si="30"/>
        <v/>
      </c>
      <c r="AF652" s="8" t="str">
        <f t="shared" si="31"/>
        <v/>
      </c>
      <c r="AG652" s="8" t="str">
        <f>IF(TRIM($E652)&lt;&gt;"Tax Paid","",IF(COUNTIFS(LISTS!$F$2:$F$26,$AE652,LISTS!$G$2:$G$26,$AF652)=0,"NOT ON LIST",""))</f>
        <v/>
      </c>
      <c r="AH652" s="8" t="str">
        <f t="shared" si="32"/>
        <v/>
      </c>
    </row>
    <row r="653" spans="31:34" x14ac:dyDescent="0.25">
      <c r="AE653" s="8" t="str">
        <f t="shared" si="30"/>
        <v/>
      </c>
      <c r="AF653" s="8" t="str">
        <f t="shared" si="31"/>
        <v/>
      </c>
      <c r="AG653" s="8" t="str">
        <f>IF(TRIM($E653)&lt;&gt;"Tax Paid","",IF(COUNTIFS(LISTS!$F$2:$F$26,$AE653,LISTS!$G$2:$G$26,$AF653)=0,"NOT ON LIST",""))</f>
        <v/>
      </c>
      <c r="AH653" s="8" t="str">
        <f t="shared" si="32"/>
        <v/>
      </c>
    </row>
    <row r="654" spans="31:34" x14ac:dyDescent="0.25">
      <c r="AE654" s="8" t="str">
        <f t="shared" si="30"/>
        <v/>
      </c>
      <c r="AF654" s="8" t="str">
        <f t="shared" si="31"/>
        <v/>
      </c>
      <c r="AG654" s="8" t="str">
        <f>IF(TRIM($E654)&lt;&gt;"Tax Paid","",IF(COUNTIFS(LISTS!$F$2:$F$26,$AE654,LISTS!$G$2:$G$26,$AF654)=0,"NOT ON LIST",""))</f>
        <v/>
      </c>
      <c r="AH654" s="8" t="str">
        <f t="shared" si="32"/>
        <v/>
      </c>
    </row>
    <row r="655" spans="31:34" x14ac:dyDescent="0.25">
      <c r="AE655" s="8" t="str">
        <f t="shared" si="30"/>
        <v/>
      </c>
      <c r="AF655" s="8" t="str">
        <f t="shared" si="31"/>
        <v/>
      </c>
      <c r="AG655" s="8" t="str">
        <f>IF(TRIM($E655)&lt;&gt;"Tax Paid","",IF(COUNTIFS(LISTS!$F$2:$F$26,$AE655,LISTS!$G$2:$G$26,$AF655)=0,"NOT ON LIST",""))</f>
        <v/>
      </c>
      <c r="AH655" s="8" t="str">
        <f t="shared" si="32"/>
        <v/>
      </c>
    </row>
    <row r="656" spans="31:34" x14ac:dyDescent="0.25">
      <c r="AE656" s="8" t="str">
        <f t="shared" si="30"/>
        <v/>
      </c>
      <c r="AF656" s="8" t="str">
        <f t="shared" si="31"/>
        <v/>
      </c>
      <c r="AG656" s="8" t="str">
        <f>IF(TRIM($E656)&lt;&gt;"Tax Paid","",IF(COUNTIFS(LISTS!$F$2:$F$26,$AE656,LISTS!$G$2:$G$26,$AF656)=0,"NOT ON LIST",""))</f>
        <v/>
      </c>
      <c r="AH656" s="8" t="str">
        <f t="shared" si="32"/>
        <v/>
      </c>
    </row>
    <row r="657" spans="31:34" x14ac:dyDescent="0.25">
      <c r="AE657" s="8" t="str">
        <f t="shared" si="30"/>
        <v/>
      </c>
      <c r="AF657" s="8" t="str">
        <f t="shared" si="31"/>
        <v/>
      </c>
      <c r="AG657" s="8" t="str">
        <f>IF(TRIM($E657)&lt;&gt;"Tax Paid","",IF(COUNTIFS(LISTS!$F$2:$F$26,$AE657,LISTS!$G$2:$G$26,$AF657)=0,"NOT ON LIST",""))</f>
        <v/>
      </c>
      <c r="AH657" s="8" t="str">
        <f t="shared" si="32"/>
        <v/>
      </c>
    </row>
    <row r="658" spans="31:34" x14ac:dyDescent="0.25">
      <c r="AE658" s="8" t="str">
        <f t="shared" si="30"/>
        <v/>
      </c>
      <c r="AF658" s="8" t="str">
        <f t="shared" si="31"/>
        <v/>
      </c>
      <c r="AG658" s="8" t="str">
        <f>IF(TRIM($E658)&lt;&gt;"Tax Paid","",IF(COUNTIFS(LISTS!$F$2:$F$26,$AE658,LISTS!$G$2:$G$26,$AF658)=0,"NOT ON LIST",""))</f>
        <v/>
      </c>
      <c r="AH658" s="8" t="str">
        <f t="shared" si="32"/>
        <v/>
      </c>
    </row>
    <row r="659" spans="31:34" x14ac:dyDescent="0.25">
      <c r="AE659" s="8" t="str">
        <f t="shared" si="30"/>
        <v/>
      </c>
      <c r="AF659" s="8" t="str">
        <f t="shared" si="31"/>
        <v/>
      </c>
      <c r="AG659" s="8" t="str">
        <f>IF(TRIM($E659)&lt;&gt;"Tax Paid","",IF(COUNTIFS(LISTS!$F$2:$F$26,$AE659,LISTS!$G$2:$G$26,$AF659)=0,"NOT ON LIST",""))</f>
        <v/>
      </c>
      <c r="AH659" s="8" t="str">
        <f t="shared" si="32"/>
        <v/>
      </c>
    </row>
    <row r="660" spans="31:34" x14ac:dyDescent="0.25">
      <c r="AE660" s="8" t="str">
        <f t="shared" si="30"/>
        <v/>
      </c>
      <c r="AF660" s="8" t="str">
        <f t="shared" si="31"/>
        <v/>
      </c>
      <c r="AG660" s="8" t="str">
        <f>IF(TRIM($E660)&lt;&gt;"Tax Paid","",IF(COUNTIFS(LISTS!$F$2:$F$26,$AE660,LISTS!$G$2:$G$26,$AF660)=0,"NOT ON LIST",""))</f>
        <v/>
      </c>
      <c r="AH660" s="8" t="str">
        <f t="shared" si="32"/>
        <v/>
      </c>
    </row>
    <row r="661" spans="31:34" x14ac:dyDescent="0.25">
      <c r="AE661" s="8" t="str">
        <f t="shared" si="30"/>
        <v/>
      </c>
      <c r="AF661" s="8" t="str">
        <f t="shared" si="31"/>
        <v/>
      </c>
      <c r="AG661" s="8" t="str">
        <f>IF(TRIM($E661)&lt;&gt;"Tax Paid","",IF(COUNTIFS(LISTS!$F$2:$F$26,$AE661,LISTS!$G$2:$G$26,$AF661)=0,"NOT ON LIST",""))</f>
        <v/>
      </c>
      <c r="AH661" s="8" t="str">
        <f t="shared" si="32"/>
        <v/>
      </c>
    </row>
    <row r="662" spans="31:34" x14ac:dyDescent="0.25">
      <c r="AE662" s="8" t="str">
        <f t="shared" si="30"/>
        <v/>
      </c>
      <c r="AF662" s="8" t="str">
        <f t="shared" si="31"/>
        <v/>
      </c>
      <c r="AG662" s="8" t="str">
        <f>IF(TRIM($E662)&lt;&gt;"Tax Paid","",IF(COUNTIFS(LISTS!$F$2:$F$26,$AE662,LISTS!$G$2:$G$26,$AF662)=0,"NOT ON LIST",""))</f>
        <v/>
      </c>
      <c r="AH662" s="8" t="str">
        <f t="shared" si="32"/>
        <v/>
      </c>
    </row>
    <row r="663" spans="31:34" x14ac:dyDescent="0.25">
      <c r="AE663" s="8" t="str">
        <f t="shared" si="30"/>
        <v/>
      </c>
      <c r="AF663" s="8" t="str">
        <f t="shared" si="31"/>
        <v/>
      </c>
      <c r="AG663" s="8" t="str">
        <f>IF(TRIM($E663)&lt;&gt;"Tax Paid","",IF(COUNTIFS(LISTS!$F$2:$F$26,$AE663,LISTS!$G$2:$G$26,$AF663)=0,"NOT ON LIST",""))</f>
        <v/>
      </c>
      <c r="AH663" s="8" t="str">
        <f t="shared" si="32"/>
        <v/>
      </c>
    </row>
    <row r="664" spans="31:34" x14ac:dyDescent="0.25">
      <c r="AE664" s="8" t="str">
        <f t="shared" si="30"/>
        <v/>
      </c>
      <c r="AF664" s="8" t="str">
        <f t="shared" si="31"/>
        <v/>
      </c>
      <c r="AG664" s="8" t="str">
        <f>IF(TRIM($E664)&lt;&gt;"Tax Paid","",IF(COUNTIFS(LISTS!$F$2:$F$26,$AE664,LISTS!$G$2:$G$26,$AF664)=0,"NOT ON LIST",""))</f>
        <v/>
      </c>
      <c r="AH664" s="8" t="str">
        <f t="shared" si="32"/>
        <v/>
      </c>
    </row>
    <row r="665" spans="31:34" x14ac:dyDescent="0.25">
      <c r="AE665" s="8" t="str">
        <f t="shared" si="30"/>
        <v/>
      </c>
      <c r="AF665" s="8" t="str">
        <f t="shared" si="31"/>
        <v/>
      </c>
      <c r="AG665" s="8" t="str">
        <f>IF(TRIM($E665)&lt;&gt;"Tax Paid","",IF(COUNTIFS(LISTS!$F$2:$F$26,$AE665,LISTS!$G$2:$G$26,$AF665)=0,"NOT ON LIST",""))</f>
        <v/>
      </c>
      <c r="AH665" s="8" t="str">
        <f t="shared" si="32"/>
        <v/>
      </c>
    </row>
    <row r="666" spans="31:34" x14ac:dyDescent="0.25">
      <c r="AE666" s="8" t="str">
        <f t="shared" si="30"/>
        <v/>
      </c>
      <c r="AF666" s="8" t="str">
        <f t="shared" si="31"/>
        <v/>
      </c>
      <c r="AG666" s="8" t="str">
        <f>IF(TRIM($E666)&lt;&gt;"Tax Paid","",IF(COUNTIFS(LISTS!$F$2:$F$26,$AE666,LISTS!$G$2:$G$26,$AF666)=0,"NOT ON LIST",""))</f>
        <v/>
      </c>
      <c r="AH666" s="8" t="str">
        <f t="shared" si="32"/>
        <v/>
      </c>
    </row>
    <row r="667" spans="31:34" x14ac:dyDescent="0.25">
      <c r="AE667" s="8" t="str">
        <f t="shared" si="30"/>
        <v/>
      </c>
      <c r="AF667" s="8" t="str">
        <f t="shared" si="31"/>
        <v/>
      </c>
      <c r="AG667" s="8" t="str">
        <f>IF(TRIM($E667)&lt;&gt;"Tax Paid","",IF(COUNTIFS(LISTS!$F$2:$F$26,$AE667,LISTS!$G$2:$G$26,$AF667)=0,"NOT ON LIST",""))</f>
        <v/>
      </c>
      <c r="AH667" s="8" t="str">
        <f t="shared" si="32"/>
        <v/>
      </c>
    </row>
    <row r="668" spans="31:34" x14ac:dyDescent="0.25">
      <c r="AE668" s="8" t="str">
        <f t="shared" si="30"/>
        <v/>
      </c>
      <c r="AF668" s="8" t="str">
        <f t="shared" si="31"/>
        <v/>
      </c>
      <c r="AG668" s="8" t="str">
        <f>IF(TRIM($E668)&lt;&gt;"Tax Paid","",IF(COUNTIFS(LISTS!$F$2:$F$26,$AE668,LISTS!$G$2:$G$26,$AF668)=0,"NOT ON LIST",""))</f>
        <v/>
      </c>
      <c r="AH668" s="8" t="str">
        <f t="shared" si="32"/>
        <v/>
      </c>
    </row>
    <row r="669" spans="31:34" x14ac:dyDescent="0.25">
      <c r="AE669" s="8" t="str">
        <f t="shared" si="30"/>
        <v/>
      </c>
      <c r="AF669" s="8" t="str">
        <f t="shared" si="31"/>
        <v/>
      </c>
      <c r="AG669" s="8" t="str">
        <f>IF(TRIM($E669)&lt;&gt;"Tax Paid","",IF(COUNTIFS(LISTS!$F$2:$F$26,$AE669,LISTS!$G$2:$G$26,$AF669)=0,"NOT ON LIST",""))</f>
        <v/>
      </c>
      <c r="AH669" s="8" t="str">
        <f t="shared" si="32"/>
        <v/>
      </c>
    </row>
    <row r="670" spans="31:34" x14ac:dyDescent="0.25">
      <c r="AE670" s="8" t="str">
        <f t="shared" si="30"/>
        <v/>
      </c>
      <c r="AF670" s="8" t="str">
        <f t="shared" si="31"/>
        <v/>
      </c>
      <c r="AG670" s="8" t="str">
        <f>IF(TRIM($E670)&lt;&gt;"Tax Paid","",IF(COUNTIFS(LISTS!$F$2:$F$26,$AE670,LISTS!$G$2:$G$26,$AF670)=0,"NOT ON LIST",""))</f>
        <v/>
      </c>
      <c r="AH670" s="8" t="str">
        <f t="shared" si="32"/>
        <v/>
      </c>
    </row>
    <row r="671" spans="31:34" x14ac:dyDescent="0.25">
      <c r="AE671" s="8" t="str">
        <f t="shared" si="30"/>
        <v/>
      </c>
      <c r="AF671" s="8" t="str">
        <f t="shared" si="31"/>
        <v/>
      </c>
      <c r="AG671" s="8" t="str">
        <f>IF(TRIM($E671)&lt;&gt;"Tax Paid","",IF(COUNTIFS(LISTS!$F$2:$F$26,$AE671,LISTS!$G$2:$G$26,$AF671)=0,"NOT ON LIST",""))</f>
        <v/>
      </c>
      <c r="AH671" s="8" t="str">
        <f t="shared" si="32"/>
        <v/>
      </c>
    </row>
    <row r="672" spans="31:34" x14ac:dyDescent="0.25">
      <c r="AE672" s="8" t="str">
        <f t="shared" si="30"/>
        <v/>
      </c>
      <c r="AF672" s="8" t="str">
        <f t="shared" si="31"/>
        <v/>
      </c>
      <c r="AG672" s="8" t="str">
        <f>IF(TRIM($E672)&lt;&gt;"Tax Paid","",IF(COUNTIFS(LISTS!$F$2:$F$26,$AE672,LISTS!$G$2:$G$26,$AF672)=0,"NOT ON LIST",""))</f>
        <v/>
      </c>
      <c r="AH672" s="8" t="str">
        <f t="shared" si="32"/>
        <v/>
      </c>
    </row>
    <row r="673" spans="31:34" x14ac:dyDescent="0.25">
      <c r="AE673" s="8" t="str">
        <f t="shared" si="30"/>
        <v/>
      </c>
      <c r="AF673" s="8" t="str">
        <f t="shared" si="31"/>
        <v/>
      </c>
      <c r="AG673" s="8" t="str">
        <f>IF(TRIM($E673)&lt;&gt;"Tax Paid","",IF(COUNTIFS(LISTS!$F$2:$F$26,$AE673,LISTS!$G$2:$G$26,$AF673)=0,"NOT ON LIST",""))</f>
        <v/>
      </c>
      <c r="AH673" s="8" t="str">
        <f t="shared" si="32"/>
        <v/>
      </c>
    </row>
    <row r="674" spans="31:34" x14ac:dyDescent="0.25">
      <c r="AE674" s="8" t="str">
        <f t="shared" si="30"/>
        <v/>
      </c>
      <c r="AF674" s="8" t="str">
        <f t="shared" si="31"/>
        <v/>
      </c>
      <c r="AG674" s="8" t="str">
        <f>IF(TRIM($E674)&lt;&gt;"Tax Paid","",IF(COUNTIFS(LISTS!$F$2:$F$26,$AE674,LISTS!$G$2:$G$26,$AF674)=0,"NOT ON LIST",""))</f>
        <v/>
      </c>
      <c r="AH674" s="8" t="str">
        <f t="shared" si="32"/>
        <v/>
      </c>
    </row>
    <row r="675" spans="31:34" x14ac:dyDescent="0.25">
      <c r="AE675" s="8" t="str">
        <f t="shared" si="30"/>
        <v/>
      </c>
      <c r="AF675" s="8" t="str">
        <f t="shared" si="31"/>
        <v/>
      </c>
      <c r="AG675" s="8" t="str">
        <f>IF(TRIM($E675)&lt;&gt;"Tax Paid","",IF(COUNTIFS(LISTS!$F$2:$F$26,$AE675,LISTS!$G$2:$G$26,$AF675)=0,"NOT ON LIST",""))</f>
        <v/>
      </c>
      <c r="AH675" s="8" t="str">
        <f t="shared" si="32"/>
        <v/>
      </c>
    </row>
    <row r="676" spans="31:34" x14ac:dyDescent="0.25">
      <c r="AE676" s="8" t="str">
        <f t="shared" si="30"/>
        <v/>
      </c>
      <c r="AF676" s="8" t="str">
        <f t="shared" si="31"/>
        <v/>
      </c>
      <c r="AG676" s="8" t="str">
        <f>IF(TRIM($E676)&lt;&gt;"Tax Paid","",IF(COUNTIFS(LISTS!$F$2:$F$26,$AE676,LISTS!$G$2:$G$26,$AF676)=0,"NOT ON LIST",""))</f>
        <v/>
      </c>
      <c r="AH676" s="8" t="str">
        <f t="shared" si="32"/>
        <v/>
      </c>
    </row>
    <row r="677" spans="31:34" x14ac:dyDescent="0.25">
      <c r="AE677" s="8" t="str">
        <f t="shared" si="30"/>
        <v/>
      </c>
      <c r="AF677" s="8" t="str">
        <f t="shared" si="31"/>
        <v/>
      </c>
      <c r="AG677" s="8" t="str">
        <f>IF(TRIM($E677)&lt;&gt;"Tax Paid","",IF(COUNTIFS(LISTS!$F$2:$F$26,$AE677,LISTS!$G$2:$G$26,$AF677)=0,"NOT ON LIST",""))</f>
        <v/>
      </c>
      <c r="AH677" s="8" t="str">
        <f t="shared" si="32"/>
        <v/>
      </c>
    </row>
    <row r="678" spans="31:34" x14ac:dyDescent="0.25">
      <c r="AE678" s="8" t="str">
        <f t="shared" si="30"/>
        <v/>
      </c>
      <c r="AF678" s="8" t="str">
        <f t="shared" si="31"/>
        <v/>
      </c>
      <c r="AG678" s="8" t="str">
        <f>IF(TRIM($E678)&lt;&gt;"Tax Paid","",IF(COUNTIFS(LISTS!$F$2:$F$26,$AE678,LISTS!$G$2:$G$26,$AF678)=0,"NOT ON LIST",""))</f>
        <v/>
      </c>
      <c r="AH678" s="8" t="str">
        <f t="shared" si="32"/>
        <v/>
      </c>
    </row>
    <row r="679" spans="31:34" x14ac:dyDescent="0.25">
      <c r="AE679" s="8" t="str">
        <f t="shared" si="30"/>
        <v/>
      </c>
      <c r="AF679" s="8" t="str">
        <f t="shared" si="31"/>
        <v/>
      </c>
      <c r="AG679" s="8" t="str">
        <f>IF(TRIM($E679)&lt;&gt;"Tax Paid","",IF(COUNTIFS(LISTS!$F$2:$F$26,$AE679,LISTS!$G$2:$G$26,$AF679)=0,"NOT ON LIST",""))</f>
        <v/>
      </c>
      <c r="AH679" s="8" t="str">
        <f t="shared" si="32"/>
        <v/>
      </c>
    </row>
    <row r="680" spans="31:34" x14ac:dyDescent="0.25">
      <c r="AE680" s="8" t="str">
        <f t="shared" si="30"/>
        <v/>
      </c>
      <c r="AF680" s="8" t="str">
        <f t="shared" si="31"/>
        <v/>
      </c>
      <c r="AG680" s="8" t="str">
        <f>IF(TRIM($E680)&lt;&gt;"Tax Paid","",IF(COUNTIFS(LISTS!$F$2:$F$26,$AE680,LISTS!$G$2:$G$26,$AF680)=0,"NOT ON LIST",""))</f>
        <v/>
      </c>
      <c r="AH680" s="8" t="str">
        <f t="shared" si="32"/>
        <v/>
      </c>
    </row>
    <row r="681" spans="31:34" x14ac:dyDescent="0.25">
      <c r="AE681" s="8" t="str">
        <f t="shared" si="30"/>
        <v/>
      </c>
      <c r="AF681" s="8" t="str">
        <f t="shared" si="31"/>
        <v/>
      </c>
      <c r="AG681" s="8" t="str">
        <f>IF(TRIM($E681)&lt;&gt;"Tax Paid","",IF(COUNTIFS(LISTS!$F$2:$F$26,$AE681,LISTS!$G$2:$G$26,$AF681)=0,"NOT ON LIST",""))</f>
        <v/>
      </c>
      <c r="AH681" s="8" t="str">
        <f t="shared" si="32"/>
        <v/>
      </c>
    </row>
    <row r="682" spans="31:34" x14ac:dyDescent="0.25">
      <c r="AE682" s="8" t="str">
        <f t="shared" si="30"/>
        <v/>
      </c>
      <c r="AF682" s="8" t="str">
        <f t="shared" si="31"/>
        <v/>
      </c>
      <c r="AG682" s="8" t="str">
        <f>IF(TRIM($E682)&lt;&gt;"Tax Paid","",IF(COUNTIFS(LISTS!$F$2:$F$26,$AE682,LISTS!$G$2:$G$26,$AF682)=0,"NOT ON LIST",""))</f>
        <v/>
      </c>
      <c r="AH682" s="8" t="str">
        <f t="shared" si="32"/>
        <v/>
      </c>
    </row>
    <row r="683" spans="31:34" x14ac:dyDescent="0.25">
      <c r="AE683" s="8" t="str">
        <f t="shared" si="30"/>
        <v/>
      </c>
      <c r="AF683" s="8" t="str">
        <f t="shared" si="31"/>
        <v/>
      </c>
      <c r="AG683" s="8" t="str">
        <f>IF(TRIM($E683)&lt;&gt;"Tax Paid","",IF(COUNTIFS(LISTS!$F$2:$F$26,$AE683,LISTS!$G$2:$G$26,$AF683)=0,"NOT ON LIST",""))</f>
        <v/>
      </c>
      <c r="AH683" s="8" t="str">
        <f t="shared" si="32"/>
        <v/>
      </c>
    </row>
    <row r="684" spans="31:34" x14ac:dyDescent="0.25">
      <c r="AE684" s="8" t="str">
        <f t="shared" si="30"/>
        <v/>
      </c>
      <c r="AF684" s="8" t="str">
        <f t="shared" si="31"/>
        <v/>
      </c>
      <c r="AG684" s="8" t="str">
        <f>IF(TRIM($E684)&lt;&gt;"Tax Paid","",IF(COUNTIFS(LISTS!$F$2:$F$26,$AE684,LISTS!$G$2:$G$26,$AF684)=0,"NOT ON LIST",""))</f>
        <v/>
      </c>
      <c r="AH684" s="8" t="str">
        <f t="shared" si="32"/>
        <v/>
      </c>
    </row>
    <row r="685" spans="31:34" x14ac:dyDescent="0.25">
      <c r="AE685" s="8" t="str">
        <f t="shared" si="30"/>
        <v/>
      </c>
      <c r="AF685" s="8" t="str">
        <f t="shared" si="31"/>
        <v/>
      </c>
      <c r="AG685" s="8" t="str">
        <f>IF(TRIM($E685)&lt;&gt;"Tax Paid","",IF(COUNTIFS(LISTS!$F$2:$F$26,$AE685,LISTS!$G$2:$G$26,$AF685)=0,"NOT ON LIST",""))</f>
        <v/>
      </c>
      <c r="AH685" s="8" t="str">
        <f t="shared" si="32"/>
        <v/>
      </c>
    </row>
    <row r="686" spans="31:34" x14ac:dyDescent="0.25">
      <c r="AE686" s="8" t="str">
        <f t="shared" si="30"/>
        <v/>
      </c>
      <c r="AF686" s="8" t="str">
        <f t="shared" si="31"/>
        <v/>
      </c>
      <c r="AG686" s="8" t="str">
        <f>IF(TRIM($E686)&lt;&gt;"Tax Paid","",IF(COUNTIFS(LISTS!$F$2:$F$26,$AE686,LISTS!$G$2:$G$26,$AF686)=0,"NOT ON LIST",""))</f>
        <v/>
      </c>
      <c r="AH686" s="8" t="str">
        <f t="shared" si="32"/>
        <v/>
      </c>
    </row>
    <row r="687" spans="31:34" x14ac:dyDescent="0.25">
      <c r="AE687" s="8" t="str">
        <f t="shared" si="30"/>
        <v/>
      </c>
      <c r="AF687" s="8" t="str">
        <f t="shared" si="31"/>
        <v/>
      </c>
      <c r="AG687" s="8" t="str">
        <f>IF(TRIM($E687)&lt;&gt;"Tax Paid","",IF(COUNTIFS(LISTS!$F$2:$F$26,$AE687,LISTS!$G$2:$G$26,$AF687)=0,"NOT ON LIST",""))</f>
        <v/>
      </c>
      <c r="AH687" s="8" t="str">
        <f t="shared" si="32"/>
        <v/>
      </c>
    </row>
    <row r="688" spans="31:34" x14ac:dyDescent="0.25">
      <c r="AE688" s="8" t="str">
        <f t="shared" si="30"/>
        <v/>
      </c>
      <c r="AF688" s="8" t="str">
        <f t="shared" si="31"/>
        <v/>
      </c>
      <c r="AG688" s="8" t="str">
        <f>IF(TRIM($E688)&lt;&gt;"Tax Paid","",IF(COUNTIFS(LISTS!$F$2:$F$26,$AE688,LISTS!$G$2:$G$26,$AF688)=0,"NOT ON LIST",""))</f>
        <v/>
      </c>
      <c r="AH688" s="8" t="str">
        <f t="shared" si="32"/>
        <v/>
      </c>
    </row>
    <row r="689" spans="31:34" x14ac:dyDescent="0.25">
      <c r="AE689" s="8" t="str">
        <f t="shared" si="30"/>
        <v/>
      </c>
      <c r="AF689" s="8" t="str">
        <f t="shared" si="31"/>
        <v/>
      </c>
      <c r="AG689" s="8" t="str">
        <f>IF(TRIM($E689)&lt;&gt;"Tax Paid","",IF(COUNTIFS(LISTS!$F$2:$F$26,$AE689,LISTS!$G$2:$G$26,$AF689)=0,"NOT ON LIST",""))</f>
        <v/>
      </c>
      <c r="AH689" s="8" t="str">
        <f t="shared" si="32"/>
        <v/>
      </c>
    </row>
    <row r="690" spans="31:34" x14ac:dyDescent="0.25">
      <c r="AE690" s="8" t="str">
        <f t="shared" si="30"/>
        <v/>
      </c>
      <c r="AF690" s="8" t="str">
        <f t="shared" si="31"/>
        <v/>
      </c>
      <c r="AG690" s="8" t="str">
        <f>IF(TRIM($E690)&lt;&gt;"Tax Paid","",IF(COUNTIFS(LISTS!$F$2:$F$26,$AE690,LISTS!$G$2:$G$26,$AF690)=0,"NOT ON LIST",""))</f>
        <v/>
      </c>
      <c r="AH690" s="8" t="str">
        <f t="shared" si="32"/>
        <v/>
      </c>
    </row>
    <row r="691" spans="31:34" x14ac:dyDescent="0.25">
      <c r="AE691" s="8" t="str">
        <f t="shared" si="30"/>
        <v/>
      </c>
      <c r="AF691" s="8" t="str">
        <f t="shared" si="31"/>
        <v/>
      </c>
      <c r="AG691" s="8" t="str">
        <f>IF(TRIM($E691)&lt;&gt;"Tax Paid","",IF(COUNTIFS(LISTS!$F$2:$F$26,$AE691,LISTS!$G$2:$G$26,$AF691)=0,"NOT ON LIST",""))</f>
        <v/>
      </c>
      <c r="AH691" s="8" t="str">
        <f t="shared" si="32"/>
        <v/>
      </c>
    </row>
    <row r="692" spans="31:34" x14ac:dyDescent="0.25">
      <c r="AE692" s="8" t="str">
        <f t="shared" si="30"/>
        <v/>
      </c>
      <c r="AF692" s="8" t="str">
        <f t="shared" si="31"/>
        <v/>
      </c>
      <c r="AG692" s="8" t="str">
        <f>IF(TRIM($E692)&lt;&gt;"Tax Paid","",IF(COUNTIFS(LISTS!$F$2:$F$26,$AE692,LISTS!$G$2:$G$26,$AF692)=0,"NOT ON LIST",""))</f>
        <v/>
      </c>
      <c r="AH692" s="8" t="str">
        <f t="shared" si="32"/>
        <v/>
      </c>
    </row>
    <row r="693" spans="31:34" x14ac:dyDescent="0.25">
      <c r="AE693" s="8" t="str">
        <f t="shared" si="30"/>
        <v/>
      </c>
      <c r="AF693" s="8" t="str">
        <f t="shared" si="31"/>
        <v/>
      </c>
      <c r="AG693" s="8" t="str">
        <f>IF(TRIM($E693)&lt;&gt;"Tax Paid","",IF(COUNTIFS(LISTS!$F$2:$F$26,$AE693,LISTS!$G$2:$G$26,$AF693)=0,"NOT ON LIST",""))</f>
        <v/>
      </c>
      <c r="AH693" s="8" t="str">
        <f t="shared" si="32"/>
        <v/>
      </c>
    </row>
    <row r="694" spans="31:34" x14ac:dyDescent="0.25">
      <c r="AE694" s="8" t="str">
        <f t="shared" si="30"/>
        <v/>
      </c>
      <c r="AF694" s="8" t="str">
        <f t="shared" si="31"/>
        <v/>
      </c>
      <c r="AG694" s="8" t="str">
        <f>IF(TRIM($E694)&lt;&gt;"Tax Paid","",IF(COUNTIFS(LISTS!$F$2:$F$26,$AE694,LISTS!$G$2:$G$26,$AF694)=0,"NOT ON LIST",""))</f>
        <v/>
      </c>
      <c r="AH694" s="8" t="str">
        <f t="shared" si="32"/>
        <v/>
      </c>
    </row>
    <row r="695" spans="31:34" x14ac:dyDescent="0.25">
      <c r="AE695" s="8" t="str">
        <f t="shared" si="30"/>
        <v/>
      </c>
      <c r="AF695" s="8" t="str">
        <f t="shared" si="31"/>
        <v/>
      </c>
      <c r="AG695" s="8" t="str">
        <f>IF(TRIM($E695)&lt;&gt;"Tax Paid","",IF(COUNTIFS(LISTS!$F$2:$F$26,$AE695,LISTS!$G$2:$G$26,$AF695)=0,"NOT ON LIST",""))</f>
        <v/>
      </c>
      <c r="AH695" s="8" t="str">
        <f t="shared" si="32"/>
        <v/>
      </c>
    </row>
    <row r="696" spans="31:34" x14ac:dyDescent="0.25">
      <c r="AE696" s="8" t="str">
        <f t="shared" si="30"/>
        <v/>
      </c>
      <c r="AF696" s="8" t="str">
        <f t="shared" si="31"/>
        <v/>
      </c>
      <c r="AG696" s="8" t="str">
        <f>IF(TRIM($E696)&lt;&gt;"Tax Paid","",IF(COUNTIFS(LISTS!$F$2:$F$26,$AE696,LISTS!$G$2:$G$26,$AF696)=0,"NOT ON LIST",""))</f>
        <v/>
      </c>
      <c r="AH696" s="8" t="str">
        <f t="shared" si="32"/>
        <v/>
      </c>
    </row>
    <row r="697" spans="31:34" x14ac:dyDescent="0.25">
      <c r="AE697" s="8" t="str">
        <f t="shared" si="30"/>
        <v/>
      </c>
      <c r="AF697" s="8" t="str">
        <f t="shared" si="31"/>
        <v/>
      </c>
      <c r="AG697" s="8" t="str">
        <f>IF(TRIM($E697)&lt;&gt;"Tax Paid","",IF(COUNTIFS(LISTS!$F$2:$F$26,$AE697,LISTS!$G$2:$G$26,$AF697)=0,"NOT ON LIST",""))</f>
        <v/>
      </c>
      <c r="AH697" s="8" t="str">
        <f t="shared" si="32"/>
        <v/>
      </c>
    </row>
    <row r="698" spans="31:34" x14ac:dyDescent="0.25">
      <c r="AE698" s="8" t="str">
        <f t="shared" si="30"/>
        <v/>
      </c>
      <c r="AF698" s="8" t="str">
        <f t="shared" si="31"/>
        <v/>
      </c>
      <c r="AG698" s="8" t="str">
        <f>IF(TRIM($E698)&lt;&gt;"Tax Paid","",IF(COUNTIFS(LISTS!$F$2:$F$26,$AE698,LISTS!$G$2:$G$26,$AF698)=0,"NOT ON LIST",""))</f>
        <v/>
      </c>
      <c r="AH698" s="8" t="str">
        <f t="shared" si="32"/>
        <v/>
      </c>
    </row>
    <row r="699" spans="31:34" x14ac:dyDescent="0.25">
      <c r="AE699" s="8" t="str">
        <f t="shared" si="30"/>
        <v/>
      </c>
      <c r="AF699" s="8" t="str">
        <f t="shared" si="31"/>
        <v/>
      </c>
      <c r="AG699" s="8" t="str">
        <f>IF(TRIM($E699)&lt;&gt;"Tax Paid","",IF(COUNTIFS(LISTS!$F$2:$F$26,$AE699,LISTS!$G$2:$G$26,$AF699)=0,"NOT ON LIST",""))</f>
        <v/>
      </c>
      <c r="AH699" s="8" t="str">
        <f t="shared" si="32"/>
        <v/>
      </c>
    </row>
    <row r="700" spans="31:34" x14ac:dyDescent="0.25">
      <c r="AE700" s="8" t="str">
        <f t="shared" si="30"/>
        <v/>
      </c>
      <c r="AF700" s="8" t="str">
        <f t="shared" si="31"/>
        <v/>
      </c>
      <c r="AG700" s="8" t="str">
        <f>IF(TRIM($E700)&lt;&gt;"Tax Paid","",IF(COUNTIFS(LISTS!$F$2:$F$26,$AE700,LISTS!$G$2:$G$26,$AF700)=0,"NOT ON LIST",""))</f>
        <v/>
      </c>
      <c r="AH700" s="8" t="str">
        <f t="shared" si="32"/>
        <v/>
      </c>
    </row>
    <row r="701" spans="31:34" x14ac:dyDescent="0.25">
      <c r="AE701" s="8" t="str">
        <f t="shared" si="30"/>
        <v/>
      </c>
      <c r="AF701" s="8" t="str">
        <f t="shared" si="31"/>
        <v/>
      </c>
      <c r="AG701" s="8" t="str">
        <f>IF(TRIM($E701)&lt;&gt;"Tax Paid","",IF(COUNTIFS(LISTS!$F$2:$F$26,$AE701,LISTS!$G$2:$G$26,$AF701)=0,"NOT ON LIST",""))</f>
        <v/>
      </c>
      <c r="AH701" s="8" t="str">
        <f t="shared" si="32"/>
        <v/>
      </c>
    </row>
    <row r="702" spans="31:34" x14ac:dyDescent="0.25">
      <c r="AE702" s="8" t="str">
        <f t="shared" si="30"/>
        <v/>
      </c>
      <c r="AF702" s="8" t="str">
        <f t="shared" si="31"/>
        <v/>
      </c>
      <c r="AG702" s="8" t="str">
        <f>IF(TRIM($E702)&lt;&gt;"Tax Paid","",IF(COUNTIFS(LISTS!$F$2:$F$26,$AE702,LISTS!$G$2:$G$26,$AF702)=0,"NOT ON LIST",""))</f>
        <v/>
      </c>
      <c r="AH702" s="8" t="str">
        <f t="shared" si="32"/>
        <v/>
      </c>
    </row>
    <row r="703" spans="31:34" x14ac:dyDescent="0.25">
      <c r="AE703" s="8" t="str">
        <f t="shared" si="30"/>
        <v/>
      </c>
      <c r="AF703" s="8" t="str">
        <f t="shared" si="31"/>
        <v/>
      </c>
      <c r="AG703" s="8" t="str">
        <f>IF(TRIM($E703)&lt;&gt;"Tax Paid","",IF(COUNTIFS(LISTS!$F$2:$F$26,$AE703,LISTS!$G$2:$G$26,$AF703)=0,"NOT ON LIST",""))</f>
        <v/>
      </c>
      <c r="AH703" s="8" t="str">
        <f t="shared" si="32"/>
        <v/>
      </c>
    </row>
    <row r="704" spans="31:34" x14ac:dyDescent="0.25">
      <c r="AE704" s="8" t="str">
        <f t="shared" si="30"/>
        <v/>
      </c>
      <c r="AF704" s="8" t="str">
        <f t="shared" si="31"/>
        <v/>
      </c>
      <c r="AG704" s="8" t="str">
        <f>IF(TRIM($E704)&lt;&gt;"Tax Paid","",IF(COUNTIFS(LISTS!$F$2:$F$26,$AE704,LISTS!$G$2:$G$26,$AF704)=0,"NOT ON LIST",""))</f>
        <v/>
      </c>
      <c r="AH704" s="8" t="str">
        <f t="shared" si="32"/>
        <v/>
      </c>
    </row>
    <row r="705" spans="31:34" x14ac:dyDescent="0.25">
      <c r="AE705" s="8" t="str">
        <f t="shared" si="30"/>
        <v/>
      </c>
      <c r="AF705" s="8" t="str">
        <f t="shared" si="31"/>
        <v/>
      </c>
      <c r="AG705" s="8" t="str">
        <f>IF(TRIM($E705)&lt;&gt;"Tax Paid","",IF(COUNTIFS(LISTS!$F$2:$F$26,$AE705,LISTS!$G$2:$G$26,$AF705)=0,"NOT ON LIST",""))</f>
        <v/>
      </c>
      <c r="AH705" s="8" t="str">
        <f t="shared" si="32"/>
        <v/>
      </c>
    </row>
    <row r="706" spans="31:34" x14ac:dyDescent="0.25">
      <c r="AE706" s="8" t="str">
        <f t="shared" ref="AE706:AE769" si="33">IF(TRIM($E706)="Tax Paid",TRIM($S706),"")</f>
        <v/>
      </c>
      <c r="AF706" s="8" t="str">
        <f t="shared" ref="AF706:AF769" si="34">IF(TRIM($E706)="Tax Paid",ROUND($Z706/100,5),"")</f>
        <v/>
      </c>
      <c r="AG706" s="8" t="str">
        <f>IF(TRIM($E706)&lt;&gt;"Tax Paid","",IF(COUNTIFS(LISTS!$F$2:$F$26,$AE706,LISTS!$G$2:$G$26,$AF706)=0,"NOT ON LIST",""))</f>
        <v/>
      </c>
      <c r="AH706" s="8" t="str">
        <f t="shared" ref="AH706:AH769" si="35">IF($AG706="","",IF($AE706="","(no county)",$AE706)&amp;" ("&amp;SUBSTITUTE(TEXT($AF706,"0.###%"),".%","%")&amp;")")</f>
        <v/>
      </c>
    </row>
    <row r="707" spans="31:34" x14ac:dyDescent="0.25">
      <c r="AE707" s="8" t="str">
        <f t="shared" si="33"/>
        <v/>
      </c>
      <c r="AF707" s="8" t="str">
        <f t="shared" si="34"/>
        <v/>
      </c>
      <c r="AG707" s="8" t="str">
        <f>IF(TRIM($E707)&lt;&gt;"Tax Paid","",IF(COUNTIFS(LISTS!$F$2:$F$26,$AE707,LISTS!$G$2:$G$26,$AF707)=0,"NOT ON LIST",""))</f>
        <v/>
      </c>
      <c r="AH707" s="8" t="str">
        <f t="shared" si="35"/>
        <v/>
      </c>
    </row>
    <row r="708" spans="31:34" x14ac:dyDescent="0.25">
      <c r="AE708" s="8" t="str">
        <f t="shared" si="33"/>
        <v/>
      </c>
      <c r="AF708" s="8" t="str">
        <f t="shared" si="34"/>
        <v/>
      </c>
      <c r="AG708" s="8" t="str">
        <f>IF(TRIM($E708)&lt;&gt;"Tax Paid","",IF(COUNTIFS(LISTS!$F$2:$F$26,$AE708,LISTS!$G$2:$G$26,$AF708)=0,"NOT ON LIST",""))</f>
        <v/>
      </c>
      <c r="AH708" s="8" t="str">
        <f t="shared" si="35"/>
        <v/>
      </c>
    </row>
    <row r="709" spans="31:34" x14ac:dyDescent="0.25">
      <c r="AE709" s="8" t="str">
        <f t="shared" si="33"/>
        <v/>
      </c>
      <c r="AF709" s="8" t="str">
        <f t="shared" si="34"/>
        <v/>
      </c>
      <c r="AG709" s="8" t="str">
        <f>IF(TRIM($E709)&lt;&gt;"Tax Paid","",IF(COUNTIFS(LISTS!$F$2:$F$26,$AE709,LISTS!$G$2:$G$26,$AF709)=0,"NOT ON LIST",""))</f>
        <v/>
      </c>
      <c r="AH709" s="8" t="str">
        <f t="shared" si="35"/>
        <v/>
      </c>
    </row>
    <row r="710" spans="31:34" x14ac:dyDescent="0.25">
      <c r="AE710" s="8" t="str">
        <f t="shared" si="33"/>
        <v/>
      </c>
      <c r="AF710" s="8" t="str">
        <f t="shared" si="34"/>
        <v/>
      </c>
      <c r="AG710" s="8" t="str">
        <f>IF(TRIM($E710)&lt;&gt;"Tax Paid","",IF(COUNTIFS(LISTS!$F$2:$F$26,$AE710,LISTS!$G$2:$G$26,$AF710)=0,"NOT ON LIST",""))</f>
        <v/>
      </c>
      <c r="AH710" s="8" t="str">
        <f t="shared" si="35"/>
        <v/>
      </c>
    </row>
    <row r="711" spans="31:34" x14ac:dyDescent="0.25">
      <c r="AE711" s="8" t="str">
        <f t="shared" si="33"/>
        <v/>
      </c>
      <c r="AF711" s="8" t="str">
        <f t="shared" si="34"/>
        <v/>
      </c>
      <c r="AG711" s="8" t="str">
        <f>IF(TRIM($E711)&lt;&gt;"Tax Paid","",IF(COUNTIFS(LISTS!$F$2:$F$26,$AE711,LISTS!$G$2:$G$26,$AF711)=0,"NOT ON LIST",""))</f>
        <v/>
      </c>
      <c r="AH711" s="8" t="str">
        <f t="shared" si="35"/>
        <v/>
      </c>
    </row>
    <row r="712" spans="31:34" x14ac:dyDescent="0.25">
      <c r="AE712" s="8" t="str">
        <f t="shared" si="33"/>
        <v/>
      </c>
      <c r="AF712" s="8" t="str">
        <f t="shared" si="34"/>
        <v/>
      </c>
      <c r="AG712" s="8" t="str">
        <f>IF(TRIM($E712)&lt;&gt;"Tax Paid","",IF(COUNTIFS(LISTS!$F$2:$F$26,$AE712,LISTS!$G$2:$G$26,$AF712)=0,"NOT ON LIST",""))</f>
        <v/>
      </c>
      <c r="AH712" s="8" t="str">
        <f t="shared" si="35"/>
        <v/>
      </c>
    </row>
    <row r="713" spans="31:34" x14ac:dyDescent="0.25">
      <c r="AE713" s="8" t="str">
        <f t="shared" si="33"/>
        <v/>
      </c>
      <c r="AF713" s="8" t="str">
        <f t="shared" si="34"/>
        <v/>
      </c>
      <c r="AG713" s="8" t="str">
        <f>IF(TRIM($E713)&lt;&gt;"Tax Paid","",IF(COUNTIFS(LISTS!$F$2:$F$26,$AE713,LISTS!$G$2:$G$26,$AF713)=0,"NOT ON LIST",""))</f>
        <v/>
      </c>
      <c r="AH713" s="8" t="str">
        <f t="shared" si="35"/>
        <v/>
      </c>
    </row>
    <row r="714" spans="31:34" x14ac:dyDescent="0.25">
      <c r="AE714" s="8" t="str">
        <f t="shared" si="33"/>
        <v/>
      </c>
      <c r="AF714" s="8" t="str">
        <f t="shared" si="34"/>
        <v/>
      </c>
      <c r="AG714" s="8" t="str">
        <f>IF(TRIM($E714)&lt;&gt;"Tax Paid","",IF(COUNTIFS(LISTS!$F$2:$F$26,$AE714,LISTS!$G$2:$G$26,$AF714)=0,"NOT ON LIST",""))</f>
        <v/>
      </c>
      <c r="AH714" s="8" t="str">
        <f t="shared" si="35"/>
        <v/>
      </c>
    </row>
    <row r="715" spans="31:34" x14ac:dyDescent="0.25">
      <c r="AE715" s="8" t="str">
        <f t="shared" si="33"/>
        <v/>
      </c>
      <c r="AF715" s="8" t="str">
        <f t="shared" si="34"/>
        <v/>
      </c>
      <c r="AG715" s="8" t="str">
        <f>IF(TRIM($E715)&lt;&gt;"Tax Paid","",IF(COUNTIFS(LISTS!$F$2:$F$26,$AE715,LISTS!$G$2:$G$26,$AF715)=0,"NOT ON LIST",""))</f>
        <v/>
      </c>
      <c r="AH715" s="8" t="str">
        <f t="shared" si="35"/>
        <v/>
      </c>
    </row>
    <row r="716" spans="31:34" x14ac:dyDescent="0.25">
      <c r="AE716" s="8" t="str">
        <f t="shared" si="33"/>
        <v/>
      </c>
      <c r="AF716" s="8" t="str">
        <f t="shared" si="34"/>
        <v/>
      </c>
      <c r="AG716" s="8" t="str">
        <f>IF(TRIM($E716)&lt;&gt;"Tax Paid","",IF(COUNTIFS(LISTS!$F$2:$F$26,$AE716,LISTS!$G$2:$G$26,$AF716)=0,"NOT ON LIST",""))</f>
        <v/>
      </c>
      <c r="AH716" s="8" t="str">
        <f t="shared" si="35"/>
        <v/>
      </c>
    </row>
    <row r="717" spans="31:34" x14ac:dyDescent="0.25">
      <c r="AE717" s="8" t="str">
        <f t="shared" si="33"/>
        <v/>
      </c>
      <c r="AF717" s="8" t="str">
        <f t="shared" si="34"/>
        <v/>
      </c>
      <c r="AG717" s="8" t="str">
        <f>IF(TRIM($E717)&lt;&gt;"Tax Paid","",IF(COUNTIFS(LISTS!$F$2:$F$26,$AE717,LISTS!$G$2:$G$26,$AF717)=0,"NOT ON LIST",""))</f>
        <v/>
      </c>
      <c r="AH717" s="8" t="str">
        <f t="shared" si="35"/>
        <v/>
      </c>
    </row>
    <row r="718" spans="31:34" x14ac:dyDescent="0.25">
      <c r="AE718" s="8" t="str">
        <f t="shared" si="33"/>
        <v/>
      </c>
      <c r="AF718" s="8" t="str">
        <f t="shared" si="34"/>
        <v/>
      </c>
      <c r="AG718" s="8" t="str">
        <f>IF(TRIM($E718)&lt;&gt;"Tax Paid","",IF(COUNTIFS(LISTS!$F$2:$F$26,$AE718,LISTS!$G$2:$G$26,$AF718)=0,"NOT ON LIST",""))</f>
        <v/>
      </c>
      <c r="AH718" s="8" t="str">
        <f t="shared" si="35"/>
        <v/>
      </c>
    </row>
    <row r="719" spans="31:34" x14ac:dyDescent="0.25">
      <c r="AE719" s="8" t="str">
        <f t="shared" si="33"/>
        <v/>
      </c>
      <c r="AF719" s="8" t="str">
        <f t="shared" si="34"/>
        <v/>
      </c>
      <c r="AG719" s="8" t="str">
        <f>IF(TRIM($E719)&lt;&gt;"Tax Paid","",IF(COUNTIFS(LISTS!$F$2:$F$26,$AE719,LISTS!$G$2:$G$26,$AF719)=0,"NOT ON LIST",""))</f>
        <v/>
      </c>
      <c r="AH719" s="8" t="str">
        <f t="shared" si="35"/>
        <v/>
      </c>
    </row>
    <row r="720" spans="31:34" x14ac:dyDescent="0.25">
      <c r="AE720" s="8" t="str">
        <f t="shared" si="33"/>
        <v/>
      </c>
      <c r="AF720" s="8" t="str">
        <f t="shared" si="34"/>
        <v/>
      </c>
      <c r="AG720" s="8" t="str">
        <f>IF(TRIM($E720)&lt;&gt;"Tax Paid","",IF(COUNTIFS(LISTS!$F$2:$F$26,$AE720,LISTS!$G$2:$G$26,$AF720)=0,"NOT ON LIST",""))</f>
        <v/>
      </c>
      <c r="AH720" s="8" t="str">
        <f t="shared" si="35"/>
        <v/>
      </c>
    </row>
    <row r="721" spans="31:34" x14ac:dyDescent="0.25">
      <c r="AE721" s="8" t="str">
        <f t="shared" si="33"/>
        <v/>
      </c>
      <c r="AF721" s="8" t="str">
        <f t="shared" si="34"/>
        <v/>
      </c>
      <c r="AG721" s="8" t="str">
        <f>IF(TRIM($E721)&lt;&gt;"Tax Paid","",IF(COUNTIFS(LISTS!$F$2:$F$26,$AE721,LISTS!$G$2:$G$26,$AF721)=0,"NOT ON LIST",""))</f>
        <v/>
      </c>
      <c r="AH721" s="8" t="str">
        <f t="shared" si="35"/>
        <v/>
      </c>
    </row>
    <row r="722" spans="31:34" x14ac:dyDescent="0.25">
      <c r="AE722" s="8" t="str">
        <f t="shared" si="33"/>
        <v/>
      </c>
      <c r="AF722" s="8" t="str">
        <f t="shared" si="34"/>
        <v/>
      </c>
      <c r="AG722" s="8" t="str">
        <f>IF(TRIM($E722)&lt;&gt;"Tax Paid","",IF(COUNTIFS(LISTS!$F$2:$F$26,$AE722,LISTS!$G$2:$G$26,$AF722)=0,"NOT ON LIST",""))</f>
        <v/>
      </c>
      <c r="AH722" s="8" t="str">
        <f t="shared" si="35"/>
        <v/>
      </c>
    </row>
    <row r="723" spans="31:34" x14ac:dyDescent="0.25">
      <c r="AE723" s="8" t="str">
        <f t="shared" si="33"/>
        <v/>
      </c>
      <c r="AF723" s="8" t="str">
        <f t="shared" si="34"/>
        <v/>
      </c>
      <c r="AG723" s="8" t="str">
        <f>IF(TRIM($E723)&lt;&gt;"Tax Paid","",IF(COUNTIFS(LISTS!$F$2:$F$26,$AE723,LISTS!$G$2:$G$26,$AF723)=0,"NOT ON LIST",""))</f>
        <v/>
      </c>
      <c r="AH723" s="8" t="str">
        <f t="shared" si="35"/>
        <v/>
      </c>
    </row>
    <row r="724" spans="31:34" x14ac:dyDescent="0.25">
      <c r="AE724" s="8" t="str">
        <f t="shared" si="33"/>
        <v/>
      </c>
      <c r="AF724" s="8" t="str">
        <f t="shared" si="34"/>
        <v/>
      </c>
      <c r="AG724" s="8" t="str">
        <f>IF(TRIM($E724)&lt;&gt;"Tax Paid","",IF(COUNTIFS(LISTS!$F$2:$F$26,$AE724,LISTS!$G$2:$G$26,$AF724)=0,"NOT ON LIST",""))</f>
        <v/>
      </c>
      <c r="AH724" s="8" t="str">
        <f t="shared" si="35"/>
        <v/>
      </c>
    </row>
    <row r="725" spans="31:34" x14ac:dyDescent="0.25">
      <c r="AE725" s="8" t="str">
        <f t="shared" si="33"/>
        <v/>
      </c>
      <c r="AF725" s="8" t="str">
        <f t="shared" si="34"/>
        <v/>
      </c>
      <c r="AG725" s="8" t="str">
        <f>IF(TRIM($E725)&lt;&gt;"Tax Paid","",IF(COUNTIFS(LISTS!$F$2:$F$26,$AE725,LISTS!$G$2:$G$26,$AF725)=0,"NOT ON LIST",""))</f>
        <v/>
      </c>
      <c r="AH725" s="8" t="str">
        <f t="shared" si="35"/>
        <v/>
      </c>
    </row>
    <row r="726" spans="31:34" x14ac:dyDescent="0.25">
      <c r="AE726" s="8" t="str">
        <f t="shared" si="33"/>
        <v/>
      </c>
      <c r="AF726" s="8" t="str">
        <f t="shared" si="34"/>
        <v/>
      </c>
      <c r="AG726" s="8" t="str">
        <f>IF(TRIM($E726)&lt;&gt;"Tax Paid","",IF(COUNTIFS(LISTS!$F$2:$F$26,$AE726,LISTS!$G$2:$G$26,$AF726)=0,"NOT ON LIST",""))</f>
        <v/>
      </c>
      <c r="AH726" s="8" t="str">
        <f t="shared" si="35"/>
        <v/>
      </c>
    </row>
    <row r="727" spans="31:34" x14ac:dyDescent="0.25">
      <c r="AE727" s="8" t="str">
        <f t="shared" si="33"/>
        <v/>
      </c>
      <c r="AF727" s="8" t="str">
        <f t="shared" si="34"/>
        <v/>
      </c>
      <c r="AG727" s="8" t="str">
        <f>IF(TRIM($E727)&lt;&gt;"Tax Paid","",IF(COUNTIFS(LISTS!$F$2:$F$26,$AE727,LISTS!$G$2:$G$26,$AF727)=0,"NOT ON LIST",""))</f>
        <v/>
      </c>
      <c r="AH727" s="8" t="str">
        <f t="shared" si="35"/>
        <v/>
      </c>
    </row>
    <row r="728" spans="31:34" x14ac:dyDescent="0.25">
      <c r="AE728" s="8" t="str">
        <f t="shared" si="33"/>
        <v/>
      </c>
      <c r="AF728" s="8" t="str">
        <f t="shared" si="34"/>
        <v/>
      </c>
      <c r="AG728" s="8" t="str">
        <f>IF(TRIM($E728)&lt;&gt;"Tax Paid","",IF(COUNTIFS(LISTS!$F$2:$F$26,$AE728,LISTS!$G$2:$G$26,$AF728)=0,"NOT ON LIST",""))</f>
        <v/>
      </c>
      <c r="AH728" s="8" t="str">
        <f t="shared" si="35"/>
        <v/>
      </c>
    </row>
    <row r="729" spans="31:34" x14ac:dyDescent="0.25">
      <c r="AE729" s="8" t="str">
        <f t="shared" si="33"/>
        <v/>
      </c>
      <c r="AF729" s="8" t="str">
        <f t="shared" si="34"/>
        <v/>
      </c>
      <c r="AG729" s="8" t="str">
        <f>IF(TRIM($E729)&lt;&gt;"Tax Paid","",IF(COUNTIFS(LISTS!$F$2:$F$26,$AE729,LISTS!$G$2:$G$26,$AF729)=0,"NOT ON LIST",""))</f>
        <v/>
      </c>
      <c r="AH729" s="8" t="str">
        <f t="shared" si="35"/>
        <v/>
      </c>
    </row>
    <row r="730" spans="31:34" x14ac:dyDescent="0.25">
      <c r="AE730" s="8" t="str">
        <f t="shared" si="33"/>
        <v/>
      </c>
      <c r="AF730" s="8" t="str">
        <f t="shared" si="34"/>
        <v/>
      </c>
      <c r="AG730" s="8" t="str">
        <f>IF(TRIM($E730)&lt;&gt;"Tax Paid","",IF(COUNTIFS(LISTS!$F$2:$F$26,$AE730,LISTS!$G$2:$G$26,$AF730)=0,"NOT ON LIST",""))</f>
        <v/>
      </c>
      <c r="AH730" s="8" t="str">
        <f t="shared" si="35"/>
        <v/>
      </c>
    </row>
    <row r="731" spans="31:34" x14ac:dyDescent="0.25">
      <c r="AE731" s="8" t="str">
        <f t="shared" si="33"/>
        <v/>
      </c>
      <c r="AF731" s="8" t="str">
        <f t="shared" si="34"/>
        <v/>
      </c>
      <c r="AG731" s="8" t="str">
        <f>IF(TRIM($E731)&lt;&gt;"Tax Paid","",IF(COUNTIFS(LISTS!$F$2:$F$26,$AE731,LISTS!$G$2:$G$26,$AF731)=0,"NOT ON LIST",""))</f>
        <v/>
      </c>
      <c r="AH731" s="8" t="str">
        <f t="shared" si="35"/>
        <v/>
      </c>
    </row>
    <row r="732" spans="31:34" x14ac:dyDescent="0.25">
      <c r="AE732" s="8" t="str">
        <f t="shared" si="33"/>
        <v/>
      </c>
      <c r="AF732" s="8" t="str">
        <f t="shared" si="34"/>
        <v/>
      </c>
      <c r="AG732" s="8" t="str">
        <f>IF(TRIM($E732)&lt;&gt;"Tax Paid","",IF(COUNTIFS(LISTS!$F$2:$F$26,$AE732,LISTS!$G$2:$G$26,$AF732)=0,"NOT ON LIST",""))</f>
        <v/>
      </c>
      <c r="AH732" s="8" t="str">
        <f t="shared" si="35"/>
        <v/>
      </c>
    </row>
    <row r="733" spans="31:34" x14ac:dyDescent="0.25">
      <c r="AE733" s="8" t="str">
        <f t="shared" si="33"/>
        <v/>
      </c>
      <c r="AF733" s="8" t="str">
        <f t="shared" si="34"/>
        <v/>
      </c>
      <c r="AG733" s="8" t="str">
        <f>IF(TRIM($E733)&lt;&gt;"Tax Paid","",IF(COUNTIFS(LISTS!$F$2:$F$26,$AE733,LISTS!$G$2:$G$26,$AF733)=0,"NOT ON LIST",""))</f>
        <v/>
      </c>
      <c r="AH733" s="8" t="str">
        <f t="shared" si="35"/>
        <v/>
      </c>
    </row>
    <row r="734" spans="31:34" x14ac:dyDescent="0.25">
      <c r="AE734" s="8" t="str">
        <f t="shared" si="33"/>
        <v/>
      </c>
      <c r="AF734" s="8" t="str">
        <f t="shared" si="34"/>
        <v/>
      </c>
      <c r="AG734" s="8" t="str">
        <f>IF(TRIM($E734)&lt;&gt;"Tax Paid","",IF(COUNTIFS(LISTS!$F$2:$F$26,$AE734,LISTS!$G$2:$G$26,$AF734)=0,"NOT ON LIST",""))</f>
        <v/>
      </c>
      <c r="AH734" s="8" t="str">
        <f t="shared" si="35"/>
        <v/>
      </c>
    </row>
    <row r="735" spans="31:34" x14ac:dyDescent="0.25">
      <c r="AE735" s="8" t="str">
        <f t="shared" si="33"/>
        <v/>
      </c>
      <c r="AF735" s="8" t="str">
        <f t="shared" si="34"/>
        <v/>
      </c>
      <c r="AG735" s="8" t="str">
        <f>IF(TRIM($E735)&lt;&gt;"Tax Paid","",IF(COUNTIFS(LISTS!$F$2:$F$26,$AE735,LISTS!$G$2:$G$26,$AF735)=0,"NOT ON LIST",""))</f>
        <v/>
      </c>
      <c r="AH735" s="8" t="str">
        <f t="shared" si="35"/>
        <v/>
      </c>
    </row>
    <row r="736" spans="31:34" x14ac:dyDescent="0.25">
      <c r="AE736" s="8" t="str">
        <f t="shared" si="33"/>
        <v/>
      </c>
      <c r="AF736" s="8" t="str">
        <f t="shared" si="34"/>
        <v/>
      </c>
      <c r="AG736" s="8" t="str">
        <f>IF(TRIM($E736)&lt;&gt;"Tax Paid","",IF(COUNTIFS(LISTS!$F$2:$F$26,$AE736,LISTS!$G$2:$G$26,$AF736)=0,"NOT ON LIST",""))</f>
        <v/>
      </c>
      <c r="AH736" s="8" t="str">
        <f t="shared" si="35"/>
        <v/>
      </c>
    </row>
    <row r="737" spans="31:34" x14ac:dyDescent="0.25">
      <c r="AE737" s="8" t="str">
        <f t="shared" si="33"/>
        <v/>
      </c>
      <c r="AF737" s="8" t="str">
        <f t="shared" si="34"/>
        <v/>
      </c>
      <c r="AG737" s="8" t="str">
        <f>IF(TRIM($E737)&lt;&gt;"Tax Paid","",IF(COUNTIFS(LISTS!$F$2:$F$26,$AE737,LISTS!$G$2:$G$26,$AF737)=0,"NOT ON LIST",""))</f>
        <v/>
      </c>
      <c r="AH737" s="8" t="str">
        <f t="shared" si="35"/>
        <v/>
      </c>
    </row>
    <row r="738" spans="31:34" x14ac:dyDescent="0.25">
      <c r="AE738" s="8" t="str">
        <f t="shared" si="33"/>
        <v/>
      </c>
      <c r="AF738" s="8" t="str">
        <f t="shared" si="34"/>
        <v/>
      </c>
      <c r="AG738" s="8" t="str">
        <f>IF(TRIM($E738)&lt;&gt;"Tax Paid","",IF(COUNTIFS(LISTS!$F$2:$F$26,$AE738,LISTS!$G$2:$G$26,$AF738)=0,"NOT ON LIST",""))</f>
        <v/>
      </c>
      <c r="AH738" s="8" t="str">
        <f t="shared" si="35"/>
        <v/>
      </c>
    </row>
    <row r="739" spans="31:34" x14ac:dyDescent="0.25">
      <c r="AE739" s="8" t="str">
        <f t="shared" si="33"/>
        <v/>
      </c>
      <c r="AF739" s="8" t="str">
        <f t="shared" si="34"/>
        <v/>
      </c>
      <c r="AG739" s="8" t="str">
        <f>IF(TRIM($E739)&lt;&gt;"Tax Paid","",IF(COUNTIFS(LISTS!$F$2:$F$26,$AE739,LISTS!$G$2:$G$26,$AF739)=0,"NOT ON LIST",""))</f>
        <v/>
      </c>
      <c r="AH739" s="8" t="str">
        <f t="shared" si="35"/>
        <v/>
      </c>
    </row>
    <row r="740" spans="31:34" x14ac:dyDescent="0.25">
      <c r="AE740" s="8" t="str">
        <f t="shared" si="33"/>
        <v/>
      </c>
      <c r="AF740" s="8" t="str">
        <f t="shared" si="34"/>
        <v/>
      </c>
      <c r="AG740" s="8" t="str">
        <f>IF(TRIM($E740)&lt;&gt;"Tax Paid","",IF(COUNTIFS(LISTS!$F$2:$F$26,$AE740,LISTS!$G$2:$G$26,$AF740)=0,"NOT ON LIST",""))</f>
        <v/>
      </c>
      <c r="AH740" s="8" t="str">
        <f t="shared" si="35"/>
        <v/>
      </c>
    </row>
    <row r="741" spans="31:34" x14ac:dyDescent="0.25">
      <c r="AE741" s="8" t="str">
        <f t="shared" si="33"/>
        <v/>
      </c>
      <c r="AF741" s="8" t="str">
        <f t="shared" si="34"/>
        <v/>
      </c>
      <c r="AG741" s="8" t="str">
        <f>IF(TRIM($E741)&lt;&gt;"Tax Paid","",IF(COUNTIFS(LISTS!$F$2:$F$26,$AE741,LISTS!$G$2:$G$26,$AF741)=0,"NOT ON LIST",""))</f>
        <v/>
      </c>
      <c r="AH741" s="8" t="str">
        <f t="shared" si="35"/>
        <v/>
      </c>
    </row>
    <row r="742" spans="31:34" x14ac:dyDescent="0.25">
      <c r="AE742" s="8" t="str">
        <f t="shared" si="33"/>
        <v/>
      </c>
      <c r="AF742" s="8" t="str">
        <f t="shared" si="34"/>
        <v/>
      </c>
      <c r="AG742" s="8" t="str">
        <f>IF(TRIM($E742)&lt;&gt;"Tax Paid","",IF(COUNTIFS(LISTS!$F$2:$F$26,$AE742,LISTS!$G$2:$G$26,$AF742)=0,"NOT ON LIST",""))</f>
        <v/>
      </c>
      <c r="AH742" s="8" t="str">
        <f t="shared" si="35"/>
        <v/>
      </c>
    </row>
    <row r="743" spans="31:34" x14ac:dyDescent="0.25">
      <c r="AE743" s="8" t="str">
        <f t="shared" si="33"/>
        <v/>
      </c>
      <c r="AF743" s="8" t="str">
        <f t="shared" si="34"/>
        <v/>
      </c>
      <c r="AG743" s="8" t="str">
        <f>IF(TRIM($E743)&lt;&gt;"Tax Paid","",IF(COUNTIFS(LISTS!$F$2:$F$26,$AE743,LISTS!$G$2:$G$26,$AF743)=0,"NOT ON LIST",""))</f>
        <v/>
      </c>
      <c r="AH743" s="8" t="str">
        <f t="shared" si="35"/>
        <v/>
      </c>
    </row>
    <row r="744" spans="31:34" x14ac:dyDescent="0.25">
      <c r="AE744" s="8" t="str">
        <f t="shared" si="33"/>
        <v/>
      </c>
      <c r="AF744" s="8" t="str">
        <f t="shared" si="34"/>
        <v/>
      </c>
      <c r="AG744" s="8" t="str">
        <f>IF(TRIM($E744)&lt;&gt;"Tax Paid","",IF(COUNTIFS(LISTS!$F$2:$F$26,$AE744,LISTS!$G$2:$G$26,$AF744)=0,"NOT ON LIST",""))</f>
        <v/>
      </c>
      <c r="AH744" s="8" t="str">
        <f t="shared" si="35"/>
        <v/>
      </c>
    </row>
    <row r="745" spans="31:34" x14ac:dyDescent="0.25">
      <c r="AE745" s="8" t="str">
        <f t="shared" si="33"/>
        <v/>
      </c>
      <c r="AF745" s="8" t="str">
        <f t="shared" si="34"/>
        <v/>
      </c>
      <c r="AG745" s="8" t="str">
        <f>IF(TRIM($E745)&lt;&gt;"Tax Paid","",IF(COUNTIFS(LISTS!$F$2:$F$26,$AE745,LISTS!$G$2:$G$26,$AF745)=0,"NOT ON LIST",""))</f>
        <v/>
      </c>
      <c r="AH745" s="8" t="str">
        <f t="shared" si="35"/>
        <v/>
      </c>
    </row>
    <row r="746" spans="31:34" x14ac:dyDescent="0.25">
      <c r="AE746" s="8" t="str">
        <f t="shared" si="33"/>
        <v/>
      </c>
      <c r="AF746" s="8" t="str">
        <f t="shared" si="34"/>
        <v/>
      </c>
      <c r="AG746" s="8" t="str">
        <f>IF(TRIM($E746)&lt;&gt;"Tax Paid","",IF(COUNTIFS(LISTS!$F$2:$F$26,$AE746,LISTS!$G$2:$G$26,$AF746)=0,"NOT ON LIST",""))</f>
        <v/>
      </c>
      <c r="AH746" s="8" t="str">
        <f t="shared" si="35"/>
        <v/>
      </c>
    </row>
    <row r="747" spans="31:34" x14ac:dyDescent="0.25">
      <c r="AE747" s="8" t="str">
        <f t="shared" si="33"/>
        <v/>
      </c>
      <c r="AF747" s="8" t="str">
        <f t="shared" si="34"/>
        <v/>
      </c>
      <c r="AG747" s="8" t="str">
        <f>IF(TRIM($E747)&lt;&gt;"Tax Paid","",IF(COUNTIFS(LISTS!$F$2:$F$26,$AE747,LISTS!$G$2:$G$26,$AF747)=0,"NOT ON LIST",""))</f>
        <v/>
      </c>
      <c r="AH747" s="8" t="str">
        <f t="shared" si="35"/>
        <v/>
      </c>
    </row>
    <row r="748" spans="31:34" x14ac:dyDescent="0.25">
      <c r="AE748" s="8" t="str">
        <f t="shared" si="33"/>
        <v/>
      </c>
      <c r="AF748" s="8" t="str">
        <f t="shared" si="34"/>
        <v/>
      </c>
      <c r="AG748" s="8" t="str">
        <f>IF(TRIM($E748)&lt;&gt;"Tax Paid","",IF(COUNTIFS(LISTS!$F$2:$F$26,$AE748,LISTS!$G$2:$G$26,$AF748)=0,"NOT ON LIST",""))</f>
        <v/>
      </c>
      <c r="AH748" s="8" t="str">
        <f t="shared" si="35"/>
        <v/>
      </c>
    </row>
    <row r="749" spans="31:34" x14ac:dyDescent="0.25">
      <c r="AE749" s="8" t="str">
        <f t="shared" si="33"/>
        <v/>
      </c>
      <c r="AF749" s="8" t="str">
        <f t="shared" si="34"/>
        <v/>
      </c>
      <c r="AG749" s="8" t="str">
        <f>IF(TRIM($E749)&lt;&gt;"Tax Paid","",IF(COUNTIFS(LISTS!$F$2:$F$26,$AE749,LISTS!$G$2:$G$26,$AF749)=0,"NOT ON LIST",""))</f>
        <v/>
      </c>
      <c r="AH749" s="8" t="str">
        <f t="shared" si="35"/>
        <v/>
      </c>
    </row>
    <row r="750" spans="31:34" x14ac:dyDescent="0.25">
      <c r="AE750" s="8" t="str">
        <f t="shared" si="33"/>
        <v/>
      </c>
      <c r="AF750" s="8" t="str">
        <f t="shared" si="34"/>
        <v/>
      </c>
      <c r="AG750" s="8" t="str">
        <f>IF(TRIM($E750)&lt;&gt;"Tax Paid","",IF(COUNTIFS(LISTS!$F$2:$F$26,$AE750,LISTS!$G$2:$G$26,$AF750)=0,"NOT ON LIST",""))</f>
        <v/>
      </c>
      <c r="AH750" s="8" t="str">
        <f t="shared" si="35"/>
        <v/>
      </c>
    </row>
    <row r="751" spans="31:34" x14ac:dyDescent="0.25">
      <c r="AE751" s="8" t="str">
        <f t="shared" si="33"/>
        <v/>
      </c>
      <c r="AF751" s="8" t="str">
        <f t="shared" si="34"/>
        <v/>
      </c>
      <c r="AG751" s="8" t="str">
        <f>IF(TRIM($E751)&lt;&gt;"Tax Paid","",IF(COUNTIFS(LISTS!$F$2:$F$26,$AE751,LISTS!$G$2:$G$26,$AF751)=0,"NOT ON LIST",""))</f>
        <v/>
      </c>
      <c r="AH751" s="8" t="str">
        <f t="shared" si="35"/>
        <v/>
      </c>
    </row>
    <row r="752" spans="31:34" x14ac:dyDescent="0.25">
      <c r="AE752" s="8" t="str">
        <f t="shared" si="33"/>
        <v/>
      </c>
      <c r="AF752" s="8" t="str">
        <f t="shared" si="34"/>
        <v/>
      </c>
      <c r="AG752" s="8" t="str">
        <f>IF(TRIM($E752)&lt;&gt;"Tax Paid","",IF(COUNTIFS(LISTS!$F$2:$F$26,$AE752,LISTS!$G$2:$G$26,$AF752)=0,"NOT ON LIST",""))</f>
        <v/>
      </c>
      <c r="AH752" s="8" t="str">
        <f t="shared" si="35"/>
        <v/>
      </c>
    </row>
    <row r="753" spans="31:34" x14ac:dyDescent="0.25">
      <c r="AE753" s="8" t="str">
        <f t="shared" si="33"/>
        <v/>
      </c>
      <c r="AF753" s="8" t="str">
        <f t="shared" si="34"/>
        <v/>
      </c>
      <c r="AG753" s="8" t="str">
        <f>IF(TRIM($E753)&lt;&gt;"Tax Paid","",IF(COUNTIFS(LISTS!$F$2:$F$26,$AE753,LISTS!$G$2:$G$26,$AF753)=0,"NOT ON LIST",""))</f>
        <v/>
      </c>
      <c r="AH753" s="8" t="str">
        <f t="shared" si="35"/>
        <v/>
      </c>
    </row>
    <row r="754" spans="31:34" x14ac:dyDescent="0.25">
      <c r="AE754" s="8" t="str">
        <f t="shared" si="33"/>
        <v/>
      </c>
      <c r="AF754" s="8" t="str">
        <f t="shared" si="34"/>
        <v/>
      </c>
      <c r="AG754" s="8" t="str">
        <f>IF(TRIM($E754)&lt;&gt;"Tax Paid","",IF(COUNTIFS(LISTS!$F$2:$F$26,$AE754,LISTS!$G$2:$G$26,$AF754)=0,"NOT ON LIST",""))</f>
        <v/>
      </c>
      <c r="AH754" s="8" t="str">
        <f t="shared" si="35"/>
        <v/>
      </c>
    </row>
    <row r="755" spans="31:34" x14ac:dyDescent="0.25">
      <c r="AE755" s="8" t="str">
        <f t="shared" si="33"/>
        <v/>
      </c>
      <c r="AF755" s="8" t="str">
        <f t="shared" si="34"/>
        <v/>
      </c>
      <c r="AG755" s="8" t="str">
        <f>IF(TRIM($E755)&lt;&gt;"Tax Paid","",IF(COUNTIFS(LISTS!$F$2:$F$26,$AE755,LISTS!$G$2:$G$26,$AF755)=0,"NOT ON LIST",""))</f>
        <v/>
      </c>
      <c r="AH755" s="8" t="str">
        <f t="shared" si="35"/>
        <v/>
      </c>
    </row>
    <row r="756" spans="31:34" x14ac:dyDescent="0.25">
      <c r="AE756" s="8" t="str">
        <f t="shared" si="33"/>
        <v/>
      </c>
      <c r="AF756" s="8" t="str">
        <f t="shared" si="34"/>
        <v/>
      </c>
      <c r="AG756" s="8" t="str">
        <f>IF(TRIM($E756)&lt;&gt;"Tax Paid","",IF(COUNTIFS(LISTS!$F$2:$F$26,$AE756,LISTS!$G$2:$G$26,$AF756)=0,"NOT ON LIST",""))</f>
        <v/>
      </c>
      <c r="AH756" s="8" t="str">
        <f t="shared" si="35"/>
        <v/>
      </c>
    </row>
    <row r="757" spans="31:34" x14ac:dyDescent="0.25">
      <c r="AE757" s="8" t="str">
        <f t="shared" si="33"/>
        <v/>
      </c>
      <c r="AF757" s="8" t="str">
        <f t="shared" si="34"/>
        <v/>
      </c>
      <c r="AG757" s="8" t="str">
        <f>IF(TRIM($E757)&lt;&gt;"Tax Paid","",IF(COUNTIFS(LISTS!$F$2:$F$26,$AE757,LISTS!$G$2:$G$26,$AF757)=0,"NOT ON LIST",""))</f>
        <v/>
      </c>
      <c r="AH757" s="8" t="str">
        <f t="shared" si="35"/>
        <v/>
      </c>
    </row>
    <row r="758" spans="31:34" x14ac:dyDescent="0.25">
      <c r="AE758" s="8" t="str">
        <f t="shared" si="33"/>
        <v/>
      </c>
      <c r="AF758" s="8" t="str">
        <f t="shared" si="34"/>
        <v/>
      </c>
      <c r="AG758" s="8" t="str">
        <f>IF(TRIM($E758)&lt;&gt;"Tax Paid","",IF(COUNTIFS(LISTS!$F$2:$F$26,$AE758,LISTS!$G$2:$G$26,$AF758)=0,"NOT ON LIST",""))</f>
        <v/>
      </c>
      <c r="AH758" s="8" t="str">
        <f t="shared" si="35"/>
        <v/>
      </c>
    </row>
    <row r="759" spans="31:34" x14ac:dyDescent="0.25">
      <c r="AE759" s="8" t="str">
        <f t="shared" si="33"/>
        <v/>
      </c>
      <c r="AF759" s="8" t="str">
        <f t="shared" si="34"/>
        <v/>
      </c>
      <c r="AG759" s="8" t="str">
        <f>IF(TRIM($E759)&lt;&gt;"Tax Paid","",IF(COUNTIFS(LISTS!$F$2:$F$26,$AE759,LISTS!$G$2:$G$26,$AF759)=0,"NOT ON LIST",""))</f>
        <v/>
      </c>
      <c r="AH759" s="8" t="str">
        <f t="shared" si="35"/>
        <v/>
      </c>
    </row>
    <row r="760" spans="31:34" x14ac:dyDescent="0.25">
      <c r="AE760" s="8" t="str">
        <f t="shared" si="33"/>
        <v/>
      </c>
      <c r="AF760" s="8" t="str">
        <f t="shared" si="34"/>
        <v/>
      </c>
      <c r="AG760" s="8" t="str">
        <f>IF(TRIM($E760)&lt;&gt;"Tax Paid","",IF(COUNTIFS(LISTS!$F$2:$F$26,$AE760,LISTS!$G$2:$G$26,$AF760)=0,"NOT ON LIST",""))</f>
        <v/>
      </c>
      <c r="AH760" s="8" t="str">
        <f t="shared" si="35"/>
        <v/>
      </c>
    </row>
    <row r="761" spans="31:34" x14ac:dyDescent="0.25">
      <c r="AE761" s="8" t="str">
        <f t="shared" si="33"/>
        <v/>
      </c>
      <c r="AF761" s="8" t="str">
        <f t="shared" si="34"/>
        <v/>
      </c>
      <c r="AG761" s="8" t="str">
        <f>IF(TRIM($E761)&lt;&gt;"Tax Paid","",IF(COUNTIFS(LISTS!$F$2:$F$26,$AE761,LISTS!$G$2:$G$26,$AF761)=0,"NOT ON LIST",""))</f>
        <v/>
      </c>
      <c r="AH761" s="8" t="str">
        <f t="shared" si="35"/>
        <v/>
      </c>
    </row>
    <row r="762" spans="31:34" x14ac:dyDescent="0.25">
      <c r="AE762" s="8" t="str">
        <f t="shared" si="33"/>
        <v/>
      </c>
      <c r="AF762" s="8" t="str">
        <f t="shared" si="34"/>
        <v/>
      </c>
      <c r="AG762" s="8" t="str">
        <f>IF(TRIM($E762)&lt;&gt;"Tax Paid","",IF(COUNTIFS(LISTS!$F$2:$F$26,$AE762,LISTS!$G$2:$G$26,$AF762)=0,"NOT ON LIST",""))</f>
        <v/>
      </c>
      <c r="AH762" s="8" t="str">
        <f t="shared" si="35"/>
        <v/>
      </c>
    </row>
    <row r="763" spans="31:34" x14ac:dyDescent="0.25">
      <c r="AE763" s="8" t="str">
        <f t="shared" si="33"/>
        <v/>
      </c>
      <c r="AF763" s="8" t="str">
        <f t="shared" si="34"/>
        <v/>
      </c>
      <c r="AG763" s="8" t="str">
        <f>IF(TRIM($E763)&lt;&gt;"Tax Paid","",IF(COUNTIFS(LISTS!$F$2:$F$26,$AE763,LISTS!$G$2:$G$26,$AF763)=0,"NOT ON LIST",""))</f>
        <v/>
      </c>
      <c r="AH763" s="8" t="str">
        <f t="shared" si="35"/>
        <v/>
      </c>
    </row>
    <row r="764" spans="31:34" x14ac:dyDescent="0.25">
      <c r="AE764" s="8" t="str">
        <f t="shared" si="33"/>
        <v/>
      </c>
      <c r="AF764" s="8" t="str">
        <f t="shared" si="34"/>
        <v/>
      </c>
      <c r="AG764" s="8" t="str">
        <f>IF(TRIM($E764)&lt;&gt;"Tax Paid","",IF(COUNTIFS(LISTS!$F$2:$F$26,$AE764,LISTS!$G$2:$G$26,$AF764)=0,"NOT ON LIST",""))</f>
        <v/>
      </c>
      <c r="AH764" s="8" t="str">
        <f t="shared" si="35"/>
        <v/>
      </c>
    </row>
    <row r="765" spans="31:34" x14ac:dyDescent="0.25">
      <c r="AE765" s="8" t="str">
        <f t="shared" si="33"/>
        <v/>
      </c>
      <c r="AF765" s="8" t="str">
        <f t="shared" si="34"/>
        <v/>
      </c>
      <c r="AG765" s="8" t="str">
        <f>IF(TRIM($E765)&lt;&gt;"Tax Paid","",IF(COUNTIFS(LISTS!$F$2:$F$26,$AE765,LISTS!$G$2:$G$26,$AF765)=0,"NOT ON LIST",""))</f>
        <v/>
      </c>
      <c r="AH765" s="8" t="str">
        <f t="shared" si="35"/>
        <v/>
      </c>
    </row>
    <row r="766" spans="31:34" x14ac:dyDescent="0.25">
      <c r="AE766" s="8" t="str">
        <f t="shared" si="33"/>
        <v/>
      </c>
      <c r="AF766" s="8" t="str">
        <f t="shared" si="34"/>
        <v/>
      </c>
      <c r="AG766" s="8" t="str">
        <f>IF(TRIM($E766)&lt;&gt;"Tax Paid","",IF(COUNTIFS(LISTS!$F$2:$F$26,$AE766,LISTS!$G$2:$G$26,$AF766)=0,"NOT ON LIST",""))</f>
        <v/>
      </c>
      <c r="AH766" s="8" t="str">
        <f t="shared" si="35"/>
        <v/>
      </c>
    </row>
    <row r="767" spans="31:34" x14ac:dyDescent="0.25">
      <c r="AE767" s="8" t="str">
        <f t="shared" si="33"/>
        <v/>
      </c>
      <c r="AF767" s="8" t="str">
        <f t="shared" si="34"/>
        <v/>
      </c>
      <c r="AG767" s="8" t="str">
        <f>IF(TRIM($E767)&lt;&gt;"Tax Paid","",IF(COUNTIFS(LISTS!$F$2:$F$26,$AE767,LISTS!$G$2:$G$26,$AF767)=0,"NOT ON LIST",""))</f>
        <v/>
      </c>
      <c r="AH767" s="8" t="str">
        <f t="shared" si="35"/>
        <v/>
      </c>
    </row>
    <row r="768" spans="31:34" x14ac:dyDescent="0.25">
      <c r="AE768" s="8" t="str">
        <f t="shared" si="33"/>
        <v/>
      </c>
      <c r="AF768" s="8" t="str">
        <f t="shared" si="34"/>
        <v/>
      </c>
      <c r="AG768" s="8" t="str">
        <f>IF(TRIM($E768)&lt;&gt;"Tax Paid","",IF(COUNTIFS(LISTS!$F$2:$F$26,$AE768,LISTS!$G$2:$G$26,$AF768)=0,"NOT ON LIST",""))</f>
        <v/>
      </c>
      <c r="AH768" s="8" t="str">
        <f t="shared" si="35"/>
        <v/>
      </c>
    </row>
    <row r="769" spans="31:34" x14ac:dyDescent="0.25">
      <c r="AE769" s="8" t="str">
        <f t="shared" si="33"/>
        <v/>
      </c>
      <c r="AF769" s="8" t="str">
        <f t="shared" si="34"/>
        <v/>
      </c>
      <c r="AG769" s="8" t="str">
        <f>IF(TRIM($E769)&lt;&gt;"Tax Paid","",IF(COUNTIFS(LISTS!$F$2:$F$26,$AE769,LISTS!$G$2:$G$26,$AF769)=0,"NOT ON LIST",""))</f>
        <v/>
      </c>
      <c r="AH769" s="8" t="str">
        <f t="shared" si="35"/>
        <v/>
      </c>
    </row>
    <row r="770" spans="31:34" x14ac:dyDescent="0.25">
      <c r="AE770" s="8" t="str">
        <f t="shared" ref="AE770:AE833" si="36">IF(TRIM($E770)="Tax Paid",TRIM($S770),"")</f>
        <v/>
      </c>
      <c r="AF770" s="8" t="str">
        <f t="shared" ref="AF770:AF833" si="37">IF(TRIM($E770)="Tax Paid",ROUND($Z770/100,5),"")</f>
        <v/>
      </c>
      <c r="AG770" s="8" t="str">
        <f>IF(TRIM($E770)&lt;&gt;"Tax Paid","",IF(COUNTIFS(LISTS!$F$2:$F$26,$AE770,LISTS!$G$2:$G$26,$AF770)=0,"NOT ON LIST",""))</f>
        <v/>
      </c>
      <c r="AH770" s="8" t="str">
        <f t="shared" ref="AH770:AH833" si="38">IF($AG770="","",IF($AE770="","(no county)",$AE770)&amp;" ("&amp;SUBSTITUTE(TEXT($AF770,"0.###%"),".%","%")&amp;")")</f>
        <v/>
      </c>
    </row>
    <row r="771" spans="31:34" x14ac:dyDescent="0.25">
      <c r="AE771" s="8" t="str">
        <f t="shared" si="36"/>
        <v/>
      </c>
      <c r="AF771" s="8" t="str">
        <f t="shared" si="37"/>
        <v/>
      </c>
      <c r="AG771" s="8" t="str">
        <f>IF(TRIM($E771)&lt;&gt;"Tax Paid","",IF(COUNTIFS(LISTS!$F$2:$F$26,$AE771,LISTS!$G$2:$G$26,$AF771)=0,"NOT ON LIST",""))</f>
        <v/>
      </c>
      <c r="AH771" s="8" t="str">
        <f t="shared" si="38"/>
        <v/>
      </c>
    </row>
    <row r="772" spans="31:34" x14ac:dyDescent="0.25">
      <c r="AE772" s="8" t="str">
        <f t="shared" si="36"/>
        <v/>
      </c>
      <c r="AF772" s="8" t="str">
        <f t="shared" si="37"/>
        <v/>
      </c>
      <c r="AG772" s="8" t="str">
        <f>IF(TRIM($E772)&lt;&gt;"Tax Paid","",IF(COUNTIFS(LISTS!$F$2:$F$26,$AE772,LISTS!$G$2:$G$26,$AF772)=0,"NOT ON LIST",""))</f>
        <v/>
      </c>
      <c r="AH772" s="8" t="str">
        <f t="shared" si="38"/>
        <v/>
      </c>
    </row>
    <row r="773" spans="31:34" x14ac:dyDescent="0.25">
      <c r="AE773" s="8" t="str">
        <f t="shared" si="36"/>
        <v/>
      </c>
      <c r="AF773" s="8" t="str">
        <f t="shared" si="37"/>
        <v/>
      </c>
      <c r="AG773" s="8" t="str">
        <f>IF(TRIM($E773)&lt;&gt;"Tax Paid","",IF(COUNTIFS(LISTS!$F$2:$F$26,$AE773,LISTS!$G$2:$G$26,$AF773)=0,"NOT ON LIST",""))</f>
        <v/>
      </c>
      <c r="AH773" s="8" t="str">
        <f t="shared" si="38"/>
        <v/>
      </c>
    </row>
    <row r="774" spans="31:34" x14ac:dyDescent="0.25">
      <c r="AE774" s="8" t="str">
        <f t="shared" si="36"/>
        <v/>
      </c>
      <c r="AF774" s="8" t="str">
        <f t="shared" si="37"/>
        <v/>
      </c>
      <c r="AG774" s="8" t="str">
        <f>IF(TRIM($E774)&lt;&gt;"Tax Paid","",IF(COUNTIFS(LISTS!$F$2:$F$26,$AE774,LISTS!$G$2:$G$26,$AF774)=0,"NOT ON LIST",""))</f>
        <v/>
      </c>
      <c r="AH774" s="8" t="str">
        <f t="shared" si="38"/>
        <v/>
      </c>
    </row>
    <row r="775" spans="31:34" x14ac:dyDescent="0.25">
      <c r="AE775" s="8" t="str">
        <f t="shared" si="36"/>
        <v/>
      </c>
      <c r="AF775" s="8" t="str">
        <f t="shared" si="37"/>
        <v/>
      </c>
      <c r="AG775" s="8" t="str">
        <f>IF(TRIM($E775)&lt;&gt;"Tax Paid","",IF(COUNTIFS(LISTS!$F$2:$F$26,$AE775,LISTS!$G$2:$G$26,$AF775)=0,"NOT ON LIST",""))</f>
        <v/>
      </c>
      <c r="AH775" s="8" t="str">
        <f t="shared" si="38"/>
        <v/>
      </c>
    </row>
    <row r="776" spans="31:34" x14ac:dyDescent="0.25">
      <c r="AE776" s="8" t="str">
        <f t="shared" si="36"/>
        <v/>
      </c>
      <c r="AF776" s="8" t="str">
        <f t="shared" si="37"/>
        <v/>
      </c>
      <c r="AG776" s="8" t="str">
        <f>IF(TRIM($E776)&lt;&gt;"Tax Paid","",IF(COUNTIFS(LISTS!$F$2:$F$26,$AE776,LISTS!$G$2:$G$26,$AF776)=0,"NOT ON LIST",""))</f>
        <v/>
      </c>
      <c r="AH776" s="8" t="str">
        <f t="shared" si="38"/>
        <v/>
      </c>
    </row>
    <row r="777" spans="31:34" x14ac:dyDescent="0.25">
      <c r="AE777" s="8" t="str">
        <f t="shared" si="36"/>
        <v/>
      </c>
      <c r="AF777" s="8" t="str">
        <f t="shared" si="37"/>
        <v/>
      </c>
      <c r="AG777" s="8" t="str">
        <f>IF(TRIM($E777)&lt;&gt;"Tax Paid","",IF(COUNTIFS(LISTS!$F$2:$F$26,$AE777,LISTS!$G$2:$G$26,$AF777)=0,"NOT ON LIST",""))</f>
        <v/>
      </c>
      <c r="AH777" s="8" t="str">
        <f t="shared" si="38"/>
        <v/>
      </c>
    </row>
    <row r="778" spans="31:34" x14ac:dyDescent="0.25">
      <c r="AE778" s="8" t="str">
        <f t="shared" si="36"/>
        <v/>
      </c>
      <c r="AF778" s="8" t="str">
        <f t="shared" si="37"/>
        <v/>
      </c>
      <c r="AG778" s="8" t="str">
        <f>IF(TRIM($E778)&lt;&gt;"Tax Paid","",IF(COUNTIFS(LISTS!$F$2:$F$26,$AE778,LISTS!$G$2:$G$26,$AF778)=0,"NOT ON LIST",""))</f>
        <v/>
      </c>
      <c r="AH778" s="8" t="str">
        <f t="shared" si="38"/>
        <v/>
      </c>
    </row>
    <row r="779" spans="31:34" x14ac:dyDescent="0.25">
      <c r="AE779" s="8" t="str">
        <f t="shared" si="36"/>
        <v/>
      </c>
      <c r="AF779" s="8" t="str">
        <f t="shared" si="37"/>
        <v/>
      </c>
      <c r="AG779" s="8" t="str">
        <f>IF(TRIM($E779)&lt;&gt;"Tax Paid","",IF(COUNTIFS(LISTS!$F$2:$F$26,$AE779,LISTS!$G$2:$G$26,$AF779)=0,"NOT ON LIST",""))</f>
        <v/>
      </c>
      <c r="AH779" s="8" t="str">
        <f t="shared" si="38"/>
        <v/>
      </c>
    </row>
    <row r="780" spans="31:34" x14ac:dyDescent="0.25">
      <c r="AE780" s="8" t="str">
        <f t="shared" si="36"/>
        <v/>
      </c>
      <c r="AF780" s="8" t="str">
        <f t="shared" si="37"/>
        <v/>
      </c>
      <c r="AG780" s="8" t="str">
        <f>IF(TRIM($E780)&lt;&gt;"Tax Paid","",IF(COUNTIFS(LISTS!$F$2:$F$26,$AE780,LISTS!$G$2:$G$26,$AF780)=0,"NOT ON LIST",""))</f>
        <v/>
      </c>
      <c r="AH780" s="8" t="str">
        <f t="shared" si="38"/>
        <v/>
      </c>
    </row>
    <row r="781" spans="31:34" x14ac:dyDescent="0.25">
      <c r="AE781" s="8" t="str">
        <f t="shared" si="36"/>
        <v/>
      </c>
      <c r="AF781" s="8" t="str">
        <f t="shared" si="37"/>
        <v/>
      </c>
      <c r="AG781" s="8" t="str">
        <f>IF(TRIM($E781)&lt;&gt;"Tax Paid","",IF(COUNTIFS(LISTS!$F$2:$F$26,$AE781,LISTS!$G$2:$G$26,$AF781)=0,"NOT ON LIST",""))</f>
        <v/>
      </c>
      <c r="AH781" s="8" t="str">
        <f t="shared" si="38"/>
        <v/>
      </c>
    </row>
    <row r="782" spans="31:34" x14ac:dyDescent="0.25">
      <c r="AE782" s="8" t="str">
        <f t="shared" si="36"/>
        <v/>
      </c>
      <c r="AF782" s="8" t="str">
        <f t="shared" si="37"/>
        <v/>
      </c>
      <c r="AG782" s="8" t="str">
        <f>IF(TRIM($E782)&lt;&gt;"Tax Paid","",IF(COUNTIFS(LISTS!$F$2:$F$26,$AE782,LISTS!$G$2:$G$26,$AF782)=0,"NOT ON LIST",""))</f>
        <v/>
      </c>
      <c r="AH782" s="8" t="str">
        <f t="shared" si="38"/>
        <v/>
      </c>
    </row>
    <row r="783" spans="31:34" x14ac:dyDescent="0.25">
      <c r="AE783" s="8" t="str">
        <f t="shared" si="36"/>
        <v/>
      </c>
      <c r="AF783" s="8" t="str">
        <f t="shared" si="37"/>
        <v/>
      </c>
      <c r="AG783" s="8" t="str">
        <f>IF(TRIM($E783)&lt;&gt;"Tax Paid","",IF(COUNTIFS(LISTS!$F$2:$F$26,$AE783,LISTS!$G$2:$G$26,$AF783)=0,"NOT ON LIST",""))</f>
        <v/>
      </c>
      <c r="AH783" s="8" t="str">
        <f t="shared" si="38"/>
        <v/>
      </c>
    </row>
    <row r="784" spans="31:34" x14ac:dyDescent="0.25">
      <c r="AE784" s="8" t="str">
        <f t="shared" si="36"/>
        <v/>
      </c>
      <c r="AF784" s="8" t="str">
        <f t="shared" si="37"/>
        <v/>
      </c>
      <c r="AG784" s="8" t="str">
        <f>IF(TRIM($E784)&lt;&gt;"Tax Paid","",IF(COUNTIFS(LISTS!$F$2:$F$26,$AE784,LISTS!$G$2:$G$26,$AF784)=0,"NOT ON LIST",""))</f>
        <v/>
      </c>
      <c r="AH784" s="8" t="str">
        <f t="shared" si="38"/>
        <v/>
      </c>
    </row>
    <row r="785" spans="31:34" x14ac:dyDescent="0.25">
      <c r="AE785" s="8" t="str">
        <f t="shared" si="36"/>
        <v/>
      </c>
      <c r="AF785" s="8" t="str">
        <f t="shared" si="37"/>
        <v/>
      </c>
      <c r="AG785" s="8" t="str">
        <f>IF(TRIM($E785)&lt;&gt;"Tax Paid","",IF(COUNTIFS(LISTS!$F$2:$F$26,$AE785,LISTS!$G$2:$G$26,$AF785)=0,"NOT ON LIST",""))</f>
        <v/>
      </c>
      <c r="AH785" s="8" t="str">
        <f t="shared" si="38"/>
        <v/>
      </c>
    </row>
    <row r="786" spans="31:34" x14ac:dyDescent="0.25">
      <c r="AE786" s="8" t="str">
        <f t="shared" si="36"/>
        <v/>
      </c>
      <c r="AF786" s="8" t="str">
        <f t="shared" si="37"/>
        <v/>
      </c>
      <c r="AG786" s="8" t="str">
        <f>IF(TRIM($E786)&lt;&gt;"Tax Paid","",IF(COUNTIFS(LISTS!$F$2:$F$26,$AE786,LISTS!$G$2:$G$26,$AF786)=0,"NOT ON LIST",""))</f>
        <v/>
      </c>
      <c r="AH786" s="8" t="str">
        <f t="shared" si="38"/>
        <v/>
      </c>
    </row>
    <row r="787" spans="31:34" x14ac:dyDescent="0.25">
      <c r="AE787" s="8" t="str">
        <f t="shared" si="36"/>
        <v/>
      </c>
      <c r="AF787" s="8" t="str">
        <f t="shared" si="37"/>
        <v/>
      </c>
      <c r="AG787" s="8" t="str">
        <f>IF(TRIM($E787)&lt;&gt;"Tax Paid","",IF(COUNTIFS(LISTS!$F$2:$F$26,$AE787,LISTS!$G$2:$G$26,$AF787)=0,"NOT ON LIST",""))</f>
        <v/>
      </c>
      <c r="AH787" s="8" t="str">
        <f t="shared" si="38"/>
        <v/>
      </c>
    </row>
    <row r="788" spans="31:34" x14ac:dyDescent="0.25">
      <c r="AE788" s="8" t="str">
        <f t="shared" si="36"/>
        <v/>
      </c>
      <c r="AF788" s="8" t="str">
        <f t="shared" si="37"/>
        <v/>
      </c>
      <c r="AG788" s="8" t="str">
        <f>IF(TRIM($E788)&lt;&gt;"Tax Paid","",IF(COUNTIFS(LISTS!$F$2:$F$26,$AE788,LISTS!$G$2:$G$26,$AF788)=0,"NOT ON LIST",""))</f>
        <v/>
      </c>
      <c r="AH788" s="8" t="str">
        <f t="shared" si="38"/>
        <v/>
      </c>
    </row>
    <row r="789" spans="31:34" x14ac:dyDescent="0.25">
      <c r="AE789" s="8" t="str">
        <f t="shared" si="36"/>
        <v/>
      </c>
      <c r="AF789" s="8" t="str">
        <f t="shared" si="37"/>
        <v/>
      </c>
      <c r="AG789" s="8" t="str">
        <f>IF(TRIM($E789)&lt;&gt;"Tax Paid","",IF(COUNTIFS(LISTS!$F$2:$F$26,$AE789,LISTS!$G$2:$G$26,$AF789)=0,"NOT ON LIST",""))</f>
        <v/>
      </c>
      <c r="AH789" s="8" t="str">
        <f t="shared" si="38"/>
        <v/>
      </c>
    </row>
    <row r="790" spans="31:34" x14ac:dyDescent="0.25">
      <c r="AE790" s="8" t="str">
        <f t="shared" si="36"/>
        <v/>
      </c>
      <c r="AF790" s="8" t="str">
        <f t="shared" si="37"/>
        <v/>
      </c>
      <c r="AG790" s="8" t="str">
        <f>IF(TRIM($E790)&lt;&gt;"Tax Paid","",IF(COUNTIFS(LISTS!$F$2:$F$26,$AE790,LISTS!$G$2:$G$26,$AF790)=0,"NOT ON LIST",""))</f>
        <v/>
      </c>
      <c r="AH790" s="8" t="str">
        <f t="shared" si="38"/>
        <v/>
      </c>
    </row>
    <row r="791" spans="31:34" x14ac:dyDescent="0.25">
      <c r="AE791" s="8" t="str">
        <f t="shared" si="36"/>
        <v/>
      </c>
      <c r="AF791" s="8" t="str">
        <f t="shared" si="37"/>
        <v/>
      </c>
      <c r="AG791" s="8" t="str">
        <f>IF(TRIM($E791)&lt;&gt;"Tax Paid","",IF(COUNTIFS(LISTS!$F$2:$F$26,$AE791,LISTS!$G$2:$G$26,$AF791)=0,"NOT ON LIST",""))</f>
        <v/>
      </c>
      <c r="AH791" s="8" t="str">
        <f t="shared" si="38"/>
        <v/>
      </c>
    </row>
    <row r="792" spans="31:34" x14ac:dyDescent="0.25">
      <c r="AE792" s="8" t="str">
        <f t="shared" si="36"/>
        <v/>
      </c>
      <c r="AF792" s="8" t="str">
        <f t="shared" si="37"/>
        <v/>
      </c>
      <c r="AG792" s="8" t="str">
        <f>IF(TRIM($E792)&lt;&gt;"Tax Paid","",IF(COUNTIFS(LISTS!$F$2:$F$26,$AE792,LISTS!$G$2:$G$26,$AF792)=0,"NOT ON LIST",""))</f>
        <v/>
      </c>
      <c r="AH792" s="8" t="str">
        <f t="shared" si="38"/>
        <v/>
      </c>
    </row>
    <row r="793" spans="31:34" x14ac:dyDescent="0.25">
      <c r="AE793" s="8" t="str">
        <f t="shared" si="36"/>
        <v/>
      </c>
      <c r="AF793" s="8" t="str">
        <f t="shared" si="37"/>
        <v/>
      </c>
      <c r="AG793" s="8" t="str">
        <f>IF(TRIM($E793)&lt;&gt;"Tax Paid","",IF(COUNTIFS(LISTS!$F$2:$F$26,$AE793,LISTS!$G$2:$G$26,$AF793)=0,"NOT ON LIST",""))</f>
        <v/>
      </c>
      <c r="AH793" s="8" t="str">
        <f t="shared" si="38"/>
        <v/>
      </c>
    </row>
    <row r="794" spans="31:34" x14ac:dyDescent="0.25">
      <c r="AE794" s="8" t="str">
        <f t="shared" si="36"/>
        <v/>
      </c>
      <c r="AF794" s="8" t="str">
        <f t="shared" si="37"/>
        <v/>
      </c>
      <c r="AG794" s="8" t="str">
        <f>IF(TRIM($E794)&lt;&gt;"Tax Paid","",IF(COUNTIFS(LISTS!$F$2:$F$26,$AE794,LISTS!$G$2:$G$26,$AF794)=0,"NOT ON LIST",""))</f>
        <v/>
      </c>
      <c r="AH794" s="8" t="str">
        <f t="shared" si="38"/>
        <v/>
      </c>
    </row>
    <row r="795" spans="31:34" x14ac:dyDescent="0.25">
      <c r="AE795" s="8" t="str">
        <f t="shared" si="36"/>
        <v/>
      </c>
      <c r="AF795" s="8" t="str">
        <f t="shared" si="37"/>
        <v/>
      </c>
      <c r="AG795" s="8" t="str">
        <f>IF(TRIM($E795)&lt;&gt;"Tax Paid","",IF(COUNTIFS(LISTS!$F$2:$F$26,$AE795,LISTS!$G$2:$G$26,$AF795)=0,"NOT ON LIST",""))</f>
        <v/>
      </c>
      <c r="AH795" s="8" t="str">
        <f t="shared" si="38"/>
        <v/>
      </c>
    </row>
    <row r="796" spans="31:34" x14ac:dyDescent="0.25">
      <c r="AE796" s="8" t="str">
        <f t="shared" si="36"/>
        <v/>
      </c>
      <c r="AF796" s="8" t="str">
        <f t="shared" si="37"/>
        <v/>
      </c>
      <c r="AG796" s="8" t="str">
        <f>IF(TRIM($E796)&lt;&gt;"Tax Paid","",IF(COUNTIFS(LISTS!$F$2:$F$26,$AE796,LISTS!$G$2:$G$26,$AF796)=0,"NOT ON LIST",""))</f>
        <v/>
      </c>
      <c r="AH796" s="8" t="str">
        <f t="shared" si="38"/>
        <v/>
      </c>
    </row>
    <row r="797" spans="31:34" x14ac:dyDescent="0.25">
      <c r="AE797" s="8" t="str">
        <f t="shared" si="36"/>
        <v/>
      </c>
      <c r="AF797" s="8" t="str">
        <f t="shared" si="37"/>
        <v/>
      </c>
      <c r="AG797" s="8" t="str">
        <f>IF(TRIM($E797)&lt;&gt;"Tax Paid","",IF(COUNTIFS(LISTS!$F$2:$F$26,$AE797,LISTS!$G$2:$G$26,$AF797)=0,"NOT ON LIST",""))</f>
        <v/>
      </c>
      <c r="AH797" s="8" t="str">
        <f t="shared" si="38"/>
        <v/>
      </c>
    </row>
    <row r="798" spans="31:34" x14ac:dyDescent="0.25">
      <c r="AE798" s="8" t="str">
        <f t="shared" si="36"/>
        <v/>
      </c>
      <c r="AF798" s="8" t="str">
        <f t="shared" si="37"/>
        <v/>
      </c>
      <c r="AG798" s="8" t="str">
        <f>IF(TRIM($E798)&lt;&gt;"Tax Paid","",IF(COUNTIFS(LISTS!$F$2:$F$26,$AE798,LISTS!$G$2:$G$26,$AF798)=0,"NOT ON LIST",""))</f>
        <v/>
      </c>
      <c r="AH798" s="8" t="str">
        <f t="shared" si="38"/>
        <v/>
      </c>
    </row>
    <row r="799" spans="31:34" x14ac:dyDescent="0.25">
      <c r="AE799" s="8" t="str">
        <f t="shared" si="36"/>
        <v/>
      </c>
      <c r="AF799" s="8" t="str">
        <f t="shared" si="37"/>
        <v/>
      </c>
      <c r="AG799" s="8" t="str">
        <f>IF(TRIM($E799)&lt;&gt;"Tax Paid","",IF(COUNTIFS(LISTS!$F$2:$F$26,$AE799,LISTS!$G$2:$G$26,$AF799)=0,"NOT ON LIST",""))</f>
        <v/>
      </c>
      <c r="AH799" s="8" t="str">
        <f t="shared" si="38"/>
        <v/>
      </c>
    </row>
    <row r="800" spans="31:34" x14ac:dyDescent="0.25">
      <c r="AE800" s="8" t="str">
        <f t="shared" si="36"/>
        <v/>
      </c>
      <c r="AF800" s="8" t="str">
        <f t="shared" si="37"/>
        <v/>
      </c>
      <c r="AG800" s="8" t="str">
        <f>IF(TRIM($E800)&lt;&gt;"Tax Paid","",IF(COUNTIFS(LISTS!$F$2:$F$26,$AE800,LISTS!$G$2:$G$26,$AF800)=0,"NOT ON LIST",""))</f>
        <v/>
      </c>
      <c r="AH800" s="8" t="str">
        <f t="shared" si="38"/>
        <v/>
      </c>
    </row>
    <row r="801" spans="31:34" x14ac:dyDescent="0.25">
      <c r="AE801" s="8" t="str">
        <f t="shared" si="36"/>
        <v/>
      </c>
      <c r="AF801" s="8" t="str">
        <f t="shared" si="37"/>
        <v/>
      </c>
      <c r="AG801" s="8" t="str">
        <f>IF(TRIM($E801)&lt;&gt;"Tax Paid","",IF(COUNTIFS(LISTS!$F$2:$F$26,$AE801,LISTS!$G$2:$G$26,$AF801)=0,"NOT ON LIST",""))</f>
        <v/>
      </c>
      <c r="AH801" s="8" t="str">
        <f t="shared" si="38"/>
        <v/>
      </c>
    </row>
    <row r="802" spans="31:34" x14ac:dyDescent="0.25">
      <c r="AE802" s="8" t="str">
        <f t="shared" si="36"/>
        <v/>
      </c>
      <c r="AF802" s="8" t="str">
        <f t="shared" si="37"/>
        <v/>
      </c>
      <c r="AG802" s="8" t="str">
        <f>IF(TRIM($E802)&lt;&gt;"Tax Paid","",IF(COUNTIFS(LISTS!$F$2:$F$26,$AE802,LISTS!$G$2:$G$26,$AF802)=0,"NOT ON LIST",""))</f>
        <v/>
      </c>
      <c r="AH802" s="8" t="str">
        <f t="shared" si="38"/>
        <v/>
      </c>
    </row>
    <row r="803" spans="31:34" x14ac:dyDescent="0.25">
      <c r="AE803" s="8" t="str">
        <f t="shared" si="36"/>
        <v/>
      </c>
      <c r="AF803" s="8" t="str">
        <f t="shared" si="37"/>
        <v/>
      </c>
      <c r="AG803" s="8" t="str">
        <f>IF(TRIM($E803)&lt;&gt;"Tax Paid","",IF(COUNTIFS(LISTS!$F$2:$F$26,$AE803,LISTS!$G$2:$G$26,$AF803)=0,"NOT ON LIST",""))</f>
        <v/>
      </c>
      <c r="AH803" s="8" t="str">
        <f t="shared" si="38"/>
        <v/>
      </c>
    </row>
    <row r="804" spans="31:34" x14ac:dyDescent="0.25">
      <c r="AE804" s="8" t="str">
        <f t="shared" si="36"/>
        <v/>
      </c>
      <c r="AF804" s="8" t="str">
        <f t="shared" si="37"/>
        <v/>
      </c>
      <c r="AG804" s="8" t="str">
        <f>IF(TRIM($E804)&lt;&gt;"Tax Paid","",IF(COUNTIFS(LISTS!$F$2:$F$26,$AE804,LISTS!$G$2:$G$26,$AF804)=0,"NOT ON LIST",""))</f>
        <v/>
      </c>
      <c r="AH804" s="8" t="str">
        <f t="shared" si="38"/>
        <v/>
      </c>
    </row>
    <row r="805" spans="31:34" x14ac:dyDescent="0.25">
      <c r="AE805" s="8" t="str">
        <f t="shared" si="36"/>
        <v/>
      </c>
      <c r="AF805" s="8" t="str">
        <f t="shared" si="37"/>
        <v/>
      </c>
      <c r="AG805" s="8" t="str">
        <f>IF(TRIM($E805)&lt;&gt;"Tax Paid","",IF(COUNTIFS(LISTS!$F$2:$F$26,$AE805,LISTS!$G$2:$G$26,$AF805)=0,"NOT ON LIST",""))</f>
        <v/>
      </c>
      <c r="AH805" s="8" t="str">
        <f t="shared" si="38"/>
        <v/>
      </c>
    </row>
    <row r="806" spans="31:34" x14ac:dyDescent="0.25">
      <c r="AE806" s="8" t="str">
        <f t="shared" si="36"/>
        <v/>
      </c>
      <c r="AF806" s="8" t="str">
        <f t="shared" si="37"/>
        <v/>
      </c>
      <c r="AG806" s="8" t="str">
        <f>IF(TRIM($E806)&lt;&gt;"Tax Paid","",IF(COUNTIFS(LISTS!$F$2:$F$26,$AE806,LISTS!$G$2:$G$26,$AF806)=0,"NOT ON LIST",""))</f>
        <v/>
      </c>
      <c r="AH806" s="8" t="str">
        <f t="shared" si="38"/>
        <v/>
      </c>
    </row>
    <row r="807" spans="31:34" x14ac:dyDescent="0.25">
      <c r="AE807" s="8" t="str">
        <f t="shared" si="36"/>
        <v/>
      </c>
      <c r="AF807" s="8" t="str">
        <f t="shared" si="37"/>
        <v/>
      </c>
      <c r="AG807" s="8" t="str">
        <f>IF(TRIM($E807)&lt;&gt;"Tax Paid","",IF(COUNTIFS(LISTS!$F$2:$F$26,$AE807,LISTS!$G$2:$G$26,$AF807)=0,"NOT ON LIST",""))</f>
        <v/>
      </c>
      <c r="AH807" s="8" t="str">
        <f t="shared" si="38"/>
        <v/>
      </c>
    </row>
    <row r="808" spans="31:34" x14ac:dyDescent="0.25">
      <c r="AE808" s="8" t="str">
        <f t="shared" si="36"/>
        <v/>
      </c>
      <c r="AF808" s="8" t="str">
        <f t="shared" si="37"/>
        <v/>
      </c>
      <c r="AG808" s="8" t="str">
        <f>IF(TRIM($E808)&lt;&gt;"Tax Paid","",IF(COUNTIFS(LISTS!$F$2:$F$26,$AE808,LISTS!$G$2:$G$26,$AF808)=0,"NOT ON LIST",""))</f>
        <v/>
      </c>
      <c r="AH808" s="8" t="str">
        <f t="shared" si="38"/>
        <v/>
      </c>
    </row>
    <row r="809" spans="31:34" x14ac:dyDescent="0.25">
      <c r="AE809" s="8" t="str">
        <f t="shared" si="36"/>
        <v/>
      </c>
      <c r="AF809" s="8" t="str">
        <f t="shared" si="37"/>
        <v/>
      </c>
      <c r="AG809" s="8" t="str">
        <f>IF(TRIM($E809)&lt;&gt;"Tax Paid","",IF(COUNTIFS(LISTS!$F$2:$F$26,$AE809,LISTS!$G$2:$G$26,$AF809)=0,"NOT ON LIST",""))</f>
        <v/>
      </c>
      <c r="AH809" s="8" t="str">
        <f t="shared" si="38"/>
        <v/>
      </c>
    </row>
    <row r="810" spans="31:34" x14ac:dyDescent="0.25">
      <c r="AE810" s="8" t="str">
        <f t="shared" si="36"/>
        <v/>
      </c>
      <c r="AF810" s="8" t="str">
        <f t="shared" si="37"/>
        <v/>
      </c>
      <c r="AG810" s="8" t="str">
        <f>IF(TRIM($E810)&lt;&gt;"Tax Paid","",IF(COUNTIFS(LISTS!$F$2:$F$26,$AE810,LISTS!$G$2:$G$26,$AF810)=0,"NOT ON LIST",""))</f>
        <v/>
      </c>
      <c r="AH810" s="8" t="str">
        <f t="shared" si="38"/>
        <v/>
      </c>
    </row>
    <row r="811" spans="31:34" x14ac:dyDescent="0.25">
      <c r="AE811" s="8" t="str">
        <f t="shared" si="36"/>
        <v/>
      </c>
      <c r="AF811" s="8" t="str">
        <f t="shared" si="37"/>
        <v/>
      </c>
      <c r="AG811" s="8" t="str">
        <f>IF(TRIM($E811)&lt;&gt;"Tax Paid","",IF(COUNTIFS(LISTS!$F$2:$F$26,$AE811,LISTS!$G$2:$G$26,$AF811)=0,"NOT ON LIST",""))</f>
        <v/>
      </c>
      <c r="AH811" s="8" t="str">
        <f t="shared" si="38"/>
        <v/>
      </c>
    </row>
    <row r="812" spans="31:34" x14ac:dyDescent="0.25">
      <c r="AE812" s="8" t="str">
        <f t="shared" si="36"/>
        <v/>
      </c>
      <c r="AF812" s="8" t="str">
        <f t="shared" si="37"/>
        <v/>
      </c>
      <c r="AG812" s="8" t="str">
        <f>IF(TRIM($E812)&lt;&gt;"Tax Paid","",IF(COUNTIFS(LISTS!$F$2:$F$26,$AE812,LISTS!$G$2:$G$26,$AF812)=0,"NOT ON LIST",""))</f>
        <v/>
      </c>
      <c r="AH812" s="8" t="str">
        <f t="shared" si="38"/>
        <v/>
      </c>
    </row>
    <row r="813" spans="31:34" x14ac:dyDescent="0.25">
      <c r="AE813" s="8" t="str">
        <f t="shared" si="36"/>
        <v/>
      </c>
      <c r="AF813" s="8" t="str">
        <f t="shared" si="37"/>
        <v/>
      </c>
      <c r="AG813" s="8" t="str">
        <f>IF(TRIM($E813)&lt;&gt;"Tax Paid","",IF(COUNTIFS(LISTS!$F$2:$F$26,$AE813,LISTS!$G$2:$G$26,$AF813)=0,"NOT ON LIST",""))</f>
        <v/>
      </c>
      <c r="AH813" s="8" t="str">
        <f t="shared" si="38"/>
        <v/>
      </c>
    </row>
    <row r="814" spans="31:34" x14ac:dyDescent="0.25">
      <c r="AE814" s="8" t="str">
        <f t="shared" si="36"/>
        <v/>
      </c>
      <c r="AF814" s="8" t="str">
        <f t="shared" si="37"/>
        <v/>
      </c>
      <c r="AG814" s="8" t="str">
        <f>IF(TRIM($E814)&lt;&gt;"Tax Paid","",IF(COUNTIFS(LISTS!$F$2:$F$26,$AE814,LISTS!$G$2:$G$26,$AF814)=0,"NOT ON LIST",""))</f>
        <v/>
      </c>
      <c r="AH814" s="8" t="str">
        <f t="shared" si="38"/>
        <v/>
      </c>
    </row>
    <row r="815" spans="31:34" x14ac:dyDescent="0.25">
      <c r="AE815" s="8" t="str">
        <f t="shared" si="36"/>
        <v/>
      </c>
      <c r="AF815" s="8" t="str">
        <f t="shared" si="37"/>
        <v/>
      </c>
      <c r="AG815" s="8" t="str">
        <f>IF(TRIM($E815)&lt;&gt;"Tax Paid","",IF(COUNTIFS(LISTS!$F$2:$F$26,$AE815,LISTS!$G$2:$G$26,$AF815)=0,"NOT ON LIST",""))</f>
        <v/>
      </c>
      <c r="AH815" s="8" t="str">
        <f t="shared" si="38"/>
        <v/>
      </c>
    </row>
    <row r="816" spans="31:34" x14ac:dyDescent="0.25">
      <c r="AE816" s="8" t="str">
        <f t="shared" si="36"/>
        <v/>
      </c>
      <c r="AF816" s="8" t="str">
        <f t="shared" si="37"/>
        <v/>
      </c>
      <c r="AG816" s="8" t="str">
        <f>IF(TRIM($E816)&lt;&gt;"Tax Paid","",IF(COUNTIFS(LISTS!$F$2:$F$26,$AE816,LISTS!$G$2:$G$26,$AF816)=0,"NOT ON LIST",""))</f>
        <v/>
      </c>
      <c r="AH816" s="8" t="str">
        <f t="shared" si="38"/>
        <v/>
      </c>
    </row>
    <row r="817" spans="31:34" x14ac:dyDescent="0.25">
      <c r="AE817" s="8" t="str">
        <f t="shared" si="36"/>
        <v/>
      </c>
      <c r="AF817" s="8" t="str">
        <f t="shared" si="37"/>
        <v/>
      </c>
      <c r="AG817" s="8" t="str">
        <f>IF(TRIM($E817)&lt;&gt;"Tax Paid","",IF(COUNTIFS(LISTS!$F$2:$F$26,$AE817,LISTS!$G$2:$G$26,$AF817)=0,"NOT ON LIST",""))</f>
        <v/>
      </c>
      <c r="AH817" s="8" t="str">
        <f t="shared" si="38"/>
        <v/>
      </c>
    </row>
    <row r="818" spans="31:34" x14ac:dyDescent="0.25">
      <c r="AE818" s="8" t="str">
        <f t="shared" si="36"/>
        <v/>
      </c>
      <c r="AF818" s="8" t="str">
        <f t="shared" si="37"/>
        <v/>
      </c>
      <c r="AG818" s="8" t="str">
        <f>IF(TRIM($E818)&lt;&gt;"Tax Paid","",IF(COUNTIFS(LISTS!$F$2:$F$26,$AE818,LISTS!$G$2:$G$26,$AF818)=0,"NOT ON LIST",""))</f>
        <v/>
      </c>
      <c r="AH818" s="8" t="str">
        <f t="shared" si="38"/>
        <v/>
      </c>
    </row>
    <row r="819" spans="31:34" x14ac:dyDescent="0.25">
      <c r="AE819" s="8" t="str">
        <f t="shared" si="36"/>
        <v/>
      </c>
      <c r="AF819" s="8" t="str">
        <f t="shared" si="37"/>
        <v/>
      </c>
      <c r="AG819" s="8" t="str">
        <f>IF(TRIM($E819)&lt;&gt;"Tax Paid","",IF(COUNTIFS(LISTS!$F$2:$F$26,$AE819,LISTS!$G$2:$G$26,$AF819)=0,"NOT ON LIST",""))</f>
        <v/>
      </c>
      <c r="AH819" s="8" t="str">
        <f t="shared" si="38"/>
        <v/>
      </c>
    </row>
    <row r="820" spans="31:34" x14ac:dyDescent="0.25">
      <c r="AE820" s="8" t="str">
        <f t="shared" si="36"/>
        <v/>
      </c>
      <c r="AF820" s="8" t="str">
        <f t="shared" si="37"/>
        <v/>
      </c>
      <c r="AG820" s="8" t="str">
        <f>IF(TRIM($E820)&lt;&gt;"Tax Paid","",IF(COUNTIFS(LISTS!$F$2:$F$26,$AE820,LISTS!$G$2:$G$26,$AF820)=0,"NOT ON LIST",""))</f>
        <v/>
      </c>
      <c r="AH820" s="8" t="str">
        <f t="shared" si="38"/>
        <v/>
      </c>
    </row>
    <row r="821" spans="31:34" x14ac:dyDescent="0.25">
      <c r="AE821" s="8" t="str">
        <f t="shared" si="36"/>
        <v/>
      </c>
      <c r="AF821" s="8" t="str">
        <f t="shared" si="37"/>
        <v/>
      </c>
      <c r="AG821" s="8" t="str">
        <f>IF(TRIM($E821)&lt;&gt;"Tax Paid","",IF(COUNTIFS(LISTS!$F$2:$F$26,$AE821,LISTS!$G$2:$G$26,$AF821)=0,"NOT ON LIST",""))</f>
        <v/>
      </c>
      <c r="AH821" s="8" t="str">
        <f t="shared" si="38"/>
        <v/>
      </c>
    </row>
    <row r="822" spans="31:34" x14ac:dyDescent="0.25">
      <c r="AE822" s="8" t="str">
        <f t="shared" si="36"/>
        <v/>
      </c>
      <c r="AF822" s="8" t="str">
        <f t="shared" si="37"/>
        <v/>
      </c>
      <c r="AG822" s="8" t="str">
        <f>IF(TRIM($E822)&lt;&gt;"Tax Paid","",IF(COUNTIFS(LISTS!$F$2:$F$26,$AE822,LISTS!$G$2:$G$26,$AF822)=0,"NOT ON LIST",""))</f>
        <v/>
      </c>
      <c r="AH822" s="8" t="str">
        <f t="shared" si="38"/>
        <v/>
      </c>
    </row>
    <row r="823" spans="31:34" x14ac:dyDescent="0.25">
      <c r="AE823" s="8" t="str">
        <f t="shared" si="36"/>
        <v/>
      </c>
      <c r="AF823" s="8" t="str">
        <f t="shared" si="37"/>
        <v/>
      </c>
      <c r="AG823" s="8" t="str">
        <f>IF(TRIM($E823)&lt;&gt;"Tax Paid","",IF(COUNTIFS(LISTS!$F$2:$F$26,$AE823,LISTS!$G$2:$G$26,$AF823)=0,"NOT ON LIST",""))</f>
        <v/>
      </c>
      <c r="AH823" s="8" t="str">
        <f t="shared" si="38"/>
        <v/>
      </c>
    </row>
    <row r="824" spans="31:34" x14ac:dyDescent="0.25">
      <c r="AE824" s="8" t="str">
        <f t="shared" si="36"/>
        <v/>
      </c>
      <c r="AF824" s="8" t="str">
        <f t="shared" si="37"/>
        <v/>
      </c>
      <c r="AG824" s="8" t="str">
        <f>IF(TRIM($E824)&lt;&gt;"Tax Paid","",IF(COUNTIFS(LISTS!$F$2:$F$26,$AE824,LISTS!$G$2:$G$26,$AF824)=0,"NOT ON LIST",""))</f>
        <v/>
      </c>
      <c r="AH824" s="8" t="str">
        <f t="shared" si="38"/>
        <v/>
      </c>
    </row>
    <row r="825" spans="31:34" x14ac:dyDescent="0.25">
      <c r="AE825" s="8" t="str">
        <f t="shared" si="36"/>
        <v/>
      </c>
      <c r="AF825" s="8" t="str">
        <f t="shared" si="37"/>
        <v/>
      </c>
      <c r="AG825" s="8" t="str">
        <f>IF(TRIM($E825)&lt;&gt;"Tax Paid","",IF(COUNTIFS(LISTS!$F$2:$F$26,$AE825,LISTS!$G$2:$G$26,$AF825)=0,"NOT ON LIST",""))</f>
        <v/>
      </c>
      <c r="AH825" s="8" t="str">
        <f t="shared" si="38"/>
        <v/>
      </c>
    </row>
    <row r="826" spans="31:34" x14ac:dyDescent="0.25">
      <c r="AE826" s="8" t="str">
        <f t="shared" si="36"/>
        <v/>
      </c>
      <c r="AF826" s="8" t="str">
        <f t="shared" si="37"/>
        <v/>
      </c>
      <c r="AG826" s="8" t="str">
        <f>IF(TRIM($E826)&lt;&gt;"Tax Paid","",IF(COUNTIFS(LISTS!$F$2:$F$26,$AE826,LISTS!$G$2:$G$26,$AF826)=0,"NOT ON LIST",""))</f>
        <v/>
      </c>
      <c r="AH826" s="8" t="str">
        <f t="shared" si="38"/>
        <v/>
      </c>
    </row>
    <row r="827" spans="31:34" x14ac:dyDescent="0.25">
      <c r="AE827" s="8" t="str">
        <f t="shared" si="36"/>
        <v/>
      </c>
      <c r="AF827" s="8" t="str">
        <f t="shared" si="37"/>
        <v/>
      </c>
      <c r="AG827" s="8" t="str">
        <f>IF(TRIM($E827)&lt;&gt;"Tax Paid","",IF(COUNTIFS(LISTS!$F$2:$F$26,$AE827,LISTS!$G$2:$G$26,$AF827)=0,"NOT ON LIST",""))</f>
        <v/>
      </c>
      <c r="AH827" s="8" t="str">
        <f t="shared" si="38"/>
        <v/>
      </c>
    </row>
    <row r="828" spans="31:34" x14ac:dyDescent="0.25">
      <c r="AE828" s="8" t="str">
        <f t="shared" si="36"/>
        <v/>
      </c>
      <c r="AF828" s="8" t="str">
        <f t="shared" si="37"/>
        <v/>
      </c>
      <c r="AG828" s="8" t="str">
        <f>IF(TRIM($E828)&lt;&gt;"Tax Paid","",IF(COUNTIFS(LISTS!$F$2:$F$26,$AE828,LISTS!$G$2:$G$26,$AF828)=0,"NOT ON LIST",""))</f>
        <v/>
      </c>
      <c r="AH828" s="8" t="str">
        <f t="shared" si="38"/>
        <v/>
      </c>
    </row>
    <row r="829" spans="31:34" x14ac:dyDescent="0.25">
      <c r="AE829" s="8" t="str">
        <f t="shared" si="36"/>
        <v/>
      </c>
      <c r="AF829" s="8" t="str">
        <f t="shared" si="37"/>
        <v/>
      </c>
      <c r="AG829" s="8" t="str">
        <f>IF(TRIM($E829)&lt;&gt;"Tax Paid","",IF(COUNTIFS(LISTS!$F$2:$F$26,$AE829,LISTS!$G$2:$G$26,$AF829)=0,"NOT ON LIST",""))</f>
        <v/>
      </c>
      <c r="AH829" s="8" t="str">
        <f t="shared" si="38"/>
        <v/>
      </c>
    </row>
    <row r="830" spans="31:34" x14ac:dyDescent="0.25">
      <c r="AE830" s="8" t="str">
        <f t="shared" si="36"/>
        <v/>
      </c>
      <c r="AF830" s="8" t="str">
        <f t="shared" si="37"/>
        <v/>
      </c>
      <c r="AG830" s="8" t="str">
        <f>IF(TRIM($E830)&lt;&gt;"Tax Paid","",IF(COUNTIFS(LISTS!$F$2:$F$26,$AE830,LISTS!$G$2:$G$26,$AF830)=0,"NOT ON LIST",""))</f>
        <v/>
      </c>
      <c r="AH830" s="8" t="str">
        <f t="shared" si="38"/>
        <v/>
      </c>
    </row>
    <row r="831" spans="31:34" x14ac:dyDescent="0.25">
      <c r="AE831" s="8" t="str">
        <f t="shared" si="36"/>
        <v/>
      </c>
      <c r="AF831" s="8" t="str">
        <f t="shared" si="37"/>
        <v/>
      </c>
      <c r="AG831" s="8" t="str">
        <f>IF(TRIM($E831)&lt;&gt;"Tax Paid","",IF(COUNTIFS(LISTS!$F$2:$F$26,$AE831,LISTS!$G$2:$G$26,$AF831)=0,"NOT ON LIST",""))</f>
        <v/>
      </c>
      <c r="AH831" s="8" t="str">
        <f t="shared" si="38"/>
        <v/>
      </c>
    </row>
    <row r="832" spans="31:34" x14ac:dyDescent="0.25">
      <c r="AE832" s="8" t="str">
        <f t="shared" si="36"/>
        <v/>
      </c>
      <c r="AF832" s="8" t="str">
        <f t="shared" si="37"/>
        <v/>
      </c>
      <c r="AG832" s="8" t="str">
        <f>IF(TRIM($E832)&lt;&gt;"Tax Paid","",IF(COUNTIFS(LISTS!$F$2:$F$26,$AE832,LISTS!$G$2:$G$26,$AF832)=0,"NOT ON LIST",""))</f>
        <v/>
      </c>
      <c r="AH832" s="8" t="str">
        <f t="shared" si="38"/>
        <v/>
      </c>
    </row>
    <row r="833" spans="31:34" x14ac:dyDescent="0.25">
      <c r="AE833" s="8" t="str">
        <f t="shared" si="36"/>
        <v/>
      </c>
      <c r="AF833" s="8" t="str">
        <f t="shared" si="37"/>
        <v/>
      </c>
      <c r="AG833" s="8" t="str">
        <f>IF(TRIM($E833)&lt;&gt;"Tax Paid","",IF(COUNTIFS(LISTS!$F$2:$F$26,$AE833,LISTS!$G$2:$G$26,$AF833)=0,"NOT ON LIST",""))</f>
        <v/>
      </c>
      <c r="AH833" s="8" t="str">
        <f t="shared" si="38"/>
        <v/>
      </c>
    </row>
    <row r="834" spans="31:34" x14ac:dyDescent="0.25">
      <c r="AE834" s="8" t="str">
        <f t="shared" ref="AE834:AE897" si="39">IF(TRIM($E834)="Tax Paid",TRIM($S834),"")</f>
        <v/>
      </c>
      <c r="AF834" s="8" t="str">
        <f t="shared" ref="AF834:AF897" si="40">IF(TRIM($E834)="Tax Paid",ROUND($Z834/100,5),"")</f>
        <v/>
      </c>
      <c r="AG834" s="8" t="str">
        <f>IF(TRIM($E834)&lt;&gt;"Tax Paid","",IF(COUNTIFS(LISTS!$F$2:$F$26,$AE834,LISTS!$G$2:$G$26,$AF834)=0,"NOT ON LIST",""))</f>
        <v/>
      </c>
      <c r="AH834" s="8" t="str">
        <f t="shared" ref="AH834:AH897" si="41">IF($AG834="","",IF($AE834="","(no county)",$AE834)&amp;" ("&amp;SUBSTITUTE(TEXT($AF834,"0.###%"),".%","%")&amp;")")</f>
        <v/>
      </c>
    </row>
    <row r="835" spans="31:34" x14ac:dyDescent="0.25">
      <c r="AE835" s="8" t="str">
        <f t="shared" si="39"/>
        <v/>
      </c>
      <c r="AF835" s="8" t="str">
        <f t="shared" si="40"/>
        <v/>
      </c>
      <c r="AG835" s="8" t="str">
        <f>IF(TRIM($E835)&lt;&gt;"Tax Paid","",IF(COUNTIFS(LISTS!$F$2:$F$26,$AE835,LISTS!$G$2:$G$26,$AF835)=0,"NOT ON LIST",""))</f>
        <v/>
      </c>
      <c r="AH835" s="8" t="str">
        <f t="shared" si="41"/>
        <v/>
      </c>
    </row>
    <row r="836" spans="31:34" x14ac:dyDescent="0.25">
      <c r="AE836" s="8" t="str">
        <f t="shared" si="39"/>
        <v/>
      </c>
      <c r="AF836" s="8" t="str">
        <f t="shared" si="40"/>
        <v/>
      </c>
      <c r="AG836" s="8" t="str">
        <f>IF(TRIM($E836)&lt;&gt;"Tax Paid","",IF(COUNTIFS(LISTS!$F$2:$F$26,$AE836,LISTS!$G$2:$G$26,$AF836)=0,"NOT ON LIST",""))</f>
        <v/>
      </c>
      <c r="AH836" s="8" t="str">
        <f t="shared" si="41"/>
        <v/>
      </c>
    </row>
    <row r="837" spans="31:34" x14ac:dyDescent="0.25">
      <c r="AE837" s="8" t="str">
        <f t="shared" si="39"/>
        <v/>
      </c>
      <c r="AF837" s="8" t="str">
        <f t="shared" si="40"/>
        <v/>
      </c>
      <c r="AG837" s="8" t="str">
        <f>IF(TRIM($E837)&lt;&gt;"Tax Paid","",IF(COUNTIFS(LISTS!$F$2:$F$26,$AE837,LISTS!$G$2:$G$26,$AF837)=0,"NOT ON LIST",""))</f>
        <v/>
      </c>
      <c r="AH837" s="8" t="str">
        <f t="shared" si="41"/>
        <v/>
      </c>
    </row>
    <row r="838" spans="31:34" x14ac:dyDescent="0.25">
      <c r="AE838" s="8" t="str">
        <f t="shared" si="39"/>
        <v/>
      </c>
      <c r="AF838" s="8" t="str">
        <f t="shared" si="40"/>
        <v/>
      </c>
      <c r="AG838" s="8" t="str">
        <f>IF(TRIM($E838)&lt;&gt;"Tax Paid","",IF(COUNTIFS(LISTS!$F$2:$F$26,$AE838,LISTS!$G$2:$G$26,$AF838)=0,"NOT ON LIST",""))</f>
        <v/>
      </c>
      <c r="AH838" s="8" t="str">
        <f t="shared" si="41"/>
        <v/>
      </c>
    </row>
    <row r="839" spans="31:34" x14ac:dyDescent="0.25">
      <c r="AE839" s="8" t="str">
        <f t="shared" si="39"/>
        <v/>
      </c>
      <c r="AF839" s="8" t="str">
        <f t="shared" si="40"/>
        <v/>
      </c>
      <c r="AG839" s="8" t="str">
        <f>IF(TRIM($E839)&lt;&gt;"Tax Paid","",IF(COUNTIFS(LISTS!$F$2:$F$26,$AE839,LISTS!$G$2:$G$26,$AF839)=0,"NOT ON LIST",""))</f>
        <v/>
      </c>
      <c r="AH839" s="8" t="str">
        <f t="shared" si="41"/>
        <v/>
      </c>
    </row>
    <row r="840" spans="31:34" x14ac:dyDescent="0.25">
      <c r="AE840" s="8" t="str">
        <f t="shared" si="39"/>
        <v/>
      </c>
      <c r="AF840" s="8" t="str">
        <f t="shared" si="40"/>
        <v/>
      </c>
      <c r="AG840" s="8" t="str">
        <f>IF(TRIM($E840)&lt;&gt;"Tax Paid","",IF(COUNTIFS(LISTS!$F$2:$F$26,$AE840,LISTS!$G$2:$G$26,$AF840)=0,"NOT ON LIST",""))</f>
        <v/>
      </c>
      <c r="AH840" s="8" t="str">
        <f t="shared" si="41"/>
        <v/>
      </c>
    </row>
    <row r="841" spans="31:34" x14ac:dyDescent="0.25">
      <c r="AE841" s="8" t="str">
        <f t="shared" si="39"/>
        <v/>
      </c>
      <c r="AF841" s="8" t="str">
        <f t="shared" si="40"/>
        <v/>
      </c>
      <c r="AG841" s="8" t="str">
        <f>IF(TRIM($E841)&lt;&gt;"Tax Paid","",IF(COUNTIFS(LISTS!$F$2:$F$26,$AE841,LISTS!$G$2:$G$26,$AF841)=0,"NOT ON LIST",""))</f>
        <v/>
      </c>
      <c r="AH841" s="8" t="str">
        <f t="shared" si="41"/>
        <v/>
      </c>
    </row>
    <row r="842" spans="31:34" x14ac:dyDescent="0.25">
      <c r="AE842" s="8" t="str">
        <f t="shared" si="39"/>
        <v/>
      </c>
      <c r="AF842" s="8" t="str">
        <f t="shared" si="40"/>
        <v/>
      </c>
      <c r="AG842" s="8" t="str">
        <f>IF(TRIM($E842)&lt;&gt;"Tax Paid","",IF(COUNTIFS(LISTS!$F$2:$F$26,$AE842,LISTS!$G$2:$G$26,$AF842)=0,"NOT ON LIST",""))</f>
        <v/>
      </c>
      <c r="AH842" s="8" t="str">
        <f t="shared" si="41"/>
        <v/>
      </c>
    </row>
    <row r="843" spans="31:34" x14ac:dyDescent="0.25">
      <c r="AE843" s="8" t="str">
        <f t="shared" si="39"/>
        <v/>
      </c>
      <c r="AF843" s="8" t="str">
        <f t="shared" si="40"/>
        <v/>
      </c>
      <c r="AG843" s="8" t="str">
        <f>IF(TRIM($E843)&lt;&gt;"Tax Paid","",IF(COUNTIFS(LISTS!$F$2:$F$26,$AE843,LISTS!$G$2:$G$26,$AF843)=0,"NOT ON LIST",""))</f>
        <v/>
      </c>
      <c r="AH843" s="8" t="str">
        <f t="shared" si="41"/>
        <v/>
      </c>
    </row>
    <row r="844" spans="31:34" x14ac:dyDescent="0.25">
      <c r="AE844" s="8" t="str">
        <f t="shared" si="39"/>
        <v/>
      </c>
      <c r="AF844" s="8" t="str">
        <f t="shared" si="40"/>
        <v/>
      </c>
      <c r="AG844" s="8" t="str">
        <f>IF(TRIM($E844)&lt;&gt;"Tax Paid","",IF(COUNTIFS(LISTS!$F$2:$F$26,$AE844,LISTS!$G$2:$G$26,$AF844)=0,"NOT ON LIST",""))</f>
        <v/>
      </c>
      <c r="AH844" s="8" t="str">
        <f t="shared" si="41"/>
        <v/>
      </c>
    </row>
    <row r="845" spans="31:34" x14ac:dyDescent="0.25">
      <c r="AE845" s="8" t="str">
        <f t="shared" si="39"/>
        <v/>
      </c>
      <c r="AF845" s="8" t="str">
        <f t="shared" si="40"/>
        <v/>
      </c>
      <c r="AG845" s="8" t="str">
        <f>IF(TRIM($E845)&lt;&gt;"Tax Paid","",IF(COUNTIFS(LISTS!$F$2:$F$26,$AE845,LISTS!$G$2:$G$26,$AF845)=0,"NOT ON LIST",""))</f>
        <v/>
      </c>
      <c r="AH845" s="8" t="str">
        <f t="shared" si="41"/>
        <v/>
      </c>
    </row>
    <row r="846" spans="31:34" x14ac:dyDescent="0.25">
      <c r="AE846" s="8" t="str">
        <f t="shared" si="39"/>
        <v/>
      </c>
      <c r="AF846" s="8" t="str">
        <f t="shared" si="40"/>
        <v/>
      </c>
      <c r="AG846" s="8" t="str">
        <f>IF(TRIM($E846)&lt;&gt;"Tax Paid","",IF(COUNTIFS(LISTS!$F$2:$F$26,$AE846,LISTS!$G$2:$G$26,$AF846)=0,"NOT ON LIST",""))</f>
        <v/>
      </c>
      <c r="AH846" s="8" t="str">
        <f t="shared" si="41"/>
        <v/>
      </c>
    </row>
    <row r="847" spans="31:34" x14ac:dyDescent="0.25">
      <c r="AE847" s="8" t="str">
        <f t="shared" si="39"/>
        <v/>
      </c>
      <c r="AF847" s="8" t="str">
        <f t="shared" si="40"/>
        <v/>
      </c>
      <c r="AG847" s="8" t="str">
        <f>IF(TRIM($E847)&lt;&gt;"Tax Paid","",IF(COUNTIFS(LISTS!$F$2:$F$26,$AE847,LISTS!$G$2:$G$26,$AF847)=0,"NOT ON LIST",""))</f>
        <v/>
      </c>
      <c r="AH847" s="8" t="str">
        <f t="shared" si="41"/>
        <v/>
      </c>
    </row>
    <row r="848" spans="31:34" x14ac:dyDescent="0.25">
      <c r="AE848" s="8" t="str">
        <f t="shared" si="39"/>
        <v/>
      </c>
      <c r="AF848" s="8" t="str">
        <f t="shared" si="40"/>
        <v/>
      </c>
      <c r="AG848" s="8" t="str">
        <f>IF(TRIM($E848)&lt;&gt;"Tax Paid","",IF(COUNTIFS(LISTS!$F$2:$F$26,$AE848,LISTS!$G$2:$G$26,$AF848)=0,"NOT ON LIST",""))</f>
        <v/>
      </c>
      <c r="AH848" s="8" t="str">
        <f t="shared" si="41"/>
        <v/>
      </c>
    </row>
    <row r="849" spans="31:34" x14ac:dyDescent="0.25">
      <c r="AE849" s="8" t="str">
        <f t="shared" si="39"/>
        <v/>
      </c>
      <c r="AF849" s="8" t="str">
        <f t="shared" si="40"/>
        <v/>
      </c>
      <c r="AG849" s="8" t="str">
        <f>IF(TRIM($E849)&lt;&gt;"Tax Paid","",IF(COUNTIFS(LISTS!$F$2:$F$26,$AE849,LISTS!$G$2:$G$26,$AF849)=0,"NOT ON LIST",""))</f>
        <v/>
      </c>
      <c r="AH849" s="8" t="str">
        <f t="shared" si="41"/>
        <v/>
      </c>
    </row>
    <row r="850" spans="31:34" x14ac:dyDescent="0.25">
      <c r="AE850" s="8" t="str">
        <f t="shared" si="39"/>
        <v/>
      </c>
      <c r="AF850" s="8" t="str">
        <f t="shared" si="40"/>
        <v/>
      </c>
      <c r="AG850" s="8" t="str">
        <f>IF(TRIM($E850)&lt;&gt;"Tax Paid","",IF(COUNTIFS(LISTS!$F$2:$F$26,$AE850,LISTS!$G$2:$G$26,$AF850)=0,"NOT ON LIST",""))</f>
        <v/>
      </c>
      <c r="AH850" s="8" t="str">
        <f t="shared" si="41"/>
        <v/>
      </c>
    </row>
    <row r="851" spans="31:34" x14ac:dyDescent="0.25">
      <c r="AE851" s="8" t="str">
        <f t="shared" si="39"/>
        <v/>
      </c>
      <c r="AF851" s="8" t="str">
        <f t="shared" si="40"/>
        <v/>
      </c>
      <c r="AG851" s="8" t="str">
        <f>IF(TRIM($E851)&lt;&gt;"Tax Paid","",IF(COUNTIFS(LISTS!$F$2:$F$26,$AE851,LISTS!$G$2:$G$26,$AF851)=0,"NOT ON LIST",""))</f>
        <v/>
      </c>
      <c r="AH851" s="8" t="str">
        <f t="shared" si="41"/>
        <v/>
      </c>
    </row>
    <row r="852" spans="31:34" x14ac:dyDescent="0.25">
      <c r="AE852" s="8" t="str">
        <f t="shared" si="39"/>
        <v/>
      </c>
      <c r="AF852" s="8" t="str">
        <f t="shared" si="40"/>
        <v/>
      </c>
      <c r="AG852" s="8" t="str">
        <f>IF(TRIM($E852)&lt;&gt;"Tax Paid","",IF(COUNTIFS(LISTS!$F$2:$F$26,$AE852,LISTS!$G$2:$G$26,$AF852)=0,"NOT ON LIST",""))</f>
        <v/>
      </c>
      <c r="AH852" s="8" t="str">
        <f t="shared" si="41"/>
        <v/>
      </c>
    </row>
    <row r="853" spans="31:34" x14ac:dyDescent="0.25">
      <c r="AE853" s="8" t="str">
        <f t="shared" si="39"/>
        <v/>
      </c>
      <c r="AF853" s="8" t="str">
        <f t="shared" si="40"/>
        <v/>
      </c>
      <c r="AG853" s="8" t="str">
        <f>IF(TRIM($E853)&lt;&gt;"Tax Paid","",IF(COUNTIFS(LISTS!$F$2:$F$26,$AE853,LISTS!$G$2:$G$26,$AF853)=0,"NOT ON LIST",""))</f>
        <v/>
      </c>
      <c r="AH853" s="8" t="str">
        <f t="shared" si="41"/>
        <v/>
      </c>
    </row>
    <row r="854" spans="31:34" x14ac:dyDescent="0.25">
      <c r="AE854" s="8" t="str">
        <f t="shared" si="39"/>
        <v/>
      </c>
      <c r="AF854" s="8" t="str">
        <f t="shared" si="40"/>
        <v/>
      </c>
      <c r="AG854" s="8" t="str">
        <f>IF(TRIM($E854)&lt;&gt;"Tax Paid","",IF(COUNTIFS(LISTS!$F$2:$F$26,$AE854,LISTS!$G$2:$G$26,$AF854)=0,"NOT ON LIST",""))</f>
        <v/>
      </c>
      <c r="AH854" s="8" t="str">
        <f t="shared" si="41"/>
        <v/>
      </c>
    </row>
    <row r="855" spans="31:34" x14ac:dyDescent="0.25">
      <c r="AE855" s="8" t="str">
        <f t="shared" si="39"/>
        <v/>
      </c>
      <c r="AF855" s="8" t="str">
        <f t="shared" si="40"/>
        <v/>
      </c>
      <c r="AG855" s="8" t="str">
        <f>IF(TRIM($E855)&lt;&gt;"Tax Paid","",IF(COUNTIFS(LISTS!$F$2:$F$26,$AE855,LISTS!$G$2:$G$26,$AF855)=0,"NOT ON LIST",""))</f>
        <v/>
      </c>
      <c r="AH855" s="8" t="str">
        <f t="shared" si="41"/>
        <v/>
      </c>
    </row>
    <row r="856" spans="31:34" x14ac:dyDescent="0.25">
      <c r="AE856" s="8" t="str">
        <f t="shared" si="39"/>
        <v/>
      </c>
      <c r="AF856" s="8" t="str">
        <f t="shared" si="40"/>
        <v/>
      </c>
      <c r="AG856" s="8" t="str">
        <f>IF(TRIM($E856)&lt;&gt;"Tax Paid","",IF(COUNTIFS(LISTS!$F$2:$F$26,$AE856,LISTS!$G$2:$G$26,$AF856)=0,"NOT ON LIST",""))</f>
        <v/>
      </c>
      <c r="AH856" s="8" t="str">
        <f t="shared" si="41"/>
        <v/>
      </c>
    </row>
    <row r="857" spans="31:34" x14ac:dyDescent="0.25">
      <c r="AE857" s="8" t="str">
        <f t="shared" si="39"/>
        <v/>
      </c>
      <c r="AF857" s="8" t="str">
        <f t="shared" si="40"/>
        <v/>
      </c>
      <c r="AG857" s="8" t="str">
        <f>IF(TRIM($E857)&lt;&gt;"Tax Paid","",IF(COUNTIFS(LISTS!$F$2:$F$26,$AE857,LISTS!$G$2:$G$26,$AF857)=0,"NOT ON LIST",""))</f>
        <v/>
      </c>
      <c r="AH857" s="8" t="str">
        <f t="shared" si="41"/>
        <v/>
      </c>
    </row>
    <row r="858" spans="31:34" x14ac:dyDescent="0.25">
      <c r="AE858" s="8" t="str">
        <f t="shared" si="39"/>
        <v/>
      </c>
      <c r="AF858" s="8" t="str">
        <f t="shared" si="40"/>
        <v/>
      </c>
      <c r="AG858" s="8" t="str">
        <f>IF(TRIM($E858)&lt;&gt;"Tax Paid","",IF(COUNTIFS(LISTS!$F$2:$F$26,$AE858,LISTS!$G$2:$G$26,$AF858)=0,"NOT ON LIST",""))</f>
        <v/>
      </c>
      <c r="AH858" s="8" t="str">
        <f t="shared" si="41"/>
        <v/>
      </c>
    </row>
    <row r="859" spans="31:34" x14ac:dyDescent="0.25">
      <c r="AE859" s="8" t="str">
        <f t="shared" si="39"/>
        <v/>
      </c>
      <c r="AF859" s="8" t="str">
        <f t="shared" si="40"/>
        <v/>
      </c>
      <c r="AG859" s="8" t="str">
        <f>IF(TRIM($E859)&lt;&gt;"Tax Paid","",IF(COUNTIFS(LISTS!$F$2:$F$26,$AE859,LISTS!$G$2:$G$26,$AF859)=0,"NOT ON LIST",""))</f>
        <v/>
      </c>
      <c r="AH859" s="8" t="str">
        <f t="shared" si="41"/>
        <v/>
      </c>
    </row>
    <row r="860" spans="31:34" x14ac:dyDescent="0.25">
      <c r="AE860" s="8" t="str">
        <f t="shared" si="39"/>
        <v/>
      </c>
      <c r="AF860" s="8" t="str">
        <f t="shared" si="40"/>
        <v/>
      </c>
      <c r="AG860" s="8" t="str">
        <f>IF(TRIM($E860)&lt;&gt;"Tax Paid","",IF(COUNTIFS(LISTS!$F$2:$F$26,$AE860,LISTS!$G$2:$G$26,$AF860)=0,"NOT ON LIST",""))</f>
        <v/>
      </c>
      <c r="AH860" s="8" t="str">
        <f t="shared" si="41"/>
        <v/>
      </c>
    </row>
    <row r="861" spans="31:34" x14ac:dyDescent="0.25">
      <c r="AE861" s="8" t="str">
        <f t="shared" si="39"/>
        <v/>
      </c>
      <c r="AF861" s="8" t="str">
        <f t="shared" si="40"/>
        <v/>
      </c>
      <c r="AG861" s="8" t="str">
        <f>IF(TRIM($E861)&lt;&gt;"Tax Paid","",IF(COUNTIFS(LISTS!$F$2:$F$26,$AE861,LISTS!$G$2:$G$26,$AF861)=0,"NOT ON LIST",""))</f>
        <v/>
      </c>
      <c r="AH861" s="8" t="str">
        <f t="shared" si="41"/>
        <v/>
      </c>
    </row>
    <row r="862" spans="31:34" x14ac:dyDescent="0.25">
      <c r="AE862" s="8" t="str">
        <f t="shared" si="39"/>
        <v/>
      </c>
      <c r="AF862" s="8" t="str">
        <f t="shared" si="40"/>
        <v/>
      </c>
      <c r="AG862" s="8" t="str">
        <f>IF(TRIM($E862)&lt;&gt;"Tax Paid","",IF(COUNTIFS(LISTS!$F$2:$F$26,$AE862,LISTS!$G$2:$G$26,$AF862)=0,"NOT ON LIST",""))</f>
        <v/>
      </c>
      <c r="AH862" s="8" t="str">
        <f t="shared" si="41"/>
        <v/>
      </c>
    </row>
    <row r="863" spans="31:34" x14ac:dyDescent="0.25">
      <c r="AE863" s="8" t="str">
        <f t="shared" si="39"/>
        <v/>
      </c>
      <c r="AF863" s="8" t="str">
        <f t="shared" si="40"/>
        <v/>
      </c>
      <c r="AG863" s="8" t="str">
        <f>IF(TRIM($E863)&lt;&gt;"Tax Paid","",IF(COUNTIFS(LISTS!$F$2:$F$26,$AE863,LISTS!$G$2:$G$26,$AF863)=0,"NOT ON LIST",""))</f>
        <v/>
      </c>
      <c r="AH863" s="8" t="str">
        <f t="shared" si="41"/>
        <v/>
      </c>
    </row>
    <row r="864" spans="31:34" x14ac:dyDescent="0.25">
      <c r="AE864" s="8" t="str">
        <f t="shared" si="39"/>
        <v/>
      </c>
      <c r="AF864" s="8" t="str">
        <f t="shared" si="40"/>
        <v/>
      </c>
      <c r="AG864" s="8" t="str">
        <f>IF(TRIM($E864)&lt;&gt;"Tax Paid","",IF(COUNTIFS(LISTS!$F$2:$F$26,$AE864,LISTS!$G$2:$G$26,$AF864)=0,"NOT ON LIST",""))</f>
        <v/>
      </c>
      <c r="AH864" s="8" t="str">
        <f t="shared" si="41"/>
        <v/>
      </c>
    </row>
    <row r="865" spans="31:34" x14ac:dyDescent="0.25">
      <c r="AE865" s="8" t="str">
        <f t="shared" si="39"/>
        <v/>
      </c>
      <c r="AF865" s="8" t="str">
        <f t="shared" si="40"/>
        <v/>
      </c>
      <c r="AG865" s="8" t="str">
        <f>IF(TRIM($E865)&lt;&gt;"Tax Paid","",IF(COUNTIFS(LISTS!$F$2:$F$26,$AE865,LISTS!$G$2:$G$26,$AF865)=0,"NOT ON LIST",""))</f>
        <v/>
      </c>
      <c r="AH865" s="8" t="str">
        <f t="shared" si="41"/>
        <v/>
      </c>
    </row>
    <row r="866" spans="31:34" x14ac:dyDescent="0.25">
      <c r="AE866" s="8" t="str">
        <f t="shared" si="39"/>
        <v/>
      </c>
      <c r="AF866" s="8" t="str">
        <f t="shared" si="40"/>
        <v/>
      </c>
      <c r="AG866" s="8" t="str">
        <f>IF(TRIM($E866)&lt;&gt;"Tax Paid","",IF(COUNTIFS(LISTS!$F$2:$F$26,$AE866,LISTS!$G$2:$G$26,$AF866)=0,"NOT ON LIST",""))</f>
        <v/>
      </c>
      <c r="AH866" s="8" t="str">
        <f t="shared" si="41"/>
        <v/>
      </c>
    </row>
    <row r="867" spans="31:34" x14ac:dyDescent="0.25">
      <c r="AE867" s="8" t="str">
        <f t="shared" si="39"/>
        <v/>
      </c>
      <c r="AF867" s="8" t="str">
        <f t="shared" si="40"/>
        <v/>
      </c>
      <c r="AG867" s="8" t="str">
        <f>IF(TRIM($E867)&lt;&gt;"Tax Paid","",IF(COUNTIFS(LISTS!$F$2:$F$26,$AE867,LISTS!$G$2:$G$26,$AF867)=0,"NOT ON LIST",""))</f>
        <v/>
      </c>
      <c r="AH867" s="8" t="str">
        <f t="shared" si="41"/>
        <v/>
      </c>
    </row>
    <row r="868" spans="31:34" x14ac:dyDescent="0.25">
      <c r="AE868" s="8" t="str">
        <f t="shared" si="39"/>
        <v/>
      </c>
      <c r="AF868" s="8" t="str">
        <f t="shared" si="40"/>
        <v/>
      </c>
      <c r="AG868" s="8" t="str">
        <f>IF(TRIM($E868)&lt;&gt;"Tax Paid","",IF(COUNTIFS(LISTS!$F$2:$F$26,$AE868,LISTS!$G$2:$G$26,$AF868)=0,"NOT ON LIST",""))</f>
        <v/>
      </c>
      <c r="AH868" s="8" t="str">
        <f t="shared" si="41"/>
        <v/>
      </c>
    </row>
    <row r="869" spans="31:34" x14ac:dyDescent="0.25">
      <c r="AE869" s="8" t="str">
        <f t="shared" si="39"/>
        <v/>
      </c>
      <c r="AF869" s="8" t="str">
        <f t="shared" si="40"/>
        <v/>
      </c>
      <c r="AG869" s="8" t="str">
        <f>IF(TRIM($E869)&lt;&gt;"Tax Paid","",IF(COUNTIFS(LISTS!$F$2:$F$26,$AE869,LISTS!$G$2:$G$26,$AF869)=0,"NOT ON LIST",""))</f>
        <v/>
      </c>
      <c r="AH869" s="8" t="str">
        <f t="shared" si="41"/>
        <v/>
      </c>
    </row>
    <row r="870" spans="31:34" x14ac:dyDescent="0.25">
      <c r="AE870" s="8" t="str">
        <f t="shared" si="39"/>
        <v/>
      </c>
      <c r="AF870" s="8" t="str">
        <f t="shared" si="40"/>
        <v/>
      </c>
      <c r="AG870" s="8" t="str">
        <f>IF(TRIM($E870)&lt;&gt;"Tax Paid","",IF(COUNTIFS(LISTS!$F$2:$F$26,$AE870,LISTS!$G$2:$G$26,$AF870)=0,"NOT ON LIST",""))</f>
        <v/>
      </c>
      <c r="AH870" s="8" t="str">
        <f t="shared" si="41"/>
        <v/>
      </c>
    </row>
    <row r="871" spans="31:34" x14ac:dyDescent="0.25">
      <c r="AE871" s="8" t="str">
        <f t="shared" si="39"/>
        <v/>
      </c>
      <c r="AF871" s="8" t="str">
        <f t="shared" si="40"/>
        <v/>
      </c>
      <c r="AG871" s="8" t="str">
        <f>IF(TRIM($E871)&lt;&gt;"Tax Paid","",IF(COUNTIFS(LISTS!$F$2:$F$26,$AE871,LISTS!$G$2:$G$26,$AF871)=0,"NOT ON LIST",""))</f>
        <v/>
      </c>
      <c r="AH871" s="8" t="str">
        <f t="shared" si="41"/>
        <v/>
      </c>
    </row>
    <row r="872" spans="31:34" x14ac:dyDescent="0.25">
      <c r="AE872" s="8" t="str">
        <f t="shared" si="39"/>
        <v/>
      </c>
      <c r="AF872" s="8" t="str">
        <f t="shared" si="40"/>
        <v/>
      </c>
      <c r="AG872" s="8" t="str">
        <f>IF(TRIM($E872)&lt;&gt;"Tax Paid","",IF(COUNTIFS(LISTS!$F$2:$F$26,$AE872,LISTS!$G$2:$G$26,$AF872)=0,"NOT ON LIST",""))</f>
        <v/>
      </c>
      <c r="AH872" s="8" t="str">
        <f t="shared" si="41"/>
        <v/>
      </c>
    </row>
    <row r="873" spans="31:34" x14ac:dyDescent="0.25">
      <c r="AE873" s="8" t="str">
        <f t="shared" si="39"/>
        <v/>
      </c>
      <c r="AF873" s="8" t="str">
        <f t="shared" si="40"/>
        <v/>
      </c>
      <c r="AG873" s="8" t="str">
        <f>IF(TRIM($E873)&lt;&gt;"Tax Paid","",IF(COUNTIFS(LISTS!$F$2:$F$26,$AE873,LISTS!$G$2:$G$26,$AF873)=0,"NOT ON LIST",""))</f>
        <v/>
      </c>
      <c r="AH873" s="8" t="str">
        <f t="shared" si="41"/>
        <v/>
      </c>
    </row>
    <row r="874" spans="31:34" x14ac:dyDescent="0.25">
      <c r="AE874" s="8" t="str">
        <f t="shared" si="39"/>
        <v/>
      </c>
      <c r="AF874" s="8" t="str">
        <f t="shared" si="40"/>
        <v/>
      </c>
      <c r="AG874" s="8" t="str">
        <f>IF(TRIM($E874)&lt;&gt;"Tax Paid","",IF(COUNTIFS(LISTS!$F$2:$F$26,$AE874,LISTS!$G$2:$G$26,$AF874)=0,"NOT ON LIST",""))</f>
        <v/>
      </c>
      <c r="AH874" s="8" t="str">
        <f t="shared" si="41"/>
        <v/>
      </c>
    </row>
    <row r="875" spans="31:34" x14ac:dyDescent="0.25">
      <c r="AE875" s="8" t="str">
        <f t="shared" si="39"/>
        <v/>
      </c>
      <c r="AF875" s="8" t="str">
        <f t="shared" si="40"/>
        <v/>
      </c>
      <c r="AG875" s="8" t="str">
        <f>IF(TRIM($E875)&lt;&gt;"Tax Paid","",IF(COUNTIFS(LISTS!$F$2:$F$26,$AE875,LISTS!$G$2:$G$26,$AF875)=0,"NOT ON LIST",""))</f>
        <v/>
      </c>
      <c r="AH875" s="8" t="str">
        <f t="shared" si="41"/>
        <v/>
      </c>
    </row>
    <row r="876" spans="31:34" x14ac:dyDescent="0.25">
      <c r="AE876" s="8" t="str">
        <f t="shared" si="39"/>
        <v/>
      </c>
      <c r="AF876" s="8" t="str">
        <f t="shared" si="40"/>
        <v/>
      </c>
      <c r="AG876" s="8" t="str">
        <f>IF(TRIM($E876)&lt;&gt;"Tax Paid","",IF(COUNTIFS(LISTS!$F$2:$F$26,$AE876,LISTS!$G$2:$G$26,$AF876)=0,"NOT ON LIST",""))</f>
        <v/>
      </c>
      <c r="AH876" s="8" t="str">
        <f t="shared" si="41"/>
        <v/>
      </c>
    </row>
    <row r="877" spans="31:34" x14ac:dyDescent="0.25">
      <c r="AE877" s="8" t="str">
        <f t="shared" si="39"/>
        <v/>
      </c>
      <c r="AF877" s="8" t="str">
        <f t="shared" si="40"/>
        <v/>
      </c>
      <c r="AG877" s="8" t="str">
        <f>IF(TRIM($E877)&lt;&gt;"Tax Paid","",IF(COUNTIFS(LISTS!$F$2:$F$26,$AE877,LISTS!$G$2:$G$26,$AF877)=0,"NOT ON LIST",""))</f>
        <v/>
      </c>
      <c r="AH877" s="8" t="str">
        <f t="shared" si="41"/>
        <v/>
      </c>
    </row>
    <row r="878" spans="31:34" x14ac:dyDescent="0.25">
      <c r="AE878" s="8" t="str">
        <f t="shared" si="39"/>
        <v/>
      </c>
      <c r="AF878" s="8" t="str">
        <f t="shared" si="40"/>
        <v/>
      </c>
      <c r="AG878" s="8" t="str">
        <f>IF(TRIM($E878)&lt;&gt;"Tax Paid","",IF(COUNTIFS(LISTS!$F$2:$F$26,$AE878,LISTS!$G$2:$G$26,$AF878)=0,"NOT ON LIST",""))</f>
        <v/>
      </c>
      <c r="AH878" s="8" t="str">
        <f t="shared" si="41"/>
        <v/>
      </c>
    </row>
    <row r="879" spans="31:34" x14ac:dyDescent="0.25">
      <c r="AE879" s="8" t="str">
        <f t="shared" si="39"/>
        <v/>
      </c>
      <c r="AF879" s="8" t="str">
        <f t="shared" si="40"/>
        <v/>
      </c>
      <c r="AG879" s="8" t="str">
        <f>IF(TRIM($E879)&lt;&gt;"Tax Paid","",IF(COUNTIFS(LISTS!$F$2:$F$26,$AE879,LISTS!$G$2:$G$26,$AF879)=0,"NOT ON LIST",""))</f>
        <v/>
      </c>
      <c r="AH879" s="8" t="str">
        <f t="shared" si="41"/>
        <v/>
      </c>
    </row>
    <row r="880" spans="31:34" x14ac:dyDescent="0.25">
      <c r="AE880" s="8" t="str">
        <f t="shared" si="39"/>
        <v/>
      </c>
      <c r="AF880" s="8" t="str">
        <f t="shared" si="40"/>
        <v/>
      </c>
      <c r="AG880" s="8" t="str">
        <f>IF(TRIM($E880)&lt;&gt;"Tax Paid","",IF(COUNTIFS(LISTS!$F$2:$F$26,$AE880,LISTS!$G$2:$G$26,$AF880)=0,"NOT ON LIST",""))</f>
        <v/>
      </c>
      <c r="AH880" s="8" t="str">
        <f t="shared" si="41"/>
        <v/>
      </c>
    </row>
    <row r="881" spans="31:34" x14ac:dyDescent="0.25">
      <c r="AE881" s="8" t="str">
        <f t="shared" si="39"/>
        <v/>
      </c>
      <c r="AF881" s="8" t="str">
        <f t="shared" si="40"/>
        <v/>
      </c>
      <c r="AG881" s="8" t="str">
        <f>IF(TRIM($E881)&lt;&gt;"Tax Paid","",IF(COUNTIFS(LISTS!$F$2:$F$26,$AE881,LISTS!$G$2:$G$26,$AF881)=0,"NOT ON LIST",""))</f>
        <v/>
      </c>
      <c r="AH881" s="8" t="str">
        <f t="shared" si="41"/>
        <v/>
      </c>
    </row>
    <row r="882" spans="31:34" x14ac:dyDescent="0.25">
      <c r="AE882" s="8" t="str">
        <f t="shared" si="39"/>
        <v/>
      </c>
      <c r="AF882" s="8" t="str">
        <f t="shared" si="40"/>
        <v/>
      </c>
      <c r="AG882" s="8" t="str">
        <f>IF(TRIM($E882)&lt;&gt;"Tax Paid","",IF(COUNTIFS(LISTS!$F$2:$F$26,$AE882,LISTS!$G$2:$G$26,$AF882)=0,"NOT ON LIST",""))</f>
        <v/>
      </c>
      <c r="AH882" s="8" t="str">
        <f t="shared" si="41"/>
        <v/>
      </c>
    </row>
    <row r="883" spans="31:34" x14ac:dyDescent="0.25">
      <c r="AE883" s="8" t="str">
        <f t="shared" si="39"/>
        <v/>
      </c>
      <c r="AF883" s="8" t="str">
        <f t="shared" si="40"/>
        <v/>
      </c>
      <c r="AG883" s="8" t="str">
        <f>IF(TRIM($E883)&lt;&gt;"Tax Paid","",IF(COUNTIFS(LISTS!$F$2:$F$26,$AE883,LISTS!$G$2:$G$26,$AF883)=0,"NOT ON LIST",""))</f>
        <v/>
      </c>
      <c r="AH883" s="8" t="str">
        <f t="shared" si="41"/>
        <v/>
      </c>
    </row>
    <row r="884" spans="31:34" x14ac:dyDescent="0.25">
      <c r="AE884" s="8" t="str">
        <f t="shared" si="39"/>
        <v/>
      </c>
      <c r="AF884" s="8" t="str">
        <f t="shared" si="40"/>
        <v/>
      </c>
      <c r="AG884" s="8" t="str">
        <f>IF(TRIM($E884)&lt;&gt;"Tax Paid","",IF(COUNTIFS(LISTS!$F$2:$F$26,$AE884,LISTS!$G$2:$G$26,$AF884)=0,"NOT ON LIST",""))</f>
        <v/>
      </c>
      <c r="AH884" s="8" t="str">
        <f t="shared" si="41"/>
        <v/>
      </c>
    </row>
    <row r="885" spans="31:34" x14ac:dyDescent="0.25">
      <c r="AE885" s="8" t="str">
        <f t="shared" si="39"/>
        <v/>
      </c>
      <c r="AF885" s="8" t="str">
        <f t="shared" si="40"/>
        <v/>
      </c>
      <c r="AG885" s="8" t="str">
        <f>IF(TRIM($E885)&lt;&gt;"Tax Paid","",IF(COUNTIFS(LISTS!$F$2:$F$26,$AE885,LISTS!$G$2:$G$26,$AF885)=0,"NOT ON LIST",""))</f>
        <v/>
      </c>
      <c r="AH885" s="8" t="str">
        <f t="shared" si="41"/>
        <v/>
      </c>
    </row>
    <row r="886" spans="31:34" x14ac:dyDescent="0.25">
      <c r="AE886" s="8" t="str">
        <f t="shared" si="39"/>
        <v/>
      </c>
      <c r="AF886" s="8" t="str">
        <f t="shared" si="40"/>
        <v/>
      </c>
      <c r="AG886" s="8" t="str">
        <f>IF(TRIM($E886)&lt;&gt;"Tax Paid","",IF(COUNTIFS(LISTS!$F$2:$F$26,$AE886,LISTS!$G$2:$G$26,$AF886)=0,"NOT ON LIST",""))</f>
        <v/>
      </c>
      <c r="AH886" s="8" t="str">
        <f t="shared" si="41"/>
        <v/>
      </c>
    </row>
    <row r="887" spans="31:34" x14ac:dyDescent="0.25">
      <c r="AE887" s="8" t="str">
        <f t="shared" si="39"/>
        <v/>
      </c>
      <c r="AF887" s="8" t="str">
        <f t="shared" si="40"/>
        <v/>
      </c>
      <c r="AG887" s="8" t="str">
        <f>IF(TRIM($E887)&lt;&gt;"Tax Paid","",IF(COUNTIFS(LISTS!$F$2:$F$26,$AE887,LISTS!$G$2:$G$26,$AF887)=0,"NOT ON LIST",""))</f>
        <v/>
      </c>
      <c r="AH887" s="8" t="str">
        <f t="shared" si="41"/>
        <v/>
      </c>
    </row>
    <row r="888" spans="31:34" x14ac:dyDescent="0.25">
      <c r="AE888" s="8" t="str">
        <f t="shared" si="39"/>
        <v/>
      </c>
      <c r="AF888" s="8" t="str">
        <f t="shared" si="40"/>
        <v/>
      </c>
      <c r="AG888" s="8" t="str">
        <f>IF(TRIM($E888)&lt;&gt;"Tax Paid","",IF(COUNTIFS(LISTS!$F$2:$F$26,$AE888,LISTS!$G$2:$G$26,$AF888)=0,"NOT ON LIST",""))</f>
        <v/>
      </c>
      <c r="AH888" s="8" t="str">
        <f t="shared" si="41"/>
        <v/>
      </c>
    </row>
    <row r="889" spans="31:34" x14ac:dyDescent="0.25">
      <c r="AE889" s="8" t="str">
        <f t="shared" si="39"/>
        <v/>
      </c>
      <c r="AF889" s="8" t="str">
        <f t="shared" si="40"/>
        <v/>
      </c>
      <c r="AG889" s="8" t="str">
        <f>IF(TRIM($E889)&lt;&gt;"Tax Paid","",IF(COUNTIFS(LISTS!$F$2:$F$26,$AE889,LISTS!$G$2:$G$26,$AF889)=0,"NOT ON LIST",""))</f>
        <v/>
      </c>
      <c r="AH889" s="8" t="str">
        <f t="shared" si="41"/>
        <v/>
      </c>
    </row>
    <row r="890" spans="31:34" x14ac:dyDescent="0.25">
      <c r="AE890" s="8" t="str">
        <f t="shared" si="39"/>
        <v/>
      </c>
      <c r="AF890" s="8" t="str">
        <f t="shared" si="40"/>
        <v/>
      </c>
      <c r="AG890" s="8" t="str">
        <f>IF(TRIM($E890)&lt;&gt;"Tax Paid","",IF(COUNTIFS(LISTS!$F$2:$F$26,$AE890,LISTS!$G$2:$G$26,$AF890)=0,"NOT ON LIST",""))</f>
        <v/>
      </c>
      <c r="AH890" s="8" t="str">
        <f t="shared" si="41"/>
        <v/>
      </c>
    </row>
    <row r="891" spans="31:34" x14ac:dyDescent="0.25">
      <c r="AE891" s="8" t="str">
        <f t="shared" si="39"/>
        <v/>
      </c>
      <c r="AF891" s="8" t="str">
        <f t="shared" si="40"/>
        <v/>
      </c>
      <c r="AG891" s="8" t="str">
        <f>IF(TRIM($E891)&lt;&gt;"Tax Paid","",IF(COUNTIFS(LISTS!$F$2:$F$26,$AE891,LISTS!$G$2:$G$26,$AF891)=0,"NOT ON LIST",""))</f>
        <v/>
      </c>
      <c r="AH891" s="8" t="str">
        <f t="shared" si="41"/>
        <v/>
      </c>
    </row>
    <row r="892" spans="31:34" x14ac:dyDescent="0.25">
      <c r="AE892" s="8" t="str">
        <f t="shared" si="39"/>
        <v/>
      </c>
      <c r="AF892" s="8" t="str">
        <f t="shared" si="40"/>
        <v/>
      </c>
      <c r="AG892" s="8" t="str">
        <f>IF(TRIM($E892)&lt;&gt;"Tax Paid","",IF(COUNTIFS(LISTS!$F$2:$F$26,$AE892,LISTS!$G$2:$G$26,$AF892)=0,"NOT ON LIST",""))</f>
        <v/>
      </c>
      <c r="AH892" s="8" t="str">
        <f t="shared" si="41"/>
        <v/>
      </c>
    </row>
    <row r="893" spans="31:34" x14ac:dyDescent="0.25">
      <c r="AE893" s="8" t="str">
        <f t="shared" si="39"/>
        <v/>
      </c>
      <c r="AF893" s="8" t="str">
        <f t="shared" si="40"/>
        <v/>
      </c>
      <c r="AG893" s="8" t="str">
        <f>IF(TRIM($E893)&lt;&gt;"Tax Paid","",IF(COUNTIFS(LISTS!$F$2:$F$26,$AE893,LISTS!$G$2:$G$26,$AF893)=0,"NOT ON LIST",""))</f>
        <v/>
      </c>
      <c r="AH893" s="8" t="str">
        <f t="shared" si="41"/>
        <v/>
      </c>
    </row>
    <row r="894" spans="31:34" x14ac:dyDescent="0.25">
      <c r="AE894" s="8" t="str">
        <f t="shared" si="39"/>
        <v/>
      </c>
      <c r="AF894" s="8" t="str">
        <f t="shared" si="40"/>
        <v/>
      </c>
      <c r="AG894" s="8" t="str">
        <f>IF(TRIM($E894)&lt;&gt;"Tax Paid","",IF(COUNTIFS(LISTS!$F$2:$F$26,$AE894,LISTS!$G$2:$G$26,$AF894)=0,"NOT ON LIST",""))</f>
        <v/>
      </c>
      <c r="AH894" s="8" t="str">
        <f t="shared" si="41"/>
        <v/>
      </c>
    </row>
    <row r="895" spans="31:34" x14ac:dyDescent="0.25">
      <c r="AE895" s="8" t="str">
        <f t="shared" si="39"/>
        <v/>
      </c>
      <c r="AF895" s="8" t="str">
        <f t="shared" si="40"/>
        <v/>
      </c>
      <c r="AG895" s="8" t="str">
        <f>IF(TRIM($E895)&lt;&gt;"Tax Paid","",IF(COUNTIFS(LISTS!$F$2:$F$26,$AE895,LISTS!$G$2:$G$26,$AF895)=0,"NOT ON LIST",""))</f>
        <v/>
      </c>
      <c r="AH895" s="8" t="str">
        <f t="shared" si="41"/>
        <v/>
      </c>
    </row>
    <row r="896" spans="31:34" x14ac:dyDescent="0.25">
      <c r="AE896" s="8" t="str">
        <f t="shared" si="39"/>
        <v/>
      </c>
      <c r="AF896" s="8" t="str">
        <f t="shared" si="40"/>
        <v/>
      </c>
      <c r="AG896" s="8" t="str">
        <f>IF(TRIM($E896)&lt;&gt;"Tax Paid","",IF(COUNTIFS(LISTS!$F$2:$F$26,$AE896,LISTS!$G$2:$G$26,$AF896)=0,"NOT ON LIST",""))</f>
        <v/>
      </c>
      <c r="AH896" s="8" t="str">
        <f t="shared" si="41"/>
        <v/>
      </c>
    </row>
    <row r="897" spans="31:34" x14ac:dyDescent="0.25">
      <c r="AE897" s="8" t="str">
        <f t="shared" si="39"/>
        <v/>
      </c>
      <c r="AF897" s="8" t="str">
        <f t="shared" si="40"/>
        <v/>
      </c>
      <c r="AG897" s="8" t="str">
        <f>IF(TRIM($E897)&lt;&gt;"Tax Paid","",IF(COUNTIFS(LISTS!$F$2:$F$26,$AE897,LISTS!$G$2:$G$26,$AF897)=0,"NOT ON LIST",""))</f>
        <v/>
      </c>
      <c r="AH897" s="8" t="str">
        <f t="shared" si="41"/>
        <v/>
      </c>
    </row>
    <row r="898" spans="31:34" x14ac:dyDescent="0.25">
      <c r="AE898" s="8" t="str">
        <f t="shared" ref="AE898:AE961" si="42">IF(TRIM($E898)="Tax Paid",TRIM($S898),"")</f>
        <v/>
      </c>
      <c r="AF898" s="8" t="str">
        <f t="shared" ref="AF898:AF961" si="43">IF(TRIM($E898)="Tax Paid",ROUND($Z898/100,5),"")</f>
        <v/>
      </c>
      <c r="AG898" s="8" t="str">
        <f>IF(TRIM($E898)&lt;&gt;"Tax Paid","",IF(COUNTIFS(LISTS!$F$2:$F$26,$AE898,LISTS!$G$2:$G$26,$AF898)=0,"NOT ON LIST",""))</f>
        <v/>
      </c>
      <c r="AH898" s="8" t="str">
        <f t="shared" ref="AH898:AH961" si="44">IF($AG898="","",IF($AE898="","(no county)",$AE898)&amp;" ("&amp;SUBSTITUTE(TEXT($AF898,"0.###%"),".%","%")&amp;")")</f>
        <v/>
      </c>
    </row>
    <row r="899" spans="31:34" x14ac:dyDescent="0.25">
      <c r="AE899" s="8" t="str">
        <f t="shared" si="42"/>
        <v/>
      </c>
      <c r="AF899" s="8" t="str">
        <f t="shared" si="43"/>
        <v/>
      </c>
      <c r="AG899" s="8" t="str">
        <f>IF(TRIM($E899)&lt;&gt;"Tax Paid","",IF(COUNTIFS(LISTS!$F$2:$F$26,$AE899,LISTS!$G$2:$G$26,$AF899)=0,"NOT ON LIST",""))</f>
        <v/>
      </c>
      <c r="AH899" s="8" t="str">
        <f t="shared" si="44"/>
        <v/>
      </c>
    </row>
    <row r="900" spans="31:34" x14ac:dyDescent="0.25">
      <c r="AE900" s="8" t="str">
        <f t="shared" si="42"/>
        <v/>
      </c>
      <c r="AF900" s="8" t="str">
        <f t="shared" si="43"/>
        <v/>
      </c>
      <c r="AG900" s="8" t="str">
        <f>IF(TRIM($E900)&lt;&gt;"Tax Paid","",IF(COUNTIFS(LISTS!$F$2:$F$26,$AE900,LISTS!$G$2:$G$26,$AF900)=0,"NOT ON LIST",""))</f>
        <v/>
      </c>
      <c r="AH900" s="8" t="str">
        <f t="shared" si="44"/>
        <v/>
      </c>
    </row>
    <row r="901" spans="31:34" x14ac:dyDescent="0.25">
      <c r="AE901" s="8" t="str">
        <f t="shared" si="42"/>
        <v/>
      </c>
      <c r="AF901" s="8" t="str">
        <f t="shared" si="43"/>
        <v/>
      </c>
      <c r="AG901" s="8" t="str">
        <f>IF(TRIM($E901)&lt;&gt;"Tax Paid","",IF(COUNTIFS(LISTS!$F$2:$F$26,$AE901,LISTS!$G$2:$G$26,$AF901)=0,"NOT ON LIST",""))</f>
        <v/>
      </c>
      <c r="AH901" s="8" t="str">
        <f t="shared" si="44"/>
        <v/>
      </c>
    </row>
    <row r="902" spans="31:34" x14ac:dyDescent="0.25">
      <c r="AE902" s="8" t="str">
        <f t="shared" si="42"/>
        <v/>
      </c>
      <c r="AF902" s="8" t="str">
        <f t="shared" si="43"/>
        <v/>
      </c>
      <c r="AG902" s="8" t="str">
        <f>IF(TRIM($E902)&lt;&gt;"Tax Paid","",IF(COUNTIFS(LISTS!$F$2:$F$26,$AE902,LISTS!$G$2:$G$26,$AF902)=0,"NOT ON LIST",""))</f>
        <v/>
      </c>
      <c r="AH902" s="8" t="str">
        <f t="shared" si="44"/>
        <v/>
      </c>
    </row>
    <row r="903" spans="31:34" x14ac:dyDescent="0.25">
      <c r="AE903" s="8" t="str">
        <f t="shared" si="42"/>
        <v/>
      </c>
      <c r="AF903" s="8" t="str">
        <f t="shared" si="43"/>
        <v/>
      </c>
      <c r="AG903" s="8" t="str">
        <f>IF(TRIM($E903)&lt;&gt;"Tax Paid","",IF(COUNTIFS(LISTS!$F$2:$F$26,$AE903,LISTS!$G$2:$G$26,$AF903)=0,"NOT ON LIST",""))</f>
        <v/>
      </c>
      <c r="AH903" s="8" t="str">
        <f t="shared" si="44"/>
        <v/>
      </c>
    </row>
    <row r="904" spans="31:34" x14ac:dyDescent="0.25">
      <c r="AE904" s="8" t="str">
        <f t="shared" si="42"/>
        <v/>
      </c>
      <c r="AF904" s="8" t="str">
        <f t="shared" si="43"/>
        <v/>
      </c>
      <c r="AG904" s="8" t="str">
        <f>IF(TRIM($E904)&lt;&gt;"Tax Paid","",IF(COUNTIFS(LISTS!$F$2:$F$26,$AE904,LISTS!$G$2:$G$26,$AF904)=0,"NOT ON LIST",""))</f>
        <v/>
      </c>
      <c r="AH904" s="8" t="str">
        <f t="shared" si="44"/>
        <v/>
      </c>
    </row>
    <row r="905" spans="31:34" x14ac:dyDescent="0.25">
      <c r="AE905" s="8" t="str">
        <f t="shared" si="42"/>
        <v/>
      </c>
      <c r="AF905" s="8" t="str">
        <f t="shared" si="43"/>
        <v/>
      </c>
      <c r="AG905" s="8" t="str">
        <f>IF(TRIM($E905)&lt;&gt;"Tax Paid","",IF(COUNTIFS(LISTS!$F$2:$F$26,$AE905,LISTS!$G$2:$G$26,$AF905)=0,"NOT ON LIST",""))</f>
        <v/>
      </c>
      <c r="AH905" s="8" t="str">
        <f t="shared" si="44"/>
        <v/>
      </c>
    </row>
    <row r="906" spans="31:34" x14ac:dyDescent="0.25">
      <c r="AE906" s="8" t="str">
        <f t="shared" si="42"/>
        <v/>
      </c>
      <c r="AF906" s="8" t="str">
        <f t="shared" si="43"/>
        <v/>
      </c>
      <c r="AG906" s="8" t="str">
        <f>IF(TRIM($E906)&lt;&gt;"Tax Paid","",IF(COUNTIFS(LISTS!$F$2:$F$26,$AE906,LISTS!$G$2:$G$26,$AF906)=0,"NOT ON LIST",""))</f>
        <v/>
      </c>
      <c r="AH906" s="8" t="str">
        <f t="shared" si="44"/>
        <v/>
      </c>
    </row>
    <row r="907" spans="31:34" x14ac:dyDescent="0.25">
      <c r="AE907" s="8" t="str">
        <f t="shared" si="42"/>
        <v/>
      </c>
      <c r="AF907" s="8" t="str">
        <f t="shared" si="43"/>
        <v/>
      </c>
      <c r="AG907" s="8" t="str">
        <f>IF(TRIM($E907)&lt;&gt;"Tax Paid","",IF(COUNTIFS(LISTS!$F$2:$F$26,$AE907,LISTS!$G$2:$G$26,$AF907)=0,"NOT ON LIST",""))</f>
        <v/>
      </c>
      <c r="AH907" s="8" t="str">
        <f t="shared" si="44"/>
        <v/>
      </c>
    </row>
    <row r="908" spans="31:34" x14ac:dyDescent="0.25">
      <c r="AE908" s="8" t="str">
        <f t="shared" si="42"/>
        <v/>
      </c>
      <c r="AF908" s="8" t="str">
        <f t="shared" si="43"/>
        <v/>
      </c>
      <c r="AG908" s="8" t="str">
        <f>IF(TRIM($E908)&lt;&gt;"Tax Paid","",IF(COUNTIFS(LISTS!$F$2:$F$26,$AE908,LISTS!$G$2:$G$26,$AF908)=0,"NOT ON LIST",""))</f>
        <v/>
      </c>
      <c r="AH908" s="8" t="str">
        <f t="shared" si="44"/>
        <v/>
      </c>
    </row>
    <row r="909" spans="31:34" x14ac:dyDescent="0.25">
      <c r="AE909" s="8" t="str">
        <f t="shared" si="42"/>
        <v/>
      </c>
      <c r="AF909" s="8" t="str">
        <f t="shared" si="43"/>
        <v/>
      </c>
      <c r="AG909" s="8" t="str">
        <f>IF(TRIM($E909)&lt;&gt;"Tax Paid","",IF(COUNTIFS(LISTS!$F$2:$F$26,$AE909,LISTS!$G$2:$G$26,$AF909)=0,"NOT ON LIST",""))</f>
        <v/>
      </c>
      <c r="AH909" s="8" t="str">
        <f t="shared" si="44"/>
        <v/>
      </c>
    </row>
    <row r="910" spans="31:34" x14ac:dyDescent="0.25">
      <c r="AE910" s="8" t="str">
        <f t="shared" si="42"/>
        <v/>
      </c>
      <c r="AF910" s="8" t="str">
        <f t="shared" si="43"/>
        <v/>
      </c>
      <c r="AG910" s="8" t="str">
        <f>IF(TRIM($E910)&lt;&gt;"Tax Paid","",IF(COUNTIFS(LISTS!$F$2:$F$26,$AE910,LISTS!$G$2:$G$26,$AF910)=0,"NOT ON LIST",""))</f>
        <v/>
      </c>
      <c r="AH910" s="8" t="str">
        <f t="shared" si="44"/>
        <v/>
      </c>
    </row>
    <row r="911" spans="31:34" x14ac:dyDescent="0.25">
      <c r="AE911" s="8" t="str">
        <f t="shared" si="42"/>
        <v/>
      </c>
      <c r="AF911" s="8" t="str">
        <f t="shared" si="43"/>
        <v/>
      </c>
      <c r="AG911" s="8" t="str">
        <f>IF(TRIM($E911)&lt;&gt;"Tax Paid","",IF(COUNTIFS(LISTS!$F$2:$F$26,$AE911,LISTS!$G$2:$G$26,$AF911)=0,"NOT ON LIST",""))</f>
        <v/>
      </c>
      <c r="AH911" s="8" t="str">
        <f t="shared" si="44"/>
        <v/>
      </c>
    </row>
    <row r="912" spans="31:34" x14ac:dyDescent="0.25">
      <c r="AE912" s="8" t="str">
        <f t="shared" si="42"/>
        <v/>
      </c>
      <c r="AF912" s="8" t="str">
        <f t="shared" si="43"/>
        <v/>
      </c>
      <c r="AG912" s="8" t="str">
        <f>IF(TRIM($E912)&lt;&gt;"Tax Paid","",IF(COUNTIFS(LISTS!$F$2:$F$26,$AE912,LISTS!$G$2:$G$26,$AF912)=0,"NOT ON LIST",""))</f>
        <v/>
      </c>
      <c r="AH912" s="8" t="str">
        <f t="shared" si="44"/>
        <v/>
      </c>
    </row>
    <row r="913" spans="31:34" x14ac:dyDescent="0.25">
      <c r="AE913" s="8" t="str">
        <f t="shared" si="42"/>
        <v/>
      </c>
      <c r="AF913" s="8" t="str">
        <f t="shared" si="43"/>
        <v/>
      </c>
      <c r="AG913" s="8" t="str">
        <f>IF(TRIM($E913)&lt;&gt;"Tax Paid","",IF(COUNTIFS(LISTS!$F$2:$F$26,$AE913,LISTS!$G$2:$G$26,$AF913)=0,"NOT ON LIST",""))</f>
        <v/>
      </c>
      <c r="AH913" s="8" t="str">
        <f t="shared" si="44"/>
        <v/>
      </c>
    </row>
    <row r="914" spans="31:34" x14ac:dyDescent="0.25">
      <c r="AE914" s="8" t="str">
        <f t="shared" si="42"/>
        <v/>
      </c>
      <c r="AF914" s="8" t="str">
        <f t="shared" si="43"/>
        <v/>
      </c>
      <c r="AG914" s="8" t="str">
        <f>IF(TRIM($E914)&lt;&gt;"Tax Paid","",IF(COUNTIFS(LISTS!$F$2:$F$26,$AE914,LISTS!$G$2:$G$26,$AF914)=0,"NOT ON LIST",""))</f>
        <v/>
      </c>
      <c r="AH914" s="8" t="str">
        <f t="shared" si="44"/>
        <v/>
      </c>
    </row>
    <row r="915" spans="31:34" x14ac:dyDescent="0.25">
      <c r="AE915" s="8" t="str">
        <f t="shared" si="42"/>
        <v/>
      </c>
      <c r="AF915" s="8" t="str">
        <f t="shared" si="43"/>
        <v/>
      </c>
      <c r="AG915" s="8" t="str">
        <f>IF(TRIM($E915)&lt;&gt;"Tax Paid","",IF(COUNTIFS(LISTS!$F$2:$F$26,$AE915,LISTS!$G$2:$G$26,$AF915)=0,"NOT ON LIST",""))</f>
        <v/>
      </c>
      <c r="AH915" s="8" t="str">
        <f t="shared" si="44"/>
        <v/>
      </c>
    </row>
    <row r="916" spans="31:34" x14ac:dyDescent="0.25">
      <c r="AE916" s="8" t="str">
        <f t="shared" si="42"/>
        <v/>
      </c>
      <c r="AF916" s="8" t="str">
        <f t="shared" si="43"/>
        <v/>
      </c>
      <c r="AG916" s="8" t="str">
        <f>IF(TRIM($E916)&lt;&gt;"Tax Paid","",IF(COUNTIFS(LISTS!$F$2:$F$26,$AE916,LISTS!$G$2:$G$26,$AF916)=0,"NOT ON LIST",""))</f>
        <v/>
      </c>
      <c r="AH916" s="8" t="str">
        <f t="shared" si="44"/>
        <v/>
      </c>
    </row>
    <row r="917" spans="31:34" x14ac:dyDescent="0.25">
      <c r="AE917" s="8" t="str">
        <f t="shared" si="42"/>
        <v/>
      </c>
      <c r="AF917" s="8" t="str">
        <f t="shared" si="43"/>
        <v/>
      </c>
      <c r="AG917" s="8" t="str">
        <f>IF(TRIM($E917)&lt;&gt;"Tax Paid","",IF(COUNTIFS(LISTS!$F$2:$F$26,$AE917,LISTS!$G$2:$G$26,$AF917)=0,"NOT ON LIST",""))</f>
        <v/>
      </c>
      <c r="AH917" s="8" t="str">
        <f t="shared" si="44"/>
        <v/>
      </c>
    </row>
    <row r="918" spans="31:34" x14ac:dyDescent="0.25">
      <c r="AE918" s="8" t="str">
        <f t="shared" si="42"/>
        <v/>
      </c>
      <c r="AF918" s="8" t="str">
        <f t="shared" si="43"/>
        <v/>
      </c>
      <c r="AG918" s="8" t="str">
        <f>IF(TRIM($E918)&lt;&gt;"Tax Paid","",IF(COUNTIFS(LISTS!$F$2:$F$26,$AE918,LISTS!$G$2:$G$26,$AF918)=0,"NOT ON LIST",""))</f>
        <v/>
      </c>
      <c r="AH918" s="8" t="str">
        <f t="shared" si="44"/>
        <v/>
      </c>
    </row>
    <row r="919" spans="31:34" x14ac:dyDescent="0.25">
      <c r="AE919" s="8" t="str">
        <f t="shared" si="42"/>
        <v/>
      </c>
      <c r="AF919" s="8" t="str">
        <f t="shared" si="43"/>
        <v/>
      </c>
      <c r="AG919" s="8" t="str">
        <f>IF(TRIM($E919)&lt;&gt;"Tax Paid","",IF(COUNTIFS(LISTS!$F$2:$F$26,$AE919,LISTS!$G$2:$G$26,$AF919)=0,"NOT ON LIST",""))</f>
        <v/>
      </c>
      <c r="AH919" s="8" t="str">
        <f t="shared" si="44"/>
        <v/>
      </c>
    </row>
    <row r="920" spans="31:34" x14ac:dyDescent="0.25">
      <c r="AE920" s="8" t="str">
        <f t="shared" si="42"/>
        <v/>
      </c>
      <c r="AF920" s="8" t="str">
        <f t="shared" si="43"/>
        <v/>
      </c>
      <c r="AG920" s="8" t="str">
        <f>IF(TRIM($E920)&lt;&gt;"Tax Paid","",IF(COUNTIFS(LISTS!$F$2:$F$26,$AE920,LISTS!$G$2:$G$26,$AF920)=0,"NOT ON LIST",""))</f>
        <v/>
      </c>
      <c r="AH920" s="8" t="str">
        <f t="shared" si="44"/>
        <v/>
      </c>
    </row>
    <row r="921" spans="31:34" x14ac:dyDescent="0.25">
      <c r="AE921" s="8" t="str">
        <f t="shared" si="42"/>
        <v/>
      </c>
      <c r="AF921" s="8" t="str">
        <f t="shared" si="43"/>
        <v/>
      </c>
      <c r="AG921" s="8" t="str">
        <f>IF(TRIM($E921)&lt;&gt;"Tax Paid","",IF(COUNTIFS(LISTS!$F$2:$F$26,$AE921,LISTS!$G$2:$G$26,$AF921)=0,"NOT ON LIST",""))</f>
        <v/>
      </c>
      <c r="AH921" s="8" t="str">
        <f t="shared" si="44"/>
        <v/>
      </c>
    </row>
    <row r="922" spans="31:34" x14ac:dyDescent="0.25">
      <c r="AE922" s="8" t="str">
        <f t="shared" si="42"/>
        <v/>
      </c>
      <c r="AF922" s="8" t="str">
        <f t="shared" si="43"/>
        <v/>
      </c>
      <c r="AG922" s="8" t="str">
        <f>IF(TRIM($E922)&lt;&gt;"Tax Paid","",IF(COUNTIFS(LISTS!$F$2:$F$26,$AE922,LISTS!$G$2:$G$26,$AF922)=0,"NOT ON LIST",""))</f>
        <v/>
      </c>
      <c r="AH922" s="8" t="str">
        <f t="shared" si="44"/>
        <v/>
      </c>
    </row>
    <row r="923" spans="31:34" x14ac:dyDescent="0.25">
      <c r="AE923" s="8" t="str">
        <f t="shared" si="42"/>
        <v/>
      </c>
      <c r="AF923" s="8" t="str">
        <f t="shared" si="43"/>
        <v/>
      </c>
      <c r="AG923" s="8" t="str">
        <f>IF(TRIM($E923)&lt;&gt;"Tax Paid","",IF(COUNTIFS(LISTS!$F$2:$F$26,$AE923,LISTS!$G$2:$G$26,$AF923)=0,"NOT ON LIST",""))</f>
        <v/>
      </c>
      <c r="AH923" s="8" t="str">
        <f t="shared" si="44"/>
        <v/>
      </c>
    </row>
    <row r="924" spans="31:34" x14ac:dyDescent="0.25">
      <c r="AE924" s="8" t="str">
        <f t="shared" si="42"/>
        <v/>
      </c>
      <c r="AF924" s="8" t="str">
        <f t="shared" si="43"/>
        <v/>
      </c>
      <c r="AG924" s="8" t="str">
        <f>IF(TRIM($E924)&lt;&gt;"Tax Paid","",IF(COUNTIFS(LISTS!$F$2:$F$26,$AE924,LISTS!$G$2:$G$26,$AF924)=0,"NOT ON LIST",""))</f>
        <v/>
      </c>
      <c r="AH924" s="8" t="str">
        <f t="shared" si="44"/>
        <v/>
      </c>
    </row>
    <row r="925" spans="31:34" x14ac:dyDescent="0.25">
      <c r="AE925" s="8" t="str">
        <f t="shared" si="42"/>
        <v/>
      </c>
      <c r="AF925" s="8" t="str">
        <f t="shared" si="43"/>
        <v/>
      </c>
      <c r="AG925" s="8" t="str">
        <f>IF(TRIM($E925)&lt;&gt;"Tax Paid","",IF(COUNTIFS(LISTS!$F$2:$F$26,$AE925,LISTS!$G$2:$G$26,$AF925)=0,"NOT ON LIST",""))</f>
        <v/>
      </c>
      <c r="AH925" s="8" t="str">
        <f t="shared" si="44"/>
        <v/>
      </c>
    </row>
    <row r="926" spans="31:34" x14ac:dyDescent="0.25">
      <c r="AE926" s="8" t="str">
        <f t="shared" si="42"/>
        <v/>
      </c>
      <c r="AF926" s="8" t="str">
        <f t="shared" si="43"/>
        <v/>
      </c>
      <c r="AG926" s="8" t="str">
        <f>IF(TRIM($E926)&lt;&gt;"Tax Paid","",IF(COUNTIFS(LISTS!$F$2:$F$26,$AE926,LISTS!$G$2:$G$26,$AF926)=0,"NOT ON LIST",""))</f>
        <v/>
      </c>
      <c r="AH926" s="8" t="str">
        <f t="shared" si="44"/>
        <v/>
      </c>
    </row>
    <row r="927" spans="31:34" x14ac:dyDescent="0.25">
      <c r="AE927" s="8" t="str">
        <f t="shared" si="42"/>
        <v/>
      </c>
      <c r="AF927" s="8" t="str">
        <f t="shared" si="43"/>
        <v/>
      </c>
      <c r="AG927" s="8" t="str">
        <f>IF(TRIM($E927)&lt;&gt;"Tax Paid","",IF(COUNTIFS(LISTS!$F$2:$F$26,$AE927,LISTS!$G$2:$G$26,$AF927)=0,"NOT ON LIST",""))</f>
        <v/>
      </c>
      <c r="AH927" s="8" t="str">
        <f t="shared" si="44"/>
        <v/>
      </c>
    </row>
    <row r="928" spans="31:34" x14ac:dyDescent="0.25">
      <c r="AE928" s="8" t="str">
        <f t="shared" si="42"/>
        <v/>
      </c>
      <c r="AF928" s="8" t="str">
        <f t="shared" si="43"/>
        <v/>
      </c>
      <c r="AG928" s="8" t="str">
        <f>IF(TRIM($E928)&lt;&gt;"Tax Paid","",IF(COUNTIFS(LISTS!$F$2:$F$26,$AE928,LISTS!$G$2:$G$26,$AF928)=0,"NOT ON LIST",""))</f>
        <v/>
      </c>
      <c r="AH928" s="8" t="str">
        <f t="shared" si="44"/>
        <v/>
      </c>
    </row>
    <row r="929" spans="31:34" x14ac:dyDescent="0.25">
      <c r="AE929" s="8" t="str">
        <f t="shared" si="42"/>
        <v/>
      </c>
      <c r="AF929" s="8" t="str">
        <f t="shared" si="43"/>
        <v/>
      </c>
      <c r="AG929" s="8" t="str">
        <f>IF(TRIM($E929)&lt;&gt;"Tax Paid","",IF(COUNTIFS(LISTS!$F$2:$F$26,$AE929,LISTS!$G$2:$G$26,$AF929)=0,"NOT ON LIST",""))</f>
        <v/>
      </c>
      <c r="AH929" s="8" t="str">
        <f t="shared" si="44"/>
        <v/>
      </c>
    </row>
    <row r="930" spans="31:34" x14ac:dyDescent="0.25">
      <c r="AE930" s="8" t="str">
        <f t="shared" si="42"/>
        <v/>
      </c>
      <c r="AF930" s="8" t="str">
        <f t="shared" si="43"/>
        <v/>
      </c>
      <c r="AG930" s="8" t="str">
        <f>IF(TRIM($E930)&lt;&gt;"Tax Paid","",IF(COUNTIFS(LISTS!$F$2:$F$26,$AE930,LISTS!$G$2:$G$26,$AF930)=0,"NOT ON LIST",""))</f>
        <v/>
      </c>
      <c r="AH930" s="8" t="str">
        <f t="shared" si="44"/>
        <v/>
      </c>
    </row>
    <row r="931" spans="31:34" x14ac:dyDescent="0.25">
      <c r="AE931" s="8" t="str">
        <f t="shared" si="42"/>
        <v/>
      </c>
      <c r="AF931" s="8" t="str">
        <f t="shared" si="43"/>
        <v/>
      </c>
      <c r="AG931" s="8" t="str">
        <f>IF(TRIM($E931)&lt;&gt;"Tax Paid","",IF(COUNTIFS(LISTS!$F$2:$F$26,$AE931,LISTS!$G$2:$G$26,$AF931)=0,"NOT ON LIST",""))</f>
        <v/>
      </c>
      <c r="AH931" s="8" t="str">
        <f t="shared" si="44"/>
        <v/>
      </c>
    </row>
    <row r="932" spans="31:34" x14ac:dyDescent="0.25">
      <c r="AE932" s="8" t="str">
        <f t="shared" si="42"/>
        <v/>
      </c>
      <c r="AF932" s="8" t="str">
        <f t="shared" si="43"/>
        <v/>
      </c>
      <c r="AG932" s="8" t="str">
        <f>IF(TRIM($E932)&lt;&gt;"Tax Paid","",IF(COUNTIFS(LISTS!$F$2:$F$26,$AE932,LISTS!$G$2:$G$26,$AF932)=0,"NOT ON LIST",""))</f>
        <v/>
      </c>
      <c r="AH932" s="8" t="str">
        <f t="shared" si="44"/>
        <v/>
      </c>
    </row>
    <row r="933" spans="31:34" x14ac:dyDescent="0.25">
      <c r="AE933" s="8" t="str">
        <f t="shared" si="42"/>
        <v/>
      </c>
      <c r="AF933" s="8" t="str">
        <f t="shared" si="43"/>
        <v/>
      </c>
      <c r="AG933" s="8" t="str">
        <f>IF(TRIM($E933)&lt;&gt;"Tax Paid","",IF(COUNTIFS(LISTS!$F$2:$F$26,$AE933,LISTS!$G$2:$G$26,$AF933)=0,"NOT ON LIST",""))</f>
        <v/>
      </c>
      <c r="AH933" s="8" t="str">
        <f t="shared" si="44"/>
        <v/>
      </c>
    </row>
    <row r="934" spans="31:34" x14ac:dyDescent="0.25">
      <c r="AE934" s="8" t="str">
        <f t="shared" si="42"/>
        <v/>
      </c>
      <c r="AF934" s="8" t="str">
        <f t="shared" si="43"/>
        <v/>
      </c>
      <c r="AG934" s="8" t="str">
        <f>IF(TRIM($E934)&lt;&gt;"Tax Paid","",IF(COUNTIFS(LISTS!$F$2:$F$26,$AE934,LISTS!$G$2:$G$26,$AF934)=0,"NOT ON LIST",""))</f>
        <v/>
      </c>
      <c r="AH934" s="8" t="str">
        <f t="shared" si="44"/>
        <v/>
      </c>
    </row>
    <row r="935" spans="31:34" x14ac:dyDescent="0.25">
      <c r="AE935" s="8" t="str">
        <f t="shared" si="42"/>
        <v/>
      </c>
      <c r="AF935" s="8" t="str">
        <f t="shared" si="43"/>
        <v/>
      </c>
      <c r="AG935" s="8" t="str">
        <f>IF(TRIM($E935)&lt;&gt;"Tax Paid","",IF(COUNTIFS(LISTS!$F$2:$F$26,$AE935,LISTS!$G$2:$G$26,$AF935)=0,"NOT ON LIST",""))</f>
        <v/>
      </c>
      <c r="AH935" s="8" t="str">
        <f t="shared" si="44"/>
        <v/>
      </c>
    </row>
    <row r="936" spans="31:34" x14ac:dyDescent="0.25">
      <c r="AE936" s="8" t="str">
        <f t="shared" si="42"/>
        <v/>
      </c>
      <c r="AF936" s="8" t="str">
        <f t="shared" si="43"/>
        <v/>
      </c>
      <c r="AG936" s="8" t="str">
        <f>IF(TRIM($E936)&lt;&gt;"Tax Paid","",IF(COUNTIFS(LISTS!$F$2:$F$26,$AE936,LISTS!$G$2:$G$26,$AF936)=0,"NOT ON LIST",""))</f>
        <v/>
      </c>
      <c r="AH936" s="8" t="str">
        <f t="shared" si="44"/>
        <v/>
      </c>
    </row>
    <row r="937" spans="31:34" x14ac:dyDescent="0.25">
      <c r="AE937" s="8" t="str">
        <f t="shared" si="42"/>
        <v/>
      </c>
      <c r="AF937" s="8" t="str">
        <f t="shared" si="43"/>
        <v/>
      </c>
      <c r="AG937" s="8" t="str">
        <f>IF(TRIM($E937)&lt;&gt;"Tax Paid","",IF(COUNTIFS(LISTS!$F$2:$F$26,$AE937,LISTS!$G$2:$G$26,$AF937)=0,"NOT ON LIST",""))</f>
        <v/>
      </c>
      <c r="AH937" s="8" t="str">
        <f t="shared" si="44"/>
        <v/>
      </c>
    </row>
    <row r="938" spans="31:34" x14ac:dyDescent="0.25">
      <c r="AE938" s="8" t="str">
        <f t="shared" si="42"/>
        <v/>
      </c>
      <c r="AF938" s="8" t="str">
        <f t="shared" si="43"/>
        <v/>
      </c>
      <c r="AG938" s="8" t="str">
        <f>IF(TRIM($E938)&lt;&gt;"Tax Paid","",IF(COUNTIFS(LISTS!$F$2:$F$26,$AE938,LISTS!$G$2:$G$26,$AF938)=0,"NOT ON LIST",""))</f>
        <v/>
      </c>
      <c r="AH938" s="8" t="str">
        <f t="shared" si="44"/>
        <v/>
      </c>
    </row>
    <row r="939" spans="31:34" x14ac:dyDescent="0.25">
      <c r="AE939" s="8" t="str">
        <f t="shared" si="42"/>
        <v/>
      </c>
      <c r="AF939" s="8" t="str">
        <f t="shared" si="43"/>
        <v/>
      </c>
      <c r="AG939" s="8" t="str">
        <f>IF(TRIM($E939)&lt;&gt;"Tax Paid","",IF(COUNTIFS(LISTS!$F$2:$F$26,$AE939,LISTS!$G$2:$G$26,$AF939)=0,"NOT ON LIST",""))</f>
        <v/>
      </c>
      <c r="AH939" s="8" t="str">
        <f t="shared" si="44"/>
        <v/>
      </c>
    </row>
    <row r="940" spans="31:34" x14ac:dyDescent="0.25">
      <c r="AE940" s="8" t="str">
        <f t="shared" si="42"/>
        <v/>
      </c>
      <c r="AF940" s="8" t="str">
        <f t="shared" si="43"/>
        <v/>
      </c>
      <c r="AG940" s="8" t="str">
        <f>IF(TRIM($E940)&lt;&gt;"Tax Paid","",IF(COUNTIFS(LISTS!$F$2:$F$26,$AE940,LISTS!$G$2:$G$26,$AF940)=0,"NOT ON LIST",""))</f>
        <v/>
      </c>
      <c r="AH940" s="8" t="str">
        <f t="shared" si="44"/>
        <v/>
      </c>
    </row>
    <row r="941" spans="31:34" x14ac:dyDescent="0.25">
      <c r="AE941" s="8" t="str">
        <f t="shared" si="42"/>
        <v/>
      </c>
      <c r="AF941" s="8" t="str">
        <f t="shared" si="43"/>
        <v/>
      </c>
      <c r="AG941" s="8" t="str">
        <f>IF(TRIM($E941)&lt;&gt;"Tax Paid","",IF(COUNTIFS(LISTS!$F$2:$F$26,$AE941,LISTS!$G$2:$G$26,$AF941)=0,"NOT ON LIST",""))</f>
        <v/>
      </c>
      <c r="AH941" s="8" t="str">
        <f t="shared" si="44"/>
        <v/>
      </c>
    </row>
    <row r="942" spans="31:34" x14ac:dyDescent="0.25">
      <c r="AE942" s="8" t="str">
        <f t="shared" si="42"/>
        <v/>
      </c>
      <c r="AF942" s="8" t="str">
        <f t="shared" si="43"/>
        <v/>
      </c>
      <c r="AG942" s="8" t="str">
        <f>IF(TRIM($E942)&lt;&gt;"Tax Paid","",IF(COUNTIFS(LISTS!$F$2:$F$26,$AE942,LISTS!$G$2:$G$26,$AF942)=0,"NOT ON LIST",""))</f>
        <v/>
      </c>
      <c r="AH942" s="8" t="str">
        <f t="shared" si="44"/>
        <v/>
      </c>
    </row>
    <row r="943" spans="31:34" x14ac:dyDescent="0.25">
      <c r="AE943" s="8" t="str">
        <f t="shared" si="42"/>
        <v/>
      </c>
      <c r="AF943" s="8" t="str">
        <f t="shared" si="43"/>
        <v/>
      </c>
      <c r="AG943" s="8" t="str">
        <f>IF(TRIM($E943)&lt;&gt;"Tax Paid","",IF(COUNTIFS(LISTS!$F$2:$F$26,$AE943,LISTS!$G$2:$G$26,$AF943)=0,"NOT ON LIST",""))</f>
        <v/>
      </c>
      <c r="AH943" s="8" t="str">
        <f t="shared" si="44"/>
        <v/>
      </c>
    </row>
    <row r="944" spans="31:34" x14ac:dyDescent="0.25">
      <c r="AE944" s="8" t="str">
        <f t="shared" si="42"/>
        <v/>
      </c>
      <c r="AF944" s="8" t="str">
        <f t="shared" si="43"/>
        <v/>
      </c>
      <c r="AG944" s="8" t="str">
        <f>IF(TRIM($E944)&lt;&gt;"Tax Paid","",IF(COUNTIFS(LISTS!$F$2:$F$26,$AE944,LISTS!$G$2:$G$26,$AF944)=0,"NOT ON LIST",""))</f>
        <v/>
      </c>
      <c r="AH944" s="8" t="str">
        <f t="shared" si="44"/>
        <v/>
      </c>
    </row>
    <row r="945" spans="31:34" x14ac:dyDescent="0.25">
      <c r="AE945" s="8" t="str">
        <f t="shared" si="42"/>
        <v/>
      </c>
      <c r="AF945" s="8" t="str">
        <f t="shared" si="43"/>
        <v/>
      </c>
      <c r="AG945" s="8" t="str">
        <f>IF(TRIM($E945)&lt;&gt;"Tax Paid","",IF(COUNTIFS(LISTS!$F$2:$F$26,$AE945,LISTS!$G$2:$G$26,$AF945)=0,"NOT ON LIST",""))</f>
        <v/>
      </c>
      <c r="AH945" s="8" t="str">
        <f t="shared" si="44"/>
        <v/>
      </c>
    </row>
    <row r="946" spans="31:34" x14ac:dyDescent="0.25">
      <c r="AE946" s="8" t="str">
        <f t="shared" si="42"/>
        <v/>
      </c>
      <c r="AF946" s="8" t="str">
        <f t="shared" si="43"/>
        <v/>
      </c>
      <c r="AG946" s="8" t="str">
        <f>IF(TRIM($E946)&lt;&gt;"Tax Paid","",IF(COUNTIFS(LISTS!$F$2:$F$26,$AE946,LISTS!$G$2:$G$26,$AF946)=0,"NOT ON LIST",""))</f>
        <v/>
      </c>
      <c r="AH946" s="8" t="str">
        <f t="shared" si="44"/>
        <v/>
      </c>
    </row>
    <row r="947" spans="31:34" x14ac:dyDescent="0.25">
      <c r="AE947" s="8" t="str">
        <f t="shared" si="42"/>
        <v/>
      </c>
      <c r="AF947" s="8" t="str">
        <f t="shared" si="43"/>
        <v/>
      </c>
      <c r="AG947" s="8" t="str">
        <f>IF(TRIM($E947)&lt;&gt;"Tax Paid","",IF(COUNTIFS(LISTS!$F$2:$F$26,$AE947,LISTS!$G$2:$G$26,$AF947)=0,"NOT ON LIST",""))</f>
        <v/>
      </c>
      <c r="AH947" s="8" t="str">
        <f t="shared" si="44"/>
        <v/>
      </c>
    </row>
    <row r="948" spans="31:34" x14ac:dyDescent="0.25">
      <c r="AE948" s="8" t="str">
        <f t="shared" si="42"/>
        <v/>
      </c>
      <c r="AF948" s="8" t="str">
        <f t="shared" si="43"/>
        <v/>
      </c>
      <c r="AG948" s="8" t="str">
        <f>IF(TRIM($E948)&lt;&gt;"Tax Paid","",IF(COUNTIFS(LISTS!$F$2:$F$26,$AE948,LISTS!$G$2:$G$26,$AF948)=0,"NOT ON LIST",""))</f>
        <v/>
      </c>
      <c r="AH948" s="8" t="str">
        <f t="shared" si="44"/>
        <v/>
      </c>
    </row>
    <row r="949" spans="31:34" x14ac:dyDescent="0.25">
      <c r="AE949" s="8" t="str">
        <f t="shared" si="42"/>
        <v/>
      </c>
      <c r="AF949" s="8" t="str">
        <f t="shared" si="43"/>
        <v/>
      </c>
      <c r="AG949" s="8" t="str">
        <f>IF(TRIM($E949)&lt;&gt;"Tax Paid","",IF(COUNTIFS(LISTS!$F$2:$F$26,$AE949,LISTS!$G$2:$G$26,$AF949)=0,"NOT ON LIST",""))</f>
        <v/>
      </c>
      <c r="AH949" s="8" t="str">
        <f t="shared" si="44"/>
        <v/>
      </c>
    </row>
    <row r="950" spans="31:34" x14ac:dyDescent="0.25">
      <c r="AE950" s="8" t="str">
        <f t="shared" si="42"/>
        <v/>
      </c>
      <c r="AF950" s="8" t="str">
        <f t="shared" si="43"/>
        <v/>
      </c>
      <c r="AG950" s="8" t="str">
        <f>IF(TRIM($E950)&lt;&gt;"Tax Paid","",IF(COUNTIFS(LISTS!$F$2:$F$26,$AE950,LISTS!$G$2:$G$26,$AF950)=0,"NOT ON LIST",""))</f>
        <v/>
      </c>
      <c r="AH950" s="8" t="str">
        <f t="shared" si="44"/>
        <v/>
      </c>
    </row>
    <row r="951" spans="31:34" x14ac:dyDescent="0.25">
      <c r="AE951" s="8" t="str">
        <f t="shared" si="42"/>
        <v/>
      </c>
      <c r="AF951" s="8" t="str">
        <f t="shared" si="43"/>
        <v/>
      </c>
      <c r="AG951" s="8" t="str">
        <f>IF(TRIM($E951)&lt;&gt;"Tax Paid","",IF(COUNTIFS(LISTS!$F$2:$F$26,$AE951,LISTS!$G$2:$G$26,$AF951)=0,"NOT ON LIST",""))</f>
        <v/>
      </c>
      <c r="AH951" s="8" t="str">
        <f t="shared" si="44"/>
        <v/>
      </c>
    </row>
    <row r="952" spans="31:34" x14ac:dyDescent="0.25">
      <c r="AE952" s="8" t="str">
        <f t="shared" si="42"/>
        <v/>
      </c>
      <c r="AF952" s="8" t="str">
        <f t="shared" si="43"/>
        <v/>
      </c>
      <c r="AG952" s="8" t="str">
        <f>IF(TRIM($E952)&lt;&gt;"Tax Paid","",IF(COUNTIFS(LISTS!$F$2:$F$26,$AE952,LISTS!$G$2:$G$26,$AF952)=0,"NOT ON LIST",""))</f>
        <v/>
      </c>
      <c r="AH952" s="8" t="str">
        <f t="shared" si="44"/>
        <v/>
      </c>
    </row>
    <row r="953" spans="31:34" x14ac:dyDescent="0.25">
      <c r="AE953" s="8" t="str">
        <f t="shared" si="42"/>
        <v/>
      </c>
      <c r="AF953" s="8" t="str">
        <f t="shared" si="43"/>
        <v/>
      </c>
      <c r="AG953" s="8" t="str">
        <f>IF(TRIM($E953)&lt;&gt;"Tax Paid","",IF(COUNTIFS(LISTS!$F$2:$F$26,$AE953,LISTS!$G$2:$G$26,$AF953)=0,"NOT ON LIST",""))</f>
        <v/>
      </c>
      <c r="AH953" s="8" t="str">
        <f t="shared" si="44"/>
        <v/>
      </c>
    </row>
    <row r="954" spans="31:34" x14ac:dyDescent="0.25">
      <c r="AE954" s="8" t="str">
        <f t="shared" si="42"/>
        <v/>
      </c>
      <c r="AF954" s="8" t="str">
        <f t="shared" si="43"/>
        <v/>
      </c>
      <c r="AG954" s="8" t="str">
        <f>IF(TRIM($E954)&lt;&gt;"Tax Paid","",IF(COUNTIFS(LISTS!$F$2:$F$26,$AE954,LISTS!$G$2:$G$26,$AF954)=0,"NOT ON LIST",""))</f>
        <v/>
      </c>
      <c r="AH954" s="8" t="str">
        <f t="shared" si="44"/>
        <v/>
      </c>
    </row>
    <row r="955" spans="31:34" x14ac:dyDescent="0.25">
      <c r="AE955" s="8" t="str">
        <f t="shared" si="42"/>
        <v/>
      </c>
      <c r="AF955" s="8" t="str">
        <f t="shared" si="43"/>
        <v/>
      </c>
      <c r="AG955" s="8" t="str">
        <f>IF(TRIM($E955)&lt;&gt;"Tax Paid","",IF(COUNTIFS(LISTS!$F$2:$F$26,$AE955,LISTS!$G$2:$G$26,$AF955)=0,"NOT ON LIST",""))</f>
        <v/>
      </c>
      <c r="AH955" s="8" t="str">
        <f t="shared" si="44"/>
        <v/>
      </c>
    </row>
    <row r="956" spans="31:34" x14ac:dyDescent="0.25">
      <c r="AE956" s="8" t="str">
        <f t="shared" si="42"/>
        <v/>
      </c>
      <c r="AF956" s="8" t="str">
        <f t="shared" si="43"/>
        <v/>
      </c>
      <c r="AG956" s="8" t="str">
        <f>IF(TRIM($E956)&lt;&gt;"Tax Paid","",IF(COUNTIFS(LISTS!$F$2:$F$26,$AE956,LISTS!$G$2:$G$26,$AF956)=0,"NOT ON LIST",""))</f>
        <v/>
      </c>
      <c r="AH956" s="8" t="str">
        <f t="shared" si="44"/>
        <v/>
      </c>
    </row>
    <row r="957" spans="31:34" x14ac:dyDescent="0.25">
      <c r="AE957" s="8" t="str">
        <f t="shared" si="42"/>
        <v/>
      </c>
      <c r="AF957" s="8" t="str">
        <f t="shared" si="43"/>
        <v/>
      </c>
      <c r="AG957" s="8" t="str">
        <f>IF(TRIM($E957)&lt;&gt;"Tax Paid","",IF(COUNTIFS(LISTS!$F$2:$F$26,$AE957,LISTS!$G$2:$G$26,$AF957)=0,"NOT ON LIST",""))</f>
        <v/>
      </c>
      <c r="AH957" s="8" t="str">
        <f t="shared" si="44"/>
        <v/>
      </c>
    </row>
    <row r="958" spans="31:34" x14ac:dyDescent="0.25">
      <c r="AE958" s="8" t="str">
        <f t="shared" si="42"/>
        <v/>
      </c>
      <c r="AF958" s="8" t="str">
        <f t="shared" si="43"/>
        <v/>
      </c>
      <c r="AG958" s="8" t="str">
        <f>IF(TRIM($E958)&lt;&gt;"Tax Paid","",IF(COUNTIFS(LISTS!$F$2:$F$26,$AE958,LISTS!$G$2:$G$26,$AF958)=0,"NOT ON LIST",""))</f>
        <v/>
      </c>
      <c r="AH958" s="8" t="str">
        <f t="shared" si="44"/>
        <v/>
      </c>
    </row>
    <row r="959" spans="31:34" x14ac:dyDescent="0.25">
      <c r="AE959" s="8" t="str">
        <f t="shared" si="42"/>
        <v/>
      </c>
      <c r="AF959" s="8" t="str">
        <f t="shared" si="43"/>
        <v/>
      </c>
      <c r="AG959" s="8" t="str">
        <f>IF(TRIM($E959)&lt;&gt;"Tax Paid","",IF(COUNTIFS(LISTS!$F$2:$F$26,$AE959,LISTS!$G$2:$G$26,$AF959)=0,"NOT ON LIST",""))</f>
        <v/>
      </c>
      <c r="AH959" s="8" t="str">
        <f t="shared" si="44"/>
        <v/>
      </c>
    </row>
    <row r="960" spans="31:34" x14ac:dyDescent="0.25">
      <c r="AE960" s="8" t="str">
        <f t="shared" si="42"/>
        <v/>
      </c>
      <c r="AF960" s="8" t="str">
        <f t="shared" si="43"/>
        <v/>
      </c>
      <c r="AG960" s="8" t="str">
        <f>IF(TRIM($E960)&lt;&gt;"Tax Paid","",IF(COUNTIFS(LISTS!$F$2:$F$26,$AE960,LISTS!$G$2:$G$26,$AF960)=0,"NOT ON LIST",""))</f>
        <v/>
      </c>
      <c r="AH960" s="8" t="str">
        <f t="shared" si="44"/>
        <v/>
      </c>
    </row>
    <row r="961" spans="31:34" x14ac:dyDescent="0.25">
      <c r="AE961" s="8" t="str">
        <f t="shared" si="42"/>
        <v/>
      </c>
      <c r="AF961" s="8" t="str">
        <f t="shared" si="43"/>
        <v/>
      </c>
      <c r="AG961" s="8" t="str">
        <f>IF(TRIM($E961)&lt;&gt;"Tax Paid","",IF(COUNTIFS(LISTS!$F$2:$F$26,$AE961,LISTS!$G$2:$G$26,$AF961)=0,"NOT ON LIST",""))</f>
        <v/>
      </c>
      <c r="AH961" s="8" t="str">
        <f t="shared" si="44"/>
        <v/>
      </c>
    </row>
    <row r="962" spans="31:34" x14ac:dyDescent="0.25">
      <c r="AE962" s="8" t="str">
        <f t="shared" ref="AE962:AE1025" si="45">IF(TRIM($E962)="Tax Paid",TRIM($S962),"")</f>
        <v/>
      </c>
      <c r="AF962" s="8" t="str">
        <f t="shared" ref="AF962:AF1025" si="46">IF(TRIM($E962)="Tax Paid",ROUND($Z962/100,5),"")</f>
        <v/>
      </c>
      <c r="AG962" s="8" t="str">
        <f>IF(TRIM($E962)&lt;&gt;"Tax Paid","",IF(COUNTIFS(LISTS!$F$2:$F$26,$AE962,LISTS!$G$2:$G$26,$AF962)=0,"NOT ON LIST",""))</f>
        <v/>
      </c>
      <c r="AH962" s="8" t="str">
        <f t="shared" ref="AH962:AH1025" si="47">IF($AG962="","",IF($AE962="","(no county)",$AE962)&amp;" ("&amp;SUBSTITUTE(TEXT($AF962,"0.###%"),".%","%")&amp;")")</f>
        <v/>
      </c>
    </row>
    <row r="963" spans="31:34" x14ac:dyDescent="0.25">
      <c r="AE963" s="8" t="str">
        <f t="shared" si="45"/>
        <v/>
      </c>
      <c r="AF963" s="8" t="str">
        <f t="shared" si="46"/>
        <v/>
      </c>
      <c r="AG963" s="8" t="str">
        <f>IF(TRIM($E963)&lt;&gt;"Tax Paid","",IF(COUNTIFS(LISTS!$F$2:$F$26,$AE963,LISTS!$G$2:$G$26,$AF963)=0,"NOT ON LIST",""))</f>
        <v/>
      </c>
      <c r="AH963" s="8" t="str">
        <f t="shared" si="47"/>
        <v/>
      </c>
    </row>
    <row r="964" spans="31:34" x14ac:dyDescent="0.25">
      <c r="AE964" s="8" t="str">
        <f t="shared" si="45"/>
        <v/>
      </c>
      <c r="AF964" s="8" t="str">
        <f t="shared" si="46"/>
        <v/>
      </c>
      <c r="AG964" s="8" t="str">
        <f>IF(TRIM($E964)&lt;&gt;"Tax Paid","",IF(COUNTIFS(LISTS!$F$2:$F$26,$AE964,LISTS!$G$2:$G$26,$AF964)=0,"NOT ON LIST",""))</f>
        <v/>
      </c>
      <c r="AH964" s="8" t="str">
        <f t="shared" si="47"/>
        <v/>
      </c>
    </row>
    <row r="965" spans="31:34" x14ac:dyDescent="0.25">
      <c r="AE965" s="8" t="str">
        <f t="shared" si="45"/>
        <v/>
      </c>
      <c r="AF965" s="8" t="str">
        <f t="shared" si="46"/>
        <v/>
      </c>
      <c r="AG965" s="8" t="str">
        <f>IF(TRIM($E965)&lt;&gt;"Tax Paid","",IF(COUNTIFS(LISTS!$F$2:$F$26,$AE965,LISTS!$G$2:$G$26,$AF965)=0,"NOT ON LIST",""))</f>
        <v/>
      </c>
      <c r="AH965" s="8" t="str">
        <f t="shared" si="47"/>
        <v/>
      </c>
    </row>
    <row r="966" spans="31:34" x14ac:dyDescent="0.25">
      <c r="AE966" s="8" t="str">
        <f t="shared" si="45"/>
        <v/>
      </c>
      <c r="AF966" s="8" t="str">
        <f t="shared" si="46"/>
        <v/>
      </c>
      <c r="AG966" s="8" t="str">
        <f>IF(TRIM($E966)&lt;&gt;"Tax Paid","",IF(COUNTIFS(LISTS!$F$2:$F$26,$AE966,LISTS!$G$2:$G$26,$AF966)=0,"NOT ON LIST",""))</f>
        <v/>
      </c>
      <c r="AH966" s="8" t="str">
        <f t="shared" si="47"/>
        <v/>
      </c>
    </row>
    <row r="967" spans="31:34" x14ac:dyDescent="0.25">
      <c r="AE967" s="8" t="str">
        <f t="shared" si="45"/>
        <v/>
      </c>
      <c r="AF967" s="8" t="str">
        <f t="shared" si="46"/>
        <v/>
      </c>
      <c r="AG967" s="8" t="str">
        <f>IF(TRIM($E967)&lt;&gt;"Tax Paid","",IF(COUNTIFS(LISTS!$F$2:$F$26,$AE967,LISTS!$G$2:$G$26,$AF967)=0,"NOT ON LIST",""))</f>
        <v/>
      </c>
      <c r="AH967" s="8" t="str">
        <f t="shared" si="47"/>
        <v/>
      </c>
    </row>
    <row r="968" spans="31:34" x14ac:dyDescent="0.25">
      <c r="AE968" s="8" t="str">
        <f t="shared" si="45"/>
        <v/>
      </c>
      <c r="AF968" s="8" t="str">
        <f t="shared" si="46"/>
        <v/>
      </c>
      <c r="AG968" s="8" t="str">
        <f>IF(TRIM($E968)&lt;&gt;"Tax Paid","",IF(COUNTIFS(LISTS!$F$2:$F$26,$AE968,LISTS!$G$2:$G$26,$AF968)=0,"NOT ON LIST",""))</f>
        <v/>
      </c>
      <c r="AH968" s="8" t="str">
        <f t="shared" si="47"/>
        <v/>
      </c>
    </row>
    <row r="969" spans="31:34" x14ac:dyDescent="0.25">
      <c r="AE969" s="8" t="str">
        <f t="shared" si="45"/>
        <v/>
      </c>
      <c r="AF969" s="8" t="str">
        <f t="shared" si="46"/>
        <v/>
      </c>
      <c r="AG969" s="8" t="str">
        <f>IF(TRIM($E969)&lt;&gt;"Tax Paid","",IF(COUNTIFS(LISTS!$F$2:$F$26,$AE969,LISTS!$G$2:$G$26,$AF969)=0,"NOT ON LIST",""))</f>
        <v/>
      </c>
      <c r="AH969" s="8" t="str">
        <f t="shared" si="47"/>
        <v/>
      </c>
    </row>
    <row r="970" spans="31:34" x14ac:dyDescent="0.25">
      <c r="AE970" s="8" t="str">
        <f t="shared" si="45"/>
        <v/>
      </c>
      <c r="AF970" s="8" t="str">
        <f t="shared" si="46"/>
        <v/>
      </c>
      <c r="AG970" s="8" t="str">
        <f>IF(TRIM($E970)&lt;&gt;"Tax Paid","",IF(COUNTIFS(LISTS!$F$2:$F$26,$AE970,LISTS!$G$2:$G$26,$AF970)=0,"NOT ON LIST",""))</f>
        <v/>
      </c>
      <c r="AH970" s="8" t="str">
        <f t="shared" si="47"/>
        <v/>
      </c>
    </row>
    <row r="971" spans="31:34" x14ac:dyDescent="0.25">
      <c r="AE971" s="8" t="str">
        <f t="shared" si="45"/>
        <v/>
      </c>
      <c r="AF971" s="8" t="str">
        <f t="shared" si="46"/>
        <v/>
      </c>
      <c r="AG971" s="8" t="str">
        <f>IF(TRIM($E971)&lt;&gt;"Tax Paid","",IF(COUNTIFS(LISTS!$F$2:$F$26,$AE971,LISTS!$G$2:$G$26,$AF971)=0,"NOT ON LIST",""))</f>
        <v/>
      </c>
      <c r="AH971" s="8" t="str">
        <f t="shared" si="47"/>
        <v/>
      </c>
    </row>
    <row r="972" spans="31:34" x14ac:dyDescent="0.25">
      <c r="AE972" s="8" t="str">
        <f t="shared" si="45"/>
        <v/>
      </c>
      <c r="AF972" s="8" t="str">
        <f t="shared" si="46"/>
        <v/>
      </c>
      <c r="AG972" s="8" t="str">
        <f>IF(TRIM($E972)&lt;&gt;"Tax Paid","",IF(COUNTIFS(LISTS!$F$2:$F$26,$AE972,LISTS!$G$2:$G$26,$AF972)=0,"NOT ON LIST",""))</f>
        <v/>
      </c>
      <c r="AH972" s="8" t="str">
        <f t="shared" si="47"/>
        <v/>
      </c>
    </row>
    <row r="973" spans="31:34" x14ac:dyDescent="0.25">
      <c r="AE973" s="8" t="str">
        <f t="shared" si="45"/>
        <v/>
      </c>
      <c r="AF973" s="8" t="str">
        <f t="shared" si="46"/>
        <v/>
      </c>
      <c r="AG973" s="8" t="str">
        <f>IF(TRIM($E973)&lt;&gt;"Tax Paid","",IF(COUNTIFS(LISTS!$F$2:$F$26,$AE973,LISTS!$G$2:$G$26,$AF973)=0,"NOT ON LIST",""))</f>
        <v/>
      </c>
      <c r="AH973" s="8" t="str">
        <f t="shared" si="47"/>
        <v/>
      </c>
    </row>
    <row r="974" spans="31:34" x14ac:dyDescent="0.25">
      <c r="AE974" s="8" t="str">
        <f t="shared" si="45"/>
        <v/>
      </c>
      <c r="AF974" s="8" t="str">
        <f t="shared" si="46"/>
        <v/>
      </c>
      <c r="AG974" s="8" t="str">
        <f>IF(TRIM($E974)&lt;&gt;"Tax Paid","",IF(COUNTIFS(LISTS!$F$2:$F$26,$AE974,LISTS!$G$2:$G$26,$AF974)=0,"NOT ON LIST",""))</f>
        <v/>
      </c>
      <c r="AH974" s="8" t="str">
        <f t="shared" si="47"/>
        <v/>
      </c>
    </row>
    <row r="975" spans="31:34" x14ac:dyDescent="0.25">
      <c r="AE975" s="8" t="str">
        <f t="shared" si="45"/>
        <v/>
      </c>
      <c r="AF975" s="8" t="str">
        <f t="shared" si="46"/>
        <v/>
      </c>
      <c r="AG975" s="8" t="str">
        <f>IF(TRIM($E975)&lt;&gt;"Tax Paid","",IF(COUNTIFS(LISTS!$F$2:$F$26,$AE975,LISTS!$G$2:$G$26,$AF975)=0,"NOT ON LIST",""))</f>
        <v/>
      </c>
      <c r="AH975" s="8" t="str">
        <f t="shared" si="47"/>
        <v/>
      </c>
    </row>
    <row r="976" spans="31:34" x14ac:dyDescent="0.25">
      <c r="AE976" s="8" t="str">
        <f t="shared" si="45"/>
        <v/>
      </c>
      <c r="AF976" s="8" t="str">
        <f t="shared" si="46"/>
        <v/>
      </c>
      <c r="AG976" s="8" t="str">
        <f>IF(TRIM($E976)&lt;&gt;"Tax Paid","",IF(COUNTIFS(LISTS!$F$2:$F$26,$AE976,LISTS!$G$2:$G$26,$AF976)=0,"NOT ON LIST",""))</f>
        <v/>
      </c>
      <c r="AH976" s="8" t="str">
        <f t="shared" si="47"/>
        <v/>
      </c>
    </row>
    <row r="977" spans="31:34" x14ac:dyDescent="0.25">
      <c r="AE977" s="8" t="str">
        <f t="shared" si="45"/>
        <v/>
      </c>
      <c r="AF977" s="8" t="str">
        <f t="shared" si="46"/>
        <v/>
      </c>
      <c r="AG977" s="8" t="str">
        <f>IF(TRIM($E977)&lt;&gt;"Tax Paid","",IF(COUNTIFS(LISTS!$F$2:$F$26,$AE977,LISTS!$G$2:$G$26,$AF977)=0,"NOT ON LIST",""))</f>
        <v/>
      </c>
      <c r="AH977" s="8" t="str">
        <f t="shared" si="47"/>
        <v/>
      </c>
    </row>
    <row r="978" spans="31:34" x14ac:dyDescent="0.25">
      <c r="AE978" s="8" t="str">
        <f t="shared" si="45"/>
        <v/>
      </c>
      <c r="AF978" s="8" t="str">
        <f t="shared" si="46"/>
        <v/>
      </c>
      <c r="AG978" s="8" t="str">
        <f>IF(TRIM($E978)&lt;&gt;"Tax Paid","",IF(COUNTIFS(LISTS!$F$2:$F$26,$AE978,LISTS!$G$2:$G$26,$AF978)=0,"NOT ON LIST",""))</f>
        <v/>
      </c>
      <c r="AH978" s="8" t="str">
        <f t="shared" si="47"/>
        <v/>
      </c>
    </row>
    <row r="979" spans="31:34" x14ac:dyDescent="0.25">
      <c r="AE979" s="8" t="str">
        <f t="shared" si="45"/>
        <v/>
      </c>
      <c r="AF979" s="8" t="str">
        <f t="shared" si="46"/>
        <v/>
      </c>
      <c r="AG979" s="8" t="str">
        <f>IF(TRIM($E979)&lt;&gt;"Tax Paid","",IF(COUNTIFS(LISTS!$F$2:$F$26,$AE979,LISTS!$G$2:$G$26,$AF979)=0,"NOT ON LIST",""))</f>
        <v/>
      </c>
      <c r="AH979" s="8" t="str">
        <f t="shared" si="47"/>
        <v/>
      </c>
    </row>
    <row r="980" spans="31:34" x14ac:dyDescent="0.25">
      <c r="AE980" s="8" t="str">
        <f t="shared" si="45"/>
        <v/>
      </c>
      <c r="AF980" s="8" t="str">
        <f t="shared" si="46"/>
        <v/>
      </c>
      <c r="AG980" s="8" t="str">
        <f>IF(TRIM($E980)&lt;&gt;"Tax Paid","",IF(COUNTIFS(LISTS!$F$2:$F$26,$AE980,LISTS!$G$2:$G$26,$AF980)=0,"NOT ON LIST",""))</f>
        <v/>
      </c>
      <c r="AH980" s="8" t="str">
        <f t="shared" si="47"/>
        <v/>
      </c>
    </row>
    <row r="981" spans="31:34" x14ac:dyDescent="0.25">
      <c r="AE981" s="8" t="str">
        <f t="shared" si="45"/>
        <v/>
      </c>
      <c r="AF981" s="8" t="str">
        <f t="shared" si="46"/>
        <v/>
      </c>
      <c r="AG981" s="8" t="str">
        <f>IF(TRIM($E981)&lt;&gt;"Tax Paid","",IF(COUNTIFS(LISTS!$F$2:$F$26,$AE981,LISTS!$G$2:$G$26,$AF981)=0,"NOT ON LIST",""))</f>
        <v/>
      </c>
      <c r="AH981" s="8" t="str">
        <f t="shared" si="47"/>
        <v/>
      </c>
    </row>
    <row r="982" spans="31:34" x14ac:dyDescent="0.25">
      <c r="AE982" s="8" t="str">
        <f t="shared" si="45"/>
        <v/>
      </c>
      <c r="AF982" s="8" t="str">
        <f t="shared" si="46"/>
        <v/>
      </c>
      <c r="AG982" s="8" t="str">
        <f>IF(TRIM($E982)&lt;&gt;"Tax Paid","",IF(COUNTIFS(LISTS!$F$2:$F$26,$AE982,LISTS!$G$2:$G$26,$AF982)=0,"NOT ON LIST",""))</f>
        <v/>
      </c>
      <c r="AH982" s="8" t="str">
        <f t="shared" si="47"/>
        <v/>
      </c>
    </row>
    <row r="983" spans="31:34" x14ac:dyDescent="0.25">
      <c r="AE983" s="8" t="str">
        <f t="shared" si="45"/>
        <v/>
      </c>
      <c r="AF983" s="8" t="str">
        <f t="shared" si="46"/>
        <v/>
      </c>
      <c r="AG983" s="8" t="str">
        <f>IF(TRIM($E983)&lt;&gt;"Tax Paid","",IF(COUNTIFS(LISTS!$F$2:$F$26,$AE983,LISTS!$G$2:$G$26,$AF983)=0,"NOT ON LIST",""))</f>
        <v/>
      </c>
      <c r="AH983" s="8" t="str">
        <f t="shared" si="47"/>
        <v/>
      </c>
    </row>
    <row r="984" spans="31:34" x14ac:dyDescent="0.25">
      <c r="AE984" s="8" t="str">
        <f t="shared" si="45"/>
        <v/>
      </c>
      <c r="AF984" s="8" t="str">
        <f t="shared" si="46"/>
        <v/>
      </c>
      <c r="AG984" s="8" t="str">
        <f>IF(TRIM($E984)&lt;&gt;"Tax Paid","",IF(COUNTIFS(LISTS!$F$2:$F$26,$AE984,LISTS!$G$2:$G$26,$AF984)=0,"NOT ON LIST",""))</f>
        <v/>
      </c>
      <c r="AH984" s="8" t="str">
        <f t="shared" si="47"/>
        <v/>
      </c>
    </row>
    <row r="985" spans="31:34" x14ac:dyDescent="0.25">
      <c r="AE985" s="8" t="str">
        <f t="shared" si="45"/>
        <v/>
      </c>
      <c r="AF985" s="8" t="str">
        <f t="shared" si="46"/>
        <v/>
      </c>
      <c r="AG985" s="8" t="str">
        <f>IF(TRIM($E985)&lt;&gt;"Tax Paid","",IF(COUNTIFS(LISTS!$F$2:$F$26,$AE985,LISTS!$G$2:$G$26,$AF985)=0,"NOT ON LIST",""))</f>
        <v/>
      </c>
      <c r="AH985" s="8" t="str">
        <f t="shared" si="47"/>
        <v/>
      </c>
    </row>
    <row r="986" spans="31:34" x14ac:dyDescent="0.25">
      <c r="AE986" s="8" t="str">
        <f t="shared" si="45"/>
        <v/>
      </c>
      <c r="AF986" s="8" t="str">
        <f t="shared" si="46"/>
        <v/>
      </c>
      <c r="AG986" s="8" t="str">
        <f>IF(TRIM($E986)&lt;&gt;"Tax Paid","",IF(COUNTIFS(LISTS!$F$2:$F$26,$AE986,LISTS!$G$2:$G$26,$AF986)=0,"NOT ON LIST",""))</f>
        <v/>
      </c>
      <c r="AH986" s="8" t="str">
        <f t="shared" si="47"/>
        <v/>
      </c>
    </row>
    <row r="987" spans="31:34" x14ac:dyDescent="0.25">
      <c r="AE987" s="8" t="str">
        <f t="shared" si="45"/>
        <v/>
      </c>
      <c r="AF987" s="8" t="str">
        <f t="shared" si="46"/>
        <v/>
      </c>
      <c r="AG987" s="8" t="str">
        <f>IF(TRIM($E987)&lt;&gt;"Tax Paid","",IF(COUNTIFS(LISTS!$F$2:$F$26,$AE987,LISTS!$G$2:$G$26,$AF987)=0,"NOT ON LIST",""))</f>
        <v/>
      </c>
      <c r="AH987" s="8" t="str">
        <f t="shared" si="47"/>
        <v/>
      </c>
    </row>
    <row r="988" spans="31:34" x14ac:dyDescent="0.25">
      <c r="AE988" s="8" t="str">
        <f t="shared" si="45"/>
        <v/>
      </c>
      <c r="AF988" s="8" t="str">
        <f t="shared" si="46"/>
        <v/>
      </c>
      <c r="AG988" s="8" t="str">
        <f>IF(TRIM($E988)&lt;&gt;"Tax Paid","",IF(COUNTIFS(LISTS!$F$2:$F$26,$AE988,LISTS!$G$2:$G$26,$AF988)=0,"NOT ON LIST",""))</f>
        <v/>
      </c>
      <c r="AH988" s="8" t="str">
        <f t="shared" si="47"/>
        <v/>
      </c>
    </row>
    <row r="989" spans="31:34" x14ac:dyDescent="0.25">
      <c r="AE989" s="8" t="str">
        <f t="shared" si="45"/>
        <v/>
      </c>
      <c r="AF989" s="8" t="str">
        <f t="shared" si="46"/>
        <v/>
      </c>
      <c r="AG989" s="8" t="str">
        <f>IF(TRIM($E989)&lt;&gt;"Tax Paid","",IF(COUNTIFS(LISTS!$F$2:$F$26,$AE989,LISTS!$G$2:$G$26,$AF989)=0,"NOT ON LIST",""))</f>
        <v/>
      </c>
      <c r="AH989" s="8" t="str">
        <f t="shared" si="47"/>
        <v/>
      </c>
    </row>
    <row r="990" spans="31:34" x14ac:dyDescent="0.25">
      <c r="AE990" s="8" t="str">
        <f t="shared" si="45"/>
        <v/>
      </c>
      <c r="AF990" s="8" t="str">
        <f t="shared" si="46"/>
        <v/>
      </c>
      <c r="AG990" s="8" t="str">
        <f>IF(TRIM($E990)&lt;&gt;"Tax Paid","",IF(COUNTIFS(LISTS!$F$2:$F$26,$AE990,LISTS!$G$2:$G$26,$AF990)=0,"NOT ON LIST",""))</f>
        <v/>
      </c>
      <c r="AH990" s="8" t="str">
        <f t="shared" si="47"/>
        <v/>
      </c>
    </row>
    <row r="991" spans="31:34" x14ac:dyDescent="0.25">
      <c r="AE991" s="8" t="str">
        <f t="shared" si="45"/>
        <v/>
      </c>
      <c r="AF991" s="8" t="str">
        <f t="shared" si="46"/>
        <v/>
      </c>
      <c r="AG991" s="8" t="str">
        <f>IF(TRIM($E991)&lt;&gt;"Tax Paid","",IF(COUNTIFS(LISTS!$F$2:$F$26,$AE991,LISTS!$G$2:$G$26,$AF991)=0,"NOT ON LIST",""))</f>
        <v/>
      </c>
      <c r="AH991" s="8" t="str">
        <f t="shared" si="47"/>
        <v/>
      </c>
    </row>
    <row r="992" spans="31:34" x14ac:dyDescent="0.25">
      <c r="AE992" s="8" t="str">
        <f t="shared" si="45"/>
        <v/>
      </c>
      <c r="AF992" s="8" t="str">
        <f t="shared" si="46"/>
        <v/>
      </c>
      <c r="AG992" s="8" t="str">
        <f>IF(TRIM($E992)&lt;&gt;"Tax Paid","",IF(COUNTIFS(LISTS!$F$2:$F$26,$AE992,LISTS!$G$2:$G$26,$AF992)=0,"NOT ON LIST",""))</f>
        <v/>
      </c>
      <c r="AH992" s="8" t="str">
        <f t="shared" si="47"/>
        <v/>
      </c>
    </row>
    <row r="993" spans="31:34" x14ac:dyDescent="0.25">
      <c r="AE993" s="8" t="str">
        <f t="shared" si="45"/>
        <v/>
      </c>
      <c r="AF993" s="8" t="str">
        <f t="shared" si="46"/>
        <v/>
      </c>
      <c r="AG993" s="8" t="str">
        <f>IF(TRIM($E993)&lt;&gt;"Tax Paid","",IF(COUNTIFS(LISTS!$F$2:$F$26,$AE993,LISTS!$G$2:$G$26,$AF993)=0,"NOT ON LIST",""))</f>
        <v/>
      </c>
      <c r="AH993" s="8" t="str">
        <f t="shared" si="47"/>
        <v/>
      </c>
    </row>
    <row r="994" spans="31:34" x14ac:dyDescent="0.25">
      <c r="AE994" s="8" t="str">
        <f t="shared" si="45"/>
        <v/>
      </c>
      <c r="AF994" s="8" t="str">
        <f t="shared" si="46"/>
        <v/>
      </c>
      <c r="AG994" s="8" t="str">
        <f>IF(TRIM($E994)&lt;&gt;"Tax Paid","",IF(COUNTIFS(LISTS!$F$2:$F$26,$AE994,LISTS!$G$2:$G$26,$AF994)=0,"NOT ON LIST",""))</f>
        <v/>
      </c>
      <c r="AH994" s="8" t="str">
        <f t="shared" si="47"/>
        <v/>
      </c>
    </row>
    <row r="995" spans="31:34" x14ac:dyDescent="0.25">
      <c r="AE995" s="8" t="str">
        <f t="shared" si="45"/>
        <v/>
      </c>
      <c r="AF995" s="8" t="str">
        <f t="shared" si="46"/>
        <v/>
      </c>
      <c r="AG995" s="8" t="str">
        <f>IF(TRIM($E995)&lt;&gt;"Tax Paid","",IF(COUNTIFS(LISTS!$F$2:$F$26,$AE995,LISTS!$G$2:$G$26,$AF995)=0,"NOT ON LIST",""))</f>
        <v/>
      </c>
      <c r="AH995" s="8" t="str">
        <f t="shared" si="47"/>
        <v/>
      </c>
    </row>
    <row r="996" spans="31:34" x14ac:dyDescent="0.25">
      <c r="AE996" s="8" t="str">
        <f t="shared" si="45"/>
        <v/>
      </c>
      <c r="AF996" s="8" t="str">
        <f t="shared" si="46"/>
        <v/>
      </c>
      <c r="AG996" s="8" t="str">
        <f>IF(TRIM($E996)&lt;&gt;"Tax Paid","",IF(COUNTIFS(LISTS!$F$2:$F$26,$AE996,LISTS!$G$2:$G$26,$AF996)=0,"NOT ON LIST",""))</f>
        <v/>
      </c>
      <c r="AH996" s="8" t="str">
        <f t="shared" si="47"/>
        <v/>
      </c>
    </row>
    <row r="997" spans="31:34" x14ac:dyDescent="0.25">
      <c r="AE997" s="8" t="str">
        <f t="shared" si="45"/>
        <v/>
      </c>
      <c r="AF997" s="8" t="str">
        <f t="shared" si="46"/>
        <v/>
      </c>
      <c r="AG997" s="8" t="str">
        <f>IF(TRIM($E997)&lt;&gt;"Tax Paid","",IF(COUNTIFS(LISTS!$F$2:$F$26,$AE997,LISTS!$G$2:$G$26,$AF997)=0,"NOT ON LIST",""))</f>
        <v/>
      </c>
      <c r="AH997" s="8" t="str">
        <f t="shared" si="47"/>
        <v/>
      </c>
    </row>
    <row r="998" spans="31:34" x14ac:dyDescent="0.25">
      <c r="AE998" s="8" t="str">
        <f t="shared" si="45"/>
        <v/>
      </c>
      <c r="AF998" s="8" t="str">
        <f t="shared" si="46"/>
        <v/>
      </c>
      <c r="AG998" s="8" t="str">
        <f>IF(TRIM($E998)&lt;&gt;"Tax Paid","",IF(COUNTIFS(LISTS!$F$2:$F$26,$AE998,LISTS!$G$2:$G$26,$AF998)=0,"NOT ON LIST",""))</f>
        <v/>
      </c>
      <c r="AH998" s="8" t="str">
        <f t="shared" si="47"/>
        <v/>
      </c>
    </row>
    <row r="999" spans="31:34" x14ac:dyDescent="0.25">
      <c r="AE999" s="8" t="str">
        <f t="shared" si="45"/>
        <v/>
      </c>
      <c r="AF999" s="8" t="str">
        <f t="shared" si="46"/>
        <v/>
      </c>
      <c r="AG999" s="8" t="str">
        <f>IF(TRIM($E999)&lt;&gt;"Tax Paid","",IF(COUNTIFS(LISTS!$F$2:$F$26,$AE999,LISTS!$G$2:$G$26,$AF999)=0,"NOT ON LIST",""))</f>
        <v/>
      </c>
      <c r="AH999" s="8" t="str">
        <f t="shared" si="47"/>
        <v/>
      </c>
    </row>
    <row r="1000" spans="31:34" x14ac:dyDescent="0.25">
      <c r="AE1000" s="8" t="str">
        <f t="shared" si="45"/>
        <v/>
      </c>
      <c r="AF1000" s="8" t="str">
        <f t="shared" si="46"/>
        <v/>
      </c>
      <c r="AG1000" s="8" t="str">
        <f>IF(TRIM($E1000)&lt;&gt;"Tax Paid","",IF(COUNTIFS(LISTS!$F$2:$F$26,$AE1000,LISTS!$G$2:$G$26,$AF1000)=0,"NOT ON LIST",""))</f>
        <v/>
      </c>
      <c r="AH1000" s="8" t="str">
        <f t="shared" si="47"/>
        <v/>
      </c>
    </row>
    <row r="1001" spans="31:34" x14ac:dyDescent="0.25">
      <c r="AE1001" s="8" t="str">
        <f t="shared" si="45"/>
        <v/>
      </c>
      <c r="AF1001" s="8" t="str">
        <f t="shared" si="46"/>
        <v/>
      </c>
      <c r="AG1001" s="8" t="str">
        <f>IF(TRIM($E1001)&lt;&gt;"Tax Paid","",IF(COUNTIFS(LISTS!$F$2:$F$26,$AE1001,LISTS!$G$2:$G$26,$AF1001)=0,"NOT ON LIST",""))</f>
        <v/>
      </c>
      <c r="AH1001" s="8" t="str">
        <f t="shared" si="47"/>
        <v/>
      </c>
    </row>
    <row r="1002" spans="31:34" x14ac:dyDescent="0.25">
      <c r="AE1002" s="8" t="str">
        <f t="shared" si="45"/>
        <v/>
      </c>
      <c r="AF1002" s="8" t="str">
        <f t="shared" si="46"/>
        <v/>
      </c>
      <c r="AG1002" s="8" t="str">
        <f>IF(TRIM($E1002)&lt;&gt;"Tax Paid","",IF(COUNTIFS(LISTS!$F$2:$F$26,$AE1002,LISTS!$G$2:$G$26,$AF1002)=0,"NOT ON LIST",""))</f>
        <v/>
      </c>
      <c r="AH1002" s="8" t="str">
        <f t="shared" si="47"/>
        <v/>
      </c>
    </row>
    <row r="1003" spans="31:34" x14ac:dyDescent="0.25">
      <c r="AE1003" s="8" t="str">
        <f t="shared" si="45"/>
        <v/>
      </c>
      <c r="AF1003" s="8" t="str">
        <f t="shared" si="46"/>
        <v/>
      </c>
      <c r="AG1003" s="8" t="str">
        <f>IF(TRIM($E1003)&lt;&gt;"Tax Paid","",IF(COUNTIFS(LISTS!$F$2:$F$26,$AE1003,LISTS!$G$2:$G$26,$AF1003)=0,"NOT ON LIST",""))</f>
        <v/>
      </c>
      <c r="AH1003" s="8" t="str">
        <f t="shared" si="47"/>
        <v/>
      </c>
    </row>
    <row r="1004" spans="31:34" x14ac:dyDescent="0.25">
      <c r="AE1004" s="8" t="str">
        <f t="shared" si="45"/>
        <v/>
      </c>
      <c r="AF1004" s="8" t="str">
        <f t="shared" si="46"/>
        <v/>
      </c>
      <c r="AG1004" s="8" t="str">
        <f>IF(TRIM($E1004)&lt;&gt;"Tax Paid","",IF(COUNTIFS(LISTS!$F$2:$F$26,$AE1004,LISTS!$G$2:$G$26,$AF1004)=0,"NOT ON LIST",""))</f>
        <v/>
      </c>
      <c r="AH1004" s="8" t="str">
        <f t="shared" si="47"/>
        <v/>
      </c>
    </row>
    <row r="1005" spans="31:34" x14ac:dyDescent="0.25">
      <c r="AE1005" s="8" t="str">
        <f t="shared" si="45"/>
        <v/>
      </c>
      <c r="AF1005" s="8" t="str">
        <f t="shared" si="46"/>
        <v/>
      </c>
      <c r="AG1005" s="8" t="str">
        <f>IF(TRIM($E1005)&lt;&gt;"Tax Paid","",IF(COUNTIFS(LISTS!$F$2:$F$26,$AE1005,LISTS!$G$2:$G$26,$AF1005)=0,"NOT ON LIST",""))</f>
        <v/>
      </c>
      <c r="AH1005" s="8" t="str">
        <f t="shared" si="47"/>
        <v/>
      </c>
    </row>
    <row r="1006" spans="31:34" x14ac:dyDescent="0.25">
      <c r="AE1006" s="8" t="str">
        <f t="shared" si="45"/>
        <v/>
      </c>
      <c r="AF1006" s="8" t="str">
        <f t="shared" si="46"/>
        <v/>
      </c>
      <c r="AG1006" s="8" t="str">
        <f>IF(TRIM($E1006)&lt;&gt;"Tax Paid","",IF(COUNTIFS(LISTS!$F$2:$F$26,$AE1006,LISTS!$G$2:$G$26,$AF1006)=0,"NOT ON LIST",""))</f>
        <v/>
      </c>
      <c r="AH1006" s="8" t="str">
        <f t="shared" si="47"/>
        <v/>
      </c>
    </row>
    <row r="1007" spans="31:34" x14ac:dyDescent="0.25">
      <c r="AE1007" s="8" t="str">
        <f t="shared" si="45"/>
        <v/>
      </c>
      <c r="AF1007" s="8" t="str">
        <f t="shared" si="46"/>
        <v/>
      </c>
      <c r="AG1007" s="8" t="str">
        <f>IF(TRIM($E1007)&lt;&gt;"Tax Paid","",IF(COUNTIFS(LISTS!$F$2:$F$26,$AE1007,LISTS!$G$2:$G$26,$AF1007)=0,"NOT ON LIST",""))</f>
        <v/>
      </c>
      <c r="AH1007" s="8" t="str">
        <f t="shared" si="47"/>
        <v/>
      </c>
    </row>
    <row r="1008" spans="31:34" x14ac:dyDescent="0.25">
      <c r="AE1008" s="8" t="str">
        <f t="shared" si="45"/>
        <v/>
      </c>
      <c r="AF1008" s="8" t="str">
        <f t="shared" si="46"/>
        <v/>
      </c>
      <c r="AG1008" s="8" t="str">
        <f>IF(TRIM($E1008)&lt;&gt;"Tax Paid","",IF(COUNTIFS(LISTS!$F$2:$F$26,$AE1008,LISTS!$G$2:$G$26,$AF1008)=0,"NOT ON LIST",""))</f>
        <v/>
      </c>
      <c r="AH1008" s="8" t="str">
        <f t="shared" si="47"/>
        <v/>
      </c>
    </row>
    <row r="1009" spans="31:34" x14ac:dyDescent="0.25">
      <c r="AE1009" s="8" t="str">
        <f t="shared" si="45"/>
        <v/>
      </c>
      <c r="AF1009" s="8" t="str">
        <f t="shared" si="46"/>
        <v/>
      </c>
      <c r="AG1009" s="8" t="str">
        <f>IF(TRIM($E1009)&lt;&gt;"Tax Paid","",IF(COUNTIFS(LISTS!$F$2:$F$26,$AE1009,LISTS!$G$2:$G$26,$AF1009)=0,"NOT ON LIST",""))</f>
        <v/>
      </c>
      <c r="AH1009" s="8" t="str">
        <f t="shared" si="47"/>
        <v/>
      </c>
    </row>
    <row r="1010" spans="31:34" x14ac:dyDescent="0.25">
      <c r="AE1010" s="8" t="str">
        <f t="shared" si="45"/>
        <v/>
      </c>
      <c r="AF1010" s="8" t="str">
        <f t="shared" si="46"/>
        <v/>
      </c>
      <c r="AG1010" s="8" t="str">
        <f>IF(TRIM($E1010)&lt;&gt;"Tax Paid","",IF(COUNTIFS(LISTS!$F$2:$F$26,$AE1010,LISTS!$G$2:$G$26,$AF1010)=0,"NOT ON LIST",""))</f>
        <v/>
      </c>
      <c r="AH1010" s="8" t="str">
        <f t="shared" si="47"/>
        <v/>
      </c>
    </row>
    <row r="1011" spans="31:34" x14ac:dyDescent="0.25">
      <c r="AE1011" s="8" t="str">
        <f t="shared" si="45"/>
        <v/>
      </c>
      <c r="AF1011" s="8" t="str">
        <f t="shared" si="46"/>
        <v/>
      </c>
      <c r="AG1011" s="8" t="str">
        <f>IF(TRIM($E1011)&lt;&gt;"Tax Paid","",IF(COUNTIFS(LISTS!$F$2:$F$26,$AE1011,LISTS!$G$2:$G$26,$AF1011)=0,"NOT ON LIST",""))</f>
        <v/>
      </c>
      <c r="AH1011" s="8" t="str">
        <f t="shared" si="47"/>
        <v/>
      </c>
    </row>
    <row r="1012" spans="31:34" x14ac:dyDescent="0.25">
      <c r="AE1012" s="8" t="str">
        <f t="shared" si="45"/>
        <v/>
      </c>
      <c r="AF1012" s="8" t="str">
        <f t="shared" si="46"/>
        <v/>
      </c>
      <c r="AG1012" s="8" t="str">
        <f>IF(TRIM($E1012)&lt;&gt;"Tax Paid","",IF(COUNTIFS(LISTS!$F$2:$F$26,$AE1012,LISTS!$G$2:$G$26,$AF1012)=0,"NOT ON LIST",""))</f>
        <v/>
      </c>
      <c r="AH1012" s="8" t="str">
        <f t="shared" si="47"/>
        <v/>
      </c>
    </row>
    <row r="1013" spans="31:34" x14ac:dyDescent="0.25">
      <c r="AE1013" s="8" t="str">
        <f t="shared" si="45"/>
        <v/>
      </c>
      <c r="AF1013" s="8" t="str">
        <f t="shared" si="46"/>
        <v/>
      </c>
      <c r="AG1013" s="8" t="str">
        <f>IF(TRIM($E1013)&lt;&gt;"Tax Paid","",IF(COUNTIFS(LISTS!$F$2:$F$26,$AE1013,LISTS!$G$2:$G$26,$AF1013)=0,"NOT ON LIST",""))</f>
        <v/>
      </c>
      <c r="AH1013" s="8" t="str">
        <f t="shared" si="47"/>
        <v/>
      </c>
    </row>
    <row r="1014" spans="31:34" x14ac:dyDescent="0.25">
      <c r="AE1014" s="8" t="str">
        <f t="shared" si="45"/>
        <v/>
      </c>
      <c r="AF1014" s="8" t="str">
        <f t="shared" si="46"/>
        <v/>
      </c>
      <c r="AG1014" s="8" t="str">
        <f>IF(TRIM($E1014)&lt;&gt;"Tax Paid","",IF(COUNTIFS(LISTS!$F$2:$F$26,$AE1014,LISTS!$G$2:$G$26,$AF1014)=0,"NOT ON LIST",""))</f>
        <v/>
      </c>
      <c r="AH1014" s="8" t="str">
        <f t="shared" si="47"/>
        <v/>
      </c>
    </row>
    <row r="1015" spans="31:34" x14ac:dyDescent="0.25">
      <c r="AE1015" s="8" t="str">
        <f t="shared" si="45"/>
        <v/>
      </c>
      <c r="AF1015" s="8" t="str">
        <f t="shared" si="46"/>
        <v/>
      </c>
      <c r="AG1015" s="8" t="str">
        <f>IF(TRIM($E1015)&lt;&gt;"Tax Paid","",IF(COUNTIFS(LISTS!$F$2:$F$26,$AE1015,LISTS!$G$2:$G$26,$AF1015)=0,"NOT ON LIST",""))</f>
        <v/>
      </c>
      <c r="AH1015" s="8" t="str">
        <f t="shared" si="47"/>
        <v/>
      </c>
    </row>
    <row r="1016" spans="31:34" x14ac:dyDescent="0.25">
      <c r="AE1016" s="8" t="str">
        <f t="shared" si="45"/>
        <v/>
      </c>
      <c r="AF1016" s="8" t="str">
        <f t="shared" si="46"/>
        <v/>
      </c>
      <c r="AG1016" s="8" t="str">
        <f>IF(TRIM($E1016)&lt;&gt;"Tax Paid","",IF(COUNTIFS(LISTS!$F$2:$F$26,$AE1016,LISTS!$G$2:$G$26,$AF1016)=0,"NOT ON LIST",""))</f>
        <v/>
      </c>
      <c r="AH1016" s="8" t="str">
        <f t="shared" si="47"/>
        <v/>
      </c>
    </row>
    <row r="1017" spans="31:34" x14ac:dyDescent="0.25">
      <c r="AE1017" s="8" t="str">
        <f t="shared" si="45"/>
        <v/>
      </c>
      <c r="AF1017" s="8" t="str">
        <f t="shared" si="46"/>
        <v/>
      </c>
      <c r="AG1017" s="8" t="str">
        <f>IF(TRIM($E1017)&lt;&gt;"Tax Paid","",IF(COUNTIFS(LISTS!$F$2:$F$26,$AE1017,LISTS!$G$2:$G$26,$AF1017)=0,"NOT ON LIST",""))</f>
        <v/>
      </c>
      <c r="AH1017" s="8" t="str">
        <f t="shared" si="47"/>
        <v/>
      </c>
    </row>
    <row r="1018" spans="31:34" x14ac:dyDescent="0.25">
      <c r="AE1018" s="8" t="str">
        <f t="shared" si="45"/>
        <v/>
      </c>
      <c r="AF1018" s="8" t="str">
        <f t="shared" si="46"/>
        <v/>
      </c>
      <c r="AG1018" s="8" t="str">
        <f>IF(TRIM($E1018)&lt;&gt;"Tax Paid","",IF(COUNTIFS(LISTS!$F$2:$F$26,$AE1018,LISTS!$G$2:$G$26,$AF1018)=0,"NOT ON LIST",""))</f>
        <v/>
      </c>
      <c r="AH1018" s="8" t="str">
        <f t="shared" si="47"/>
        <v/>
      </c>
    </row>
    <row r="1019" spans="31:34" x14ac:dyDescent="0.25">
      <c r="AE1019" s="8" t="str">
        <f t="shared" si="45"/>
        <v/>
      </c>
      <c r="AF1019" s="8" t="str">
        <f t="shared" si="46"/>
        <v/>
      </c>
      <c r="AG1019" s="8" t="str">
        <f>IF(TRIM($E1019)&lt;&gt;"Tax Paid","",IF(COUNTIFS(LISTS!$F$2:$F$26,$AE1019,LISTS!$G$2:$G$26,$AF1019)=0,"NOT ON LIST",""))</f>
        <v/>
      </c>
      <c r="AH1019" s="8" t="str">
        <f t="shared" si="47"/>
        <v/>
      </c>
    </row>
    <row r="1020" spans="31:34" x14ac:dyDescent="0.25">
      <c r="AE1020" s="8" t="str">
        <f t="shared" si="45"/>
        <v/>
      </c>
      <c r="AF1020" s="8" t="str">
        <f t="shared" si="46"/>
        <v/>
      </c>
      <c r="AG1020" s="8" t="str">
        <f>IF(TRIM($E1020)&lt;&gt;"Tax Paid","",IF(COUNTIFS(LISTS!$F$2:$F$26,$AE1020,LISTS!$G$2:$G$26,$AF1020)=0,"NOT ON LIST",""))</f>
        <v/>
      </c>
      <c r="AH1020" s="8" t="str">
        <f t="shared" si="47"/>
        <v/>
      </c>
    </row>
    <row r="1021" spans="31:34" x14ac:dyDescent="0.25">
      <c r="AE1021" s="8" t="str">
        <f t="shared" si="45"/>
        <v/>
      </c>
      <c r="AF1021" s="8" t="str">
        <f t="shared" si="46"/>
        <v/>
      </c>
      <c r="AG1021" s="8" t="str">
        <f>IF(TRIM($E1021)&lt;&gt;"Tax Paid","",IF(COUNTIFS(LISTS!$F$2:$F$26,$AE1021,LISTS!$G$2:$G$26,$AF1021)=0,"NOT ON LIST",""))</f>
        <v/>
      </c>
      <c r="AH1021" s="8" t="str">
        <f t="shared" si="47"/>
        <v/>
      </c>
    </row>
    <row r="1022" spans="31:34" x14ac:dyDescent="0.25">
      <c r="AE1022" s="8" t="str">
        <f t="shared" si="45"/>
        <v/>
      </c>
      <c r="AF1022" s="8" t="str">
        <f t="shared" si="46"/>
        <v/>
      </c>
      <c r="AG1022" s="8" t="str">
        <f>IF(TRIM($E1022)&lt;&gt;"Tax Paid","",IF(COUNTIFS(LISTS!$F$2:$F$26,$AE1022,LISTS!$G$2:$G$26,$AF1022)=0,"NOT ON LIST",""))</f>
        <v/>
      </c>
      <c r="AH1022" s="8" t="str">
        <f t="shared" si="47"/>
        <v/>
      </c>
    </row>
    <row r="1023" spans="31:34" x14ac:dyDescent="0.25">
      <c r="AE1023" s="8" t="str">
        <f t="shared" si="45"/>
        <v/>
      </c>
      <c r="AF1023" s="8" t="str">
        <f t="shared" si="46"/>
        <v/>
      </c>
      <c r="AG1023" s="8" t="str">
        <f>IF(TRIM($E1023)&lt;&gt;"Tax Paid","",IF(COUNTIFS(LISTS!$F$2:$F$26,$AE1023,LISTS!$G$2:$G$26,$AF1023)=0,"NOT ON LIST",""))</f>
        <v/>
      </c>
      <c r="AH1023" s="8" t="str">
        <f t="shared" si="47"/>
        <v/>
      </c>
    </row>
    <row r="1024" spans="31:34" x14ac:dyDescent="0.25">
      <c r="AE1024" s="8" t="str">
        <f t="shared" si="45"/>
        <v/>
      </c>
      <c r="AF1024" s="8" t="str">
        <f t="shared" si="46"/>
        <v/>
      </c>
      <c r="AG1024" s="8" t="str">
        <f>IF(TRIM($E1024)&lt;&gt;"Tax Paid","",IF(COUNTIFS(LISTS!$F$2:$F$26,$AE1024,LISTS!$G$2:$G$26,$AF1024)=0,"NOT ON LIST",""))</f>
        <v/>
      </c>
      <c r="AH1024" s="8" t="str">
        <f t="shared" si="47"/>
        <v/>
      </c>
    </row>
    <row r="1025" spans="31:34" x14ac:dyDescent="0.25">
      <c r="AE1025" s="8" t="str">
        <f t="shared" si="45"/>
        <v/>
      </c>
      <c r="AF1025" s="8" t="str">
        <f t="shared" si="46"/>
        <v/>
      </c>
      <c r="AG1025" s="8" t="str">
        <f>IF(TRIM($E1025)&lt;&gt;"Tax Paid","",IF(COUNTIFS(LISTS!$F$2:$F$26,$AE1025,LISTS!$G$2:$G$26,$AF1025)=0,"NOT ON LIST",""))</f>
        <v/>
      </c>
      <c r="AH1025" s="8" t="str">
        <f t="shared" si="47"/>
        <v/>
      </c>
    </row>
    <row r="1026" spans="31:34" x14ac:dyDescent="0.25">
      <c r="AE1026" s="8" t="str">
        <f t="shared" ref="AE1026:AE1089" si="48">IF(TRIM($E1026)="Tax Paid",TRIM($S1026),"")</f>
        <v/>
      </c>
      <c r="AF1026" s="8" t="str">
        <f t="shared" ref="AF1026:AF1089" si="49">IF(TRIM($E1026)="Tax Paid",ROUND($Z1026/100,5),"")</f>
        <v/>
      </c>
      <c r="AG1026" s="8" t="str">
        <f>IF(TRIM($E1026)&lt;&gt;"Tax Paid","",IF(COUNTIFS(LISTS!$F$2:$F$26,$AE1026,LISTS!$G$2:$G$26,$AF1026)=0,"NOT ON LIST",""))</f>
        <v/>
      </c>
      <c r="AH1026" s="8" t="str">
        <f t="shared" ref="AH1026:AH1089" si="50">IF($AG1026="","",IF($AE1026="","(no county)",$AE1026)&amp;" ("&amp;SUBSTITUTE(TEXT($AF1026,"0.###%"),".%","%")&amp;")")</f>
        <v/>
      </c>
    </row>
    <row r="1027" spans="31:34" x14ac:dyDescent="0.25">
      <c r="AE1027" s="8" t="str">
        <f t="shared" si="48"/>
        <v/>
      </c>
      <c r="AF1027" s="8" t="str">
        <f t="shared" si="49"/>
        <v/>
      </c>
      <c r="AG1027" s="8" t="str">
        <f>IF(TRIM($E1027)&lt;&gt;"Tax Paid","",IF(COUNTIFS(LISTS!$F$2:$F$26,$AE1027,LISTS!$G$2:$G$26,$AF1027)=0,"NOT ON LIST",""))</f>
        <v/>
      </c>
      <c r="AH1027" s="8" t="str">
        <f t="shared" si="50"/>
        <v/>
      </c>
    </row>
    <row r="1028" spans="31:34" x14ac:dyDescent="0.25">
      <c r="AE1028" s="8" t="str">
        <f t="shared" si="48"/>
        <v/>
      </c>
      <c r="AF1028" s="8" t="str">
        <f t="shared" si="49"/>
        <v/>
      </c>
      <c r="AG1028" s="8" t="str">
        <f>IF(TRIM($E1028)&lt;&gt;"Tax Paid","",IF(COUNTIFS(LISTS!$F$2:$F$26,$AE1028,LISTS!$G$2:$G$26,$AF1028)=0,"NOT ON LIST",""))</f>
        <v/>
      </c>
      <c r="AH1028" s="8" t="str">
        <f t="shared" si="50"/>
        <v/>
      </c>
    </row>
    <row r="1029" spans="31:34" x14ac:dyDescent="0.25">
      <c r="AE1029" s="8" t="str">
        <f t="shared" si="48"/>
        <v/>
      </c>
      <c r="AF1029" s="8" t="str">
        <f t="shared" si="49"/>
        <v/>
      </c>
      <c r="AG1029" s="8" t="str">
        <f>IF(TRIM($E1029)&lt;&gt;"Tax Paid","",IF(COUNTIFS(LISTS!$F$2:$F$26,$AE1029,LISTS!$G$2:$G$26,$AF1029)=0,"NOT ON LIST",""))</f>
        <v/>
      </c>
      <c r="AH1029" s="8" t="str">
        <f t="shared" si="50"/>
        <v/>
      </c>
    </row>
    <row r="1030" spans="31:34" x14ac:dyDescent="0.25">
      <c r="AE1030" s="8" t="str">
        <f t="shared" si="48"/>
        <v/>
      </c>
      <c r="AF1030" s="8" t="str">
        <f t="shared" si="49"/>
        <v/>
      </c>
      <c r="AG1030" s="8" t="str">
        <f>IF(TRIM($E1030)&lt;&gt;"Tax Paid","",IF(COUNTIFS(LISTS!$F$2:$F$26,$AE1030,LISTS!$G$2:$G$26,$AF1030)=0,"NOT ON LIST",""))</f>
        <v/>
      </c>
      <c r="AH1030" s="8" t="str">
        <f t="shared" si="50"/>
        <v/>
      </c>
    </row>
    <row r="1031" spans="31:34" x14ac:dyDescent="0.25">
      <c r="AE1031" s="8" t="str">
        <f t="shared" si="48"/>
        <v/>
      </c>
      <c r="AF1031" s="8" t="str">
        <f t="shared" si="49"/>
        <v/>
      </c>
      <c r="AG1031" s="8" t="str">
        <f>IF(TRIM($E1031)&lt;&gt;"Tax Paid","",IF(COUNTIFS(LISTS!$F$2:$F$26,$AE1031,LISTS!$G$2:$G$26,$AF1031)=0,"NOT ON LIST",""))</f>
        <v/>
      </c>
      <c r="AH1031" s="8" t="str">
        <f t="shared" si="50"/>
        <v/>
      </c>
    </row>
    <row r="1032" spans="31:34" x14ac:dyDescent="0.25">
      <c r="AE1032" s="8" t="str">
        <f t="shared" si="48"/>
        <v/>
      </c>
      <c r="AF1032" s="8" t="str">
        <f t="shared" si="49"/>
        <v/>
      </c>
      <c r="AG1032" s="8" t="str">
        <f>IF(TRIM($E1032)&lt;&gt;"Tax Paid","",IF(COUNTIFS(LISTS!$F$2:$F$26,$AE1032,LISTS!$G$2:$G$26,$AF1032)=0,"NOT ON LIST",""))</f>
        <v/>
      </c>
      <c r="AH1032" s="8" t="str">
        <f t="shared" si="50"/>
        <v/>
      </c>
    </row>
    <row r="1033" spans="31:34" x14ac:dyDescent="0.25">
      <c r="AE1033" s="8" t="str">
        <f t="shared" si="48"/>
        <v/>
      </c>
      <c r="AF1033" s="8" t="str">
        <f t="shared" si="49"/>
        <v/>
      </c>
      <c r="AG1033" s="8" t="str">
        <f>IF(TRIM($E1033)&lt;&gt;"Tax Paid","",IF(COUNTIFS(LISTS!$F$2:$F$26,$AE1033,LISTS!$G$2:$G$26,$AF1033)=0,"NOT ON LIST",""))</f>
        <v/>
      </c>
      <c r="AH1033" s="8" t="str">
        <f t="shared" si="50"/>
        <v/>
      </c>
    </row>
    <row r="1034" spans="31:34" x14ac:dyDescent="0.25">
      <c r="AE1034" s="8" t="str">
        <f t="shared" si="48"/>
        <v/>
      </c>
      <c r="AF1034" s="8" t="str">
        <f t="shared" si="49"/>
        <v/>
      </c>
      <c r="AG1034" s="8" t="str">
        <f>IF(TRIM($E1034)&lt;&gt;"Tax Paid","",IF(COUNTIFS(LISTS!$F$2:$F$26,$AE1034,LISTS!$G$2:$G$26,$AF1034)=0,"NOT ON LIST",""))</f>
        <v/>
      </c>
      <c r="AH1034" s="8" t="str">
        <f t="shared" si="50"/>
        <v/>
      </c>
    </row>
    <row r="1035" spans="31:34" x14ac:dyDescent="0.25">
      <c r="AE1035" s="8" t="str">
        <f t="shared" si="48"/>
        <v/>
      </c>
      <c r="AF1035" s="8" t="str">
        <f t="shared" si="49"/>
        <v/>
      </c>
      <c r="AG1035" s="8" t="str">
        <f>IF(TRIM($E1035)&lt;&gt;"Tax Paid","",IF(COUNTIFS(LISTS!$F$2:$F$26,$AE1035,LISTS!$G$2:$G$26,$AF1035)=0,"NOT ON LIST",""))</f>
        <v/>
      </c>
      <c r="AH1035" s="8" t="str">
        <f t="shared" si="50"/>
        <v/>
      </c>
    </row>
    <row r="1036" spans="31:34" x14ac:dyDescent="0.25">
      <c r="AE1036" s="8" t="str">
        <f t="shared" si="48"/>
        <v/>
      </c>
      <c r="AF1036" s="8" t="str">
        <f t="shared" si="49"/>
        <v/>
      </c>
      <c r="AG1036" s="8" t="str">
        <f>IF(TRIM($E1036)&lt;&gt;"Tax Paid","",IF(COUNTIFS(LISTS!$F$2:$F$26,$AE1036,LISTS!$G$2:$G$26,$AF1036)=0,"NOT ON LIST",""))</f>
        <v/>
      </c>
      <c r="AH1036" s="8" t="str">
        <f t="shared" si="50"/>
        <v/>
      </c>
    </row>
    <row r="1037" spans="31:34" x14ac:dyDescent="0.25">
      <c r="AE1037" s="8" t="str">
        <f t="shared" si="48"/>
        <v/>
      </c>
      <c r="AF1037" s="8" t="str">
        <f t="shared" si="49"/>
        <v/>
      </c>
      <c r="AG1037" s="8" t="str">
        <f>IF(TRIM($E1037)&lt;&gt;"Tax Paid","",IF(COUNTIFS(LISTS!$F$2:$F$26,$AE1037,LISTS!$G$2:$G$26,$AF1037)=0,"NOT ON LIST",""))</f>
        <v/>
      </c>
      <c r="AH1037" s="8" t="str">
        <f t="shared" si="50"/>
        <v/>
      </c>
    </row>
    <row r="1038" spans="31:34" x14ac:dyDescent="0.25">
      <c r="AE1038" s="8" t="str">
        <f t="shared" si="48"/>
        <v/>
      </c>
      <c r="AF1038" s="8" t="str">
        <f t="shared" si="49"/>
        <v/>
      </c>
      <c r="AG1038" s="8" t="str">
        <f>IF(TRIM($E1038)&lt;&gt;"Tax Paid","",IF(COUNTIFS(LISTS!$F$2:$F$26,$AE1038,LISTS!$G$2:$G$26,$AF1038)=0,"NOT ON LIST",""))</f>
        <v/>
      </c>
      <c r="AH1038" s="8" t="str">
        <f t="shared" si="50"/>
        <v/>
      </c>
    </row>
    <row r="1039" spans="31:34" x14ac:dyDescent="0.25">
      <c r="AE1039" s="8" t="str">
        <f t="shared" si="48"/>
        <v/>
      </c>
      <c r="AF1039" s="8" t="str">
        <f t="shared" si="49"/>
        <v/>
      </c>
      <c r="AG1039" s="8" t="str">
        <f>IF(TRIM($E1039)&lt;&gt;"Tax Paid","",IF(COUNTIFS(LISTS!$F$2:$F$26,$AE1039,LISTS!$G$2:$G$26,$AF1039)=0,"NOT ON LIST",""))</f>
        <v/>
      </c>
      <c r="AH1039" s="8" t="str">
        <f t="shared" si="50"/>
        <v/>
      </c>
    </row>
    <row r="1040" spans="31:34" x14ac:dyDescent="0.25">
      <c r="AE1040" s="8" t="str">
        <f t="shared" si="48"/>
        <v/>
      </c>
      <c r="AF1040" s="8" t="str">
        <f t="shared" si="49"/>
        <v/>
      </c>
      <c r="AG1040" s="8" t="str">
        <f>IF(TRIM($E1040)&lt;&gt;"Tax Paid","",IF(COUNTIFS(LISTS!$F$2:$F$26,$AE1040,LISTS!$G$2:$G$26,$AF1040)=0,"NOT ON LIST",""))</f>
        <v/>
      </c>
      <c r="AH1040" s="8" t="str">
        <f t="shared" si="50"/>
        <v/>
      </c>
    </row>
    <row r="1041" spans="31:34" x14ac:dyDescent="0.25">
      <c r="AE1041" s="8" t="str">
        <f t="shared" si="48"/>
        <v/>
      </c>
      <c r="AF1041" s="8" t="str">
        <f t="shared" si="49"/>
        <v/>
      </c>
      <c r="AG1041" s="8" t="str">
        <f>IF(TRIM($E1041)&lt;&gt;"Tax Paid","",IF(COUNTIFS(LISTS!$F$2:$F$26,$AE1041,LISTS!$G$2:$G$26,$AF1041)=0,"NOT ON LIST",""))</f>
        <v/>
      </c>
      <c r="AH1041" s="8" t="str">
        <f t="shared" si="50"/>
        <v/>
      </c>
    </row>
    <row r="1042" spans="31:34" x14ac:dyDescent="0.25">
      <c r="AE1042" s="8" t="str">
        <f t="shared" si="48"/>
        <v/>
      </c>
      <c r="AF1042" s="8" t="str">
        <f t="shared" si="49"/>
        <v/>
      </c>
      <c r="AG1042" s="8" t="str">
        <f>IF(TRIM($E1042)&lt;&gt;"Tax Paid","",IF(COUNTIFS(LISTS!$F$2:$F$26,$AE1042,LISTS!$G$2:$G$26,$AF1042)=0,"NOT ON LIST",""))</f>
        <v/>
      </c>
      <c r="AH1042" s="8" t="str">
        <f t="shared" si="50"/>
        <v/>
      </c>
    </row>
    <row r="1043" spans="31:34" x14ac:dyDescent="0.25">
      <c r="AE1043" s="8" t="str">
        <f t="shared" si="48"/>
        <v/>
      </c>
      <c r="AF1043" s="8" t="str">
        <f t="shared" si="49"/>
        <v/>
      </c>
      <c r="AG1043" s="8" t="str">
        <f>IF(TRIM($E1043)&lt;&gt;"Tax Paid","",IF(COUNTIFS(LISTS!$F$2:$F$26,$AE1043,LISTS!$G$2:$G$26,$AF1043)=0,"NOT ON LIST",""))</f>
        <v/>
      </c>
      <c r="AH1043" s="8" t="str">
        <f t="shared" si="50"/>
        <v/>
      </c>
    </row>
    <row r="1044" spans="31:34" x14ac:dyDescent="0.25">
      <c r="AE1044" s="8" t="str">
        <f t="shared" si="48"/>
        <v/>
      </c>
      <c r="AF1044" s="8" t="str">
        <f t="shared" si="49"/>
        <v/>
      </c>
      <c r="AG1044" s="8" t="str">
        <f>IF(TRIM($E1044)&lt;&gt;"Tax Paid","",IF(COUNTIFS(LISTS!$F$2:$F$26,$AE1044,LISTS!$G$2:$G$26,$AF1044)=0,"NOT ON LIST",""))</f>
        <v/>
      </c>
      <c r="AH1044" s="8" t="str">
        <f t="shared" si="50"/>
        <v/>
      </c>
    </row>
    <row r="1045" spans="31:34" x14ac:dyDescent="0.25">
      <c r="AE1045" s="8" t="str">
        <f t="shared" si="48"/>
        <v/>
      </c>
      <c r="AF1045" s="8" t="str">
        <f t="shared" si="49"/>
        <v/>
      </c>
      <c r="AG1045" s="8" t="str">
        <f>IF(TRIM($E1045)&lt;&gt;"Tax Paid","",IF(COUNTIFS(LISTS!$F$2:$F$26,$AE1045,LISTS!$G$2:$G$26,$AF1045)=0,"NOT ON LIST",""))</f>
        <v/>
      </c>
      <c r="AH1045" s="8" t="str">
        <f t="shared" si="50"/>
        <v/>
      </c>
    </row>
    <row r="1046" spans="31:34" x14ac:dyDescent="0.25">
      <c r="AE1046" s="8" t="str">
        <f t="shared" si="48"/>
        <v/>
      </c>
      <c r="AF1046" s="8" t="str">
        <f t="shared" si="49"/>
        <v/>
      </c>
      <c r="AG1046" s="8" t="str">
        <f>IF(TRIM($E1046)&lt;&gt;"Tax Paid","",IF(COUNTIFS(LISTS!$F$2:$F$26,$AE1046,LISTS!$G$2:$G$26,$AF1046)=0,"NOT ON LIST",""))</f>
        <v/>
      </c>
      <c r="AH1046" s="8" t="str">
        <f t="shared" si="50"/>
        <v/>
      </c>
    </row>
    <row r="1047" spans="31:34" x14ac:dyDescent="0.25">
      <c r="AE1047" s="8" t="str">
        <f t="shared" si="48"/>
        <v/>
      </c>
      <c r="AF1047" s="8" t="str">
        <f t="shared" si="49"/>
        <v/>
      </c>
      <c r="AG1047" s="8" t="str">
        <f>IF(TRIM($E1047)&lt;&gt;"Tax Paid","",IF(COUNTIFS(LISTS!$F$2:$F$26,$AE1047,LISTS!$G$2:$G$26,$AF1047)=0,"NOT ON LIST",""))</f>
        <v/>
      </c>
      <c r="AH1047" s="8" t="str">
        <f t="shared" si="50"/>
        <v/>
      </c>
    </row>
    <row r="1048" spans="31:34" x14ac:dyDescent="0.25">
      <c r="AE1048" s="8" t="str">
        <f t="shared" si="48"/>
        <v/>
      </c>
      <c r="AF1048" s="8" t="str">
        <f t="shared" si="49"/>
        <v/>
      </c>
      <c r="AG1048" s="8" t="str">
        <f>IF(TRIM($E1048)&lt;&gt;"Tax Paid","",IF(COUNTIFS(LISTS!$F$2:$F$26,$AE1048,LISTS!$G$2:$G$26,$AF1048)=0,"NOT ON LIST",""))</f>
        <v/>
      </c>
      <c r="AH1048" s="8" t="str">
        <f t="shared" si="50"/>
        <v/>
      </c>
    </row>
    <row r="1049" spans="31:34" x14ac:dyDescent="0.25">
      <c r="AE1049" s="8" t="str">
        <f t="shared" si="48"/>
        <v/>
      </c>
      <c r="AF1049" s="8" t="str">
        <f t="shared" si="49"/>
        <v/>
      </c>
      <c r="AG1049" s="8" t="str">
        <f>IF(TRIM($E1049)&lt;&gt;"Tax Paid","",IF(COUNTIFS(LISTS!$F$2:$F$26,$AE1049,LISTS!$G$2:$G$26,$AF1049)=0,"NOT ON LIST",""))</f>
        <v/>
      </c>
      <c r="AH1049" s="8" t="str">
        <f t="shared" si="50"/>
        <v/>
      </c>
    </row>
    <row r="1050" spans="31:34" x14ac:dyDescent="0.25">
      <c r="AE1050" s="8" t="str">
        <f t="shared" si="48"/>
        <v/>
      </c>
      <c r="AF1050" s="8" t="str">
        <f t="shared" si="49"/>
        <v/>
      </c>
      <c r="AG1050" s="8" t="str">
        <f>IF(TRIM($E1050)&lt;&gt;"Tax Paid","",IF(COUNTIFS(LISTS!$F$2:$F$26,$AE1050,LISTS!$G$2:$G$26,$AF1050)=0,"NOT ON LIST",""))</f>
        <v/>
      </c>
      <c r="AH1050" s="8" t="str">
        <f t="shared" si="50"/>
        <v/>
      </c>
    </row>
    <row r="1051" spans="31:34" x14ac:dyDescent="0.25">
      <c r="AE1051" s="8" t="str">
        <f t="shared" si="48"/>
        <v/>
      </c>
      <c r="AF1051" s="8" t="str">
        <f t="shared" si="49"/>
        <v/>
      </c>
      <c r="AG1051" s="8" t="str">
        <f>IF(TRIM($E1051)&lt;&gt;"Tax Paid","",IF(COUNTIFS(LISTS!$F$2:$F$26,$AE1051,LISTS!$G$2:$G$26,$AF1051)=0,"NOT ON LIST",""))</f>
        <v/>
      </c>
      <c r="AH1051" s="8" t="str">
        <f t="shared" si="50"/>
        <v/>
      </c>
    </row>
    <row r="1052" spans="31:34" x14ac:dyDescent="0.25">
      <c r="AE1052" s="8" t="str">
        <f t="shared" si="48"/>
        <v/>
      </c>
      <c r="AF1052" s="8" t="str">
        <f t="shared" si="49"/>
        <v/>
      </c>
      <c r="AG1052" s="8" t="str">
        <f>IF(TRIM($E1052)&lt;&gt;"Tax Paid","",IF(COUNTIFS(LISTS!$F$2:$F$26,$AE1052,LISTS!$G$2:$G$26,$AF1052)=0,"NOT ON LIST",""))</f>
        <v/>
      </c>
      <c r="AH1052" s="8" t="str">
        <f t="shared" si="50"/>
        <v/>
      </c>
    </row>
    <row r="1053" spans="31:34" x14ac:dyDescent="0.25">
      <c r="AE1053" s="8" t="str">
        <f t="shared" si="48"/>
        <v/>
      </c>
      <c r="AF1053" s="8" t="str">
        <f t="shared" si="49"/>
        <v/>
      </c>
      <c r="AG1053" s="8" t="str">
        <f>IF(TRIM($E1053)&lt;&gt;"Tax Paid","",IF(COUNTIFS(LISTS!$F$2:$F$26,$AE1053,LISTS!$G$2:$G$26,$AF1053)=0,"NOT ON LIST",""))</f>
        <v/>
      </c>
      <c r="AH1053" s="8" t="str">
        <f t="shared" si="50"/>
        <v/>
      </c>
    </row>
    <row r="1054" spans="31:34" x14ac:dyDescent="0.25">
      <c r="AE1054" s="8" t="str">
        <f t="shared" si="48"/>
        <v/>
      </c>
      <c r="AF1054" s="8" t="str">
        <f t="shared" si="49"/>
        <v/>
      </c>
      <c r="AG1054" s="8" t="str">
        <f>IF(TRIM($E1054)&lt;&gt;"Tax Paid","",IF(COUNTIFS(LISTS!$F$2:$F$26,$AE1054,LISTS!$G$2:$G$26,$AF1054)=0,"NOT ON LIST",""))</f>
        <v/>
      </c>
      <c r="AH1054" s="8" t="str">
        <f t="shared" si="50"/>
        <v/>
      </c>
    </row>
    <row r="1055" spans="31:34" x14ac:dyDescent="0.25">
      <c r="AE1055" s="8" t="str">
        <f t="shared" si="48"/>
        <v/>
      </c>
      <c r="AF1055" s="8" t="str">
        <f t="shared" si="49"/>
        <v/>
      </c>
      <c r="AG1055" s="8" t="str">
        <f>IF(TRIM($E1055)&lt;&gt;"Tax Paid","",IF(COUNTIFS(LISTS!$F$2:$F$26,$AE1055,LISTS!$G$2:$G$26,$AF1055)=0,"NOT ON LIST",""))</f>
        <v/>
      </c>
      <c r="AH1055" s="8" t="str">
        <f t="shared" si="50"/>
        <v/>
      </c>
    </row>
    <row r="1056" spans="31:34" x14ac:dyDescent="0.25">
      <c r="AE1056" s="8" t="str">
        <f t="shared" si="48"/>
        <v/>
      </c>
      <c r="AF1056" s="8" t="str">
        <f t="shared" si="49"/>
        <v/>
      </c>
      <c r="AG1056" s="8" t="str">
        <f>IF(TRIM($E1056)&lt;&gt;"Tax Paid","",IF(COUNTIFS(LISTS!$F$2:$F$26,$AE1056,LISTS!$G$2:$G$26,$AF1056)=0,"NOT ON LIST",""))</f>
        <v/>
      </c>
      <c r="AH1056" s="8" t="str">
        <f t="shared" si="50"/>
        <v/>
      </c>
    </row>
    <row r="1057" spans="31:34" x14ac:dyDescent="0.25">
      <c r="AE1057" s="8" t="str">
        <f t="shared" si="48"/>
        <v/>
      </c>
      <c r="AF1057" s="8" t="str">
        <f t="shared" si="49"/>
        <v/>
      </c>
      <c r="AG1057" s="8" t="str">
        <f>IF(TRIM($E1057)&lt;&gt;"Tax Paid","",IF(COUNTIFS(LISTS!$F$2:$F$26,$AE1057,LISTS!$G$2:$G$26,$AF1057)=0,"NOT ON LIST",""))</f>
        <v/>
      </c>
      <c r="AH1057" s="8" t="str">
        <f t="shared" si="50"/>
        <v/>
      </c>
    </row>
    <row r="1058" spans="31:34" x14ac:dyDescent="0.25">
      <c r="AE1058" s="8" t="str">
        <f t="shared" si="48"/>
        <v/>
      </c>
      <c r="AF1058" s="8" t="str">
        <f t="shared" si="49"/>
        <v/>
      </c>
      <c r="AG1058" s="8" t="str">
        <f>IF(TRIM($E1058)&lt;&gt;"Tax Paid","",IF(COUNTIFS(LISTS!$F$2:$F$26,$AE1058,LISTS!$G$2:$G$26,$AF1058)=0,"NOT ON LIST",""))</f>
        <v/>
      </c>
      <c r="AH1058" s="8" t="str">
        <f t="shared" si="50"/>
        <v/>
      </c>
    </row>
    <row r="1059" spans="31:34" x14ac:dyDescent="0.25">
      <c r="AE1059" s="8" t="str">
        <f t="shared" si="48"/>
        <v/>
      </c>
      <c r="AF1059" s="8" t="str">
        <f t="shared" si="49"/>
        <v/>
      </c>
      <c r="AG1059" s="8" t="str">
        <f>IF(TRIM($E1059)&lt;&gt;"Tax Paid","",IF(COUNTIFS(LISTS!$F$2:$F$26,$AE1059,LISTS!$G$2:$G$26,$AF1059)=0,"NOT ON LIST",""))</f>
        <v/>
      </c>
      <c r="AH1059" s="8" t="str">
        <f t="shared" si="50"/>
        <v/>
      </c>
    </row>
    <row r="1060" spans="31:34" x14ac:dyDescent="0.25">
      <c r="AE1060" s="8" t="str">
        <f t="shared" si="48"/>
        <v/>
      </c>
      <c r="AF1060" s="8" t="str">
        <f t="shared" si="49"/>
        <v/>
      </c>
      <c r="AG1060" s="8" t="str">
        <f>IF(TRIM($E1060)&lt;&gt;"Tax Paid","",IF(COUNTIFS(LISTS!$F$2:$F$26,$AE1060,LISTS!$G$2:$G$26,$AF1060)=0,"NOT ON LIST",""))</f>
        <v/>
      </c>
      <c r="AH1060" s="8" t="str">
        <f t="shared" si="50"/>
        <v/>
      </c>
    </row>
    <row r="1061" spans="31:34" x14ac:dyDescent="0.25">
      <c r="AE1061" s="8" t="str">
        <f t="shared" si="48"/>
        <v/>
      </c>
      <c r="AF1061" s="8" t="str">
        <f t="shared" si="49"/>
        <v/>
      </c>
      <c r="AG1061" s="8" t="str">
        <f>IF(TRIM($E1061)&lt;&gt;"Tax Paid","",IF(COUNTIFS(LISTS!$F$2:$F$26,$AE1061,LISTS!$G$2:$G$26,$AF1061)=0,"NOT ON LIST",""))</f>
        <v/>
      </c>
      <c r="AH1061" s="8" t="str">
        <f t="shared" si="50"/>
        <v/>
      </c>
    </row>
    <row r="1062" spans="31:34" x14ac:dyDescent="0.25">
      <c r="AE1062" s="8" t="str">
        <f t="shared" si="48"/>
        <v/>
      </c>
      <c r="AF1062" s="8" t="str">
        <f t="shared" si="49"/>
        <v/>
      </c>
      <c r="AG1062" s="8" t="str">
        <f>IF(TRIM($E1062)&lt;&gt;"Tax Paid","",IF(COUNTIFS(LISTS!$F$2:$F$26,$AE1062,LISTS!$G$2:$G$26,$AF1062)=0,"NOT ON LIST",""))</f>
        <v/>
      </c>
      <c r="AH1062" s="8" t="str">
        <f t="shared" si="50"/>
        <v/>
      </c>
    </row>
    <row r="1063" spans="31:34" x14ac:dyDescent="0.25">
      <c r="AE1063" s="8" t="str">
        <f t="shared" si="48"/>
        <v/>
      </c>
      <c r="AF1063" s="8" t="str">
        <f t="shared" si="49"/>
        <v/>
      </c>
      <c r="AG1063" s="8" t="str">
        <f>IF(TRIM($E1063)&lt;&gt;"Tax Paid","",IF(COUNTIFS(LISTS!$F$2:$F$26,$AE1063,LISTS!$G$2:$G$26,$AF1063)=0,"NOT ON LIST",""))</f>
        <v/>
      </c>
      <c r="AH1063" s="8" t="str">
        <f t="shared" si="50"/>
        <v/>
      </c>
    </row>
    <row r="1064" spans="31:34" x14ac:dyDescent="0.25">
      <c r="AE1064" s="8" t="str">
        <f t="shared" si="48"/>
        <v/>
      </c>
      <c r="AF1064" s="8" t="str">
        <f t="shared" si="49"/>
        <v/>
      </c>
      <c r="AG1064" s="8" t="str">
        <f>IF(TRIM($E1064)&lt;&gt;"Tax Paid","",IF(COUNTIFS(LISTS!$F$2:$F$26,$AE1064,LISTS!$G$2:$G$26,$AF1064)=0,"NOT ON LIST",""))</f>
        <v/>
      </c>
      <c r="AH1064" s="8" t="str">
        <f t="shared" si="50"/>
        <v/>
      </c>
    </row>
    <row r="1065" spans="31:34" x14ac:dyDescent="0.25">
      <c r="AE1065" s="8" t="str">
        <f t="shared" si="48"/>
        <v/>
      </c>
      <c r="AF1065" s="8" t="str">
        <f t="shared" si="49"/>
        <v/>
      </c>
      <c r="AG1065" s="8" t="str">
        <f>IF(TRIM($E1065)&lt;&gt;"Tax Paid","",IF(COUNTIFS(LISTS!$F$2:$F$26,$AE1065,LISTS!$G$2:$G$26,$AF1065)=0,"NOT ON LIST",""))</f>
        <v/>
      </c>
      <c r="AH1065" s="8" t="str">
        <f t="shared" si="50"/>
        <v/>
      </c>
    </row>
    <row r="1066" spans="31:34" x14ac:dyDescent="0.25">
      <c r="AE1066" s="8" t="str">
        <f t="shared" si="48"/>
        <v/>
      </c>
      <c r="AF1066" s="8" t="str">
        <f t="shared" si="49"/>
        <v/>
      </c>
      <c r="AG1066" s="8" t="str">
        <f>IF(TRIM($E1066)&lt;&gt;"Tax Paid","",IF(COUNTIFS(LISTS!$F$2:$F$26,$AE1066,LISTS!$G$2:$G$26,$AF1066)=0,"NOT ON LIST",""))</f>
        <v/>
      </c>
      <c r="AH1066" s="8" t="str">
        <f t="shared" si="50"/>
        <v/>
      </c>
    </row>
    <row r="1067" spans="31:34" x14ac:dyDescent="0.25">
      <c r="AE1067" s="8" t="str">
        <f t="shared" si="48"/>
        <v/>
      </c>
      <c r="AF1067" s="8" t="str">
        <f t="shared" si="49"/>
        <v/>
      </c>
      <c r="AG1067" s="8" t="str">
        <f>IF(TRIM($E1067)&lt;&gt;"Tax Paid","",IF(COUNTIFS(LISTS!$F$2:$F$26,$AE1067,LISTS!$G$2:$G$26,$AF1067)=0,"NOT ON LIST",""))</f>
        <v/>
      </c>
      <c r="AH1067" s="8" t="str">
        <f t="shared" si="50"/>
        <v/>
      </c>
    </row>
    <row r="1068" spans="31:34" x14ac:dyDescent="0.25">
      <c r="AE1068" s="8" t="str">
        <f t="shared" si="48"/>
        <v/>
      </c>
      <c r="AF1068" s="8" t="str">
        <f t="shared" si="49"/>
        <v/>
      </c>
      <c r="AG1068" s="8" t="str">
        <f>IF(TRIM($E1068)&lt;&gt;"Tax Paid","",IF(COUNTIFS(LISTS!$F$2:$F$26,$AE1068,LISTS!$G$2:$G$26,$AF1068)=0,"NOT ON LIST",""))</f>
        <v/>
      </c>
      <c r="AH1068" s="8" t="str">
        <f t="shared" si="50"/>
        <v/>
      </c>
    </row>
    <row r="1069" spans="31:34" x14ac:dyDescent="0.25">
      <c r="AE1069" s="8" t="str">
        <f t="shared" si="48"/>
        <v/>
      </c>
      <c r="AF1069" s="8" t="str">
        <f t="shared" si="49"/>
        <v/>
      </c>
      <c r="AG1069" s="8" t="str">
        <f>IF(TRIM($E1069)&lt;&gt;"Tax Paid","",IF(COUNTIFS(LISTS!$F$2:$F$26,$AE1069,LISTS!$G$2:$G$26,$AF1069)=0,"NOT ON LIST",""))</f>
        <v/>
      </c>
      <c r="AH1069" s="8" t="str">
        <f t="shared" si="50"/>
        <v/>
      </c>
    </row>
    <row r="1070" spans="31:34" x14ac:dyDescent="0.25">
      <c r="AE1070" s="8" t="str">
        <f t="shared" si="48"/>
        <v/>
      </c>
      <c r="AF1070" s="8" t="str">
        <f t="shared" si="49"/>
        <v/>
      </c>
      <c r="AG1070" s="8" t="str">
        <f>IF(TRIM($E1070)&lt;&gt;"Tax Paid","",IF(COUNTIFS(LISTS!$F$2:$F$26,$AE1070,LISTS!$G$2:$G$26,$AF1070)=0,"NOT ON LIST",""))</f>
        <v/>
      </c>
      <c r="AH1070" s="8" t="str">
        <f t="shared" si="50"/>
        <v/>
      </c>
    </row>
    <row r="1071" spans="31:34" x14ac:dyDescent="0.25">
      <c r="AE1071" s="8" t="str">
        <f t="shared" si="48"/>
        <v/>
      </c>
      <c r="AF1071" s="8" t="str">
        <f t="shared" si="49"/>
        <v/>
      </c>
      <c r="AG1071" s="8" t="str">
        <f>IF(TRIM($E1071)&lt;&gt;"Tax Paid","",IF(COUNTIFS(LISTS!$F$2:$F$26,$AE1071,LISTS!$G$2:$G$26,$AF1071)=0,"NOT ON LIST",""))</f>
        <v/>
      </c>
      <c r="AH1071" s="8" t="str">
        <f t="shared" si="50"/>
        <v/>
      </c>
    </row>
    <row r="1072" spans="31:34" x14ac:dyDescent="0.25">
      <c r="AE1072" s="8" t="str">
        <f t="shared" si="48"/>
        <v/>
      </c>
      <c r="AF1072" s="8" t="str">
        <f t="shared" si="49"/>
        <v/>
      </c>
      <c r="AG1072" s="8" t="str">
        <f>IF(TRIM($E1072)&lt;&gt;"Tax Paid","",IF(COUNTIFS(LISTS!$F$2:$F$26,$AE1072,LISTS!$G$2:$G$26,$AF1072)=0,"NOT ON LIST",""))</f>
        <v/>
      </c>
      <c r="AH1072" s="8" t="str">
        <f t="shared" si="50"/>
        <v/>
      </c>
    </row>
    <row r="1073" spans="31:34" x14ac:dyDescent="0.25">
      <c r="AE1073" s="8" t="str">
        <f t="shared" si="48"/>
        <v/>
      </c>
      <c r="AF1073" s="8" t="str">
        <f t="shared" si="49"/>
        <v/>
      </c>
      <c r="AG1073" s="8" t="str">
        <f>IF(TRIM($E1073)&lt;&gt;"Tax Paid","",IF(COUNTIFS(LISTS!$F$2:$F$26,$AE1073,LISTS!$G$2:$G$26,$AF1073)=0,"NOT ON LIST",""))</f>
        <v/>
      </c>
      <c r="AH1073" s="8" t="str">
        <f t="shared" si="50"/>
        <v/>
      </c>
    </row>
    <row r="1074" spans="31:34" x14ac:dyDescent="0.25">
      <c r="AE1074" s="8" t="str">
        <f t="shared" si="48"/>
        <v/>
      </c>
      <c r="AF1074" s="8" t="str">
        <f t="shared" si="49"/>
        <v/>
      </c>
      <c r="AG1074" s="8" t="str">
        <f>IF(TRIM($E1074)&lt;&gt;"Tax Paid","",IF(COUNTIFS(LISTS!$F$2:$F$26,$AE1074,LISTS!$G$2:$G$26,$AF1074)=0,"NOT ON LIST",""))</f>
        <v/>
      </c>
      <c r="AH1074" s="8" t="str">
        <f t="shared" si="50"/>
        <v/>
      </c>
    </row>
    <row r="1075" spans="31:34" x14ac:dyDescent="0.25">
      <c r="AE1075" s="8" t="str">
        <f t="shared" si="48"/>
        <v/>
      </c>
      <c r="AF1075" s="8" t="str">
        <f t="shared" si="49"/>
        <v/>
      </c>
      <c r="AG1075" s="8" t="str">
        <f>IF(TRIM($E1075)&lt;&gt;"Tax Paid","",IF(COUNTIFS(LISTS!$F$2:$F$26,$AE1075,LISTS!$G$2:$G$26,$AF1075)=0,"NOT ON LIST",""))</f>
        <v/>
      </c>
      <c r="AH1075" s="8" t="str">
        <f t="shared" si="50"/>
        <v/>
      </c>
    </row>
    <row r="1076" spans="31:34" x14ac:dyDescent="0.25">
      <c r="AE1076" s="8" t="str">
        <f t="shared" si="48"/>
        <v/>
      </c>
      <c r="AF1076" s="8" t="str">
        <f t="shared" si="49"/>
        <v/>
      </c>
      <c r="AG1076" s="8" t="str">
        <f>IF(TRIM($E1076)&lt;&gt;"Tax Paid","",IF(COUNTIFS(LISTS!$F$2:$F$26,$AE1076,LISTS!$G$2:$G$26,$AF1076)=0,"NOT ON LIST",""))</f>
        <v/>
      </c>
      <c r="AH1076" s="8" t="str">
        <f t="shared" si="50"/>
        <v/>
      </c>
    </row>
    <row r="1077" spans="31:34" x14ac:dyDescent="0.25">
      <c r="AE1077" s="8" t="str">
        <f t="shared" si="48"/>
        <v/>
      </c>
      <c r="AF1077" s="8" t="str">
        <f t="shared" si="49"/>
        <v/>
      </c>
      <c r="AG1077" s="8" t="str">
        <f>IF(TRIM($E1077)&lt;&gt;"Tax Paid","",IF(COUNTIFS(LISTS!$F$2:$F$26,$AE1077,LISTS!$G$2:$G$26,$AF1077)=0,"NOT ON LIST",""))</f>
        <v/>
      </c>
      <c r="AH1077" s="8" t="str">
        <f t="shared" si="50"/>
        <v/>
      </c>
    </row>
    <row r="1078" spans="31:34" x14ac:dyDescent="0.25">
      <c r="AE1078" s="8" t="str">
        <f t="shared" si="48"/>
        <v/>
      </c>
      <c r="AF1078" s="8" t="str">
        <f t="shared" si="49"/>
        <v/>
      </c>
      <c r="AG1078" s="8" t="str">
        <f>IF(TRIM($E1078)&lt;&gt;"Tax Paid","",IF(COUNTIFS(LISTS!$F$2:$F$26,$AE1078,LISTS!$G$2:$G$26,$AF1078)=0,"NOT ON LIST",""))</f>
        <v/>
      </c>
      <c r="AH1078" s="8" t="str">
        <f t="shared" si="50"/>
        <v/>
      </c>
    </row>
    <row r="1079" spans="31:34" x14ac:dyDescent="0.25">
      <c r="AE1079" s="8" t="str">
        <f t="shared" si="48"/>
        <v/>
      </c>
      <c r="AF1079" s="8" t="str">
        <f t="shared" si="49"/>
        <v/>
      </c>
      <c r="AG1079" s="8" t="str">
        <f>IF(TRIM($E1079)&lt;&gt;"Tax Paid","",IF(COUNTIFS(LISTS!$F$2:$F$26,$AE1079,LISTS!$G$2:$G$26,$AF1079)=0,"NOT ON LIST",""))</f>
        <v/>
      </c>
      <c r="AH1079" s="8" t="str">
        <f t="shared" si="50"/>
        <v/>
      </c>
    </row>
    <row r="1080" spans="31:34" x14ac:dyDescent="0.25">
      <c r="AE1080" s="8" t="str">
        <f t="shared" si="48"/>
        <v/>
      </c>
      <c r="AF1080" s="8" t="str">
        <f t="shared" si="49"/>
        <v/>
      </c>
      <c r="AG1080" s="8" t="str">
        <f>IF(TRIM($E1080)&lt;&gt;"Tax Paid","",IF(COUNTIFS(LISTS!$F$2:$F$26,$AE1080,LISTS!$G$2:$G$26,$AF1080)=0,"NOT ON LIST",""))</f>
        <v/>
      </c>
      <c r="AH1080" s="8" t="str">
        <f t="shared" si="50"/>
        <v/>
      </c>
    </row>
    <row r="1081" spans="31:34" x14ac:dyDescent="0.25">
      <c r="AE1081" s="8" t="str">
        <f t="shared" si="48"/>
        <v/>
      </c>
      <c r="AF1081" s="8" t="str">
        <f t="shared" si="49"/>
        <v/>
      </c>
      <c r="AG1081" s="8" t="str">
        <f>IF(TRIM($E1081)&lt;&gt;"Tax Paid","",IF(COUNTIFS(LISTS!$F$2:$F$26,$AE1081,LISTS!$G$2:$G$26,$AF1081)=0,"NOT ON LIST",""))</f>
        <v/>
      </c>
      <c r="AH1081" s="8" t="str">
        <f t="shared" si="50"/>
        <v/>
      </c>
    </row>
    <row r="1082" spans="31:34" x14ac:dyDescent="0.25">
      <c r="AE1082" s="8" t="str">
        <f t="shared" si="48"/>
        <v/>
      </c>
      <c r="AF1082" s="8" t="str">
        <f t="shared" si="49"/>
        <v/>
      </c>
      <c r="AG1082" s="8" t="str">
        <f>IF(TRIM($E1082)&lt;&gt;"Tax Paid","",IF(COUNTIFS(LISTS!$F$2:$F$26,$AE1082,LISTS!$G$2:$G$26,$AF1082)=0,"NOT ON LIST",""))</f>
        <v/>
      </c>
      <c r="AH1082" s="8" t="str">
        <f t="shared" si="50"/>
        <v/>
      </c>
    </row>
    <row r="1083" spans="31:34" x14ac:dyDescent="0.25">
      <c r="AE1083" s="8" t="str">
        <f t="shared" si="48"/>
        <v/>
      </c>
      <c r="AF1083" s="8" t="str">
        <f t="shared" si="49"/>
        <v/>
      </c>
      <c r="AG1083" s="8" t="str">
        <f>IF(TRIM($E1083)&lt;&gt;"Tax Paid","",IF(COUNTIFS(LISTS!$F$2:$F$26,$AE1083,LISTS!$G$2:$G$26,$AF1083)=0,"NOT ON LIST",""))</f>
        <v/>
      </c>
      <c r="AH1083" s="8" t="str">
        <f t="shared" si="50"/>
        <v/>
      </c>
    </row>
    <row r="1084" spans="31:34" x14ac:dyDescent="0.25">
      <c r="AE1084" s="8" t="str">
        <f t="shared" si="48"/>
        <v/>
      </c>
      <c r="AF1084" s="8" t="str">
        <f t="shared" si="49"/>
        <v/>
      </c>
      <c r="AG1084" s="8" t="str">
        <f>IF(TRIM($E1084)&lt;&gt;"Tax Paid","",IF(COUNTIFS(LISTS!$F$2:$F$26,$AE1084,LISTS!$G$2:$G$26,$AF1084)=0,"NOT ON LIST",""))</f>
        <v/>
      </c>
      <c r="AH1084" s="8" t="str">
        <f t="shared" si="50"/>
        <v/>
      </c>
    </row>
    <row r="1085" spans="31:34" x14ac:dyDescent="0.25">
      <c r="AE1085" s="8" t="str">
        <f t="shared" si="48"/>
        <v/>
      </c>
      <c r="AF1085" s="8" t="str">
        <f t="shared" si="49"/>
        <v/>
      </c>
      <c r="AG1085" s="8" t="str">
        <f>IF(TRIM($E1085)&lt;&gt;"Tax Paid","",IF(COUNTIFS(LISTS!$F$2:$F$26,$AE1085,LISTS!$G$2:$G$26,$AF1085)=0,"NOT ON LIST",""))</f>
        <v/>
      </c>
      <c r="AH1085" s="8" t="str">
        <f t="shared" si="50"/>
        <v/>
      </c>
    </row>
    <row r="1086" spans="31:34" x14ac:dyDescent="0.25">
      <c r="AE1086" s="8" t="str">
        <f t="shared" si="48"/>
        <v/>
      </c>
      <c r="AF1086" s="8" t="str">
        <f t="shared" si="49"/>
        <v/>
      </c>
      <c r="AG1086" s="8" t="str">
        <f>IF(TRIM($E1086)&lt;&gt;"Tax Paid","",IF(COUNTIFS(LISTS!$F$2:$F$26,$AE1086,LISTS!$G$2:$G$26,$AF1086)=0,"NOT ON LIST",""))</f>
        <v/>
      </c>
      <c r="AH1086" s="8" t="str">
        <f t="shared" si="50"/>
        <v/>
      </c>
    </row>
    <row r="1087" spans="31:34" x14ac:dyDescent="0.25">
      <c r="AE1087" s="8" t="str">
        <f t="shared" si="48"/>
        <v/>
      </c>
      <c r="AF1087" s="8" t="str">
        <f t="shared" si="49"/>
        <v/>
      </c>
      <c r="AG1087" s="8" t="str">
        <f>IF(TRIM($E1087)&lt;&gt;"Tax Paid","",IF(COUNTIFS(LISTS!$F$2:$F$26,$AE1087,LISTS!$G$2:$G$26,$AF1087)=0,"NOT ON LIST",""))</f>
        <v/>
      </c>
      <c r="AH1087" s="8" t="str">
        <f t="shared" si="50"/>
        <v/>
      </c>
    </row>
    <row r="1088" spans="31:34" x14ac:dyDescent="0.25">
      <c r="AE1088" s="8" t="str">
        <f t="shared" si="48"/>
        <v/>
      </c>
      <c r="AF1088" s="8" t="str">
        <f t="shared" si="49"/>
        <v/>
      </c>
      <c r="AG1088" s="8" t="str">
        <f>IF(TRIM($E1088)&lt;&gt;"Tax Paid","",IF(COUNTIFS(LISTS!$F$2:$F$26,$AE1088,LISTS!$G$2:$G$26,$AF1088)=0,"NOT ON LIST",""))</f>
        <v/>
      </c>
      <c r="AH1088" s="8" t="str">
        <f t="shared" si="50"/>
        <v/>
      </c>
    </row>
    <row r="1089" spans="31:34" x14ac:dyDescent="0.25">
      <c r="AE1089" s="8" t="str">
        <f t="shared" si="48"/>
        <v/>
      </c>
      <c r="AF1089" s="8" t="str">
        <f t="shared" si="49"/>
        <v/>
      </c>
      <c r="AG1089" s="8" t="str">
        <f>IF(TRIM($E1089)&lt;&gt;"Tax Paid","",IF(COUNTIFS(LISTS!$F$2:$F$26,$AE1089,LISTS!$G$2:$G$26,$AF1089)=0,"NOT ON LIST",""))</f>
        <v/>
      </c>
      <c r="AH1089" s="8" t="str">
        <f t="shared" si="50"/>
        <v/>
      </c>
    </row>
    <row r="1090" spans="31:34" x14ac:dyDescent="0.25">
      <c r="AE1090" s="8" t="str">
        <f t="shared" ref="AE1090:AE1153" si="51">IF(TRIM($E1090)="Tax Paid",TRIM($S1090),"")</f>
        <v/>
      </c>
      <c r="AF1090" s="8" t="str">
        <f t="shared" ref="AF1090:AF1153" si="52">IF(TRIM($E1090)="Tax Paid",ROUND($Z1090/100,5),"")</f>
        <v/>
      </c>
      <c r="AG1090" s="8" t="str">
        <f>IF(TRIM($E1090)&lt;&gt;"Tax Paid","",IF(COUNTIFS(LISTS!$F$2:$F$26,$AE1090,LISTS!$G$2:$G$26,$AF1090)=0,"NOT ON LIST",""))</f>
        <v/>
      </c>
      <c r="AH1090" s="8" t="str">
        <f t="shared" ref="AH1090:AH1153" si="53">IF($AG1090="","",IF($AE1090="","(no county)",$AE1090)&amp;" ("&amp;SUBSTITUTE(TEXT($AF1090,"0.###%"),".%","%")&amp;")")</f>
        <v/>
      </c>
    </row>
    <row r="1091" spans="31:34" x14ac:dyDescent="0.25">
      <c r="AE1091" s="8" t="str">
        <f t="shared" si="51"/>
        <v/>
      </c>
      <c r="AF1091" s="8" t="str">
        <f t="shared" si="52"/>
        <v/>
      </c>
      <c r="AG1091" s="8" t="str">
        <f>IF(TRIM($E1091)&lt;&gt;"Tax Paid","",IF(COUNTIFS(LISTS!$F$2:$F$26,$AE1091,LISTS!$G$2:$G$26,$AF1091)=0,"NOT ON LIST",""))</f>
        <v/>
      </c>
      <c r="AH1091" s="8" t="str">
        <f t="shared" si="53"/>
        <v/>
      </c>
    </row>
    <row r="1092" spans="31:34" x14ac:dyDescent="0.25">
      <c r="AE1092" s="8" t="str">
        <f t="shared" si="51"/>
        <v/>
      </c>
      <c r="AF1092" s="8" t="str">
        <f t="shared" si="52"/>
        <v/>
      </c>
      <c r="AG1092" s="8" t="str">
        <f>IF(TRIM($E1092)&lt;&gt;"Tax Paid","",IF(COUNTIFS(LISTS!$F$2:$F$26,$AE1092,LISTS!$G$2:$G$26,$AF1092)=0,"NOT ON LIST",""))</f>
        <v/>
      </c>
      <c r="AH1092" s="8" t="str">
        <f t="shared" si="53"/>
        <v/>
      </c>
    </row>
    <row r="1093" spans="31:34" x14ac:dyDescent="0.25">
      <c r="AE1093" s="8" t="str">
        <f t="shared" si="51"/>
        <v/>
      </c>
      <c r="AF1093" s="8" t="str">
        <f t="shared" si="52"/>
        <v/>
      </c>
      <c r="AG1093" s="8" t="str">
        <f>IF(TRIM($E1093)&lt;&gt;"Tax Paid","",IF(COUNTIFS(LISTS!$F$2:$F$26,$AE1093,LISTS!$G$2:$G$26,$AF1093)=0,"NOT ON LIST",""))</f>
        <v/>
      </c>
      <c r="AH1093" s="8" t="str">
        <f t="shared" si="53"/>
        <v/>
      </c>
    </row>
    <row r="1094" spans="31:34" x14ac:dyDescent="0.25">
      <c r="AE1094" s="8" t="str">
        <f t="shared" si="51"/>
        <v/>
      </c>
      <c r="AF1094" s="8" t="str">
        <f t="shared" si="52"/>
        <v/>
      </c>
      <c r="AG1094" s="8" t="str">
        <f>IF(TRIM($E1094)&lt;&gt;"Tax Paid","",IF(COUNTIFS(LISTS!$F$2:$F$26,$AE1094,LISTS!$G$2:$G$26,$AF1094)=0,"NOT ON LIST",""))</f>
        <v/>
      </c>
      <c r="AH1094" s="8" t="str">
        <f t="shared" si="53"/>
        <v/>
      </c>
    </row>
    <row r="1095" spans="31:34" x14ac:dyDescent="0.25">
      <c r="AE1095" s="8" t="str">
        <f t="shared" si="51"/>
        <v/>
      </c>
      <c r="AF1095" s="8" t="str">
        <f t="shared" si="52"/>
        <v/>
      </c>
      <c r="AG1095" s="8" t="str">
        <f>IF(TRIM($E1095)&lt;&gt;"Tax Paid","",IF(COUNTIFS(LISTS!$F$2:$F$26,$AE1095,LISTS!$G$2:$G$26,$AF1095)=0,"NOT ON LIST",""))</f>
        <v/>
      </c>
      <c r="AH1095" s="8" t="str">
        <f t="shared" si="53"/>
        <v/>
      </c>
    </row>
    <row r="1096" spans="31:34" x14ac:dyDescent="0.25">
      <c r="AE1096" s="8" t="str">
        <f t="shared" si="51"/>
        <v/>
      </c>
      <c r="AF1096" s="8" t="str">
        <f t="shared" si="52"/>
        <v/>
      </c>
      <c r="AG1096" s="8" t="str">
        <f>IF(TRIM($E1096)&lt;&gt;"Tax Paid","",IF(COUNTIFS(LISTS!$F$2:$F$26,$AE1096,LISTS!$G$2:$G$26,$AF1096)=0,"NOT ON LIST",""))</f>
        <v/>
      </c>
      <c r="AH1096" s="8" t="str">
        <f t="shared" si="53"/>
        <v/>
      </c>
    </row>
    <row r="1097" spans="31:34" x14ac:dyDescent="0.25">
      <c r="AE1097" s="8" t="str">
        <f t="shared" si="51"/>
        <v/>
      </c>
      <c r="AF1097" s="8" t="str">
        <f t="shared" si="52"/>
        <v/>
      </c>
      <c r="AG1097" s="8" t="str">
        <f>IF(TRIM($E1097)&lt;&gt;"Tax Paid","",IF(COUNTIFS(LISTS!$F$2:$F$26,$AE1097,LISTS!$G$2:$G$26,$AF1097)=0,"NOT ON LIST",""))</f>
        <v/>
      </c>
      <c r="AH1097" s="8" t="str">
        <f t="shared" si="53"/>
        <v/>
      </c>
    </row>
    <row r="1098" spans="31:34" x14ac:dyDescent="0.25">
      <c r="AE1098" s="8" t="str">
        <f t="shared" si="51"/>
        <v/>
      </c>
      <c r="AF1098" s="8" t="str">
        <f t="shared" si="52"/>
        <v/>
      </c>
      <c r="AG1098" s="8" t="str">
        <f>IF(TRIM($E1098)&lt;&gt;"Tax Paid","",IF(COUNTIFS(LISTS!$F$2:$F$26,$AE1098,LISTS!$G$2:$G$26,$AF1098)=0,"NOT ON LIST",""))</f>
        <v/>
      </c>
      <c r="AH1098" s="8" t="str">
        <f t="shared" si="53"/>
        <v/>
      </c>
    </row>
    <row r="1099" spans="31:34" x14ac:dyDescent="0.25">
      <c r="AE1099" s="8" t="str">
        <f t="shared" si="51"/>
        <v/>
      </c>
      <c r="AF1099" s="8" t="str">
        <f t="shared" si="52"/>
        <v/>
      </c>
      <c r="AG1099" s="8" t="str">
        <f>IF(TRIM($E1099)&lt;&gt;"Tax Paid","",IF(COUNTIFS(LISTS!$F$2:$F$26,$AE1099,LISTS!$G$2:$G$26,$AF1099)=0,"NOT ON LIST",""))</f>
        <v/>
      </c>
      <c r="AH1099" s="8" t="str">
        <f t="shared" si="53"/>
        <v/>
      </c>
    </row>
    <row r="1100" spans="31:34" x14ac:dyDescent="0.25">
      <c r="AE1100" s="8" t="str">
        <f t="shared" si="51"/>
        <v/>
      </c>
      <c r="AF1100" s="8" t="str">
        <f t="shared" si="52"/>
        <v/>
      </c>
      <c r="AG1100" s="8" t="str">
        <f>IF(TRIM($E1100)&lt;&gt;"Tax Paid","",IF(COUNTIFS(LISTS!$F$2:$F$26,$AE1100,LISTS!$G$2:$G$26,$AF1100)=0,"NOT ON LIST",""))</f>
        <v/>
      </c>
      <c r="AH1100" s="8" t="str">
        <f t="shared" si="53"/>
        <v/>
      </c>
    </row>
    <row r="1101" spans="31:34" x14ac:dyDescent="0.25">
      <c r="AE1101" s="8" t="str">
        <f t="shared" si="51"/>
        <v/>
      </c>
      <c r="AF1101" s="8" t="str">
        <f t="shared" si="52"/>
        <v/>
      </c>
      <c r="AG1101" s="8" t="str">
        <f>IF(TRIM($E1101)&lt;&gt;"Tax Paid","",IF(COUNTIFS(LISTS!$F$2:$F$26,$AE1101,LISTS!$G$2:$G$26,$AF1101)=0,"NOT ON LIST",""))</f>
        <v/>
      </c>
      <c r="AH1101" s="8" t="str">
        <f t="shared" si="53"/>
        <v/>
      </c>
    </row>
    <row r="1102" spans="31:34" x14ac:dyDescent="0.25">
      <c r="AE1102" s="8" t="str">
        <f t="shared" si="51"/>
        <v/>
      </c>
      <c r="AF1102" s="8" t="str">
        <f t="shared" si="52"/>
        <v/>
      </c>
      <c r="AG1102" s="8" t="str">
        <f>IF(TRIM($E1102)&lt;&gt;"Tax Paid","",IF(COUNTIFS(LISTS!$F$2:$F$26,$AE1102,LISTS!$G$2:$G$26,$AF1102)=0,"NOT ON LIST",""))</f>
        <v/>
      </c>
      <c r="AH1102" s="8" t="str">
        <f t="shared" si="53"/>
        <v/>
      </c>
    </row>
    <row r="1103" spans="31:34" x14ac:dyDescent="0.25">
      <c r="AE1103" s="8" t="str">
        <f t="shared" si="51"/>
        <v/>
      </c>
      <c r="AF1103" s="8" t="str">
        <f t="shared" si="52"/>
        <v/>
      </c>
      <c r="AG1103" s="8" t="str">
        <f>IF(TRIM($E1103)&lt;&gt;"Tax Paid","",IF(COUNTIFS(LISTS!$F$2:$F$26,$AE1103,LISTS!$G$2:$G$26,$AF1103)=0,"NOT ON LIST",""))</f>
        <v/>
      </c>
      <c r="AH1103" s="8" t="str">
        <f t="shared" si="53"/>
        <v/>
      </c>
    </row>
    <row r="1104" spans="31:34" x14ac:dyDescent="0.25">
      <c r="AE1104" s="8" t="str">
        <f t="shared" si="51"/>
        <v/>
      </c>
      <c r="AF1104" s="8" t="str">
        <f t="shared" si="52"/>
        <v/>
      </c>
      <c r="AG1104" s="8" t="str">
        <f>IF(TRIM($E1104)&lt;&gt;"Tax Paid","",IF(COUNTIFS(LISTS!$F$2:$F$26,$AE1104,LISTS!$G$2:$G$26,$AF1104)=0,"NOT ON LIST",""))</f>
        <v/>
      </c>
      <c r="AH1104" s="8" t="str">
        <f t="shared" si="53"/>
        <v/>
      </c>
    </row>
    <row r="1105" spans="31:34" x14ac:dyDescent="0.25">
      <c r="AE1105" s="8" t="str">
        <f t="shared" si="51"/>
        <v/>
      </c>
      <c r="AF1105" s="8" t="str">
        <f t="shared" si="52"/>
        <v/>
      </c>
      <c r="AG1105" s="8" t="str">
        <f>IF(TRIM($E1105)&lt;&gt;"Tax Paid","",IF(COUNTIFS(LISTS!$F$2:$F$26,$AE1105,LISTS!$G$2:$G$26,$AF1105)=0,"NOT ON LIST",""))</f>
        <v/>
      </c>
      <c r="AH1105" s="8" t="str">
        <f t="shared" si="53"/>
        <v/>
      </c>
    </row>
    <row r="1106" spans="31:34" x14ac:dyDescent="0.25">
      <c r="AE1106" s="8" t="str">
        <f t="shared" si="51"/>
        <v/>
      </c>
      <c r="AF1106" s="8" t="str">
        <f t="shared" si="52"/>
        <v/>
      </c>
      <c r="AG1106" s="8" t="str">
        <f>IF(TRIM($E1106)&lt;&gt;"Tax Paid","",IF(COUNTIFS(LISTS!$F$2:$F$26,$AE1106,LISTS!$G$2:$G$26,$AF1106)=0,"NOT ON LIST",""))</f>
        <v/>
      </c>
      <c r="AH1106" s="8" t="str">
        <f t="shared" si="53"/>
        <v/>
      </c>
    </row>
    <row r="1107" spans="31:34" x14ac:dyDescent="0.25">
      <c r="AE1107" s="8" t="str">
        <f t="shared" si="51"/>
        <v/>
      </c>
      <c r="AF1107" s="8" t="str">
        <f t="shared" si="52"/>
        <v/>
      </c>
      <c r="AG1107" s="8" t="str">
        <f>IF(TRIM($E1107)&lt;&gt;"Tax Paid","",IF(COUNTIFS(LISTS!$F$2:$F$26,$AE1107,LISTS!$G$2:$G$26,$AF1107)=0,"NOT ON LIST",""))</f>
        <v/>
      </c>
      <c r="AH1107" s="8" t="str">
        <f t="shared" si="53"/>
        <v/>
      </c>
    </row>
    <row r="1108" spans="31:34" x14ac:dyDescent="0.25">
      <c r="AE1108" s="8" t="str">
        <f t="shared" si="51"/>
        <v/>
      </c>
      <c r="AF1108" s="8" t="str">
        <f t="shared" si="52"/>
        <v/>
      </c>
      <c r="AG1108" s="8" t="str">
        <f>IF(TRIM($E1108)&lt;&gt;"Tax Paid","",IF(COUNTIFS(LISTS!$F$2:$F$26,$AE1108,LISTS!$G$2:$G$26,$AF1108)=0,"NOT ON LIST",""))</f>
        <v/>
      </c>
      <c r="AH1108" s="8" t="str">
        <f t="shared" si="53"/>
        <v/>
      </c>
    </row>
    <row r="1109" spans="31:34" x14ac:dyDescent="0.25">
      <c r="AE1109" s="8" t="str">
        <f t="shared" si="51"/>
        <v/>
      </c>
      <c r="AF1109" s="8" t="str">
        <f t="shared" si="52"/>
        <v/>
      </c>
      <c r="AG1109" s="8" t="str">
        <f>IF(TRIM($E1109)&lt;&gt;"Tax Paid","",IF(COUNTIFS(LISTS!$F$2:$F$26,$AE1109,LISTS!$G$2:$G$26,$AF1109)=0,"NOT ON LIST",""))</f>
        <v/>
      </c>
      <c r="AH1109" s="8" t="str">
        <f t="shared" si="53"/>
        <v/>
      </c>
    </row>
    <row r="1110" spans="31:34" x14ac:dyDescent="0.25">
      <c r="AE1110" s="8" t="str">
        <f t="shared" si="51"/>
        <v/>
      </c>
      <c r="AF1110" s="8" t="str">
        <f t="shared" si="52"/>
        <v/>
      </c>
      <c r="AG1110" s="8" t="str">
        <f>IF(TRIM($E1110)&lt;&gt;"Tax Paid","",IF(COUNTIFS(LISTS!$F$2:$F$26,$AE1110,LISTS!$G$2:$G$26,$AF1110)=0,"NOT ON LIST",""))</f>
        <v/>
      </c>
      <c r="AH1110" s="8" t="str">
        <f t="shared" si="53"/>
        <v/>
      </c>
    </row>
    <row r="1111" spans="31:34" x14ac:dyDescent="0.25">
      <c r="AE1111" s="8" t="str">
        <f t="shared" si="51"/>
        <v/>
      </c>
      <c r="AF1111" s="8" t="str">
        <f t="shared" si="52"/>
        <v/>
      </c>
      <c r="AG1111" s="8" t="str">
        <f>IF(TRIM($E1111)&lt;&gt;"Tax Paid","",IF(COUNTIFS(LISTS!$F$2:$F$26,$AE1111,LISTS!$G$2:$G$26,$AF1111)=0,"NOT ON LIST",""))</f>
        <v/>
      </c>
      <c r="AH1111" s="8" t="str">
        <f t="shared" si="53"/>
        <v/>
      </c>
    </row>
    <row r="1112" spans="31:34" x14ac:dyDescent="0.25">
      <c r="AE1112" s="8" t="str">
        <f t="shared" si="51"/>
        <v/>
      </c>
      <c r="AF1112" s="8" t="str">
        <f t="shared" si="52"/>
        <v/>
      </c>
      <c r="AG1112" s="8" t="str">
        <f>IF(TRIM($E1112)&lt;&gt;"Tax Paid","",IF(COUNTIFS(LISTS!$F$2:$F$26,$AE1112,LISTS!$G$2:$G$26,$AF1112)=0,"NOT ON LIST",""))</f>
        <v/>
      </c>
      <c r="AH1112" s="8" t="str">
        <f t="shared" si="53"/>
        <v/>
      </c>
    </row>
    <row r="1113" spans="31:34" x14ac:dyDescent="0.25">
      <c r="AE1113" s="8" t="str">
        <f t="shared" si="51"/>
        <v/>
      </c>
      <c r="AF1113" s="8" t="str">
        <f t="shared" si="52"/>
        <v/>
      </c>
      <c r="AG1113" s="8" t="str">
        <f>IF(TRIM($E1113)&lt;&gt;"Tax Paid","",IF(COUNTIFS(LISTS!$F$2:$F$26,$AE1113,LISTS!$G$2:$G$26,$AF1113)=0,"NOT ON LIST",""))</f>
        <v/>
      </c>
      <c r="AH1113" s="8" t="str">
        <f t="shared" si="53"/>
        <v/>
      </c>
    </row>
    <row r="1114" spans="31:34" x14ac:dyDescent="0.25">
      <c r="AE1114" s="8" t="str">
        <f t="shared" si="51"/>
        <v/>
      </c>
      <c r="AF1114" s="8" t="str">
        <f t="shared" si="52"/>
        <v/>
      </c>
      <c r="AG1114" s="8" t="str">
        <f>IF(TRIM($E1114)&lt;&gt;"Tax Paid","",IF(COUNTIFS(LISTS!$F$2:$F$26,$AE1114,LISTS!$G$2:$G$26,$AF1114)=0,"NOT ON LIST",""))</f>
        <v/>
      </c>
      <c r="AH1114" s="8" t="str">
        <f t="shared" si="53"/>
        <v/>
      </c>
    </row>
    <row r="1115" spans="31:34" x14ac:dyDescent="0.25">
      <c r="AE1115" s="8" t="str">
        <f t="shared" si="51"/>
        <v/>
      </c>
      <c r="AF1115" s="8" t="str">
        <f t="shared" si="52"/>
        <v/>
      </c>
      <c r="AG1115" s="8" t="str">
        <f>IF(TRIM($E1115)&lt;&gt;"Tax Paid","",IF(COUNTIFS(LISTS!$F$2:$F$26,$AE1115,LISTS!$G$2:$G$26,$AF1115)=0,"NOT ON LIST",""))</f>
        <v/>
      </c>
      <c r="AH1115" s="8" t="str">
        <f t="shared" si="53"/>
        <v/>
      </c>
    </row>
    <row r="1116" spans="31:34" x14ac:dyDescent="0.25">
      <c r="AE1116" s="8" t="str">
        <f t="shared" si="51"/>
        <v/>
      </c>
      <c r="AF1116" s="8" t="str">
        <f t="shared" si="52"/>
        <v/>
      </c>
      <c r="AG1116" s="8" t="str">
        <f>IF(TRIM($E1116)&lt;&gt;"Tax Paid","",IF(COUNTIFS(LISTS!$F$2:$F$26,$AE1116,LISTS!$G$2:$G$26,$AF1116)=0,"NOT ON LIST",""))</f>
        <v/>
      </c>
      <c r="AH1116" s="8" t="str">
        <f t="shared" si="53"/>
        <v/>
      </c>
    </row>
    <row r="1117" spans="31:34" x14ac:dyDescent="0.25">
      <c r="AE1117" s="8" t="str">
        <f t="shared" si="51"/>
        <v/>
      </c>
      <c r="AF1117" s="8" t="str">
        <f t="shared" si="52"/>
        <v/>
      </c>
      <c r="AG1117" s="8" t="str">
        <f>IF(TRIM($E1117)&lt;&gt;"Tax Paid","",IF(COUNTIFS(LISTS!$F$2:$F$26,$AE1117,LISTS!$G$2:$G$26,$AF1117)=0,"NOT ON LIST",""))</f>
        <v/>
      </c>
      <c r="AH1117" s="8" t="str">
        <f t="shared" si="53"/>
        <v/>
      </c>
    </row>
    <row r="1118" spans="31:34" x14ac:dyDescent="0.25">
      <c r="AE1118" s="8" t="str">
        <f t="shared" si="51"/>
        <v/>
      </c>
      <c r="AF1118" s="8" t="str">
        <f t="shared" si="52"/>
        <v/>
      </c>
      <c r="AG1118" s="8" t="str">
        <f>IF(TRIM($E1118)&lt;&gt;"Tax Paid","",IF(COUNTIFS(LISTS!$F$2:$F$26,$AE1118,LISTS!$G$2:$G$26,$AF1118)=0,"NOT ON LIST",""))</f>
        <v/>
      </c>
      <c r="AH1118" s="8" t="str">
        <f t="shared" si="53"/>
        <v/>
      </c>
    </row>
    <row r="1119" spans="31:34" x14ac:dyDescent="0.25">
      <c r="AE1119" s="8" t="str">
        <f t="shared" si="51"/>
        <v/>
      </c>
      <c r="AF1119" s="8" t="str">
        <f t="shared" si="52"/>
        <v/>
      </c>
      <c r="AG1119" s="8" t="str">
        <f>IF(TRIM($E1119)&lt;&gt;"Tax Paid","",IF(COUNTIFS(LISTS!$F$2:$F$26,$AE1119,LISTS!$G$2:$G$26,$AF1119)=0,"NOT ON LIST",""))</f>
        <v/>
      </c>
      <c r="AH1119" s="8" t="str">
        <f t="shared" si="53"/>
        <v/>
      </c>
    </row>
    <row r="1120" spans="31:34" x14ac:dyDescent="0.25">
      <c r="AE1120" s="8" t="str">
        <f t="shared" si="51"/>
        <v/>
      </c>
      <c r="AF1120" s="8" t="str">
        <f t="shared" si="52"/>
        <v/>
      </c>
      <c r="AG1120" s="8" t="str">
        <f>IF(TRIM($E1120)&lt;&gt;"Tax Paid","",IF(COUNTIFS(LISTS!$F$2:$F$26,$AE1120,LISTS!$G$2:$G$26,$AF1120)=0,"NOT ON LIST",""))</f>
        <v/>
      </c>
      <c r="AH1120" s="8" t="str">
        <f t="shared" si="53"/>
        <v/>
      </c>
    </row>
    <row r="1121" spans="31:34" x14ac:dyDescent="0.25">
      <c r="AE1121" s="8" t="str">
        <f t="shared" si="51"/>
        <v/>
      </c>
      <c r="AF1121" s="8" t="str">
        <f t="shared" si="52"/>
        <v/>
      </c>
      <c r="AG1121" s="8" t="str">
        <f>IF(TRIM($E1121)&lt;&gt;"Tax Paid","",IF(COUNTIFS(LISTS!$F$2:$F$26,$AE1121,LISTS!$G$2:$G$26,$AF1121)=0,"NOT ON LIST",""))</f>
        <v/>
      </c>
      <c r="AH1121" s="8" t="str">
        <f t="shared" si="53"/>
        <v/>
      </c>
    </row>
    <row r="1122" spans="31:34" x14ac:dyDescent="0.25">
      <c r="AE1122" s="8" t="str">
        <f t="shared" si="51"/>
        <v/>
      </c>
      <c r="AF1122" s="8" t="str">
        <f t="shared" si="52"/>
        <v/>
      </c>
      <c r="AG1122" s="8" t="str">
        <f>IF(TRIM($E1122)&lt;&gt;"Tax Paid","",IF(COUNTIFS(LISTS!$F$2:$F$26,$AE1122,LISTS!$G$2:$G$26,$AF1122)=0,"NOT ON LIST",""))</f>
        <v/>
      </c>
      <c r="AH1122" s="8" t="str">
        <f t="shared" si="53"/>
        <v/>
      </c>
    </row>
    <row r="1123" spans="31:34" x14ac:dyDescent="0.25">
      <c r="AE1123" s="8" t="str">
        <f t="shared" si="51"/>
        <v/>
      </c>
      <c r="AF1123" s="8" t="str">
        <f t="shared" si="52"/>
        <v/>
      </c>
      <c r="AG1123" s="8" t="str">
        <f>IF(TRIM($E1123)&lt;&gt;"Tax Paid","",IF(COUNTIFS(LISTS!$F$2:$F$26,$AE1123,LISTS!$G$2:$G$26,$AF1123)=0,"NOT ON LIST",""))</f>
        <v/>
      </c>
      <c r="AH1123" s="8" t="str">
        <f t="shared" si="53"/>
        <v/>
      </c>
    </row>
    <row r="1124" spans="31:34" x14ac:dyDescent="0.25">
      <c r="AE1124" s="8" t="str">
        <f t="shared" si="51"/>
        <v/>
      </c>
      <c r="AF1124" s="8" t="str">
        <f t="shared" si="52"/>
        <v/>
      </c>
      <c r="AG1124" s="8" t="str">
        <f>IF(TRIM($E1124)&lt;&gt;"Tax Paid","",IF(COUNTIFS(LISTS!$F$2:$F$26,$AE1124,LISTS!$G$2:$G$26,$AF1124)=0,"NOT ON LIST",""))</f>
        <v/>
      </c>
      <c r="AH1124" s="8" t="str">
        <f t="shared" si="53"/>
        <v/>
      </c>
    </row>
    <row r="1125" spans="31:34" x14ac:dyDescent="0.25">
      <c r="AE1125" s="8" t="str">
        <f t="shared" si="51"/>
        <v/>
      </c>
      <c r="AF1125" s="8" t="str">
        <f t="shared" si="52"/>
        <v/>
      </c>
      <c r="AG1125" s="8" t="str">
        <f>IF(TRIM($E1125)&lt;&gt;"Tax Paid","",IF(COUNTIFS(LISTS!$F$2:$F$26,$AE1125,LISTS!$G$2:$G$26,$AF1125)=0,"NOT ON LIST",""))</f>
        <v/>
      </c>
      <c r="AH1125" s="8" t="str">
        <f t="shared" si="53"/>
        <v/>
      </c>
    </row>
    <row r="1126" spans="31:34" x14ac:dyDescent="0.25">
      <c r="AE1126" s="8" t="str">
        <f t="shared" si="51"/>
        <v/>
      </c>
      <c r="AF1126" s="8" t="str">
        <f t="shared" si="52"/>
        <v/>
      </c>
      <c r="AG1126" s="8" t="str">
        <f>IF(TRIM($E1126)&lt;&gt;"Tax Paid","",IF(COUNTIFS(LISTS!$F$2:$F$26,$AE1126,LISTS!$G$2:$G$26,$AF1126)=0,"NOT ON LIST",""))</f>
        <v/>
      </c>
      <c r="AH1126" s="8" t="str">
        <f t="shared" si="53"/>
        <v/>
      </c>
    </row>
    <row r="1127" spans="31:34" x14ac:dyDescent="0.25">
      <c r="AE1127" s="8" t="str">
        <f t="shared" si="51"/>
        <v/>
      </c>
      <c r="AF1127" s="8" t="str">
        <f t="shared" si="52"/>
        <v/>
      </c>
      <c r="AG1127" s="8" t="str">
        <f>IF(TRIM($E1127)&lt;&gt;"Tax Paid","",IF(COUNTIFS(LISTS!$F$2:$F$26,$AE1127,LISTS!$G$2:$G$26,$AF1127)=0,"NOT ON LIST",""))</f>
        <v/>
      </c>
      <c r="AH1127" s="8" t="str">
        <f t="shared" si="53"/>
        <v/>
      </c>
    </row>
    <row r="1128" spans="31:34" x14ac:dyDescent="0.25">
      <c r="AE1128" s="8" t="str">
        <f t="shared" si="51"/>
        <v/>
      </c>
      <c r="AF1128" s="8" t="str">
        <f t="shared" si="52"/>
        <v/>
      </c>
      <c r="AG1128" s="8" t="str">
        <f>IF(TRIM($E1128)&lt;&gt;"Tax Paid","",IF(COUNTIFS(LISTS!$F$2:$F$26,$AE1128,LISTS!$G$2:$G$26,$AF1128)=0,"NOT ON LIST",""))</f>
        <v/>
      </c>
      <c r="AH1128" s="8" t="str">
        <f t="shared" si="53"/>
        <v/>
      </c>
    </row>
    <row r="1129" spans="31:34" x14ac:dyDescent="0.25">
      <c r="AE1129" s="8" t="str">
        <f t="shared" si="51"/>
        <v/>
      </c>
      <c r="AF1129" s="8" t="str">
        <f t="shared" si="52"/>
        <v/>
      </c>
      <c r="AG1129" s="8" t="str">
        <f>IF(TRIM($E1129)&lt;&gt;"Tax Paid","",IF(COUNTIFS(LISTS!$F$2:$F$26,$AE1129,LISTS!$G$2:$G$26,$AF1129)=0,"NOT ON LIST",""))</f>
        <v/>
      </c>
      <c r="AH1129" s="8" t="str">
        <f t="shared" si="53"/>
        <v/>
      </c>
    </row>
    <row r="1130" spans="31:34" x14ac:dyDescent="0.25">
      <c r="AE1130" s="8" t="str">
        <f t="shared" si="51"/>
        <v/>
      </c>
      <c r="AF1130" s="8" t="str">
        <f t="shared" si="52"/>
        <v/>
      </c>
      <c r="AG1130" s="8" t="str">
        <f>IF(TRIM($E1130)&lt;&gt;"Tax Paid","",IF(COUNTIFS(LISTS!$F$2:$F$26,$AE1130,LISTS!$G$2:$G$26,$AF1130)=0,"NOT ON LIST",""))</f>
        <v/>
      </c>
      <c r="AH1130" s="8" t="str">
        <f t="shared" si="53"/>
        <v/>
      </c>
    </row>
    <row r="1131" spans="31:34" x14ac:dyDescent="0.25">
      <c r="AE1131" s="8" t="str">
        <f t="shared" si="51"/>
        <v/>
      </c>
      <c r="AF1131" s="8" t="str">
        <f t="shared" si="52"/>
        <v/>
      </c>
      <c r="AG1131" s="8" t="str">
        <f>IF(TRIM($E1131)&lt;&gt;"Tax Paid","",IF(COUNTIFS(LISTS!$F$2:$F$26,$AE1131,LISTS!$G$2:$G$26,$AF1131)=0,"NOT ON LIST",""))</f>
        <v/>
      </c>
      <c r="AH1131" s="8" t="str">
        <f t="shared" si="53"/>
        <v/>
      </c>
    </row>
    <row r="1132" spans="31:34" x14ac:dyDescent="0.25">
      <c r="AE1132" s="8" t="str">
        <f t="shared" si="51"/>
        <v/>
      </c>
      <c r="AF1132" s="8" t="str">
        <f t="shared" si="52"/>
        <v/>
      </c>
      <c r="AG1132" s="8" t="str">
        <f>IF(TRIM($E1132)&lt;&gt;"Tax Paid","",IF(COUNTIFS(LISTS!$F$2:$F$26,$AE1132,LISTS!$G$2:$G$26,$AF1132)=0,"NOT ON LIST",""))</f>
        <v/>
      </c>
      <c r="AH1132" s="8" t="str">
        <f t="shared" si="53"/>
        <v/>
      </c>
    </row>
    <row r="1133" spans="31:34" x14ac:dyDescent="0.25">
      <c r="AE1133" s="8" t="str">
        <f t="shared" si="51"/>
        <v/>
      </c>
      <c r="AF1133" s="8" t="str">
        <f t="shared" si="52"/>
        <v/>
      </c>
      <c r="AG1133" s="8" t="str">
        <f>IF(TRIM($E1133)&lt;&gt;"Tax Paid","",IF(COUNTIFS(LISTS!$F$2:$F$26,$AE1133,LISTS!$G$2:$G$26,$AF1133)=0,"NOT ON LIST",""))</f>
        <v/>
      </c>
      <c r="AH1133" s="8" t="str">
        <f t="shared" si="53"/>
        <v/>
      </c>
    </row>
    <row r="1134" spans="31:34" x14ac:dyDescent="0.25">
      <c r="AE1134" s="8" t="str">
        <f t="shared" si="51"/>
        <v/>
      </c>
      <c r="AF1134" s="8" t="str">
        <f t="shared" si="52"/>
        <v/>
      </c>
      <c r="AG1134" s="8" t="str">
        <f>IF(TRIM($E1134)&lt;&gt;"Tax Paid","",IF(COUNTIFS(LISTS!$F$2:$F$26,$AE1134,LISTS!$G$2:$G$26,$AF1134)=0,"NOT ON LIST",""))</f>
        <v/>
      </c>
      <c r="AH1134" s="8" t="str">
        <f t="shared" si="53"/>
        <v/>
      </c>
    </row>
    <row r="1135" spans="31:34" x14ac:dyDescent="0.25">
      <c r="AE1135" s="8" t="str">
        <f t="shared" si="51"/>
        <v/>
      </c>
      <c r="AF1135" s="8" t="str">
        <f t="shared" si="52"/>
        <v/>
      </c>
      <c r="AG1135" s="8" t="str">
        <f>IF(TRIM($E1135)&lt;&gt;"Tax Paid","",IF(COUNTIFS(LISTS!$F$2:$F$26,$AE1135,LISTS!$G$2:$G$26,$AF1135)=0,"NOT ON LIST",""))</f>
        <v/>
      </c>
      <c r="AH1135" s="8" t="str">
        <f t="shared" si="53"/>
        <v/>
      </c>
    </row>
    <row r="1136" spans="31:34" x14ac:dyDescent="0.25">
      <c r="AE1136" s="8" t="str">
        <f t="shared" si="51"/>
        <v/>
      </c>
      <c r="AF1136" s="8" t="str">
        <f t="shared" si="52"/>
        <v/>
      </c>
      <c r="AG1136" s="8" t="str">
        <f>IF(TRIM($E1136)&lt;&gt;"Tax Paid","",IF(COUNTIFS(LISTS!$F$2:$F$26,$AE1136,LISTS!$G$2:$G$26,$AF1136)=0,"NOT ON LIST",""))</f>
        <v/>
      </c>
      <c r="AH1136" s="8" t="str">
        <f t="shared" si="53"/>
        <v/>
      </c>
    </row>
    <row r="1137" spans="31:34" x14ac:dyDescent="0.25">
      <c r="AE1137" s="8" t="str">
        <f t="shared" si="51"/>
        <v/>
      </c>
      <c r="AF1137" s="8" t="str">
        <f t="shared" si="52"/>
        <v/>
      </c>
      <c r="AG1137" s="8" t="str">
        <f>IF(TRIM($E1137)&lt;&gt;"Tax Paid","",IF(COUNTIFS(LISTS!$F$2:$F$26,$AE1137,LISTS!$G$2:$G$26,$AF1137)=0,"NOT ON LIST",""))</f>
        <v/>
      </c>
      <c r="AH1137" s="8" t="str">
        <f t="shared" si="53"/>
        <v/>
      </c>
    </row>
    <row r="1138" spans="31:34" x14ac:dyDescent="0.25">
      <c r="AE1138" s="8" t="str">
        <f t="shared" si="51"/>
        <v/>
      </c>
      <c r="AF1138" s="8" t="str">
        <f t="shared" si="52"/>
        <v/>
      </c>
      <c r="AG1138" s="8" t="str">
        <f>IF(TRIM($E1138)&lt;&gt;"Tax Paid","",IF(COUNTIFS(LISTS!$F$2:$F$26,$AE1138,LISTS!$G$2:$G$26,$AF1138)=0,"NOT ON LIST",""))</f>
        <v/>
      </c>
      <c r="AH1138" s="8" t="str">
        <f t="shared" si="53"/>
        <v/>
      </c>
    </row>
    <row r="1139" spans="31:34" x14ac:dyDescent="0.25">
      <c r="AE1139" s="8" t="str">
        <f t="shared" si="51"/>
        <v/>
      </c>
      <c r="AF1139" s="8" t="str">
        <f t="shared" si="52"/>
        <v/>
      </c>
      <c r="AG1139" s="8" t="str">
        <f>IF(TRIM($E1139)&lt;&gt;"Tax Paid","",IF(COUNTIFS(LISTS!$F$2:$F$26,$AE1139,LISTS!$G$2:$G$26,$AF1139)=0,"NOT ON LIST",""))</f>
        <v/>
      </c>
      <c r="AH1139" s="8" t="str">
        <f t="shared" si="53"/>
        <v/>
      </c>
    </row>
    <row r="1140" spans="31:34" x14ac:dyDescent="0.25">
      <c r="AE1140" s="8" t="str">
        <f t="shared" si="51"/>
        <v/>
      </c>
      <c r="AF1140" s="8" t="str">
        <f t="shared" si="52"/>
        <v/>
      </c>
      <c r="AG1140" s="8" t="str">
        <f>IF(TRIM($E1140)&lt;&gt;"Tax Paid","",IF(COUNTIFS(LISTS!$F$2:$F$26,$AE1140,LISTS!$G$2:$G$26,$AF1140)=0,"NOT ON LIST",""))</f>
        <v/>
      </c>
      <c r="AH1140" s="8" t="str">
        <f t="shared" si="53"/>
        <v/>
      </c>
    </row>
    <row r="1141" spans="31:34" x14ac:dyDescent="0.25">
      <c r="AE1141" s="8" t="str">
        <f t="shared" si="51"/>
        <v/>
      </c>
      <c r="AF1141" s="8" t="str">
        <f t="shared" si="52"/>
        <v/>
      </c>
      <c r="AG1141" s="8" t="str">
        <f>IF(TRIM($E1141)&lt;&gt;"Tax Paid","",IF(COUNTIFS(LISTS!$F$2:$F$26,$AE1141,LISTS!$G$2:$G$26,$AF1141)=0,"NOT ON LIST",""))</f>
        <v/>
      </c>
      <c r="AH1141" s="8" t="str">
        <f t="shared" si="53"/>
        <v/>
      </c>
    </row>
    <row r="1142" spans="31:34" x14ac:dyDescent="0.25">
      <c r="AE1142" s="8" t="str">
        <f t="shared" si="51"/>
        <v/>
      </c>
      <c r="AF1142" s="8" t="str">
        <f t="shared" si="52"/>
        <v/>
      </c>
      <c r="AG1142" s="8" t="str">
        <f>IF(TRIM($E1142)&lt;&gt;"Tax Paid","",IF(COUNTIFS(LISTS!$F$2:$F$26,$AE1142,LISTS!$G$2:$G$26,$AF1142)=0,"NOT ON LIST",""))</f>
        <v/>
      </c>
      <c r="AH1142" s="8" t="str">
        <f t="shared" si="53"/>
        <v/>
      </c>
    </row>
    <row r="1143" spans="31:34" x14ac:dyDescent="0.25">
      <c r="AE1143" s="8" t="str">
        <f t="shared" si="51"/>
        <v/>
      </c>
      <c r="AF1143" s="8" t="str">
        <f t="shared" si="52"/>
        <v/>
      </c>
      <c r="AG1143" s="8" t="str">
        <f>IF(TRIM($E1143)&lt;&gt;"Tax Paid","",IF(COUNTIFS(LISTS!$F$2:$F$26,$AE1143,LISTS!$G$2:$G$26,$AF1143)=0,"NOT ON LIST",""))</f>
        <v/>
      </c>
      <c r="AH1143" s="8" t="str">
        <f t="shared" si="53"/>
        <v/>
      </c>
    </row>
    <row r="1144" spans="31:34" x14ac:dyDescent="0.25">
      <c r="AE1144" s="8" t="str">
        <f t="shared" si="51"/>
        <v/>
      </c>
      <c r="AF1144" s="8" t="str">
        <f t="shared" si="52"/>
        <v/>
      </c>
      <c r="AG1144" s="8" t="str">
        <f>IF(TRIM($E1144)&lt;&gt;"Tax Paid","",IF(COUNTIFS(LISTS!$F$2:$F$26,$AE1144,LISTS!$G$2:$G$26,$AF1144)=0,"NOT ON LIST",""))</f>
        <v/>
      </c>
      <c r="AH1144" s="8" t="str">
        <f t="shared" si="53"/>
        <v/>
      </c>
    </row>
    <row r="1145" spans="31:34" x14ac:dyDescent="0.25">
      <c r="AE1145" s="8" t="str">
        <f t="shared" si="51"/>
        <v/>
      </c>
      <c r="AF1145" s="8" t="str">
        <f t="shared" si="52"/>
        <v/>
      </c>
      <c r="AG1145" s="8" t="str">
        <f>IF(TRIM($E1145)&lt;&gt;"Tax Paid","",IF(COUNTIFS(LISTS!$F$2:$F$26,$AE1145,LISTS!$G$2:$G$26,$AF1145)=0,"NOT ON LIST",""))</f>
        <v/>
      </c>
      <c r="AH1145" s="8" t="str">
        <f t="shared" si="53"/>
        <v/>
      </c>
    </row>
    <row r="1146" spans="31:34" x14ac:dyDescent="0.25">
      <c r="AE1146" s="8" t="str">
        <f t="shared" si="51"/>
        <v/>
      </c>
      <c r="AF1146" s="8" t="str">
        <f t="shared" si="52"/>
        <v/>
      </c>
      <c r="AG1146" s="8" t="str">
        <f>IF(TRIM($E1146)&lt;&gt;"Tax Paid","",IF(COUNTIFS(LISTS!$F$2:$F$26,$AE1146,LISTS!$G$2:$G$26,$AF1146)=0,"NOT ON LIST",""))</f>
        <v/>
      </c>
      <c r="AH1146" s="8" t="str">
        <f t="shared" si="53"/>
        <v/>
      </c>
    </row>
    <row r="1147" spans="31:34" x14ac:dyDescent="0.25">
      <c r="AE1147" s="8" t="str">
        <f t="shared" si="51"/>
        <v/>
      </c>
      <c r="AF1147" s="8" t="str">
        <f t="shared" si="52"/>
        <v/>
      </c>
      <c r="AG1147" s="8" t="str">
        <f>IF(TRIM($E1147)&lt;&gt;"Tax Paid","",IF(COUNTIFS(LISTS!$F$2:$F$26,$AE1147,LISTS!$G$2:$G$26,$AF1147)=0,"NOT ON LIST",""))</f>
        <v/>
      </c>
      <c r="AH1147" s="8" t="str">
        <f t="shared" si="53"/>
        <v/>
      </c>
    </row>
    <row r="1148" spans="31:34" x14ac:dyDescent="0.25">
      <c r="AE1148" s="8" t="str">
        <f t="shared" si="51"/>
        <v/>
      </c>
      <c r="AF1148" s="8" t="str">
        <f t="shared" si="52"/>
        <v/>
      </c>
      <c r="AG1148" s="8" t="str">
        <f>IF(TRIM($E1148)&lt;&gt;"Tax Paid","",IF(COUNTIFS(LISTS!$F$2:$F$26,$AE1148,LISTS!$G$2:$G$26,$AF1148)=0,"NOT ON LIST",""))</f>
        <v/>
      </c>
      <c r="AH1148" s="8" t="str">
        <f t="shared" si="53"/>
        <v/>
      </c>
    </row>
    <row r="1149" spans="31:34" x14ac:dyDescent="0.25">
      <c r="AE1149" s="8" t="str">
        <f t="shared" si="51"/>
        <v/>
      </c>
      <c r="AF1149" s="8" t="str">
        <f t="shared" si="52"/>
        <v/>
      </c>
      <c r="AG1149" s="8" t="str">
        <f>IF(TRIM($E1149)&lt;&gt;"Tax Paid","",IF(COUNTIFS(LISTS!$F$2:$F$26,$AE1149,LISTS!$G$2:$G$26,$AF1149)=0,"NOT ON LIST",""))</f>
        <v/>
      </c>
      <c r="AH1149" s="8" t="str">
        <f t="shared" si="53"/>
        <v/>
      </c>
    </row>
    <row r="1150" spans="31:34" x14ac:dyDescent="0.25">
      <c r="AE1150" s="8" t="str">
        <f t="shared" si="51"/>
        <v/>
      </c>
      <c r="AF1150" s="8" t="str">
        <f t="shared" si="52"/>
        <v/>
      </c>
      <c r="AG1150" s="8" t="str">
        <f>IF(TRIM($E1150)&lt;&gt;"Tax Paid","",IF(COUNTIFS(LISTS!$F$2:$F$26,$AE1150,LISTS!$G$2:$G$26,$AF1150)=0,"NOT ON LIST",""))</f>
        <v/>
      </c>
      <c r="AH1150" s="8" t="str">
        <f t="shared" si="53"/>
        <v/>
      </c>
    </row>
    <row r="1151" spans="31:34" x14ac:dyDescent="0.25">
      <c r="AE1151" s="8" t="str">
        <f t="shared" si="51"/>
        <v/>
      </c>
      <c r="AF1151" s="8" t="str">
        <f t="shared" si="52"/>
        <v/>
      </c>
      <c r="AG1151" s="8" t="str">
        <f>IF(TRIM($E1151)&lt;&gt;"Tax Paid","",IF(COUNTIFS(LISTS!$F$2:$F$26,$AE1151,LISTS!$G$2:$G$26,$AF1151)=0,"NOT ON LIST",""))</f>
        <v/>
      </c>
      <c r="AH1151" s="8" t="str">
        <f t="shared" si="53"/>
        <v/>
      </c>
    </row>
    <row r="1152" spans="31:34" x14ac:dyDescent="0.25">
      <c r="AE1152" s="8" t="str">
        <f t="shared" si="51"/>
        <v/>
      </c>
      <c r="AF1152" s="8" t="str">
        <f t="shared" si="52"/>
        <v/>
      </c>
      <c r="AG1152" s="8" t="str">
        <f>IF(TRIM($E1152)&lt;&gt;"Tax Paid","",IF(COUNTIFS(LISTS!$F$2:$F$26,$AE1152,LISTS!$G$2:$G$26,$AF1152)=0,"NOT ON LIST",""))</f>
        <v/>
      </c>
      <c r="AH1152" s="8" t="str">
        <f t="shared" si="53"/>
        <v/>
      </c>
    </row>
    <row r="1153" spans="31:34" x14ac:dyDescent="0.25">
      <c r="AE1153" s="8" t="str">
        <f t="shared" si="51"/>
        <v/>
      </c>
      <c r="AF1153" s="8" t="str">
        <f t="shared" si="52"/>
        <v/>
      </c>
      <c r="AG1153" s="8" t="str">
        <f>IF(TRIM($E1153)&lt;&gt;"Tax Paid","",IF(COUNTIFS(LISTS!$F$2:$F$26,$AE1153,LISTS!$G$2:$G$26,$AF1153)=0,"NOT ON LIST",""))</f>
        <v/>
      </c>
      <c r="AH1153" s="8" t="str">
        <f t="shared" si="53"/>
        <v/>
      </c>
    </row>
    <row r="1154" spans="31:34" x14ac:dyDescent="0.25">
      <c r="AE1154" s="8" t="str">
        <f t="shared" ref="AE1154:AE1217" si="54">IF(TRIM($E1154)="Tax Paid",TRIM($S1154),"")</f>
        <v/>
      </c>
      <c r="AF1154" s="8" t="str">
        <f t="shared" ref="AF1154:AF1217" si="55">IF(TRIM($E1154)="Tax Paid",ROUND($Z1154/100,5),"")</f>
        <v/>
      </c>
      <c r="AG1154" s="8" t="str">
        <f>IF(TRIM($E1154)&lt;&gt;"Tax Paid","",IF(COUNTIFS(LISTS!$F$2:$F$26,$AE1154,LISTS!$G$2:$G$26,$AF1154)=0,"NOT ON LIST",""))</f>
        <v/>
      </c>
      <c r="AH1154" s="8" t="str">
        <f t="shared" ref="AH1154:AH1217" si="56">IF($AG1154="","",IF($AE1154="","(no county)",$AE1154)&amp;" ("&amp;SUBSTITUTE(TEXT($AF1154,"0.###%"),".%","%")&amp;")")</f>
        <v/>
      </c>
    </row>
    <row r="1155" spans="31:34" x14ac:dyDescent="0.25">
      <c r="AE1155" s="8" t="str">
        <f t="shared" si="54"/>
        <v/>
      </c>
      <c r="AF1155" s="8" t="str">
        <f t="shared" si="55"/>
        <v/>
      </c>
      <c r="AG1155" s="8" t="str">
        <f>IF(TRIM($E1155)&lt;&gt;"Tax Paid","",IF(COUNTIFS(LISTS!$F$2:$F$26,$AE1155,LISTS!$G$2:$G$26,$AF1155)=0,"NOT ON LIST",""))</f>
        <v/>
      </c>
      <c r="AH1155" s="8" t="str">
        <f t="shared" si="56"/>
        <v/>
      </c>
    </row>
    <row r="1156" spans="31:34" x14ac:dyDescent="0.25">
      <c r="AE1156" s="8" t="str">
        <f t="shared" si="54"/>
        <v/>
      </c>
      <c r="AF1156" s="8" t="str">
        <f t="shared" si="55"/>
        <v/>
      </c>
      <c r="AG1156" s="8" t="str">
        <f>IF(TRIM($E1156)&lt;&gt;"Tax Paid","",IF(COUNTIFS(LISTS!$F$2:$F$26,$AE1156,LISTS!$G$2:$G$26,$AF1156)=0,"NOT ON LIST",""))</f>
        <v/>
      </c>
      <c r="AH1156" s="8" t="str">
        <f t="shared" si="56"/>
        <v/>
      </c>
    </row>
    <row r="1157" spans="31:34" x14ac:dyDescent="0.25">
      <c r="AE1157" s="8" t="str">
        <f t="shared" si="54"/>
        <v/>
      </c>
      <c r="AF1157" s="8" t="str">
        <f t="shared" si="55"/>
        <v/>
      </c>
      <c r="AG1157" s="8" t="str">
        <f>IF(TRIM($E1157)&lt;&gt;"Tax Paid","",IF(COUNTIFS(LISTS!$F$2:$F$26,$AE1157,LISTS!$G$2:$G$26,$AF1157)=0,"NOT ON LIST",""))</f>
        <v/>
      </c>
      <c r="AH1157" s="8" t="str">
        <f t="shared" si="56"/>
        <v/>
      </c>
    </row>
    <row r="1158" spans="31:34" x14ac:dyDescent="0.25">
      <c r="AE1158" s="8" t="str">
        <f t="shared" si="54"/>
        <v/>
      </c>
      <c r="AF1158" s="8" t="str">
        <f t="shared" si="55"/>
        <v/>
      </c>
      <c r="AG1158" s="8" t="str">
        <f>IF(TRIM($E1158)&lt;&gt;"Tax Paid","",IF(COUNTIFS(LISTS!$F$2:$F$26,$AE1158,LISTS!$G$2:$G$26,$AF1158)=0,"NOT ON LIST",""))</f>
        <v/>
      </c>
      <c r="AH1158" s="8" t="str">
        <f t="shared" si="56"/>
        <v/>
      </c>
    </row>
    <row r="1159" spans="31:34" x14ac:dyDescent="0.25">
      <c r="AE1159" s="8" t="str">
        <f t="shared" si="54"/>
        <v/>
      </c>
      <c r="AF1159" s="8" t="str">
        <f t="shared" si="55"/>
        <v/>
      </c>
      <c r="AG1159" s="8" t="str">
        <f>IF(TRIM($E1159)&lt;&gt;"Tax Paid","",IF(COUNTIFS(LISTS!$F$2:$F$26,$AE1159,LISTS!$G$2:$G$26,$AF1159)=0,"NOT ON LIST",""))</f>
        <v/>
      </c>
      <c r="AH1159" s="8" t="str">
        <f t="shared" si="56"/>
        <v/>
      </c>
    </row>
    <row r="1160" spans="31:34" x14ac:dyDescent="0.25">
      <c r="AE1160" s="8" t="str">
        <f t="shared" si="54"/>
        <v/>
      </c>
      <c r="AF1160" s="8" t="str">
        <f t="shared" si="55"/>
        <v/>
      </c>
      <c r="AG1160" s="8" t="str">
        <f>IF(TRIM($E1160)&lt;&gt;"Tax Paid","",IF(COUNTIFS(LISTS!$F$2:$F$26,$AE1160,LISTS!$G$2:$G$26,$AF1160)=0,"NOT ON LIST",""))</f>
        <v/>
      </c>
      <c r="AH1160" s="8" t="str">
        <f t="shared" si="56"/>
        <v/>
      </c>
    </row>
    <row r="1161" spans="31:34" x14ac:dyDescent="0.25">
      <c r="AE1161" s="8" t="str">
        <f t="shared" si="54"/>
        <v/>
      </c>
      <c r="AF1161" s="8" t="str">
        <f t="shared" si="55"/>
        <v/>
      </c>
      <c r="AG1161" s="8" t="str">
        <f>IF(TRIM($E1161)&lt;&gt;"Tax Paid","",IF(COUNTIFS(LISTS!$F$2:$F$26,$AE1161,LISTS!$G$2:$G$26,$AF1161)=0,"NOT ON LIST",""))</f>
        <v/>
      </c>
      <c r="AH1161" s="8" t="str">
        <f t="shared" si="56"/>
        <v/>
      </c>
    </row>
    <row r="1162" spans="31:34" x14ac:dyDescent="0.25">
      <c r="AE1162" s="8" t="str">
        <f t="shared" si="54"/>
        <v/>
      </c>
      <c r="AF1162" s="8" t="str">
        <f t="shared" si="55"/>
        <v/>
      </c>
      <c r="AG1162" s="8" t="str">
        <f>IF(TRIM($E1162)&lt;&gt;"Tax Paid","",IF(COUNTIFS(LISTS!$F$2:$F$26,$AE1162,LISTS!$G$2:$G$26,$AF1162)=0,"NOT ON LIST",""))</f>
        <v/>
      </c>
      <c r="AH1162" s="8" t="str">
        <f t="shared" si="56"/>
        <v/>
      </c>
    </row>
    <row r="1163" spans="31:34" x14ac:dyDescent="0.25">
      <c r="AE1163" s="8" t="str">
        <f t="shared" si="54"/>
        <v/>
      </c>
      <c r="AF1163" s="8" t="str">
        <f t="shared" si="55"/>
        <v/>
      </c>
      <c r="AG1163" s="8" t="str">
        <f>IF(TRIM($E1163)&lt;&gt;"Tax Paid","",IF(COUNTIFS(LISTS!$F$2:$F$26,$AE1163,LISTS!$G$2:$G$26,$AF1163)=0,"NOT ON LIST",""))</f>
        <v/>
      </c>
      <c r="AH1163" s="8" t="str">
        <f t="shared" si="56"/>
        <v/>
      </c>
    </row>
    <row r="1164" spans="31:34" x14ac:dyDescent="0.25">
      <c r="AE1164" s="8" t="str">
        <f t="shared" si="54"/>
        <v/>
      </c>
      <c r="AF1164" s="8" t="str">
        <f t="shared" si="55"/>
        <v/>
      </c>
      <c r="AG1164" s="8" t="str">
        <f>IF(TRIM($E1164)&lt;&gt;"Tax Paid","",IF(COUNTIFS(LISTS!$F$2:$F$26,$AE1164,LISTS!$G$2:$G$26,$AF1164)=0,"NOT ON LIST",""))</f>
        <v/>
      </c>
      <c r="AH1164" s="8" t="str">
        <f t="shared" si="56"/>
        <v/>
      </c>
    </row>
    <row r="1165" spans="31:34" x14ac:dyDescent="0.25">
      <c r="AE1165" s="8" t="str">
        <f t="shared" si="54"/>
        <v/>
      </c>
      <c r="AF1165" s="8" t="str">
        <f t="shared" si="55"/>
        <v/>
      </c>
      <c r="AG1165" s="8" t="str">
        <f>IF(TRIM($E1165)&lt;&gt;"Tax Paid","",IF(COUNTIFS(LISTS!$F$2:$F$26,$AE1165,LISTS!$G$2:$G$26,$AF1165)=0,"NOT ON LIST",""))</f>
        <v/>
      </c>
      <c r="AH1165" s="8" t="str">
        <f t="shared" si="56"/>
        <v/>
      </c>
    </row>
    <row r="1166" spans="31:34" x14ac:dyDescent="0.25">
      <c r="AE1166" s="8" t="str">
        <f t="shared" si="54"/>
        <v/>
      </c>
      <c r="AF1166" s="8" t="str">
        <f t="shared" si="55"/>
        <v/>
      </c>
      <c r="AG1166" s="8" t="str">
        <f>IF(TRIM($E1166)&lt;&gt;"Tax Paid","",IF(COUNTIFS(LISTS!$F$2:$F$26,$AE1166,LISTS!$G$2:$G$26,$AF1166)=0,"NOT ON LIST",""))</f>
        <v/>
      </c>
      <c r="AH1166" s="8" t="str">
        <f t="shared" si="56"/>
        <v/>
      </c>
    </row>
    <row r="1167" spans="31:34" x14ac:dyDescent="0.25">
      <c r="AE1167" s="8" t="str">
        <f t="shared" si="54"/>
        <v/>
      </c>
      <c r="AF1167" s="8" t="str">
        <f t="shared" si="55"/>
        <v/>
      </c>
      <c r="AG1167" s="8" t="str">
        <f>IF(TRIM($E1167)&lt;&gt;"Tax Paid","",IF(COUNTIFS(LISTS!$F$2:$F$26,$AE1167,LISTS!$G$2:$G$26,$AF1167)=0,"NOT ON LIST",""))</f>
        <v/>
      </c>
      <c r="AH1167" s="8" t="str">
        <f t="shared" si="56"/>
        <v/>
      </c>
    </row>
    <row r="1168" spans="31:34" x14ac:dyDescent="0.25">
      <c r="AE1168" s="8" t="str">
        <f t="shared" si="54"/>
        <v/>
      </c>
      <c r="AF1168" s="8" t="str">
        <f t="shared" si="55"/>
        <v/>
      </c>
      <c r="AG1168" s="8" t="str">
        <f>IF(TRIM($E1168)&lt;&gt;"Tax Paid","",IF(COUNTIFS(LISTS!$F$2:$F$26,$AE1168,LISTS!$G$2:$G$26,$AF1168)=0,"NOT ON LIST",""))</f>
        <v/>
      </c>
      <c r="AH1168" s="8" t="str">
        <f t="shared" si="56"/>
        <v/>
      </c>
    </row>
    <row r="1169" spans="31:34" x14ac:dyDescent="0.25">
      <c r="AE1169" s="8" t="str">
        <f t="shared" si="54"/>
        <v/>
      </c>
      <c r="AF1169" s="8" t="str">
        <f t="shared" si="55"/>
        <v/>
      </c>
      <c r="AG1169" s="8" t="str">
        <f>IF(TRIM($E1169)&lt;&gt;"Tax Paid","",IF(COUNTIFS(LISTS!$F$2:$F$26,$AE1169,LISTS!$G$2:$G$26,$AF1169)=0,"NOT ON LIST",""))</f>
        <v/>
      </c>
      <c r="AH1169" s="8" t="str">
        <f t="shared" si="56"/>
        <v/>
      </c>
    </row>
    <row r="1170" spans="31:34" x14ac:dyDescent="0.25">
      <c r="AE1170" s="8" t="str">
        <f t="shared" si="54"/>
        <v/>
      </c>
      <c r="AF1170" s="8" t="str">
        <f t="shared" si="55"/>
        <v/>
      </c>
      <c r="AG1170" s="8" t="str">
        <f>IF(TRIM($E1170)&lt;&gt;"Tax Paid","",IF(COUNTIFS(LISTS!$F$2:$F$26,$AE1170,LISTS!$G$2:$G$26,$AF1170)=0,"NOT ON LIST",""))</f>
        <v/>
      </c>
      <c r="AH1170" s="8" t="str">
        <f t="shared" si="56"/>
        <v/>
      </c>
    </row>
    <row r="1171" spans="31:34" x14ac:dyDescent="0.25">
      <c r="AE1171" s="8" t="str">
        <f t="shared" si="54"/>
        <v/>
      </c>
      <c r="AF1171" s="8" t="str">
        <f t="shared" si="55"/>
        <v/>
      </c>
      <c r="AG1171" s="8" t="str">
        <f>IF(TRIM($E1171)&lt;&gt;"Tax Paid","",IF(COUNTIFS(LISTS!$F$2:$F$26,$AE1171,LISTS!$G$2:$G$26,$AF1171)=0,"NOT ON LIST",""))</f>
        <v/>
      </c>
      <c r="AH1171" s="8" t="str">
        <f t="shared" si="56"/>
        <v/>
      </c>
    </row>
    <row r="1172" spans="31:34" x14ac:dyDescent="0.25">
      <c r="AE1172" s="8" t="str">
        <f t="shared" si="54"/>
        <v/>
      </c>
      <c r="AF1172" s="8" t="str">
        <f t="shared" si="55"/>
        <v/>
      </c>
      <c r="AG1172" s="8" t="str">
        <f>IF(TRIM($E1172)&lt;&gt;"Tax Paid","",IF(COUNTIFS(LISTS!$F$2:$F$26,$AE1172,LISTS!$G$2:$G$26,$AF1172)=0,"NOT ON LIST",""))</f>
        <v/>
      </c>
      <c r="AH1172" s="8" t="str">
        <f t="shared" si="56"/>
        <v/>
      </c>
    </row>
    <row r="1173" spans="31:34" x14ac:dyDescent="0.25">
      <c r="AE1173" s="8" t="str">
        <f t="shared" si="54"/>
        <v/>
      </c>
      <c r="AF1173" s="8" t="str">
        <f t="shared" si="55"/>
        <v/>
      </c>
      <c r="AG1173" s="8" t="str">
        <f>IF(TRIM($E1173)&lt;&gt;"Tax Paid","",IF(COUNTIFS(LISTS!$F$2:$F$26,$AE1173,LISTS!$G$2:$G$26,$AF1173)=0,"NOT ON LIST",""))</f>
        <v/>
      </c>
      <c r="AH1173" s="8" t="str">
        <f t="shared" si="56"/>
        <v/>
      </c>
    </row>
    <row r="1174" spans="31:34" x14ac:dyDescent="0.25">
      <c r="AE1174" s="8" t="str">
        <f t="shared" si="54"/>
        <v/>
      </c>
      <c r="AF1174" s="8" t="str">
        <f t="shared" si="55"/>
        <v/>
      </c>
      <c r="AG1174" s="8" t="str">
        <f>IF(TRIM($E1174)&lt;&gt;"Tax Paid","",IF(COUNTIFS(LISTS!$F$2:$F$26,$AE1174,LISTS!$G$2:$G$26,$AF1174)=0,"NOT ON LIST",""))</f>
        <v/>
      </c>
      <c r="AH1174" s="8" t="str">
        <f t="shared" si="56"/>
        <v/>
      </c>
    </row>
    <row r="1175" spans="31:34" x14ac:dyDescent="0.25">
      <c r="AE1175" s="8" t="str">
        <f t="shared" si="54"/>
        <v/>
      </c>
      <c r="AF1175" s="8" t="str">
        <f t="shared" si="55"/>
        <v/>
      </c>
      <c r="AG1175" s="8" t="str">
        <f>IF(TRIM($E1175)&lt;&gt;"Tax Paid","",IF(COUNTIFS(LISTS!$F$2:$F$26,$AE1175,LISTS!$G$2:$G$26,$AF1175)=0,"NOT ON LIST",""))</f>
        <v/>
      </c>
      <c r="AH1175" s="8" t="str">
        <f t="shared" si="56"/>
        <v/>
      </c>
    </row>
    <row r="1176" spans="31:34" x14ac:dyDescent="0.25">
      <c r="AE1176" s="8" t="str">
        <f t="shared" si="54"/>
        <v/>
      </c>
      <c r="AF1176" s="8" t="str">
        <f t="shared" si="55"/>
        <v/>
      </c>
      <c r="AG1176" s="8" t="str">
        <f>IF(TRIM($E1176)&lt;&gt;"Tax Paid","",IF(COUNTIFS(LISTS!$F$2:$F$26,$AE1176,LISTS!$G$2:$G$26,$AF1176)=0,"NOT ON LIST",""))</f>
        <v/>
      </c>
      <c r="AH1176" s="8" t="str">
        <f t="shared" si="56"/>
        <v/>
      </c>
    </row>
    <row r="1177" spans="31:34" x14ac:dyDescent="0.25">
      <c r="AE1177" s="8" t="str">
        <f t="shared" si="54"/>
        <v/>
      </c>
      <c r="AF1177" s="8" t="str">
        <f t="shared" si="55"/>
        <v/>
      </c>
      <c r="AG1177" s="8" t="str">
        <f>IF(TRIM($E1177)&lt;&gt;"Tax Paid","",IF(COUNTIFS(LISTS!$F$2:$F$26,$AE1177,LISTS!$G$2:$G$26,$AF1177)=0,"NOT ON LIST",""))</f>
        <v/>
      </c>
      <c r="AH1177" s="8" t="str">
        <f t="shared" si="56"/>
        <v/>
      </c>
    </row>
    <row r="1178" spans="31:34" x14ac:dyDescent="0.25">
      <c r="AE1178" s="8" t="str">
        <f t="shared" si="54"/>
        <v/>
      </c>
      <c r="AF1178" s="8" t="str">
        <f t="shared" si="55"/>
        <v/>
      </c>
      <c r="AG1178" s="8" t="str">
        <f>IF(TRIM($E1178)&lt;&gt;"Tax Paid","",IF(COUNTIFS(LISTS!$F$2:$F$26,$AE1178,LISTS!$G$2:$G$26,$AF1178)=0,"NOT ON LIST",""))</f>
        <v/>
      </c>
      <c r="AH1178" s="8" t="str">
        <f t="shared" si="56"/>
        <v/>
      </c>
    </row>
    <row r="1179" spans="31:34" x14ac:dyDescent="0.25">
      <c r="AE1179" s="8" t="str">
        <f t="shared" si="54"/>
        <v/>
      </c>
      <c r="AF1179" s="8" t="str">
        <f t="shared" si="55"/>
        <v/>
      </c>
      <c r="AG1179" s="8" t="str">
        <f>IF(TRIM($E1179)&lt;&gt;"Tax Paid","",IF(COUNTIFS(LISTS!$F$2:$F$26,$AE1179,LISTS!$G$2:$G$26,$AF1179)=0,"NOT ON LIST",""))</f>
        <v/>
      </c>
      <c r="AH1179" s="8" t="str">
        <f t="shared" si="56"/>
        <v/>
      </c>
    </row>
    <row r="1180" spans="31:34" x14ac:dyDescent="0.25">
      <c r="AE1180" s="8" t="str">
        <f t="shared" si="54"/>
        <v/>
      </c>
      <c r="AF1180" s="8" t="str">
        <f t="shared" si="55"/>
        <v/>
      </c>
      <c r="AG1180" s="8" t="str">
        <f>IF(TRIM($E1180)&lt;&gt;"Tax Paid","",IF(COUNTIFS(LISTS!$F$2:$F$26,$AE1180,LISTS!$G$2:$G$26,$AF1180)=0,"NOT ON LIST",""))</f>
        <v/>
      </c>
      <c r="AH1180" s="8" t="str">
        <f t="shared" si="56"/>
        <v/>
      </c>
    </row>
    <row r="1181" spans="31:34" x14ac:dyDescent="0.25">
      <c r="AE1181" s="8" t="str">
        <f t="shared" si="54"/>
        <v/>
      </c>
      <c r="AF1181" s="8" t="str">
        <f t="shared" si="55"/>
        <v/>
      </c>
      <c r="AG1181" s="8" t="str">
        <f>IF(TRIM($E1181)&lt;&gt;"Tax Paid","",IF(COUNTIFS(LISTS!$F$2:$F$26,$AE1181,LISTS!$G$2:$G$26,$AF1181)=0,"NOT ON LIST",""))</f>
        <v/>
      </c>
      <c r="AH1181" s="8" t="str">
        <f t="shared" si="56"/>
        <v/>
      </c>
    </row>
    <row r="1182" spans="31:34" x14ac:dyDescent="0.25">
      <c r="AE1182" s="8" t="str">
        <f t="shared" si="54"/>
        <v/>
      </c>
      <c r="AF1182" s="8" t="str">
        <f t="shared" si="55"/>
        <v/>
      </c>
      <c r="AG1182" s="8" t="str">
        <f>IF(TRIM($E1182)&lt;&gt;"Tax Paid","",IF(COUNTIFS(LISTS!$F$2:$F$26,$AE1182,LISTS!$G$2:$G$26,$AF1182)=0,"NOT ON LIST",""))</f>
        <v/>
      </c>
      <c r="AH1182" s="8" t="str">
        <f t="shared" si="56"/>
        <v/>
      </c>
    </row>
    <row r="1183" spans="31:34" x14ac:dyDescent="0.25">
      <c r="AE1183" s="8" t="str">
        <f t="shared" si="54"/>
        <v/>
      </c>
      <c r="AF1183" s="8" t="str">
        <f t="shared" si="55"/>
        <v/>
      </c>
      <c r="AG1183" s="8" t="str">
        <f>IF(TRIM($E1183)&lt;&gt;"Tax Paid","",IF(COUNTIFS(LISTS!$F$2:$F$26,$AE1183,LISTS!$G$2:$G$26,$AF1183)=0,"NOT ON LIST",""))</f>
        <v/>
      </c>
      <c r="AH1183" s="8" t="str">
        <f t="shared" si="56"/>
        <v/>
      </c>
    </row>
    <row r="1184" spans="31:34" x14ac:dyDescent="0.25">
      <c r="AE1184" s="8" t="str">
        <f t="shared" si="54"/>
        <v/>
      </c>
      <c r="AF1184" s="8" t="str">
        <f t="shared" si="55"/>
        <v/>
      </c>
      <c r="AG1184" s="8" t="str">
        <f>IF(TRIM($E1184)&lt;&gt;"Tax Paid","",IF(COUNTIFS(LISTS!$F$2:$F$26,$AE1184,LISTS!$G$2:$G$26,$AF1184)=0,"NOT ON LIST",""))</f>
        <v/>
      </c>
      <c r="AH1184" s="8" t="str">
        <f t="shared" si="56"/>
        <v/>
      </c>
    </row>
    <row r="1185" spans="31:34" x14ac:dyDescent="0.25">
      <c r="AE1185" s="8" t="str">
        <f t="shared" si="54"/>
        <v/>
      </c>
      <c r="AF1185" s="8" t="str">
        <f t="shared" si="55"/>
        <v/>
      </c>
      <c r="AG1185" s="8" t="str">
        <f>IF(TRIM($E1185)&lt;&gt;"Tax Paid","",IF(COUNTIFS(LISTS!$F$2:$F$26,$AE1185,LISTS!$G$2:$G$26,$AF1185)=0,"NOT ON LIST",""))</f>
        <v/>
      </c>
      <c r="AH1185" s="8" t="str">
        <f t="shared" si="56"/>
        <v/>
      </c>
    </row>
    <row r="1186" spans="31:34" x14ac:dyDescent="0.25">
      <c r="AE1186" s="8" t="str">
        <f t="shared" si="54"/>
        <v/>
      </c>
      <c r="AF1186" s="8" t="str">
        <f t="shared" si="55"/>
        <v/>
      </c>
      <c r="AG1186" s="8" t="str">
        <f>IF(TRIM($E1186)&lt;&gt;"Tax Paid","",IF(COUNTIFS(LISTS!$F$2:$F$26,$AE1186,LISTS!$G$2:$G$26,$AF1186)=0,"NOT ON LIST",""))</f>
        <v/>
      </c>
      <c r="AH1186" s="8" t="str">
        <f t="shared" si="56"/>
        <v/>
      </c>
    </row>
    <row r="1187" spans="31:34" x14ac:dyDescent="0.25">
      <c r="AE1187" s="8" t="str">
        <f t="shared" si="54"/>
        <v/>
      </c>
      <c r="AF1187" s="8" t="str">
        <f t="shared" si="55"/>
        <v/>
      </c>
      <c r="AG1187" s="8" t="str">
        <f>IF(TRIM($E1187)&lt;&gt;"Tax Paid","",IF(COUNTIFS(LISTS!$F$2:$F$26,$AE1187,LISTS!$G$2:$G$26,$AF1187)=0,"NOT ON LIST",""))</f>
        <v/>
      </c>
      <c r="AH1187" s="8" t="str">
        <f t="shared" si="56"/>
        <v/>
      </c>
    </row>
    <row r="1188" spans="31:34" x14ac:dyDescent="0.25">
      <c r="AE1188" s="8" t="str">
        <f t="shared" si="54"/>
        <v/>
      </c>
      <c r="AF1188" s="8" t="str">
        <f t="shared" si="55"/>
        <v/>
      </c>
      <c r="AG1188" s="8" t="str">
        <f>IF(TRIM($E1188)&lt;&gt;"Tax Paid","",IF(COUNTIFS(LISTS!$F$2:$F$26,$AE1188,LISTS!$G$2:$G$26,$AF1188)=0,"NOT ON LIST",""))</f>
        <v/>
      </c>
      <c r="AH1188" s="8" t="str">
        <f t="shared" si="56"/>
        <v/>
      </c>
    </row>
    <row r="1189" spans="31:34" x14ac:dyDescent="0.25">
      <c r="AE1189" s="8" t="str">
        <f t="shared" si="54"/>
        <v/>
      </c>
      <c r="AF1189" s="8" t="str">
        <f t="shared" si="55"/>
        <v/>
      </c>
      <c r="AG1189" s="8" t="str">
        <f>IF(TRIM($E1189)&lt;&gt;"Tax Paid","",IF(COUNTIFS(LISTS!$F$2:$F$26,$AE1189,LISTS!$G$2:$G$26,$AF1189)=0,"NOT ON LIST",""))</f>
        <v/>
      </c>
      <c r="AH1189" s="8" t="str">
        <f t="shared" si="56"/>
        <v/>
      </c>
    </row>
    <row r="1190" spans="31:34" x14ac:dyDescent="0.25">
      <c r="AE1190" s="8" t="str">
        <f t="shared" si="54"/>
        <v/>
      </c>
      <c r="AF1190" s="8" t="str">
        <f t="shared" si="55"/>
        <v/>
      </c>
      <c r="AG1190" s="8" t="str">
        <f>IF(TRIM($E1190)&lt;&gt;"Tax Paid","",IF(COUNTIFS(LISTS!$F$2:$F$26,$AE1190,LISTS!$G$2:$G$26,$AF1190)=0,"NOT ON LIST",""))</f>
        <v/>
      </c>
      <c r="AH1190" s="8" t="str">
        <f t="shared" si="56"/>
        <v/>
      </c>
    </row>
    <row r="1191" spans="31:34" x14ac:dyDescent="0.25">
      <c r="AE1191" s="8" t="str">
        <f t="shared" si="54"/>
        <v/>
      </c>
      <c r="AF1191" s="8" t="str">
        <f t="shared" si="55"/>
        <v/>
      </c>
      <c r="AG1191" s="8" t="str">
        <f>IF(TRIM($E1191)&lt;&gt;"Tax Paid","",IF(COUNTIFS(LISTS!$F$2:$F$26,$AE1191,LISTS!$G$2:$G$26,$AF1191)=0,"NOT ON LIST",""))</f>
        <v/>
      </c>
      <c r="AH1191" s="8" t="str">
        <f t="shared" si="56"/>
        <v/>
      </c>
    </row>
    <row r="1192" spans="31:34" x14ac:dyDescent="0.25">
      <c r="AE1192" s="8" t="str">
        <f t="shared" si="54"/>
        <v/>
      </c>
      <c r="AF1192" s="8" t="str">
        <f t="shared" si="55"/>
        <v/>
      </c>
      <c r="AG1192" s="8" t="str">
        <f>IF(TRIM($E1192)&lt;&gt;"Tax Paid","",IF(COUNTIFS(LISTS!$F$2:$F$26,$AE1192,LISTS!$G$2:$G$26,$AF1192)=0,"NOT ON LIST",""))</f>
        <v/>
      </c>
      <c r="AH1192" s="8" t="str">
        <f t="shared" si="56"/>
        <v/>
      </c>
    </row>
    <row r="1193" spans="31:34" x14ac:dyDescent="0.25">
      <c r="AE1193" s="8" t="str">
        <f t="shared" si="54"/>
        <v/>
      </c>
      <c r="AF1193" s="8" t="str">
        <f t="shared" si="55"/>
        <v/>
      </c>
      <c r="AG1193" s="8" t="str">
        <f>IF(TRIM($E1193)&lt;&gt;"Tax Paid","",IF(COUNTIFS(LISTS!$F$2:$F$26,$AE1193,LISTS!$G$2:$G$26,$AF1193)=0,"NOT ON LIST",""))</f>
        <v/>
      </c>
      <c r="AH1193" s="8" t="str">
        <f t="shared" si="56"/>
        <v/>
      </c>
    </row>
    <row r="1194" spans="31:34" x14ac:dyDescent="0.25">
      <c r="AE1194" s="8" t="str">
        <f t="shared" si="54"/>
        <v/>
      </c>
      <c r="AF1194" s="8" t="str">
        <f t="shared" si="55"/>
        <v/>
      </c>
      <c r="AG1194" s="8" t="str">
        <f>IF(TRIM($E1194)&lt;&gt;"Tax Paid","",IF(COUNTIFS(LISTS!$F$2:$F$26,$AE1194,LISTS!$G$2:$G$26,$AF1194)=0,"NOT ON LIST",""))</f>
        <v/>
      </c>
      <c r="AH1194" s="8" t="str">
        <f t="shared" si="56"/>
        <v/>
      </c>
    </row>
    <row r="1195" spans="31:34" x14ac:dyDescent="0.25">
      <c r="AE1195" s="8" t="str">
        <f t="shared" si="54"/>
        <v/>
      </c>
      <c r="AF1195" s="8" t="str">
        <f t="shared" si="55"/>
        <v/>
      </c>
      <c r="AG1195" s="8" t="str">
        <f>IF(TRIM($E1195)&lt;&gt;"Tax Paid","",IF(COUNTIFS(LISTS!$F$2:$F$26,$AE1195,LISTS!$G$2:$G$26,$AF1195)=0,"NOT ON LIST",""))</f>
        <v/>
      </c>
      <c r="AH1195" s="8" t="str">
        <f t="shared" si="56"/>
        <v/>
      </c>
    </row>
    <row r="1196" spans="31:34" x14ac:dyDescent="0.25">
      <c r="AE1196" s="8" t="str">
        <f t="shared" si="54"/>
        <v/>
      </c>
      <c r="AF1196" s="8" t="str">
        <f t="shared" si="55"/>
        <v/>
      </c>
      <c r="AG1196" s="8" t="str">
        <f>IF(TRIM($E1196)&lt;&gt;"Tax Paid","",IF(COUNTIFS(LISTS!$F$2:$F$26,$AE1196,LISTS!$G$2:$G$26,$AF1196)=0,"NOT ON LIST",""))</f>
        <v/>
      </c>
      <c r="AH1196" s="8" t="str">
        <f t="shared" si="56"/>
        <v/>
      </c>
    </row>
    <row r="1197" spans="31:34" x14ac:dyDescent="0.25">
      <c r="AE1197" s="8" t="str">
        <f t="shared" si="54"/>
        <v/>
      </c>
      <c r="AF1197" s="8" t="str">
        <f t="shared" si="55"/>
        <v/>
      </c>
      <c r="AG1197" s="8" t="str">
        <f>IF(TRIM($E1197)&lt;&gt;"Tax Paid","",IF(COUNTIFS(LISTS!$F$2:$F$26,$AE1197,LISTS!$G$2:$G$26,$AF1197)=0,"NOT ON LIST",""))</f>
        <v/>
      </c>
      <c r="AH1197" s="8" t="str">
        <f t="shared" si="56"/>
        <v/>
      </c>
    </row>
    <row r="1198" spans="31:34" x14ac:dyDescent="0.25">
      <c r="AE1198" s="8" t="str">
        <f t="shared" si="54"/>
        <v/>
      </c>
      <c r="AF1198" s="8" t="str">
        <f t="shared" si="55"/>
        <v/>
      </c>
      <c r="AG1198" s="8" t="str">
        <f>IF(TRIM($E1198)&lt;&gt;"Tax Paid","",IF(COUNTIFS(LISTS!$F$2:$F$26,$AE1198,LISTS!$G$2:$G$26,$AF1198)=0,"NOT ON LIST",""))</f>
        <v/>
      </c>
      <c r="AH1198" s="8" t="str">
        <f t="shared" si="56"/>
        <v/>
      </c>
    </row>
    <row r="1199" spans="31:34" x14ac:dyDescent="0.25">
      <c r="AE1199" s="8" t="str">
        <f t="shared" si="54"/>
        <v/>
      </c>
      <c r="AF1199" s="8" t="str">
        <f t="shared" si="55"/>
        <v/>
      </c>
      <c r="AG1199" s="8" t="str">
        <f>IF(TRIM($E1199)&lt;&gt;"Tax Paid","",IF(COUNTIFS(LISTS!$F$2:$F$26,$AE1199,LISTS!$G$2:$G$26,$AF1199)=0,"NOT ON LIST",""))</f>
        <v/>
      </c>
      <c r="AH1199" s="8" t="str">
        <f t="shared" si="56"/>
        <v/>
      </c>
    </row>
    <row r="1200" spans="31:34" x14ac:dyDescent="0.25">
      <c r="AE1200" s="8" t="str">
        <f t="shared" si="54"/>
        <v/>
      </c>
      <c r="AF1200" s="8" t="str">
        <f t="shared" si="55"/>
        <v/>
      </c>
      <c r="AG1200" s="8" t="str">
        <f>IF(TRIM($E1200)&lt;&gt;"Tax Paid","",IF(COUNTIFS(LISTS!$F$2:$F$26,$AE1200,LISTS!$G$2:$G$26,$AF1200)=0,"NOT ON LIST",""))</f>
        <v/>
      </c>
      <c r="AH1200" s="8" t="str">
        <f t="shared" si="56"/>
        <v/>
      </c>
    </row>
    <row r="1201" spans="31:34" x14ac:dyDescent="0.25">
      <c r="AE1201" s="8" t="str">
        <f t="shared" si="54"/>
        <v/>
      </c>
      <c r="AF1201" s="8" t="str">
        <f t="shared" si="55"/>
        <v/>
      </c>
      <c r="AG1201" s="8" t="str">
        <f>IF(TRIM($E1201)&lt;&gt;"Tax Paid","",IF(COUNTIFS(LISTS!$F$2:$F$26,$AE1201,LISTS!$G$2:$G$26,$AF1201)=0,"NOT ON LIST",""))</f>
        <v/>
      </c>
      <c r="AH1201" s="8" t="str">
        <f t="shared" si="56"/>
        <v/>
      </c>
    </row>
    <row r="1202" spans="31:34" x14ac:dyDescent="0.25">
      <c r="AE1202" s="8" t="str">
        <f t="shared" si="54"/>
        <v/>
      </c>
      <c r="AF1202" s="8" t="str">
        <f t="shared" si="55"/>
        <v/>
      </c>
      <c r="AG1202" s="8" t="str">
        <f>IF(TRIM($E1202)&lt;&gt;"Tax Paid","",IF(COUNTIFS(LISTS!$F$2:$F$26,$AE1202,LISTS!$G$2:$G$26,$AF1202)=0,"NOT ON LIST",""))</f>
        <v/>
      </c>
      <c r="AH1202" s="8" t="str">
        <f t="shared" si="56"/>
        <v/>
      </c>
    </row>
    <row r="1203" spans="31:34" x14ac:dyDescent="0.25">
      <c r="AE1203" s="8" t="str">
        <f t="shared" si="54"/>
        <v/>
      </c>
      <c r="AF1203" s="8" t="str">
        <f t="shared" si="55"/>
        <v/>
      </c>
      <c r="AG1203" s="8" t="str">
        <f>IF(TRIM($E1203)&lt;&gt;"Tax Paid","",IF(COUNTIFS(LISTS!$F$2:$F$26,$AE1203,LISTS!$G$2:$G$26,$AF1203)=0,"NOT ON LIST",""))</f>
        <v/>
      </c>
      <c r="AH1203" s="8" t="str">
        <f t="shared" si="56"/>
        <v/>
      </c>
    </row>
    <row r="1204" spans="31:34" x14ac:dyDescent="0.25">
      <c r="AE1204" s="8" t="str">
        <f t="shared" si="54"/>
        <v/>
      </c>
      <c r="AF1204" s="8" t="str">
        <f t="shared" si="55"/>
        <v/>
      </c>
      <c r="AG1204" s="8" t="str">
        <f>IF(TRIM($E1204)&lt;&gt;"Tax Paid","",IF(COUNTIFS(LISTS!$F$2:$F$26,$AE1204,LISTS!$G$2:$G$26,$AF1204)=0,"NOT ON LIST",""))</f>
        <v/>
      </c>
      <c r="AH1204" s="8" t="str">
        <f t="shared" si="56"/>
        <v/>
      </c>
    </row>
    <row r="1205" spans="31:34" x14ac:dyDescent="0.25">
      <c r="AE1205" s="8" t="str">
        <f t="shared" si="54"/>
        <v/>
      </c>
      <c r="AF1205" s="8" t="str">
        <f t="shared" si="55"/>
        <v/>
      </c>
      <c r="AG1205" s="8" t="str">
        <f>IF(TRIM($E1205)&lt;&gt;"Tax Paid","",IF(COUNTIFS(LISTS!$F$2:$F$26,$AE1205,LISTS!$G$2:$G$26,$AF1205)=0,"NOT ON LIST",""))</f>
        <v/>
      </c>
      <c r="AH1205" s="8" t="str">
        <f t="shared" si="56"/>
        <v/>
      </c>
    </row>
    <row r="1206" spans="31:34" x14ac:dyDescent="0.25">
      <c r="AE1206" s="8" t="str">
        <f t="shared" si="54"/>
        <v/>
      </c>
      <c r="AF1206" s="8" t="str">
        <f t="shared" si="55"/>
        <v/>
      </c>
      <c r="AG1206" s="8" t="str">
        <f>IF(TRIM($E1206)&lt;&gt;"Tax Paid","",IF(COUNTIFS(LISTS!$F$2:$F$26,$AE1206,LISTS!$G$2:$G$26,$AF1206)=0,"NOT ON LIST",""))</f>
        <v/>
      </c>
      <c r="AH1206" s="8" t="str">
        <f t="shared" si="56"/>
        <v/>
      </c>
    </row>
    <row r="1207" spans="31:34" x14ac:dyDescent="0.25">
      <c r="AE1207" s="8" t="str">
        <f t="shared" si="54"/>
        <v/>
      </c>
      <c r="AF1207" s="8" t="str">
        <f t="shared" si="55"/>
        <v/>
      </c>
      <c r="AG1207" s="8" t="str">
        <f>IF(TRIM($E1207)&lt;&gt;"Tax Paid","",IF(COUNTIFS(LISTS!$F$2:$F$26,$AE1207,LISTS!$G$2:$G$26,$AF1207)=0,"NOT ON LIST",""))</f>
        <v/>
      </c>
      <c r="AH1207" s="8" t="str">
        <f t="shared" si="56"/>
        <v/>
      </c>
    </row>
    <row r="1208" spans="31:34" x14ac:dyDescent="0.25">
      <c r="AE1208" s="8" t="str">
        <f t="shared" si="54"/>
        <v/>
      </c>
      <c r="AF1208" s="8" t="str">
        <f t="shared" si="55"/>
        <v/>
      </c>
      <c r="AG1208" s="8" t="str">
        <f>IF(TRIM($E1208)&lt;&gt;"Tax Paid","",IF(COUNTIFS(LISTS!$F$2:$F$26,$AE1208,LISTS!$G$2:$G$26,$AF1208)=0,"NOT ON LIST",""))</f>
        <v/>
      </c>
      <c r="AH1208" s="8" t="str">
        <f t="shared" si="56"/>
        <v/>
      </c>
    </row>
    <row r="1209" spans="31:34" x14ac:dyDescent="0.25">
      <c r="AE1209" s="8" t="str">
        <f t="shared" si="54"/>
        <v/>
      </c>
      <c r="AF1209" s="8" t="str">
        <f t="shared" si="55"/>
        <v/>
      </c>
      <c r="AG1209" s="8" t="str">
        <f>IF(TRIM($E1209)&lt;&gt;"Tax Paid","",IF(COUNTIFS(LISTS!$F$2:$F$26,$AE1209,LISTS!$G$2:$G$26,$AF1209)=0,"NOT ON LIST",""))</f>
        <v/>
      </c>
      <c r="AH1209" s="8" t="str">
        <f t="shared" si="56"/>
        <v/>
      </c>
    </row>
    <row r="1210" spans="31:34" x14ac:dyDescent="0.25">
      <c r="AE1210" s="8" t="str">
        <f t="shared" si="54"/>
        <v/>
      </c>
      <c r="AF1210" s="8" t="str">
        <f t="shared" si="55"/>
        <v/>
      </c>
      <c r="AG1210" s="8" t="str">
        <f>IF(TRIM($E1210)&lt;&gt;"Tax Paid","",IF(COUNTIFS(LISTS!$F$2:$F$26,$AE1210,LISTS!$G$2:$G$26,$AF1210)=0,"NOT ON LIST",""))</f>
        <v/>
      </c>
      <c r="AH1210" s="8" t="str">
        <f t="shared" si="56"/>
        <v/>
      </c>
    </row>
    <row r="1211" spans="31:34" x14ac:dyDescent="0.25">
      <c r="AE1211" s="8" t="str">
        <f t="shared" si="54"/>
        <v/>
      </c>
      <c r="AF1211" s="8" t="str">
        <f t="shared" si="55"/>
        <v/>
      </c>
      <c r="AG1211" s="8" t="str">
        <f>IF(TRIM($E1211)&lt;&gt;"Tax Paid","",IF(COUNTIFS(LISTS!$F$2:$F$26,$AE1211,LISTS!$G$2:$G$26,$AF1211)=0,"NOT ON LIST",""))</f>
        <v/>
      </c>
      <c r="AH1211" s="8" t="str">
        <f t="shared" si="56"/>
        <v/>
      </c>
    </row>
    <row r="1212" spans="31:34" x14ac:dyDescent="0.25">
      <c r="AE1212" s="8" t="str">
        <f t="shared" si="54"/>
        <v/>
      </c>
      <c r="AF1212" s="8" t="str">
        <f t="shared" si="55"/>
        <v/>
      </c>
      <c r="AG1212" s="8" t="str">
        <f>IF(TRIM($E1212)&lt;&gt;"Tax Paid","",IF(COUNTIFS(LISTS!$F$2:$F$26,$AE1212,LISTS!$G$2:$G$26,$AF1212)=0,"NOT ON LIST",""))</f>
        <v/>
      </c>
      <c r="AH1212" s="8" t="str">
        <f t="shared" si="56"/>
        <v/>
      </c>
    </row>
    <row r="1213" spans="31:34" x14ac:dyDescent="0.25">
      <c r="AE1213" s="8" t="str">
        <f t="shared" si="54"/>
        <v/>
      </c>
      <c r="AF1213" s="8" t="str">
        <f t="shared" si="55"/>
        <v/>
      </c>
      <c r="AG1213" s="8" t="str">
        <f>IF(TRIM($E1213)&lt;&gt;"Tax Paid","",IF(COUNTIFS(LISTS!$F$2:$F$26,$AE1213,LISTS!$G$2:$G$26,$AF1213)=0,"NOT ON LIST",""))</f>
        <v/>
      </c>
      <c r="AH1213" s="8" t="str">
        <f t="shared" si="56"/>
        <v/>
      </c>
    </row>
    <row r="1214" spans="31:34" x14ac:dyDescent="0.25">
      <c r="AE1214" s="8" t="str">
        <f t="shared" si="54"/>
        <v/>
      </c>
      <c r="AF1214" s="8" t="str">
        <f t="shared" si="55"/>
        <v/>
      </c>
      <c r="AG1214" s="8" t="str">
        <f>IF(TRIM($E1214)&lt;&gt;"Tax Paid","",IF(COUNTIFS(LISTS!$F$2:$F$26,$AE1214,LISTS!$G$2:$G$26,$AF1214)=0,"NOT ON LIST",""))</f>
        <v/>
      </c>
      <c r="AH1214" s="8" t="str">
        <f t="shared" si="56"/>
        <v/>
      </c>
    </row>
    <row r="1215" spans="31:34" x14ac:dyDescent="0.25">
      <c r="AE1215" s="8" t="str">
        <f t="shared" si="54"/>
        <v/>
      </c>
      <c r="AF1215" s="8" t="str">
        <f t="shared" si="55"/>
        <v/>
      </c>
      <c r="AG1215" s="8" t="str">
        <f>IF(TRIM($E1215)&lt;&gt;"Tax Paid","",IF(COUNTIFS(LISTS!$F$2:$F$26,$AE1215,LISTS!$G$2:$G$26,$AF1215)=0,"NOT ON LIST",""))</f>
        <v/>
      </c>
      <c r="AH1215" s="8" t="str">
        <f t="shared" si="56"/>
        <v/>
      </c>
    </row>
    <row r="1216" spans="31:34" x14ac:dyDescent="0.25">
      <c r="AE1216" s="8" t="str">
        <f t="shared" si="54"/>
        <v/>
      </c>
      <c r="AF1216" s="8" t="str">
        <f t="shared" si="55"/>
        <v/>
      </c>
      <c r="AG1216" s="8" t="str">
        <f>IF(TRIM($E1216)&lt;&gt;"Tax Paid","",IF(COUNTIFS(LISTS!$F$2:$F$26,$AE1216,LISTS!$G$2:$G$26,$AF1216)=0,"NOT ON LIST",""))</f>
        <v/>
      </c>
      <c r="AH1216" s="8" t="str">
        <f t="shared" si="56"/>
        <v/>
      </c>
    </row>
    <row r="1217" spans="31:34" x14ac:dyDescent="0.25">
      <c r="AE1217" s="8" t="str">
        <f t="shared" si="54"/>
        <v/>
      </c>
      <c r="AF1217" s="8" t="str">
        <f t="shared" si="55"/>
        <v/>
      </c>
      <c r="AG1217" s="8" t="str">
        <f>IF(TRIM($E1217)&lt;&gt;"Tax Paid","",IF(COUNTIFS(LISTS!$F$2:$F$26,$AE1217,LISTS!$G$2:$G$26,$AF1217)=0,"NOT ON LIST",""))</f>
        <v/>
      </c>
      <c r="AH1217" s="8" t="str">
        <f t="shared" si="56"/>
        <v/>
      </c>
    </row>
    <row r="1218" spans="31:34" x14ac:dyDescent="0.25">
      <c r="AE1218" s="8" t="str">
        <f t="shared" ref="AE1218:AE1281" si="57">IF(TRIM($E1218)="Tax Paid",TRIM($S1218),"")</f>
        <v/>
      </c>
      <c r="AF1218" s="8" t="str">
        <f t="shared" ref="AF1218:AF1281" si="58">IF(TRIM($E1218)="Tax Paid",ROUND($Z1218/100,5),"")</f>
        <v/>
      </c>
      <c r="AG1218" s="8" t="str">
        <f>IF(TRIM($E1218)&lt;&gt;"Tax Paid","",IF(COUNTIFS(LISTS!$F$2:$F$26,$AE1218,LISTS!$G$2:$G$26,$AF1218)=0,"NOT ON LIST",""))</f>
        <v/>
      </c>
      <c r="AH1218" s="8" t="str">
        <f t="shared" ref="AH1218:AH1281" si="59">IF($AG1218="","",IF($AE1218="","(no county)",$AE1218)&amp;" ("&amp;SUBSTITUTE(TEXT($AF1218,"0.###%"),".%","%")&amp;")")</f>
        <v/>
      </c>
    </row>
    <row r="1219" spans="31:34" x14ac:dyDescent="0.25">
      <c r="AE1219" s="8" t="str">
        <f t="shared" si="57"/>
        <v/>
      </c>
      <c r="AF1219" s="8" t="str">
        <f t="shared" si="58"/>
        <v/>
      </c>
      <c r="AG1219" s="8" t="str">
        <f>IF(TRIM($E1219)&lt;&gt;"Tax Paid","",IF(COUNTIFS(LISTS!$F$2:$F$26,$AE1219,LISTS!$G$2:$G$26,$AF1219)=0,"NOT ON LIST",""))</f>
        <v/>
      </c>
      <c r="AH1219" s="8" t="str">
        <f t="shared" si="59"/>
        <v/>
      </c>
    </row>
    <row r="1220" spans="31:34" x14ac:dyDescent="0.25">
      <c r="AE1220" s="8" t="str">
        <f t="shared" si="57"/>
        <v/>
      </c>
      <c r="AF1220" s="8" t="str">
        <f t="shared" si="58"/>
        <v/>
      </c>
      <c r="AG1220" s="8" t="str">
        <f>IF(TRIM($E1220)&lt;&gt;"Tax Paid","",IF(COUNTIFS(LISTS!$F$2:$F$26,$AE1220,LISTS!$G$2:$G$26,$AF1220)=0,"NOT ON LIST",""))</f>
        <v/>
      </c>
      <c r="AH1220" s="8" t="str">
        <f t="shared" si="59"/>
        <v/>
      </c>
    </row>
    <row r="1221" spans="31:34" x14ac:dyDescent="0.25">
      <c r="AE1221" s="8" t="str">
        <f t="shared" si="57"/>
        <v/>
      </c>
      <c r="AF1221" s="8" t="str">
        <f t="shared" si="58"/>
        <v/>
      </c>
      <c r="AG1221" s="8" t="str">
        <f>IF(TRIM($E1221)&lt;&gt;"Tax Paid","",IF(COUNTIFS(LISTS!$F$2:$F$26,$AE1221,LISTS!$G$2:$G$26,$AF1221)=0,"NOT ON LIST",""))</f>
        <v/>
      </c>
      <c r="AH1221" s="8" t="str">
        <f t="shared" si="59"/>
        <v/>
      </c>
    </row>
    <row r="1222" spans="31:34" x14ac:dyDescent="0.25">
      <c r="AE1222" s="8" t="str">
        <f t="shared" si="57"/>
        <v/>
      </c>
      <c r="AF1222" s="8" t="str">
        <f t="shared" si="58"/>
        <v/>
      </c>
      <c r="AG1222" s="8" t="str">
        <f>IF(TRIM($E1222)&lt;&gt;"Tax Paid","",IF(COUNTIFS(LISTS!$F$2:$F$26,$AE1222,LISTS!$G$2:$G$26,$AF1222)=0,"NOT ON LIST",""))</f>
        <v/>
      </c>
      <c r="AH1222" s="8" t="str">
        <f t="shared" si="59"/>
        <v/>
      </c>
    </row>
    <row r="1223" spans="31:34" x14ac:dyDescent="0.25">
      <c r="AE1223" s="8" t="str">
        <f t="shared" si="57"/>
        <v/>
      </c>
      <c r="AF1223" s="8" t="str">
        <f t="shared" si="58"/>
        <v/>
      </c>
      <c r="AG1223" s="8" t="str">
        <f>IF(TRIM($E1223)&lt;&gt;"Tax Paid","",IF(COUNTIFS(LISTS!$F$2:$F$26,$AE1223,LISTS!$G$2:$G$26,$AF1223)=0,"NOT ON LIST",""))</f>
        <v/>
      </c>
      <c r="AH1223" s="8" t="str">
        <f t="shared" si="59"/>
        <v/>
      </c>
    </row>
    <row r="1224" spans="31:34" x14ac:dyDescent="0.25">
      <c r="AE1224" s="8" t="str">
        <f t="shared" si="57"/>
        <v/>
      </c>
      <c r="AF1224" s="8" t="str">
        <f t="shared" si="58"/>
        <v/>
      </c>
      <c r="AG1224" s="8" t="str">
        <f>IF(TRIM($E1224)&lt;&gt;"Tax Paid","",IF(COUNTIFS(LISTS!$F$2:$F$26,$AE1224,LISTS!$G$2:$G$26,$AF1224)=0,"NOT ON LIST",""))</f>
        <v/>
      </c>
      <c r="AH1224" s="8" t="str">
        <f t="shared" si="59"/>
        <v/>
      </c>
    </row>
    <row r="1225" spans="31:34" x14ac:dyDescent="0.25">
      <c r="AE1225" s="8" t="str">
        <f t="shared" si="57"/>
        <v/>
      </c>
      <c r="AF1225" s="8" t="str">
        <f t="shared" si="58"/>
        <v/>
      </c>
      <c r="AG1225" s="8" t="str">
        <f>IF(TRIM($E1225)&lt;&gt;"Tax Paid","",IF(COUNTIFS(LISTS!$F$2:$F$26,$AE1225,LISTS!$G$2:$G$26,$AF1225)=0,"NOT ON LIST",""))</f>
        <v/>
      </c>
      <c r="AH1225" s="8" t="str">
        <f t="shared" si="59"/>
        <v/>
      </c>
    </row>
    <row r="1226" spans="31:34" x14ac:dyDescent="0.25">
      <c r="AE1226" s="8" t="str">
        <f t="shared" si="57"/>
        <v/>
      </c>
      <c r="AF1226" s="8" t="str">
        <f t="shared" si="58"/>
        <v/>
      </c>
      <c r="AG1226" s="8" t="str">
        <f>IF(TRIM($E1226)&lt;&gt;"Tax Paid","",IF(COUNTIFS(LISTS!$F$2:$F$26,$AE1226,LISTS!$G$2:$G$26,$AF1226)=0,"NOT ON LIST",""))</f>
        <v/>
      </c>
      <c r="AH1226" s="8" t="str">
        <f t="shared" si="59"/>
        <v/>
      </c>
    </row>
    <row r="1227" spans="31:34" x14ac:dyDescent="0.25">
      <c r="AE1227" s="8" t="str">
        <f t="shared" si="57"/>
        <v/>
      </c>
      <c r="AF1227" s="8" t="str">
        <f t="shared" si="58"/>
        <v/>
      </c>
      <c r="AG1227" s="8" t="str">
        <f>IF(TRIM($E1227)&lt;&gt;"Tax Paid","",IF(COUNTIFS(LISTS!$F$2:$F$26,$AE1227,LISTS!$G$2:$G$26,$AF1227)=0,"NOT ON LIST",""))</f>
        <v/>
      </c>
      <c r="AH1227" s="8" t="str">
        <f t="shared" si="59"/>
        <v/>
      </c>
    </row>
    <row r="1228" spans="31:34" x14ac:dyDescent="0.25">
      <c r="AE1228" s="8" t="str">
        <f t="shared" si="57"/>
        <v/>
      </c>
      <c r="AF1228" s="8" t="str">
        <f t="shared" si="58"/>
        <v/>
      </c>
      <c r="AG1228" s="8" t="str">
        <f>IF(TRIM($E1228)&lt;&gt;"Tax Paid","",IF(COUNTIFS(LISTS!$F$2:$F$26,$AE1228,LISTS!$G$2:$G$26,$AF1228)=0,"NOT ON LIST",""))</f>
        <v/>
      </c>
      <c r="AH1228" s="8" t="str">
        <f t="shared" si="59"/>
        <v/>
      </c>
    </row>
    <row r="1229" spans="31:34" x14ac:dyDescent="0.25">
      <c r="AE1229" s="8" t="str">
        <f t="shared" si="57"/>
        <v/>
      </c>
      <c r="AF1229" s="8" t="str">
        <f t="shared" si="58"/>
        <v/>
      </c>
      <c r="AG1229" s="8" t="str">
        <f>IF(TRIM($E1229)&lt;&gt;"Tax Paid","",IF(COUNTIFS(LISTS!$F$2:$F$26,$AE1229,LISTS!$G$2:$G$26,$AF1229)=0,"NOT ON LIST",""))</f>
        <v/>
      </c>
      <c r="AH1229" s="8" t="str">
        <f t="shared" si="59"/>
        <v/>
      </c>
    </row>
    <row r="1230" spans="31:34" x14ac:dyDescent="0.25">
      <c r="AE1230" s="8" t="str">
        <f t="shared" si="57"/>
        <v/>
      </c>
      <c r="AF1230" s="8" t="str">
        <f t="shared" si="58"/>
        <v/>
      </c>
      <c r="AG1230" s="8" t="str">
        <f>IF(TRIM($E1230)&lt;&gt;"Tax Paid","",IF(COUNTIFS(LISTS!$F$2:$F$26,$AE1230,LISTS!$G$2:$G$26,$AF1230)=0,"NOT ON LIST",""))</f>
        <v/>
      </c>
      <c r="AH1230" s="8" t="str">
        <f t="shared" si="59"/>
        <v/>
      </c>
    </row>
    <row r="1231" spans="31:34" x14ac:dyDescent="0.25">
      <c r="AE1231" s="8" t="str">
        <f t="shared" si="57"/>
        <v/>
      </c>
      <c r="AF1231" s="8" t="str">
        <f t="shared" si="58"/>
        <v/>
      </c>
      <c r="AG1231" s="8" t="str">
        <f>IF(TRIM($E1231)&lt;&gt;"Tax Paid","",IF(COUNTIFS(LISTS!$F$2:$F$26,$AE1231,LISTS!$G$2:$G$26,$AF1231)=0,"NOT ON LIST",""))</f>
        <v/>
      </c>
      <c r="AH1231" s="8" t="str">
        <f t="shared" si="59"/>
        <v/>
      </c>
    </row>
    <row r="1232" spans="31:34" x14ac:dyDescent="0.25">
      <c r="AE1232" s="8" t="str">
        <f t="shared" si="57"/>
        <v/>
      </c>
      <c r="AF1232" s="8" t="str">
        <f t="shared" si="58"/>
        <v/>
      </c>
      <c r="AG1232" s="8" t="str">
        <f>IF(TRIM($E1232)&lt;&gt;"Tax Paid","",IF(COUNTIFS(LISTS!$F$2:$F$26,$AE1232,LISTS!$G$2:$G$26,$AF1232)=0,"NOT ON LIST",""))</f>
        <v/>
      </c>
      <c r="AH1232" s="8" t="str">
        <f t="shared" si="59"/>
        <v/>
      </c>
    </row>
    <row r="1233" spans="31:34" x14ac:dyDescent="0.25">
      <c r="AE1233" s="8" t="str">
        <f t="shared" si="57"/>
        <v/>
      </c>
      <c r="AF1233" s="8" t="str">
        <f t="shared" si="58"/>
        <v/>
      </c>
      <c r="AG1233" s="8" t="str">
        <f>IF(TRIM($E1233)&lt;&gt;"Tax Paid","",IF(COUNTIFS(LISTS!$F$2:$F$26,$AE1233,LISTS!$G$2:$G$26,$AF1233)=0,"NOT ON LIST",""))</f>
        <v/>
      </c>
      <c r="AH1233" s="8" t="str">
        <f t="shared" si="59"/>
        <v/>
      </c>
    </row>
    <row r="1234" spans="31:34" x14ac:dyDescent="0.25">
      <c r="AE1234" s="8" t="str">
        <f t="shared" si="57"/>
        <v/>
      </c>
      <c r="AF1234" s="8" t="str">
        <f t="shared" si="58"/>
        <v/>
      </c>
      <c r="AG1234" s="8" t="str">
        <f>IF(TRIM($E1234)&lt;&gt;"Tax Paid","",IF(COUNTIFS(LISTS!$F$2:$F$26,$AE1234,LISTS!$G$2:$G$26,$AF1234)=0,"NOT ON LIST",""))</f>
        <v/>
      </c>
      <c r="AH1234" s="8" t="str">
        <f t="shared" si="59"/>
        <v/>
      </c>
    </row>
    <row r="1235" spans="31:34" x14ac:dyDescent="0.25">
      <c r="AE1235" s="8" t="str">
        <f t="shared" si="57"/>
        <v/>
      </c>
      <c r="AF1235" s="8" t="str">
        <f t="shared" si="58"/>
        <v/>
      </c>
      <c r="AG1235" s="8" t="str">
        <f>IF(TRIM($E1235)&lt;&gt;"Tax Paid","",IF(COUNTIFS(LISTS!$F$2:$F$26,$AE1235,LISTS!$G$2:$G$26,$AF1235)=0,"NOT ON LIST",""))</f>
        <v/>
      </c>
      <c r="AH1235" s="8" t="str">
        <f t="shared" si="59"/>
        <v/>
      </c>
    </row>
    <row r="1236" spans="31:34" x14ac:dyDescent="0.25">
      <c r="AE1236" s="8" t="str">
        <f t="shared" si="57"/>
        <v/>
      </c>
      <c r="AF1236" s="8" t="str">
        <f t="shared" si="58"/>
        <v/>
      </c>
      <c r="AG1236" s="8" t="str">
        <f>IF(TRIM($E1236)&lt;&gt;"Tax Paid","",IF(COUNTIFS(LISTS!$F$2:$F$26,$AE1236,LISTS!$G$2:$G$26,$AF1236)=0,"NOT ON LIST",""))</f>
        <v/>
      </c>
      <c r="AH1236" s="8" t="str">
        <f t="shared" si="59"/>
        <v/>
      </c>
    </row>
    <row r="1237" spans="31:34" x14ac:dyDescent="0.25">
      <c r="AE1237" s="8" t="str">
        <f t="shared" si="57"/>
        <v/>
      </c>
      <c r="AF1237" s="8" t="str">
        <f t="shared" si="58"/>
        <v/>
      </c>
      <c r="AG1237" s="8" t="str">
        <f>IF(TRIM($E1237)&lt;&gt;"Tax Paid","",IF(COUNTIFS(LISTS!$F$2:$F$26,$AE1237,LISTS!$G$2:$G$26,$AF1237)=0,"NOT ON LIST",""))</f>
        <v/>
      </c>
      <c r="AH1237" s="8" t="str">
        <f t="shared" si="59"/>
        <v/>
      </c>
    </row>
    <row r="1238" spans="31:34" x14ac:dyDescent="0.25">
      <c r="AE1238" s="8" t="str">
        <f t="shared" si="57"/>
        <v/>
      </c>
      <c r="AF1238" s="8" t="str">
        <f t="shared" si="58"/>
        <v/>
      </c>
      <c r="AG1238" s="8" t="str">
        <f>IF(TRIM($E1238)&lt;&gt;"Tax Paid","",IF(COUNTIFS(LISTS!$F$2:$F$26,$AE1238,LISTS!$G$2:$G$26,$AF1238)=0,"NOT ON LIST",""))</f>
        <v/>
      </c>
      <c r="AH1238" s="8" t="str">
        <f t="shared" si="59"/>
        <v/>
      </c>
    </row>
    <row r="1239" spans="31:34" x14ac:dyDescent="0.25">
      <c r="AE1239" s="8" t="str">
        <f t="shared" si="57"/>
        <v/>
      </c>
      <c r="AF1239" s="8" t="str">
        <f t="shared" si="58"/>
        <v/>
      </c>
      <c r="AG1239" s="8" t="str">
        <f>IF(TRIM($E1239)&lt;&gt;"Tax Paid","",IF(COUNTIFS(LISTS!$F$2:$F$26,$AE1239,LISTS!$G$2:$G$26,$AF1239)=0,"NOT ON LIST",""))</f>
        <v/>
      </c>
      <c r="AH1239" s="8" t="str">
        <f t="shared" si="59"/>
        <v/>
      </c>
    </row>
    <row r="1240" spans="31:34" x14ac:dyDescent="0.25">
      <c r="AE1240" s="8" t="str">
        <f t="shared" si="57"/>
        <v/>
      </c>
      <c r="AF1240" s="8" t="str">
        <f t="shared" si="58"/>
        <v/>
      </c>
      <c r="AG1240" s="8" t="str">
        <f>IF(TRIM($E1240)&lt;&gt;"Tax Paid","",IF(COUNTIFS(LISTS!$F$2:$F$26,$AE1240,LISTS!$G$2:$G$26,$AF1240)=0,"NOT ON LIST",""))</f>
        <v/>
      </c>
      <c r="AH1240" s="8" t="str">
        <f t="shared" si="59"/>
        <v/>
      </c>
    </row>
    <row r="1241" spans="31:34" x14ac:dyDescent="0.25">
      <c r="AE1241" s="8" t="str">
        <f t="shared" si="57"/>
        <v/>
      </c>
      <c r="AF1241" s="8" t="str">
        <f t="shared" si="58"/>
        <v/>
      </c>
      <c r="AG1241" s="8" t="str">
        <f>IF(TRIM($E1241)&lt;&gt;"Tax Paid","",IF(COUNTIFS(LISTS!$F$2:$F$26,$AE1241,LISTS!$G$2:$G$26,$AF1241)=0,"NOT ON LIST",""))</f>
        <v/>
      </c>
      <c r="AH1241" s="8" t="str">
        <f t="shared" si="59"/>
        <v/>
      </c>
    </row>
    <row r="1242" spans="31:34" x14ac:dyDescent="0.25">
      <c r="AE1242" s="8" t="str">
        <f t="shared" si="57"/>
        <v/>
      </c>
      <c r="AF1242" s="8" t="str">
        <f t="shared" si="58"/>
        <v/>
      </c>
      <c r="AG1242" s="8" t="str">
        <f>IF(TRIM($E1242)&lt;&gt;"Tax Paid","",IF(COUNTIFS(LISTS!$F$2:$F$26,$AE1242,LISTS!$G$2:$G$26,$AF1242)=0,"NOT ON LIST",""))</f>
        <v/>
      </c>
      <c r="AH1242" s="8" t="str">
        <f t="shared" si="59"/>
        <v/>
      </c>
    </row>
    <row r="1243" spans="31:34" x14ac:dyDescent="0.25">
      <c r="AE1243" s="8" t="str">
        <f t="shared" si="57"/>
        <v/>
      </c>
      <c r="AF1243" s="8" t="str">
        <f t="shared" si="58"/>
        <v/>
      </c>
      <c r="AG1243" s="8" t="str">
        <f>IF(TRIM($E1243)&lt;&gt;"Tax Paid","",IF(COUNTIFS(LISTS!$F$2:$F$26,$AE1243,LISTS!$G$2:$G$26,$AF1243)=0,"NOT ON LIST",""))</f>
        <v/>
      </c>
      <c r="AH1243" s="8" t="str">
        <f t="shared" si="59"/>
        <v/>
      </c>
    </row>
    <row r="1244" spans="31:34" x14ac:dyDescent="0.25">
      <c r="AE1244" s="8" t="str">
        <f t="shared" si="57"/>
        <v/>
      </c>
      <c r="AF1244" s="8" t="str">
        <f t="shared" si="58"/>
        <v/>
      </c>
      <c r="AG1244" s="8" t="str">
        <f>IF(TRIM($E1244)&lt;&gt;"Tax Paid","",IF(COUNTIFS(LISTS!$F$2:$F$26,$AE1244,LISTS!$G$2:$G$26,$AF1244)=0,"NOT ON LIST",""))</f>
        <v/>
      </c>
      <c r="AH1244" s="8" t="str">
        <f t="shared" si="59"/>
        <v/>
      </c>
    </row>
    <row r="1245" spans="31:34" x14ac:dyDescent="0.25">
      <c r="AE1245" s="8" t="str">
        <f t="shared" si="57"/>
        <v/>
      </c>
      <c r="AF1245" s="8" t="str">
        <f t="shared" si="58"/>
        <v/>
      </c>
      <c r="AG1245" s="8" t="str">
        <f>IF(TRIM($E1245)&lt;&gt;"Tax Paid","",IF(COUNTIFS(LISTS!$F$2:$F$26,$AE1245,LISTS!$G$2:$G$26,$AF1245)=0,"NOT ON LIST",""))</f>
        <v/>
      </c>
      <c r="AH1245" s="8" t="str">
        <f t="shared" si="59"/>
        <v/>
      </c>
    </row>
    <row r="1246" spans="31:34" x14ac:dyDescent="0.25">
      <c r="AE1246" s="8" t="str">
        <f t="shared" si="57"/>
        <v/>
      </c>
      <c r="AF1246" s="8" t="str">
        <f t="shared" si="58"/>
        <v/>
      </c>
      <c r="AG1246" s="8" t="str">
        <f>IF(TRIM($E1246)&lt;&gt;"Tax Paid","",IF(COUNTIFS(LISTS!$F$2:$F$26,$AE1246,LISTS!$G$2:$G$26,$AF1246)=0,"NOT ON LIST",""))</f>
        <v/>
      </c>
      <c r="AH1246" s="8" t="str">
        <f t="shared" si="59"/>
        <v/>
      </c>
    </row>
    <row r="1247" spans="31:34" x14ac:dyDescent="0.25">
      <c r="AE1247" s="8" t="str">
        <f t="shared" si="57"/>
        <v/>
      </c>
      <c r="AF1247" s="8" t="str">
        <f t="shared" si="58"/>
        <v/>
      </c>
      <c r="AG1247" s="8" t="str">
        <f>IF(TRIM($E1247)&lt;&gt;"Tax Paid","",IF(COUNTIFS(LISTS!$F$2:$F$26,$AE1247,LISTS!$G$2:$G$26,$AF1247)=0,"NOT ON LIST",""))</f>
        <v/>
      </c>
      <c r="AH1247" s="8" t="str">
        <f t="shared" si="59"/>
        <v/>
      </c>
    </row>
    <row r="1248" spans="31:34" x14ac:dyDescent="0.25">
      <c r="AE1248" s="8" t="str">
        <f t="shared" si="57"/>
        <v/>
      </c>
      <c r="AF1248" s="8" t="str">
        <f t="shared" si="58"/>
        <v/>
      </c>
      <c r="AG1248" s="8" t="str">
        <f>IF(TRIM($E1248)&lt;&gt;"Tax Paid","",IF(COUNTIFS(LISTS!$F$2:$F$26,$AE1248,LISTS!$G$2:$G$26,$AF1248)=0,"NOT ON LIST",""))</f>
        <v/>
      </c>
      <c r="AH1248" s="8" t="str">
        <f t="shared" si="59"/>
        <v/>
      </c>
    </row>
    <row r="1249" spans="31:34" x14ac:dyDescent="0.25">
      <c r="AE1249" s="8" t="str">
        <f t="shared" si="57"/>
        <v/>
      </c>
      <c r="AF1249" s="8" t="str">
        <f t="shared" si="58"/>
        <v/>
      </c>
      <c r="AG1249" s="8" t="str">
        <f>IF(TRIM($E1249)&lt;&gt;"Tax Paid","",IF(COUNTIFS(LISTS!$F$2:$F$26,$AE1249,LISTS!$G$2:$G$26,$AF1249)=0,"NOT ON LIST",""))</f>
        <v/>
      </c>
      <c r="AH1249" s="8" t="str">
        <f t="shared" si="59"/>
        <v/>
      </c>
    </row>
    <row r="1250" spans="31:34" x14ac:dyDescent="0.25">
      <c r="AE1250" s="8" t="str">
        <f t="shared" si="57"/>
        <v/>
      </c>
      <c r="AF1250" s="8" t="str">
        <f t="shared" si="58"/>
        <v/>
      </c>
      <c r="AG1250" s="8" t="str">
        <f>IF(TRIM($E1250)&lt;&gt;"Tax Paid","",IF(COUNTIFS(LISTS!$F$2:$F$26,$AE1250,LISTS!$G$2:$G$26,$AF1250)=0,"NOT ON LIST",""))</f>
        <v/>
      </c>
      <c r="AH1250" s="8" t="str">
        <f t="shared" si="59"/>
        <v/>
      </c>
    </row>
    <row r="1251" spans="31:34" x14ac:dyDescent="0.25">
      <c r="AE1251" s="8" t="str">
        <f t="shared" si="57"/>
        <v/>
      </c>
      <c r="AF1251" s="8" t="str">
        <f t="shared" si="58"/>
        <v/>
      </c>
      <c r="AG1251" s="8" t="str">
        <f>IF(TRIM($E1251)&lt;&gt;"Tax Paid","",IF(COUNTIFS(LISTS!$F$2:$F$26,$AE1251,LISTS!$G$2:$G$26,$AF1251)=0,"NOT ON LIST",""))</f>
        <v/>
      </c>
      <c r="AH1251" s="8" t="str">
        <f t="shared" si="59"/>
        <v/>
      </c>
    </row>
    <row r="1252" spans="31:34" x14ac:dyDescent="0.25">
      <c r="AE1252" s="8" t="str">
        <f t="shared" si="57"/>
        <v/>
      </c>
      <c r="AF1252" s="8" t="str">
        <f t="shared" si="58"/>
        <v/>
      </c>
      <c r="AG1252" s="8" t="str">
        <f>IF(TRIM($E1252)&lt;&gt;"Tax Paid","",IF(COUNTIFS(LISTS!$F$2:$F$26,$AE1252,LISTS!$G$2:$G$26,$AF1252)=0,"NOT ON LIST",""))</f>
        <v/>
      </c>
      <c r="AH1252" s="8" t="str">
        <f t="shared" si="59"/>
        <v/>
      </c>
    </row>
    <row r="1253" spans="31:34" x14ac:dyDescent="0.25">
      <c r="AE1253" s="8" t="str">
        <f t="shared" si="57"/>
        <v/>
      </c>
      <c r="AF1253" s="8" t="str">
        <f t="shared" si="58"/>
        <v/>
      </c>
      <c r="AG1253" s="8" t="str">
        <f>IF(TRIM($E1253)&lt;&gt;"Tax Paid","",IF(COUNTIFS(LISTS!$F$2:$F$26,$AE1253,LISTS!$G$2:$G$26,$AF1253)=0,"NOT ON LIST",""))</f>
        <v/>
      </c>
      <c r="AH1253" s="8" t="str">
        <f t="shared" si="59"/>
        <v/>
      </c>
    </row>
    <row r="1254" spans="31:34" x14ac:dyDescent="0.25">
      <c r="AE1254" s="8" t="str">
        <f t="shared" si="57"/>
        <v/>
      </c>
      <c r="AF1254" s="8" t="str">
        <f t="shared" si="58"/>
        <v/>
      </c>
      <c r="AG1254" s="8" t="str">
        <f>IF(TRIM($E1254)&lt;&gt;"Tax Paid","",IF(COUNTIFS(LISTS!$F$2:$F$26,$AE1254,LISTS!$G$2:$G$26,$AF1254)=0,"NOT ON LIST",""))</f>
        <v/>
      </c>
      <c r="AH1254" s="8" t="str">
        <f t="shared" si="59"/>
        <v/>
      </c>
    </row>
    <row r="1255" spans="31:34" x14ac:dyDescent="0.25">
      <c r="AE1255" s="8" t="str">
        <f t="shared" si="57"/>
        <v/>
      </c>
      <c r="AF1255" s="8" t="str">
        <f t="shared" si="58"/>
        <v/>
      </c>
      <c r="AG1255" s="8" t="str">
        <f>IF(TRIM($E1255)&lt;&gt;"Tax Paid","",IF(COUNTIFS(LISTS!$F$2:$F$26,$AE1255,LISTS!$G$2:$G$26,$AF1255)=0,"NOT ON LIST",""))</f>
        <v/>
      </c>
      <c r="AH1255" s="8" t="str">
        <f t="shared" si="59"/>
        <v/>
      </c>
    </row>
    <row r="1256" spans="31:34" x14ac:dyDescent="0.25">
      <c r="AE1256" s="8" t="str">
        <f t="shared" si="57"/>
        <v/>
      </c>
      <c r="AF1256" s="8" t="str">
        <f t="shared" si="58"/>
        <v/>
      </c>
      <c r="AG1256" s="8" t="str">
        <f>IF(TRIM($E1256)&lt;&gt;"Tax Paid","",IF(COUNTIFS(LISTS!$F$2:$F$26,$AE1256,LISTS!$G$2:$G$26,$AF1256)=0,"NOT ON LIST",""))</f>
        <v/>
      </c>
      <c r="AH1256" s="8" t="str">
        <f t="shared" si="59"/>
        <v/>
      </c>
    </row>
    <row r="1257" spans="31:34" x14ac:dyDescent="0.25">
      <c r="AE1257" s="8" t="str">
        <f t="shared" si="57"/>
        <v/>
      </c>
      <c r="AF1257" s="8" t="str">
        <f t="shared" si="58"/>
        <v/>
      </c>
      <c r="AG1257" s="8" t="str">
        <f>IF(TRIM($E1257)&lt;&gt;"Tax Paid","",IF(COUNTIFS(LISTS!$F$2:$F$26,$AE1257,LISTS!$G$2:$G$26,$AF1257)=0,"NOT ON LIST",""))</f>
        <v/>
      </c>
      <c r="AH1257" s="8" t="str">
        <f t="shared" si="59"/>
        <v/>
      </c>
    </row>
    <row r="1258" spans="31:34" x14ac:dyDescent="0.25">
      <c r="AE1258" s="8" t="str">
        <f t="shared" si="57"/>
        <v/>
      </c>
      <c r="AF1258" s="8" t="str">
        <f t="shared" si="58"/>
        <v/>
      </c>
      <c r="AG1258" s="8" t="str">
        <f>IF(TRIM($E1258)&lt;&gt;"Tax Paid","",IF(COUNTIFS(LISTS!$F$2:$F$26,$AE1258,LISTS!$G$2:$G$26,$AF1258)=0,"NOT ON LIST",""))</f>
        <v/>
      </c>
      <c r="AH1258" s="8" t="str">
        <f t="shared" si="59"/>
        <v/>
      </c>
    </row>
    <row r="1259" spans="31:34" x14ac:dyDescent="0.25">
      <c r="AE1259" s="8" t="str">
        <f t="shared" si="57"/>
        <v/>
      </c>
      <c r="AF1259" s="8" t="str">
        <f t="shared" si="58"/>
        <v/>
      </c>
      <c r="AG1259" s="8" t="str">
        <f>IF(TRIM($E1259)&lt;&gt;"Tax Paid","",IF(COUNTIFS(LISTS!$F$2:$F$26,$AE1259,LISTS!$G$2:$G$26,$AF1259)=0,"NOT ON LIST",""))</f>
        <v/>
      </c>
      <c r="AH1259" s="8" t="str">
        <f t="shared" si="59"/>
        <v/>
      </c>
    </row>
    <row r="1260" spans="31:34" x14ac:dyDescent="0.25">
      <c r="AE1260" s="8" t="str">
        <f t="shared" si="57"/>
        <v/>
      </c>
      <c r="AF1260" s="8" t="str">
        <f t="shared" si="58"/>
        <v/>
      </c>
      <c r="AG1260" s="8" t="str">
        <f>IF(TRIM($E1260)&lt;&gt;"Tax Paid","",IF(COUNTIFS(LISTS!$F$2:$F$26,$AE1260,LISTS!$G$2:$G$26,$AF1260)=0,"NOT ON LIST",""))</f>
        <v/>
      </c>
      <c r="AH1260" s="8" t="str">
        <f t="shared" si="59"/>
        <v/>
      </c>
    </row>
    <row r="1261" spans="31:34" x14ac:dyDescent="0.25">
      <c r="AE1261" s="8" t="str">
        <f t="shared" si="57"/>
        <v/>
      </c>
      <c r="AF1261" s="8" t="str">
        <f t="shared" si="58"/>
        <v/>
      </c>
      <c r="AG1261" s="8" t="str">
        <f>IF(TRIM($E1261)&lt;&gt;"Tax Paid","",IF(COUNTIFS(LISTS!$F$2:$F$26,$AE1261,LISTS!$G$2:$G$26,$AF1261)=0,"NOT ON LIST",""))</f>
        <v/>
      </c>
      <c r="AH1261" s="8" t="str">
        <f t="shared" si="59"/>
        <v/>
      </c>
    </row>
    <row r="1262" spans="31:34" x14ac:dyDescent="0.25">
      <c r="AE1262" s="8" t="str">
        <f t="shared" si="57"/>
        <v/>
      </c>
      <c r="AF1262" s="8" t="str">
        <f t="shared" si="58"/>
        <v/>
      </c>
      <c r="AG1262" s="8" t="str">
        <f>IF(TRIM($E1262)&lt;&gt;"Tax Paid","",IF(COUNTIFS(LISTS!$F$2:$F$26,$AE1262,LISTS!$G$2:$G$26,$AF1262)=0,"NOT ON LIST",""))</f>
        <v/>
      </c>
      <c r="AH1262" s="8" t="str">
        <f t="shared" si="59"/>
        <v/>
      </c>
    </row>
    <row r="1263" spans="31:34" x14ac:dyDescent="0.25">
      <c r="AE1263" s="8" t="str">
        <f t="shared" si="57"/>
        <v/>
      </c>
      <c r="AF1263" s="8" t="str">
        <f t="shared" si="58"/>
        <v/>
      </c>
      <c r="AG1263" s="8" t="str">
        <f>IF(TRIM($E1263)&lt;&gt;"Tax Paid","",IF(COUNTIFS(LISTS!$F$2:$F$26,$AE1263,LISTS!$G$2:$G$26,$AF1263)=0,"NOT ON LIST",""))</f>
        <v/>
      </c>
      <c r="AH1263" s="8" t="str">
        <f t="shared" si="59"/>
        <v/>
      </c>
    </row>
    <row r="1264" spans="31:34" x14ac:dyDescent="0.25">
      <c r="AE1264" s="8" t="str">
        <f t="shared" si="57"/>
        <v/>
      </c>
      <c r="AF1264" s="8" t="str">
        <f t="shared" si="58"/>
        <v/>
      </c>
      <c r="AG1264" s="8" t="str">
        <f>IF(TRIM($E1264)&lt;&gt;"Tax Paid","",IF(COUNTIFS(LISTS!$F$2:$F$26,$AE1264,LISTS!$G$2:$G$26,$AF1264)=0,"NOT ON LIST",""))</f>
        <v/>
      </c>
      <c r="AH1264" s="8" t="str">
        <f t="shared" si="59"/>
        <v/>
      </c>
    </row>
    <row r="1265" spans="31:34" x14ac:dyDescent="0.25">
      <c r="AE1265" s="8" t="str">
        <f t="shared" si="57"/>
        <v/>
      </c>
      <c r="AF1265" s="8" t="str">
        <f t="shared" si="58"/>
        <v/>
      </c>
      <c r="AG1265" s="8" t="str">
        <f>IF(TRIM($E1265)&lt;&gt;"Tax Paid","",IF(COUNTIFS(LISTS!$F$2:$F$26,$AE1265,LISTS!$G$2:$G$26,$AF1265)=0,"NOT ON LIST",""))</f>
        <v/>
      </c>
      <c r="AH1265" s="8" t="str">
        <f t="shared" si="59"/>
        <v/>
      </c>
    </row>
    <row r="1266" spans="31:34" x14ac:dyDescent="0.25">
      <c r="AE1266" s="8" t="str">
        <f t="shared" si="57"/>
        <v/>
      </c>
      <c r="AF1266" s="8" t="str">
        <f t="shared" si="58"/>
        <v/>
      </c>
      <c r="AG1266" s="8" t="str">
        <f>IF(TRIM($E1266)&lt;&gt;"Tax Paid","",IF(COUNTIFS(LISTS!$F$2:$F$26,$AE1266,LISTS!$G$2:$G$26,$AF1266)=0,"NOT ON LIST",""))</f>
        <v/>
      </c>
      <c r="AH1266" s="8" t="str">
        <f t="shared" si="59"/>
        <v/>
      </c>
    </row>
    <row r="1267" spans="31:34" x14ac:dyDescent="0.25">
      <c r="AE1267" s="8" t="str">
        <f t="shared" si="57"/>
        <v/>
      </c>
      <c r="AF1267" s="8" t="str">
        <f t="shared" si="58"/>
        <v/>
      </c>
      <c r="AG1267" s="8" t="str">
        <f>IF(TRIM($E1267)&lt;&gt;"Tax Paid","",IF(COUNTIFS(LISTS!$F$2:$F$26,$AE1267,LISTS!$G$2:$G$26,$AF1267)=0,"NOT ON LIST",""))</f>
        <v/>
      </c>
      <c r="AH1267" s="8" t="str">
        <f t="shared" si="59"/>
        <v/>
      </c>
    </row>
    <row r="1268" spans="31:34" x14ac:dyDescent="0.25">
      <c r="AE1268" s="8" t="str">
        <f t="shared" si="57"/>
        <v/>
      </c>
      <c r="AF1268" s="8" t="str">
        <f t="shared" si="58"/>
        <v/>
      </c>
      <c r="AG1268" s="8" t="str">
        <f>IF(TRIM($E1268)&lt;&gt;"Tax Paid","",IF(COUNTIFS(LISTS!$F$2:$F$26,$AE1268,LISTS!$G$2:$G$26,$AF1268)=0,"NOT ON LIST",""))</f>
        <v/>
      </c>
      <c r="AH1268" s="8" t="str">
        <f t="shared" si="59"/>
        <v/>
      </c>
    </row>
    <row r="1269" spans="31:34" x14ac:dyDescent="0.25">
      <c r="AE1269" s="8" t="str">
        <f t="shared" si="57"/>
        <v/>
      </c>
      <c r="AF1269" s="8" t="str">
        <f t="shared" si="58"/>
        <v/>
      </c>
      <c r="AG1269" s="8" t="str">
        <f>IF(TRIM($E1269)&lt;&gt;"Tax Paid","",IF(COUNTIFS(LISTS!$F$2:$F$26,$AE1269,LISTS!$G$2:$G$26,$AF1269)=0,"NOT ON LIST",""))</f>
        <v/>
      </c>
      <c r="AH1269" s="8" t="str">
        <f t="shared" si="59"/>
        <v/>
      </c>
    </row>
    <row r="1270" spans="31:34" x14ac:dyDescent="0.25">
      <c r="AE1270" s="8" t="str">
        <f t="shared" si="57"/>
        <v/>
      </c>
      <c r="AF1270" s="8" t="str">
        <f t="shared" si="58"/>
        <v/>
      </c>
      <c r="AG1270" s="8" t="str">
        <f>IF(TRIM($E1270)&lt;&gt;"Tax Paid","",IF(COUNTIFS(LISTS!$F$2:$F$26,$AE1270,LISTS!$G$2:$G$26,$AF1270)=0,"NOT ON LIST",""))</f>
        <v/>
      </c>
      <c r="AH1270" s="8" t="str">
        <f t="shared" si="59"/>
        <v/>
      </c>
    </row>
    <row r="1271" spans="31:34" x14ac:dyDescent="0.25">
      <c r="AE1271" s="8" t="str">
        <f t="shared" si="57"/>
        <v/>
      </c>
      <c r="AF1271" s="8" t="str">
        <f t="shared" si="58"/>
        <v/>
      </c>
      <c r="AG1271" s="8" t="str">
        <f>IF(TRIM($E1271)&lt;&gt;"Tax Paid","",IF(COUNTIFS(LISTS!$F$2:$F$26,$AE1271,LISTS!$G$2:$G$26,$AF1271)=0,"NOT ON LIST",""))</f>
        <v/>
      </c>
      <c r="AH1271" s="8" t="str">
        <f t="shared" si="59"/>
        <v/>
      </c>
    </row>
    <row r="1272" spans="31:34" x14ac:dyDescent="0.25">
      <c r="AE1272" s="8" t="str">
        <f t="shared" si="57"/>
        <v/>
      </c>
      <c r="AF1272" s="8" t="str">
        <f t="shared" si="58"/>
        <v/>
      </c>
      <c r="AG1272" s="8" t="str">
        <f>IF(TRIM($E1272)&lt;&gt;"Tax Paid","",IF(COUNTIFS(LISTS!$F$2:$F$26,$AE1272,LISTS!$G$2:$G$26,$AF1272)=0,"NOT ON LIST",""))</f>
        <v/>
      </c>
      <c r="AH1272" s="8" t="str">
        <f t="shared" si="59"/>
        <v/>
      </c>
    </row>
    <row r="1273" spans="31:34" x14ac:dyDescent="0.25">
      <c r="AE1273" s="8" t="str">
        <f t="shared" si="57"/>
        <v/>
      </c>
      <c r="AF1273" s="8" t="str">
        <f t="shared" si="58"/>
        <v/>
      </c>
      <c r="AG1273" s="8" t="str">
        <f>IF(TRIM($E1273)&lt;&gt;"Tax Paid","",IF(COUNTIFS(LISTS!$F$2:$F$26,$AE1273,LISTS!$G$2:$G$26,$AF1273)=0,"NOT ON LIST",""))</f>
        <v/>
      </c>
      <c r="AH1273" s="8" t="str">
        <f t="shared" si="59"/>
        <v/>
      </c>
    </row>
    <row r="1274" spans="31:34" x14ac:dyDescent="0.25">
      <c r="AE1274" s="8" t="str">
        <f t="shared" si="57"/>
        <v/>
      </c>
      <c r="AF1274" s="8" t="str">
        <f t="shared" si="58"/>
        <v/>
      </c>
      <c r="AG1274" s="8" t="str">
        <f>IF(TRIM($E1274)&lt;&gt;"Tax Paid","",IF(COUNTIFS(LISTS!$F$2:$F$26,$AE1274,LISTS!$G$2:$G$26,$AF1274)=0,"NOT ON LIST",""))</f>
        <v/>
      </c>
      <c r="AH1274" s="8" t="str">
        <f t="shared" si="59"/>
        <v/>
      </c>
    </row>
    <row r="1275" spans="31:34" x14ac:dyDescent="0.25">
      <c r="AE1275" s="8" t="str">
        <f t="shared" si="57"/>
        <v/>
      </c>
      <c r="AF1275" s="8" t="str">
        <f t="shared" si="58"/>
        <v/>
      </c>
      <c r="AG1275" s="8" t="str">
        <f>IF(TRIM($E1275)&lt;&gt;"Tax Paid","",IF(COUNTIFS(LISTS!$F$2:$F$26,$AE1275,LISTS!$G$2:$G$26,$AF1275)=0,"NOT ON LIST",""))</f>
        <v/>
      </c>
      <c r="AH1275" s="8" t="str">
        <f t="shared" si="59"/>
        <v/>
      </c>
    </row>
    <row r="1276" spans="31:34" x14ac:dyDescent="0.25">
      <c r="AE1276" s="8" t="str">
        <f t="shared" si="57"/>
        <v/>
      </c>
      <c r="AF1276" s="8" t="str">
        <f t="shared" si="58"/>
        <v/>
      </c>
      <c r="AG1276" s="8" t="str">
        <f>IF(TRIM($E1276)&lt;&gt;"Tax Paid","",IF(COUNTIFS(LISTS!$F$2:$F$26,$AE1276,LISTS!$G$2:$G$26,$AF1276)=0,"NOT ON LIST",""))</f>
        <v/>
      </c>
      <c r="AH1276" s="8" t="str">
        <f t="shared" si="59"/>
        <v/>
      </c>
    </row>
    <row r="1277" spans="31:34" x14ac:dyDescent="0.25">
      <c r="AE1277" s="8" t="str">
        <f t="shared" si="57"/>
        <v/>
      </c>
      <c r="AF1277" s="8" t="str">
        <f t="shared" si="58"/>
        <v/>
      </c>
      <c r="AG1277" s="8" t="str">
        <f>IF(TRIM($E1277)&lt;&gt;"Tax Paid","",IF(COUNTIFS(LISTS!$F$2:$F$26,$AE1277,LISTS!$G$2:$G$26,$AF1277)=0,"NOT ON LIST",""))</f>
        <v/>
      </c>
      <c r="AH1277" s="8" t="str">
        <f t="shared" si="59"/>
        <v/>
      </c>
    </row>
    <row r="1278" spans="31:34" x14ac:dyDescent="0.25">
      <c r="AE1278" s="8" t="str">
        <f t="shared" si="57"/>
        <v/>
      </c>
      <c r="AF1278" s="8" t="str">
        <f t="shared" si="58"/>
        <v/>
      </c>
      <c r="AG1278" s="8" t="str">
        <f>IF(TRIM($E1278)&lt;&gt;"Tax Paid","",IF(COUNTIFS(LISTS!$F$2:$F$26,$AE1278,LISTS!$G$2:$G$26,$AF1278)=0,"NOT ON LIST",""))</f>
        <v/>
      </c>
      <c r="AH1278" s="8" t="str">
        <f t="shared" si="59"/>
        <v/>
      </c>
    </row>
    <row r="1279" spans="31:34" x14ac:dyDescent="0.25">
      <c r="AE1279" s="8" t="str">
        <f t="shared" si="57"/>
        <v/>
      </c>
      <c r="AF1279" s="8" t="str">
        <f t="shared" si="58"/>
        <v/>
      </c>
      <c r="AG1279" s="8" t="str">
        <f>IF(TRIM($E1279)&lt;&gt;"Tax Paid","",IF(COUNTIFS(LISTS!$F$2:$F$26,$AE1279,LISTS!$G$2:$G$26,$AF1279)=0,"NOT ON LIST",""))</f>
        <v/>
      </c>
      <c r="AH1279" s="8" t="str">
        <f t="shared" si="59"/>
        <v/>
      </c>
    </row>
    <row r="1280" spans="31:34" x14ac:dyDescent="0.25">
      <c r="AE1280" s="8" t="str">
        <f t="shared" si="57"/>
        <v/>
      </c>
      <c r="AF1280" s="8" t="str">
        <f t="shared" si="58"/>
        <v/>
      </c>
      <c r="AG1280" s="8" t="str">
        <f>IF(TRIM($E1280)&lt;&gt;"Tax Paid","",IF(COUNTIFS(LISTS!$F$2:$F$26,$AE1280,LISTS!$G$2:$G$26,$AF1280)=0,"NOT ON LIST",""))</f>
        <v/>
      </c>
      <c r="AH1280" s="8" t="str">
        <f t="shared" si="59"/>
        <v/>
      </c>
    </row>
    <row r="1281" spans="31:34" x14ac:dyDescent="0.25">
      <c r="AE1281" s="8" t="str">
        <f t="shared" si="57"/>
        <v/>
      </c>
      <c r="AF1281" s="8" t="str">
        <f t="shared" si="58"/>
        <v/>
      </c>
      <c r="AG1281" s="8" t="str">
        <f>IF(TRIM($E1281)&lt;&gt;"Tax Paid","",IF(COUNTIFS(LISTS!$F$2:$F$26,$AE1281,LISTS!$G$2:$G$26,$AF1281)=0,"NOT ON LIST",""))</f>
        <v/>
      </c>
      <c r="AH1281" s="8" t="str">
        <f t="shared" si="59"/>
        <v/>
      </c>
    </row>
    <row r="1282" spans="31:34" x14ac:dyDescent="0.25">
      <c r="AE1282" s="8" t="str">
        <f t="shared" ref="AE1282:AE1345" si="60">IF(TRIM($E1282)="Tax Paid",TRIM($S1282),"")</f>
        <v/>
      </c>
      <c r="AF1282" s="8" t="str">
        <f t="shared" ref="AF1282:AF1345" si="61">IF(TRIM($E1282)="Tax Paid",ROUND($Z1282/100,5),"")</f>
        <v/>
      </c>
      <c r="AG1282" s="8" t="str">
        <f>IF(TRIM($E1282)&lt;&gt;"Tax Paid","",IF(COUNTIFS(LISTS!$F$2:$F$26,$AE1282,LISTS!$G$2:$G$26,$AF1282)=0,"NOT ON LIST",""))</f>
        <v/>
      </c>
      <c r="AH1282" s="8" t="str">
        <f t="shared" ref="AH1282:AH1345" si="62">IF($AG1282="","",IF($AE1282="","(no county)",$AE1282)&amp;" ("&amp;SUBSTITUTE(TEXT($AF1282,"0.###%"),".%","%")&amp;")")</f>
        <v/>
      </c>
    </row>
    <row r="1283" spans="31:34" x14ac:dyDescent="0.25">
      <c r="AE1283" s="8" t="str">
        <f t="shared" si="60"/>
        <v/>
      </c>
      <c r="AF1283" s="8" t="str">
        <f t="shared" si="61"/>
        <v/>
      </c>
      <c r="AG1283" s="8" t="str">
        <f>IF(TRIM($E1283)&lt;&gt;"Tax Paid","",IF(COUNTIFS(LISTS!$F$2:$F$26,$AE1283,LISTS!$G$2:$G$26,$AF1283)=0,"NOT ON LIST",""))</f>
        <v/>
      </c>
      <c r="AH1283" s="8" t="str">
        <f t="shared" si="62"/>
        <v/>
      </c>
    </row>
    <row r="1284" spans="31:34" x14ac:dyDescent="0.25">
      <c r="AE1284" s="8" t="str">
        <f t="shared" si="60"/>
        <v/>
      </c>
      <c r="AF1284" s="8" t="str">
        <f t="shared" si="61"/>
        <v/>
      </c>
      <c r="AG1284" s="8" t="str">
        <f>IF(TRIM($E1284)&lt;&gt;"Tax Paid","",IF(COUNTIFS(LISTS!$F$2:$F$26,$AE1284,LISTS!$G$2:$G$26,$AF1284)=0,"NOT ON LIST",""))</f>
        <v/>
      </c>
      <c r="AH1284" s="8" t="str">
        <f t="shared" si="62"/>
        <v/>
      </c>
    </row>
    <row r="1285" spans="31:34" x14ac:dyDescent="0.25">
      <c r="AE1285" s="8" t="str">
        <f t="shared" si="60"/>
        <v/>
      </c>
      <c r="AF1285" s="8" t="str">
        <f t="shared" si="61"/>
        <v/>
      </c>
      <c r="AG1285" s="8" t="str">
        <f>IF(TRIM($E1285)&lt;&gt;"Tax Paid","",IF(COUNTIFS(LISTS!$F$2:$F$26,$AE1285,LISTS!$G$2:$G$26,$AF1285)=0,"NOT ON LIST",""))</f>
        <v/>
      </c>
      <c r="AH1285" s="8" t="str">
        <f t="shared" si="62"/>
        <v/>
      </c>
    </row>
    <row r="1286" spans="31:34" x14ac:dyDescent="0.25">
      <c r="AE1286" s="8" t="str">
        <f t="shared" si="60"/>
        <v/>
      </c>
      <c r="AF1286" s="8" t="str">
        <f t="shared" si="61"/>
        <v/>
      </c>
      <c r="AG1286" s="8" t="str">
        <f>IF(TRIM($E1286)&lt;&gt;"Tax Paid","",IF(COUNTIFS(LISTS!$F$2:$F$26,$AE1286,LISTS!$G$2:$G$26,$AF1286)=0,"NOT ON LIST",""))</f>
        <v/>
      </c>
      <c r="AH1286" s="8" t="str">
        <f t="shared" si="62"/>
        <v/>
      </c>
    </row>
    <row r="1287" spans="31:34" x14ac:dyDescent="0.25">
      <c r="AE1287" s="8" t="str">
        <f t="shared" si="60"/>
        <v/>
      </c>
      <c r="AF1287" s="8" t="str">
        <f t="shared" si="61"/>
        <v/>
      </c>
      <c r="AG1287" s="8" t="str">
        <f>IF(TRIM($E1287)&lt;&gt;"Tax Paid","",IF(COUNTIFS(LISTS!$F$2:$F$26,$AE1287,LISTS!$G$2:$G$26,$AF1287)=0,"NOT ON LIST",""))</f>
        <v/>
      </c>
      <c r="AH1287" s="8" t="str">
        <f t="shared" si="62"/>
        <v/>
      </c>
    </row>
    <row r="1288" spans="31:34" x14ac:dyDescent="0.25">
      <c r="AE1288" s="8" t="str">
        <f t="shared" si="60"/>
        <v/>
      </c>
      <c r="AF1288" s="8" t="str">
        <f t="shared" si="61"/>
        <v/>
      </c>
      <c r="AG1288" s="8" t="str">
        <f>IF(TRIM($E1288)&lt;&gt;"Tax Paid","",IF(COUNTIFS(LISTS!$F$2:$F$26,$AE1288,LISTS!$G$2:$G$26,$AF1288)=0,"NOT ON LIST",""))</f>
        <v/>
      </c>
      <c r="AH1288" s="8" t="str">
        <f t="shared" si="62"/>
        <v/>
      </c>
    </row>
    <row r="1289" spans="31:34" x14ac:dyDescent="0.25">
      <c r="AE1289" s="8" t="str">
        <f t="shared" si="60"/>
        <v/>
      </c>
      <c r="AF1289" s="8" t="str">
        <f t="shared" si="61"/>
        <v/>
      </c>
      <c r="AG1289" s="8" t="str">
        <f>IF(TRIM($E1289)&lt;&gt;"Tax Paid","",IF(COUNTIFS(LISTS!$F$2:$F$26,$AE1289,LISTS!$G$2:$G$26,$AF1289)=0,"NOT ON LIST",""))</f>
        <v/>
      </c>
      <c r="AH1289" s="8" t="str">
        <f t="shared" si="62"/>
        <v/>
      </c>
    </row>
    <row r="1290" spans="31:34" x14ac:dyDescent="0.25">
      <c r="AE1290" s="8" t="str">
        <f t="shared" si="60"/>
        <v/>
      </c>
      <c r="AF1290" s="8" t="str">
        <f t="shared" si="61"/>
        <v/>
      </c>
      <c r="AG1290" s="8" t="str">
        <f>IF(TRIM($E1290)&lt;&gt;"Tax Paid","",IF(COUNTIFS(LISTS!$F$2:$F$26,$AE1290,LISTS!$G$2:$G$26,$AF1290)=0,"NOT ON LIST",""))</f>
        <v/>
      </c>
      <c r="AH1290" s="8" t="str">
        <f t="shared" si="62"/>
        <v/>
      </c>
    </row>
    <row r="1291" spans="31:34" x14ac:dyDescent="0.25">
      <c r="AE1291" s="8" t="str">
        <f t="shared" si="60"/>
        <v/>
      </c>
      <c r="AF1291" s="8" t="str">
        <f t="shared" si="61"/>
        <v/>
      </c>
      <c r="AG1291" s="8" t="str">
        <f>IF(TRIM($E1291)&lt;&gt;"Tax Paid","",IF(COUNTIFS(LISTS!$F$2:$F$26,$AE1291,LISTS!$G$2:$G$26,$AF1291)=0,"NOT ON LIST",""))</f>
        <v/>
      </c>
      <c r="AH1291" s="8" t="str">
        <f t="shared" si="62"/>
        <v/>
      </c>
    </row>
    <row r="1292" spans="31:34" x14ac:dyDescent="0.25">
      <c r="AE1292" s="8" t="str">
        <f t="shared" si="60"/>
        <v/>
      </c>
      <c r="AF1292" s="8" t="str">
        <f t="shared" si="61"/>
        <v/>
      </c>
      <c r="AG1292" s="8" t="str">
        <f>IF(TRIM($E1292)&lt;&gt;"Tax Paid","",IF(COUNTIFS(LISTS!$F$2:$F$26,$AE1292,LISTS!$G$2:$G$26,$AF1292)=0,"NOT ON LIST",""))</f>
        <v/>
      </c>
      <c r="AH1292" s="8" t="str">
        <f t="shared" si="62"/>
        <v/>
      </c>
    </row>
    <row r="1293" spans="31:34" x14ac:dyDescent="0.25">
      <c r="AE1293" s="8" t="str">
        <f t="shared" si="60"/>
        <v/>
      </c>
      <c r="AF1293" s="8" t="str">
        <f t="shared" si="61"/>
        <v/>
      </c>
      <c r="AG1293" s="8" t="str">
        <f>IF(TRIM($E1293)&lt;&gt;"Tax Paid","",IF(COUNTIFS(LISTS!$F$2:$F$26,$AE1293,LISTS!$G$2:$G$26,$AF1293)=0,"NOT ON LIST",""))</f>
        <v/>
      </c>
      <c r="AH1293" s="8" t="str">
        <f t="shared" si="62"/>
        <v/>
      </c>
    </row>
    <row r="1294" spans="31:34" x14ac:dyDescent="0.25">
      <c r="AE1294" s="8" t="str">
        <f t="shared" si="60"/>
        <v/>
      </c>
      <c r="AF1294" s="8" t="str">
        <f t="shared" si="61"/>
        <v/>
      </c>
      <c r="AG1294" s="8" t="str">
        <f>IF(TRIM($E1294)&lt;&gt;"Tax Paid","",IF(COUNTIFS(LISTS!$F$2:$F$26,$AE1294,LISTS!$G$2:$G$26,$AF1294)=0,"NOT ON LIST",""))</f>
        <v/>
      </c>
      <c r="AH1294" s="8" t="str">
        <f t="shared" si="62"/>
        <v/>
      </c>
    </row>
    <row r="1295" spans="31:34" x14ac:dyDescent="0.25">
      <c r="AE1295" s="8" t="str">
        <f t="shared" si="60"/>
        <v/>
      </c>
      <c r="AF1295" s="8" t="str">
        <f t="shared" si="61"/>
        <v/>
      </c>
      <c r="AG1295" s="8" t="str">
        <f>IF(TRIM($E1295)&lt;&gt;"Tax Paid","",IF(COUNTIFS(LISTS!$F$2:$F$26,$AE1295,LISTS!$G$2:$G$26,$AF1295)=0,"NOT ON LIST",""))</f>
        <v/>
      </c>
      <c r="AH1295" s="8" t="str">
        <f t="shared" si="62"/>
        <v/>
      </c>
    </row>
    <row r="1296" spans="31:34" x14ac:dyDescent="0.25">
      <c r="AE1296" s="8" t="str">
        <f t="shared" si="60"/>
        <v/>
      </c>
      <c r="AF1296" s="8" t="str">
        <f t="shared" si="61"/>
        <v/>
      </c>
      <c r="AG1296" s="8" t="str">
        <f>IF(TRIM($E1296)&lt;&gt;"Tax Paid","",IF(COUNTIFS(LISTS!$F$2:$F$26,$AE1296,LISTS!$G$2:$G$26,$AF1296)=0,"NOT ON LIST",""))</f>
        <v/>
      </c>
      <c r="AH1296" s="8" t="str">
        <f t="shared" si="62"/>
        <v/>
      </c>
    </row>
    <row r="1297" spans="31:34" x14ac:dyDescent="0.25">
      <c r="AE1297" s="8" t="str">
        <f t="shared" si="60"/>
        <v/>
      </c>
      <c r="AF1297" s="8" t="str">
        <f t="shared" si="61"/>
        <v/>
      </c>
      <c r="AG1297" s="8" t="str">
        <f>IF(TRIM($E1297)&lt;&gt;"Tax Paid","",IF(COUNTIFS(LISTS!$F$2:$F$26,$AE1297,LISTS!$G$2:$G$26,$AF1297)=0,"NOT ON LIST",""))</f>
        <v/>
      </c>
      <c r="AH1297" s="8" t="str">
        <f t="shared" si="62"/>
        <v/>
      </c>
    </row>
    <row r="1298" spans="31:34" x14ac:dyDescent="0.25">
      <c r="AE1298" s="8" t="str">
        <f t="shared" si="60"/>
        <v/>
      </c>
      <c r="AF1298" s="8" t="str">
        <f t="shared" si="61"/>
        <v/>
      </c>
      <c r="AG1298" s="8" t="str">
        <f>IF(TRIM($E1298)&lt;&gt;"Tax Paid","",IF(COUNTIFS(LISTS!$F$2:$F$26,$AE1298,LISTS!$G$2:$G$26,$AF1298)=0,"NOT ON LIST",""))</f>
        <v/>
      </c>
      <c r="AH1298" s="8" t="str">
        <f t="shared" si="62"/>
        <v/>
      </c>
    </row>
    <row r="1299" spans="31:34" x14ac:dyDescent="0.25">
      <c r="AE1299" s="8" t="str">
        <f t="shared" si="60"/>
        <v/>
      </c>
      <c r="AF1299" s="8" t="str">
        <f t="shared" si="61"/>
        <v/>
      </c>
      <c r="AG1299" s="8" t="str">
        <f>IF(TRIM($E1299)&lt;&gt;"Tax Paid","",IF(COUNTIFS(LISTS!$F$2:$F$26,$AE1299,LISTS!$G$2:$G$26,$AF1299)=0,"NOT ON LIST",""))</f>
        <v/>
      </c>
      <c r="AH1299" s="8" t="str">
        <f t="shared" si="62"/>
        <v/>
      </c>
    </row>
    <row r="1300" spans="31:34" x14ac:dyDescent="0.25">
      <c r="AE1300" s="8" t="str">
        <f t="shared" si="60"/>
        <v/>
      </c>
      <c r="AF1300" s="8" t="str">
        <f t="shared" si="61"/>
        <v/>
      </c>
      <c r="AG1300" s="8" t="str">
        <f>IF(TRIM($E1300)&lt;&gt;"Tax Paid","",IF(COUNTIFS(LISTS!$F$2:$F$26,$AE1300,LISTS!$G$2:$G$26,$AF1300)=0,"NOT ON LIST",""))</f>
        <v/>
      </c>
      <c r="AH1300" s="8" t="str">
        <f t="shared" si="62"/>
        <v/>
      </c>
    </row>
    <row r="1301" spans="31:34" x14ac:dyDescent="0.25">
      <c r="AE1301" s="8" t="str">
        <f t="shared" si="60"/>
        <v/>
      </c>
      <c r="AF1301" s="8" t="str">
        <f t="shared" si="61"/>
        <v/>
      </c>
      <c r="AG1301" s="8" t="str">
        <f>IF(TRIM($E1301)&lt;&gt;"Tax Paid","",IF(COUNTIFS(LISTS!$F$2:$F$26,$AE1301,LISTS!$G$2:$G$26,$AF1301)=0,"NOT ON LIST",""))</f>
        <v/>
      </c>
      <c r="AH1301" s="8" t="str">
        <f t="shared" si="62"/>
        <v/>
      </c>
    </row>
    <row r="1302" spans="31:34" x14ac:dyDescent="0.25">
      <c r="AE1302" s="8" t="str">
        <f t="shared" si="60"/>
        <v/>
      </c>
      <c r="AF1302" s="8" t="str">
        <f t="shared" si="61"/>
        <v/>
      </c>
      <c r="AG1302" s="8" t="str">
        <f>IF(TRIM($E1302)&lt;&gt;"Tax Paid","",IF(COUNTIFS(LISTS!$F$2:$F$26,$AE1302,LISTS!$G$2:$G$26,$AF1302)=0,"NOT ON LIST",""))</f>
        <v/>
      </c>
      <c r="AH1302" s="8" t="str">
        <f t="shared" si="62"/>
        <v/>
      </c>
    </row>
    <row r="1303" spans="31:34" x14ac:dyDescent="0.25">
      <c r="AE1303" s="8" t="str">
        <f t="shared" si="60"/>
        <v/>
      </c>
      <c r="AF1303" s="8" t="str">
        <f t="shared" si="61"/>
        <v/>
      </c>
      <c r="AG1303" s="8" t="str">
        <f>IF(TRIM($E1303)&lt;&gt;"Tax Paid","",IF(COUNTIFS(LISTS!$F$2:$F$26,$AE1303,LISTS!$G$2:$G$26,$AF1303)=0,"NOT ON LIST",""))</f>
        <v/>
      </c>
      <c r="AH1303" s="8" t="str">
        <f t="shared" si="62"/>
        <v/>
      </c>
    </row>
    <row r="1304" spans="31:34" x14ac:dyDescent="0.25">
      <c r="AE1304" s="8" t="str">
        <f t="shared" si="60"/>
        <v/>
      </c>
      <c r="AF1304" s="8" t="str">
        <f t="shared" si="61"/>
        <v/>
      </c>
      <c r="AG1304" s="8" t="str">
        <f>IF(TRIM($E1304)&lt;&gt;"Tax Paid","",IF(COUNTIFS(LISTS!$F$2:$F$26,$AE1304,LISTS!$G$2:$G$26,$AF1304)=0,"NOT ON LIST",""))</f>
        <v/>
      </c>
      <c r="AH1304" s="8" t="str">
        <f t="shared" si="62"/>
        <v/>
      </c>
    </row>
    <row r="1305" spans="31:34" x14ac:dyDescent="0.25">
      <c r="AE1305" s="8" t="str">
        <f t="shared" si="60"/>
        <v/>
      </c>
      <c r="AF1305" s="8" t="str">
        <f t="shared" si="61"/>
        <v/>
      </c>
      <c r="AG1305" s="8" t="str">
        <f>IF(TRIM($E1305)&lt;&gt;"Tax Paid","",IF(COUNTIFS(LISTS!$F$2:$F$26,$AE1305,LISTS!$G$2:$G$26,$AF1305)=0,"NOT ON LIST",""))</f>
        <v/>
      </c>
      <c r="AH1305" s="8" t="str">
        <f t="shared" si="62"/>
        <v/>
      </c>
    </row>
    <row r="1306" spans="31:34" x14ac:dyDescent="0.25">
      <c r="AE1306" s="8" t="str">
        <f t="shared" si="60"/>
        <v/>
      </c>
      <c r="AF1306" s="8" t="str">
        <f t="shared" si="61"/>
        <v/>
      </c>
      <c r="AG1306" s="8" t="str">
        <f>IF(TRIM($E1306)&lt;&gt;"Tax Paid","",IF(COUNTIFS(LISTS!$F$2:$F$26,$AE1306,LISTS!$G$2:$G$26,$AF1306)=0,"NOT ON LIST",""))</f>
        <v/>
      </c>
      <c r="AH1306" s="8" t="str">
        <f t="shared" si="62"/>
        <v/>
      </c>
    </row>
    <row r="1307" spans="31:34" x14ac:dyDescent="0.25">
      <c r="AE1307" s="8" t="str">
        <f t="shared" si="60"/>
        <v/>
      </c>
      <c r="AF1307" s="8" t="str">
        <f t="shared" si="61"/>
        <v/>
      </c>
      <c r="AG1307" s="8" t="str">
        <f>IF(TRIM($E1307)&lt;&gt;"Tax Paid","",IF(COUNTIFS(LISTS!$F$2:$F$26,$AE1307,LISTS!$G$2:$G$26,$AF1307)=0,"NOT ON LIST",""))</f>
        <v/>
      </c>
      <c r="AH1307" s="8" t="str">
        <f t="shared" si="62"/>
        <v/>
      </c>
    </row>
    <row r="1308" spans="31:34" x14ac:dyDescent="0.25">
      <c r="AE1308" s="8" t="str">
        <f t="shared" si="60"/>
        <v/>
      </c>
      <c r="AF1308" s="8" t="str">
        <f t="shared" si="61"/>
        <v/>
      </c>
      <c r="AG1308" s="8" t="str">
        <f>IF(TRIM($E1308)&lt;&gt;"Tax Paid","",IF(COUNTIFS(LISTS!$F$2:$F$26,$AE1308,LISTS!$G$2:$G$26,$AF1308)=0,"NOT ON LIST",""))</f>
        <v/>
      </c>
      <c r="AH1308" s="8" t="str">
        <f t="shared" si="62"/>
        <v/>
      </c>
    </row>
    <row r="1309" spans="31:34" x14ac:dyDescent="0.25">
      <c r="AE1309" s="8" t="str">
        <f t="shared" si="60"/>
        <v/>
      </c>
      <c r="AF1309" s="8" t="str">
        <f t="shared" si="61"/>
        <v/>
      </c>
      <c r="AG1309" s="8" t="str">
        <f>IF(TRIM($E1309)&lt;&gt;"Tax Paid","",IF(COUNTIFS(LISTS!$F$2:$F$26,$AE1309,LISTS!$G$2:$G$26,$AF1309)=0,"NOT ON LIST",""))</f>
        <v/>
      </c>
      <c r="AH1309" s="8" t="str">
        <f t="shared" si="62"/>
        <v/>
      </c>
    </row>
    <row r="1310" spans="31:34" x14ac:dyDescent="0.25">
      <c r="AE1310" s="8" t="str">
        <f t="shared" si="60"/>
        <v/>
      </c>
      <c r="AF1310" s="8" t="str">
        <f t="shared" si="61"/>
        <v/>
      </c>
      <c r="AG1310" s="8" t="str">
        <f>IF(TRIM($E1310)&lt;&gt;"Tax Paid","",IF(COUNTIFS(LISTS!$F$2:$F$26,$AE1310,LISTS!$G$2:$G$26,$AF1310)=0,"NOT ON LIST",""))</f>
        <v/>
      </c>
      <c r="AH1310" s="8" t="str">
        <f t="shared" si="62"/>
        <v/>
      </c>
    </row>
    <row r="1311" spans="31:34" x14ac:dyDescent="0.25">
      <c r="AE1311" s="8" t="str">
        <f t="shared" si="60"/>
        <v/>
      </c>
      <c r="AF1311" s="8" t="str">
        <f t="shared" si="61"/>
        <v/>
      </c>
      <c r="AG1311" s="8" t="str">
        <f>IF(TRIM($E1311)&lt;&gt;"Tax Paid","",IF(COUNTIFS(LISTS!$F$2:$F$26,$AE1311,LISTS!$G$2:$G$26,$AF1311)=0,"NOT ON LIST",""))</f>
        <v/>
      </c>
      <c r="AH1311" s="8" t="str">
        <f t="shared" si="62"/>
        <v/>
      </c>
    </row>
    <row r="1312" spans="31:34" x14ac:dyDescent="0.25">
      <c r="AE1312" s="8" t="str">
        <f t="shared" si="60"/>
        <v/>
      </c>
      <c r="AF1312" s="8" t="str">
        <f t="shared" si="61"/>
        <v/>
      </c>
      <c r="AG1312" s="8" t="str">
        <f>IF(TRIM($E1312)&lt;&gt;"Tax Paid","",IF(COUNTIFS(LISTS!$F$2:$F$26,$AE1312,LISTS!$G$2:$G$26,$AF1312)=0,"NOT ON LIST",""))</f>
        <v/>
      </c>
      <c r="AH1312" s="8" t="str">
        <f t="shared" si="62"/>
        <v/>
      </c>
    </row>
    <row r="1313" spans="31:34" x14ac:dyDescent="0.25">
      <c r="AE1313" s="8" t="str">
        <f t="shared" si="60"/>
        <v/>
      </c>
      <c r="AF1313" s="8" t="str">
        <f t="shared" si="61"/>
        <v/>
      </c>
      <c r="AG1313" s="8" t="str">
        <f>IF(TRIM($E1313)&lt;&gt;"Tax Paid","",IF(COUNTIFS(LISTS!$F$2:$F$26,$AE1313,LISTS!$G$2:$G$26,$AF1313)=0,"NOT ON LIST",""))</f>
        <v/>
      </c>
      <c r="AH1313" s="8" t="str">
        <f t="shared" si="62"/>
        <v/>
      </c>
    </row>
    <row r="1314" spans="31:34" x14ac:dyDescent="0.25">
      <c r="AE1314" s="8" t="str">
        <f t="shared" si="60"/>
        <v/>
      </c>
      <c r="AF1314" s="8" t="str">
        <f t="shared" si="61"/>
        <v/>
      </c>
      <c r="AG1314" s="8" t="str">
        <f>IF(TRIM($E1314)&lt;&gt;"Tax Paid","",IF(COUNTIFS(LISTS!$F$2:$F$26,$AE1314,LISTS!$G$2:$G$26,$AF1314)=0,"NOT ON LIST",""))</f>
        <v/>
      </c>
      <c r="AH1314" s="8" t="str">
        <f t="shared" si="62"/>
        <v/>
      </c>
    </row>
    <row r="1315" spans="31:34" x14ac:dyDescent="0.25">
      <c r="AE1315" s="8" t="str">
        <f t="shared" si="60"/>
        <v/>
      </c>
      <c r="AF1315" s="8" t="str">
        <f t="shared" si="61"/>
        <v/>
      </c>
      <c r="AG1315" s="8" t="str">
        <f>IF(TRIM($E1315)&lt;&gt;"Tax Paid","",IF(COUNTIFS(LISTS!$F$2:$F$26,$AE1315,LISTS!$G$2:$G$26,$AF1315)=0,"NOT ON LIST",""))</f>
        <v/>
      </c>
      <c r="AH1315" s="8" t="str">
        <f t="shared" si="62"/>
        <v/>
      </c>
    </row>
    <row r="1316" spans="31:34" x14ac:dyDescent="0.25">
      <c r="AE1316" s="8" t="str">
        <f t="shared" si="60"/>
        <v/>
      </c>
      <c r="AF1316" s="8" t="str">
        <f t="shared" si="61"/>
        <v/>
      </c>
      <c r="AG1316" s="8" t="str">
        <f>IF(TRIM($E1316)&lt;&gt;"Tax Paid","",IF(COUNTIFS(LISTS!$F$2:$F$26,$AE1316,LISTS!$G$2:$G$26,$AF1316)=0,"NOT ON LIST",""))</f>
        <v/>
      </c>
      <c r="AH1316" s="8" t="str">
        <f t="shared" si="62"/>
        <v/>
      </c>
    </row>
    <row r="1317" spans="31:34" x14ac:dyDescent="0.25">
      <c r="AE1317" s="8" t="str">
        <f t="shared" si="60"/>
        <v/>
      </c>
      <c r="AF1317" s="8" t="str">
        <f t="shared" si="61"/>
        <v/>
      </c>
      <c r="AG1317" s="8" t="str">
        <f>IF(TRIM($E1317)&lt;&gt;"Tax Paid","",IF(COUNTIFS(LISTS!$F$2:$F$26,$AE1317,LISTS!$G$2:$G$26,$AF1317)=0,"NOT ON LIST",""))</f>
        <v/>
      </c>
      <c r="AH1317" s="8" t="str">
        <f t="shared" si="62"/>
        <v/>
      </c>
    </row>
    <row r="1318" spans="31:34" x14ac:dyDescent="0.25">
      <c r="AE1318" s="8" t="str">
        <f t="shared" si="60"/>
        <v/>
      </c>
      <c r="AF1318" s="8" t="str">
        <f t="shared" si="61"/>
        <v/>
      </c>
      <c r="AG1318" s="8" t="str">
        <f>IF(TRIM($E1318)&lt;&gt;"Tax Paid","",IF(COUNTIFS(LISTS!$F$2:$F$26,$AE1318,LISTS!$G$2:$G$26,$AF1318)=0,"NOT ON LIST",""))</f>
        <v/>
      </c>
      <c r="AH1318" s="8" t="str">
        <f t="shared" si="62"/>
        <v/>
      </c>
    </row>
    <row r="1319" spans="31:34" x14ac:dyDescent="0.25">
      <c r="AE1319" s="8" t="str">
        <f t="shared" si="60"/>
        <v/>
      </c>
      <c r="AF1319" s="8" t="str">
        <f t="shared" si="61"/>
        <v/>
      </c>
      <c r="AG1319" s="8" t="str">
        <f>IF(TRIM($E1319)&lt;&gt;"Tax Paid","",IF(COUNTIFS(LISTS!$F$2:$F$26,$AE1319,LISTS!$G$2:$G$26,$AF1319)=0,"NOT ON LIST",""))</f>
        <v/>
      </c>
      <c r="AH1319" s="8" t="str">
        <f t="shared" si="62"/>
        <v/>
      </c>
    </row>
    <row r="1320" spans="31:34" x14ac:dyDescent="0.25">
      <c r="AE1320" s="8" t="str">
        <f t="shared" si="60"/>
        <v/>
      </c>
      <c r="AF1320" s="8" t="str">
        <f t="shared" si="61"/>
        <v/>
      </c>
      <c r="AG1320" s="8" t="str">
        <f>IF(TRIM($E1320)&lt;&gt;"Tax Paid","",IF(COUNTIFS(LISTS!$F$2:$F$26,$AE1320,LISTS!$G$2:$G$26,$AF1320)=0,"NOT ON LIST",""))</f>
        <v/>
      </c>
      <c r="AH1320" s="8" t="str">
        <f t="shared" si="62"/>
        <v/>
      </c>
    </row>
    <row r="1321" spans="31:34" x14ac:dyDescent="0.25">
      <c r="AE1321" s="8" t="str">
        <f t="shared" si="60"/>
        <v/>
      </c>
      <c r="AF1321" s="8" t="str">
        <f t="shared" si="61"/>
        <v/>
      </c>
      <c r="AG1321" s="8" t="str">
        <f>IF(TRIM($E1321)&lt;&gt;"Tax Paid","",IF(COUNTIFS(LISTS!$F$2:$F$26,$AE1321,LISTS!$G$2:$G$26,$AF1321)=0,"NOT ON LIST",""))</f>
        <v/>
      </c>
      <c r="AH1321" s="8" t="str">
        <f t="shared" si="62"/>
        <v/>
      </c>
    </row>
    <row r="1322" spans="31:34" x14ac:dyDescent="0.25">
      <c r="AE1322" s="8" t="str">
        <f t="shared" si="60"/>
        <v/>
      </c>
      <c r="AF1322" s="8" t="str">
        <f t="shared" si="61"/>
        <v/>
      </c>
      <c r="AG1322" s="8" t="str">
        <f>IF(TRIM($E1322)&lt;&gt;"Tax Paid","",IF(COUNTIFS(LISTS!$F$2:$F$26,$AE1322,LISTS!$G$2:$G$26,$AF1322)=0,"NOT ON LIST",""))</f>
        <v/>
      </c>
      <c r="AH1322" s="8" t="str">
        <f t="shared" si="62"/>
        <v/>
      </c>
    </row>
    <row r="1323" spans="31:34" x14ac:dyDescent="0.25">
      <c r="AE1323" s="8" t="str">
        <f t="shared" si="60"/>
        <v/>
      </c>
      <c r="AF1323" s="8" t="str">
        <f t="shared" si="61"/>
        <v/>
      </c>
      <c r="AG1323" s="8" t="str">
        <f>IF(TRIM($E1323)&lt;&gt;"Tax Paid","",IF(COUNTIFS(LISTS!$F$2:$F$26,$AE1323,LISTS!$G$2:$G$26,$AF1323)=0,"NOT ON LIST",""))</f>
        <v/>
      </c>
      <c r="AH1323" s="8" t="str">
        <f t="shared" si="62"/>
        <v/>
      </c>
    </row>
    <row r="1324" spans="31:34" x14ac:dyDescent="0.25">
      <c r="AE1324" s="8" t="str">
        <f t="shared" si="60"/>
        <v/>
      </c>
      <c r="AF1324" s="8" t="str">
        <f t="shared" si="61"/>
        <v/>
      </c>
      <c r="AG1324" s="8" t="str">
        <f>IF(TRIM($E1324)&lt;&gt;"Tax Paid","",IF(COUNTIFS(LISTS!$F$2:$F$26,$AE1324,LISTS!$G$2:$G$26,$AF1324)=0,"NOT ON LIST",""))</f>
        <v/>
      </c>
      <c r="AH1324" s="8" t="str">
        <f t="shared" si="62"/>
        <v/>
      </c>
    </row>
    <row r="1325" spans="31:34" x14ac:dyDescent="0.25">
      <c r="AE1325" s="8" t="str">
        <f t="shared" si="60"/>
        <v/>
      </c>
      <c r="AF1325" s="8" t="str">
        <f t="shared" si="61"/>
        <v/>
      </c>
      <c r="AG1325" s="8" t="str">
        <f>IF(TRIM($E1325)&lt;&gt;"Tax Paid","",IF(COUNTIFS(LISTS!$F$2:$F$26,$AE1325,LISTS!$G$2:$G$26,$AF1325)=0,"NOT ON LIST",""))</f>
        <v/>
      </c>
      <c r="AH1325" s="8" t="str">
        <f t="shared" si="62"/>
        <v/>
      </c>
    </row>
    <row r="1326" spans="31:34" x14ac:dyDescent="0.25">
      <c r="AE1326" s="8" t="str">
        <f t="shared" si="60"/>
        <v/>
      </c>
      <c r="AF1326" s="8" t="str">
        <f t="shared" si="61"/>
        <v/>
      </c>
      <c r="AG1326" s="8" t="str">
        <f>IF(TRIM($E1326)&lt;&gt;"Tax Paid","",IF(COUNTIFS(LISTS!$F$2:$F$26,$AE1326,LISTS!$G$2:$G$26,$AF1326)=0,"NOT ON LIST",""))</f>
        <v/>
      </c>
      <c r="AH1326" s="8" t="str">
        <f t="shared" si="62"/>
        <v/>
      </c>
    </row>
    <row r="1327" spans="31:34" x14ac:dyDescent="0.25">
      <c r="AE1327" s="8" t="str">
        <f t="shared" si="60"/>
        <v/>
      </c>
      <c r="AF1327" s="8" t="str">
        <f t="shared" si="61"/>
        <v/>
      </c>
      <c r="AG1327" s="8" t="str">
        <f>IF(TRIM($E1327)&lt;&gt;"Tax Paid","",IF(COUNTIFS(LISTS!$F$2:$F$26,$AE1327,LISTS!$G$2:$G$26,$AF1327)=0,"NOT ON LIST",""))</f>
        <v/>
      </c>
      <c r="AH1327" s="8" t="str">
        <f t="shared" si="62"/>
        <v/>
      </c>
    </row>
    <row r="1328" spans="31:34" x14ac:dyDescent="0.25">
      <c r="AE1328" s="8" t="str">
        <f t="shared" si="60"/>
        <v/>
      </c>
      <c r="AF1328" s="8" t="str">
        <f t="shared" si="61"/>
        <v/>
      </c>
      <c r="AG1328" s="8" t="str">
        <f>IF(TRIM($E1328)&lt;&gt;"Tax Paid","",IF(COUNTIFS(LISTS!$F$2:$F$26,$AE1328,LISTS!$G$2:$G$26,$AF1328)=0,"NOT ON LIST",""))</f>
        <v/>
      </c>
      <c r="AH1328" s="8" t="str">
        <f t="shared" si="62"/>
        <v/>
      </c>
    </row>
    <row r="1329" spans="31:34" x14ac:dyDescent="0.25">
      <c r="AE1329" s="8" t="str">
        <f t="shared" si="60"/>
        <v/>
      </c>
      <c r="AF1329" s="8" t="str">
        <f t="shared" si="61"/>
        <v/>
      </c>
      <c r="AG1329" s="8" t="str">
        <f>IF(TRIM($E1329)&lt;&gt;"Tax Paid","",IF(COUNTIFS(LISTS!$F$2:$F$26,$AE1329,LISTS!$G$2:$G$26,$AF1329)=0,"NOT ON LIST",""))</f>
        <v/>
      </c>
      <c r="AH1329" s="8" t="str">
        <f t="shared" si="62"/>
        <v/>
      </c>
    </row>
    <row r="1330" spans="31:34" x14ac:dyDescent="0.25">
      <c r="AE1330" s="8" t="str">
        <f t="shared" si="60"/>
        <v/>
      </c>
      <c r="AF1330" s="8" t="str">
        <f t="shared" si="61"/>
        <v/>
      </c>
      <c r="AG1330" s="8" t="str">
        <f>IF(TRIM($E1330)&lt;&gt;"Tax Paid","",IF(COUNTIFS(LISTS!$F$2:$F$26,$AE1330,LISTS!$G$2:$G$26,$AF1330)=0,"NOT ON LIST",""))</f>
        <v/>
      </c>
      <c r="AH1330" s="8" t="str">
        <f t="shared" si="62"/>
        <v/>
      </c>
    </row>
    <row r="1331" spans="31:34" x14ac:dyDescent="0.25">
      <c r="AE1331" s="8" t="str">
        <f t="shared" si="60"/>
        <v/>
      </c>
      <c r="AF1331" s="8" t="str">
        <f t="shared" si="61"/>
        <v/>
      </c>
      <c r="AG1331" s="8" t="str">
        <f>IF(TRIM($E1331)&lt;&gt;"Tax Paid","",IF(COUNTIFS(LISTS!$F$2:$F$26,$AE1331,LISTS!$G$2:$G$26,$AF1331)=0,"NOT ON LIST",""))</f>
        <v/>
      </c>
      <c r="AH1331" s="8" t="str">
        <f t="shared" si="62"/>
        <v/>
      </c>
    </row>
    <row r="1332" spans="31:34" x14ac:dyDescent="0.25">
      <c r="AE1332" s="8" t="str">
        <f t="shared" si="60"/>
        <v/>
      </c>
      <c r="AF1332" s="8" t="str">
        <f t="shared" si="61"/>
        <v/>
      </c>
      <c r="AG1332" s="8" t="str">
        <f>IF(TRIM($E1332)&lt;&gt;"Tax Paid","",IF(COUNTIFS(LISTS!$F$2:$F$26,$AE1332,LISTS!$G$2:$G$26,$AF1332)=0,"NOT ON LIST",""))</f>
        <v/>
      </c>
      <c r="AH1332" s="8" t="str">
        <f t="shared" si="62"/>
        <v/>
      </c>
    </row>
    <row r="1333" spans="31:34" x14ac:dyDescent="0.25">
      <c r="AE1333" s="8" t="str">
        <f t="shared" si="60"/>
        <v/>
      </c>
      <c r="AF1333" s="8" t="str">
        <f t="shared" si="61"/>
        <v/>
      </c>
      <c r="AG1333" s="8" t="str">
        <f>IF(TRIM($E1333)&lt;&gt;"Tax Paid","",IF(COUNTIFS(LISTS!$F$2:$F$26,$AE1333,LISTS!$G$2:$G$26,$AF1333)=0,"NOT ON LIST",""))</f>
        <v/>
      </c>
      <c r="AH1333" s="8" t="str">
        <f t="shared" si="62"/>
        <v/>
      </c>
    </row>
    <row r="1334" spans="31:34" x14ac:dyDescent="0.25">
      <c r="AE1334" s="8" t="str">
        <f t="shared" si="60"/>
        <v/>
      </c>
      <c r="AF1334" s="8" t="str">
        <f t="shared" si="61"/>
        <v/>
      </c>
      <c r="AG1334" s="8" t="str">
        <f>IF(TRIM($E1334)&lt;&gt;"Tax Paid","",IF(COUNTIFS(LISTS!$F$2:$F$26,$AE1334,LISTS!$G$2:$G$26,$AF1334)=0,"NOT ON LIST",""))</f>
        <v/>
      </c>
      <c r="AH1334" s="8" t="str">
        <f t="shared" si="62"/>
        <v/>
      </c>
    </row>
    <row r="1335" spans="31:34" x14ac:dyDescent="0.25">
      <c r="AE1335" s="8" t="str">
        <f t="shared" si="60"/>
        <v/>
      </c>
      <c r="AF1335" s="8" t="str">
        <f t="shared" si="61"/>
        <v/>
      </c>
      <c r="AG1335" s="8" t="str">
        <f>IF(TRIM($E1335)&lt;&gt;"Tax Paid","",IF(COUNTIFS(LISTS!$F$2:$F$26,$AE1335,LISTS!$G$2:$G$26,$AF1335)=0,"NOT ON LIST",""))</f>
        <v/>
      </c>
      <c r="AH1335" s="8" t="str">
        <f t="shared" si="62"/>
        <v/>
      </c>
    </row>
    <row r="1336" spans="31:34" x14ac:dyDescent="0.25">
      <c r="AE1336" s="8" t="str">
        <f t="shared" si="60"/>
        <v/>
      </c>
      <c r="AF1336" s="8" t="str">
        <f t="shared" si="61"/>
        <v/>
      </c>
      <c r="AG1336" s="8" t="str">
        <f>IF(TRIM($E1336)&lt;&gt;"Tax Paid","",IF(COUNTIFS(LISTS!$F$2:$F$26,$AE1336,LISTS!$G$2:$G$26,$AF1336)=0,"NOT ON LIST",""))</f>
        <v/>
      </c>
      <c r="AH1336" s="8" t="str">
        <f t="shared" si="62"/>
        <v/>
      </c>
    </row>
    <row r="1337" spans="31:34" x14ac:dyDescent="0.25">
      <c r="AE1337" s="8" t="str">
        <f t="shared" si="60"/>
        <v/>
      </c>
      <c r="AF1337" s="8" t="str">
        <f t="shared" si="61"/>
        <v/>
      </c>
      <c r="AG1337" s="8" t="str">
        <f>IF(TRIM($E1337)&lt;&gt;"Tax Paid","",IF(COUNTIFS(LISTS!$F$2:$F$26,$AE1337,LISTS!$G$2:$G$26,$AF1337)=0,"NOT ON LIST",""))</f>
        <v/>
      </c>
      <c r="AH1337" s="8" t="str">
        <f t="shared" si="62"/>
        <v/>
      </c>
    </row>
    <row r="1338" spans="31:34" x14ac:dyDescent="0.25">
      <c r="AE1338" s="8" t="str">
        <f t="shared" si="60"/>
        <v/>
      </c>
      <c r="AF1338" s="8" t="str">
        <f t="shared" si="61"/>
        <v/>
      </c>
      <c r="AG1338" s="8" t="str">
        <f>IF(TRIM($E1338)&lt;&gt;"Tax Paid","",IF(COUNTIFS(LISTS!$F$2:$F$26,$AE1338,LISTS!$G$2:$G$26,$AF1338)=0,"NOT ON LIST",""))</f>
        <v/>
      </c>
      <c r="AH1338" s="8" t="str">
        <f t="shared" si="62"/>
        <v/>
      </c>
    </row>
    <row r="1339" spans="31:34" x14ac:dyDescent="0.25">
      <c r="AE1339" s="8" t="str">
        <f t="shared" si="60"/>
        <v/>
      </c>
      <c r="AF1339" s="8" t="str">
        <f t="shared" si="61"/>
        <v/>
      </c>
      <c r="AG1339" s="8" t="str">
        <f>IF(TRIM($E1339)&lt;&gt;"Tax Paid","",IF(COUNTIFS(LISTS!$F$2:$F$26,$AE1339,LISTS!$G$2:$G$26,$AF1339)=0,"NOT ON LIST",""))</f>
        <v/>
      </c>
      <c r="AH1339" s="8" t="str">
        <f t="shared" si="62"/>
        <v/>
      </c>
    </row>
    <row r="1340" spans="31:34" x14ac:dyDescent="0.25">
      <c r="AE1340" s="8" t="str">
        <f t="shared" si="60"/>
        <v/>
      </c>
      <c r="AF1340" s="8" t="str">
        <f t="shared" si="61"/>
        <v/>
      </c>
      <c r="AG1340" s="8" t="str">
        <f>IF(TRIM($E1340)&lt;&gt;"Tax Paid","",IF(COUNTIFS(LISTS!$F$2:$F$26,$AE1340,LISTS!$G$2:$G$26,$AF1340)=0,"NOT ON LIST",""))</f>
        <v/>
      </c>
      <c r="AH1340" s="8" t="str">
        <f t="shared" si="62"/>
        <v/>
      </c>
    </row>
    <row r="1341" spans="31:34" x14ac:dyDescent="0.25">
      <c r="AE1341" s="8" t="str">
        <f t="shared" si="60"/>
        <v/>
      </c>
      <c r="AF1341" s="8" t="str">
        <f t="shared" si="61"/>
        <v/>
      </c>
      <c r="AG1341" s="8" t="str">
        <f>IF(TRIM($E1341)&lt;&gt;"Tax Paid","",IF(COUNTIFS(LISTS!$F$2:$F$26,$AE1341,LISTS!$G$2:$G$26,$AF1341)=0,"NOT ON LIST",""))</f>
        <v/>
      </c>
      <c r="AH1341" s="8" t="str">
        <f t="shared" si="62"/>
        <v/>
      </c>
    </row>
    <row r="1342" spans="31:34" x14ac:dyDescent="0.25">
      <c r="AE1342" s="8" t="str">
        <f t="shared" si="60"/>
        <v/>
      </c>
      <c r="AF1342" s="8" t="str">
        <f t="shared" si="61"/>
        <v/>
      </c>
      <c r="AG1342" s="8" t="str">
        <f>IF(TRIM($E1342)&lt;&gt;"Tax Paid","",IF(COUNTIFS(LISTS!$F$2:$F$26,$AE1342,LISTS!$G$2:$G$26,$AF1342)=0,"NOT ON LIST",""))</f>
        <v/>
      </c>
      <c r="AH1342" s="8" t="str">
        <f t="shared" si="62"/>
        <v/>
      </c>
    </row>
    <row r="1343" spans="31:34" x14ac:dyDescent="0.25">
      <c r="AE1343" s="8" t="str">
        <f t="shared" si="60"/>
        <v/>
      </c>
      <c r="AF1343" s="8" t="str">
        <f t="shared" si="61"/>
        <v/>
      </c>
      <c r="AG1343" s="8" t="str">
        <f>IF(TRIM($E1343)&lt;&gt;"Tax Paid","",IF(COUNTIFS(LISTS!$F$2:$F$26,$AE1343,LISTS!$G$2:$G$26,$AF1343)=0,"NOT ON LIST",""))</f>
        <v/>
      </c>
      <c r="AH1343" s="8" t="str">
        <f t="shared" si="62"/>
        <v/>
      </c>
    </row>
    <row r="1344" spans="31:34" x14ac:dyDescent="0.25">
      <c r="AE1344" s="8" t="str">
        <f t="shared" si="60"/>
        <v/>
      </c>
      <c r="AF1344" s="8" t="str">
        <f t="shared" si="61"/>
        <v/>
      </c>
      <c r="AG1344" s="8" t="str">
        <f>IF(TRIM($E1344)&lt;&gt;"Tax Paid","",IF(COUNTIFS(LISTS!$F$2:$F$26,$AE1344,LISTS!$G$2:$G$26,$AF1344)=0,"NOT ON LIST",""))</f>
        <v/>
      </c>
      <c r="AH1344" s="8" t="str">
        <f t="shared" si="62"/>
        <v/>
      </c>
    </row>
    <row r="1345" spans="31:34" x14ac:dyDescent="0.25">
      <c r="AE1345" s="8" t="str">
        <f t="shared" si="60"/>
        <v/>
      </c>
      <c r="AF1345" s="8" t="str">
        <f t="shared" si="61"/>
        <v/>
      </c>
      <c r="AG1345" s="8" t="str">
        <f>IF(TRIM($E1345)&lt;&gt;"Tax Paid","",IF(COUNTIFS(LISTS!$F$2:$F$26,$AE1345,LISTS!$G$2:$G$26,$AF1345)=0,"NOT ON LIST",""))</f>
        <v/>
      </c>
      <c r="AH1345" s="8" t="str">
        <f t="shared" si="62"/>
        <v/>
      </c>
    </row>
    <row r="1346" spans="31:34" x14ac:dyDescent="0.25">
      <c r="AE1346" s="8" t="str">
        <f t="shared" ref="AE1346:AE1409" si="63">IF(TRIM($E1346)="Tax Paid",TRIM($S1346),"")</f>
        <v/>
      </c>
      <c r="AF1346" s="8" t="str">
        <f t="shared" ref="AF1346:AF1409" si="64">IF(TRIM($E1346)="Tax Paid",ROUND($Z1346/100,5),"")</f>
        <v/>
      </c>
      <c r="AG1346" s="8" t="str">
        <f>IF(TRIM($E1346)&lt;&gt;"Tax Paid","",IF(COUNTIFS(LISTS!$F$2:$F$26,$AE1346,LISTS!$G$2:$G$26,$AF1346)=0,"NOT ON LIST",""))</f>
        <v/>
      </c>
      <c r="AH1346" s="8" t="str">
        <f t="shared" ref="AH1346:AH1409" si="65">IF($AG1346="","",IF($AE1346="","(no county)",$AE1346)&amp;" ("&amp;SUBSTITUTE(TEXT($AF1346,"0.###%"),".%","%")&amp;")")</f>
        <v/>
      </c>
    </row>
    <row r="1347" spans="31:34" x14ac:dyDescent="0.25">
      <c r="AE1347" s="8" t="str">
        <f t="shared" si="63"/>
        <v/>
      </c>
      <c r="AF1347" s="8" t="str">
        <f t="shared" si="64"/>
        <v/>
      </c>
      <c r="AG1347" s="8" t="str">
        <f>IF(TRIM($E1347)&lt;&gt;"Tax Paid","",IF(COUNTIFS(LISTS!$F$2:$F$26,$AE1347,LISTS!$G$2:$G$26,$AF1347)=0,"NOT ON LIST",""))</f>
        <v/>
      </c>
      <c r="AH1347" s="8" t="str">
        <f t="shared" si="65"/>
        <v/>
      </c>
    </row>
    <row r="1348" spans="31:34" x14ac:dyDescent="0.25">
      <c r="AE1348" s="8" t="str">
        <f t="shared" si="63"/>
        <v/>
      </c>
      <c r="AF1348" s="8" t="str">
        <f t="shared" si="64"/>
        <v/>
      </c>
      <c r="AG1348" s="8" t="str">
        <f>IF(TRIM($E1348)&lt;&gt;"Tax Paid","",IF(COUNTIFS(LISTS!$F$2:$F$26,$AE1348,LISTS!$G$2:$G$26,$AF1348)=0,"NOT ON LIST",""))</f>
        <v/>
      </c>
      <c r="AH1348" s="8" t="str">
        <f t="shared" si="65"/>
        <v/>
      </c>
    </row>
    <row r="1349" spans="31:34" x14ac:dyDescent="0.25">
      <c r="AE1349" s="8" t="str">
        <f t="shared" si="63"/>
        <v/>
      </c>
      <c r="AF1349" s="8" t="str">
        <f t="shared" si="64"/>
        <v/>
      </c>
      <c r="AG1349" s="8" t="str">
        <f>IF(TRIM($E1349)&lt;&gt;"Tax Paid","",IF(COUNTIFS(LISTS!$F$2:$F$26,$AE1349,LISTS!$G$2:$G$26,$AF1349)=0,"NOT ON LIST",""))</f>
        <v/>
      </c>
      <c r="AH1349" s="8" t="str">
        <f t="shared" si="65"/>
        <v/>
      </c>
    </row>
    <row r="1350" spans="31:34" x14ac:dyDescent="0.25">
      <c r="AE1350" s="8" t="str">
        <f t="shared" si="63"/>
        <v/>
      </c>
      <c r="AF1350" s="8" t="str">
        <f t="shared" si="64"/>
        <v/>
      </c>
      <c r="AG1350" s="8" t="str">
        <f>IF(TRIM($E1350)&lt;&gt;"Tax Paid","",IF(COUNTIFS(LISTS!$F$2:$F$26,$AE1350,LISTS!$G$2:$G$26,$AF1350)=0,"NOT ON LIST",""))</f>
        <v/>
      </c>
      <c r="AH1350" s="8" t="str">
        <f t="shared" si="65"/>
        <v/>
      </c>
    </row>
    <row r="1351" spans="31:34" x14ac:dyDescent="0.25">
      <c r="AE1351" s="8" t="str">
        <f t="shared" si="63"/>
        <v/>
      </c>
      <c r="AF1351" s="8" t="str">
        <f t="shared" si="64"/>
        <v/>
      </c>
      <c r="AG1351" s="8" t="str">
        <f>IF(TRIM($E1351)&lt;&gt;"Tax Paid","",IF(COUNTIFS(LISTS!$F$2:$F$26,$AE1351,LISTS!$G$2:$G$26,$AF1351)=0,"NOT ON LIST",""))</f>
        <v/>
      </c>
      <c r="AH1351" s="8" t="str">
        <f t="shared" si="65"/>
        <v/>
      </c>
    </row>
    <row r="1352" spans="31:34" x14ac:dyDescent="0.25">
      <c r="AE1352" s="8" t="str">
        <f t="shared" si="63"/>
        <v/>
      </c>
      <c r="AF1352" s="8" t="str">
        <f t="shared" si="64"/>
        <v/>
      </c>
      <c r="AG1352" s="8" t="str">
        <f>IF(TRIM($E1352)&lt;&gt;"Tax Paid","",IF(COUNTIFS(LISTS!$F$2:$F$26,$AE1352,LISTS!$G$2:$G$26,$AF1352)=0,"NOT ON LIST",""))</f>
        <v/>
      </c>
      <c r="AH1352" s="8" t="str">
        <f t="shared" si="65"/>
        <v/>
      </c>
    </row>
    <row r="1353" spans="31:34" x14ac:dyDescent="0.25">
      <c r="AE1353" s="8" t="str">
        <f t="shared" si="63"/>
        <v/>
      </c>
      <c r="AF1353" s="8" t="str">
        <f t="shared" si="64"/>
        <v/>
      </c>
      <c r="AG1353" s="8" t="str">
        <f>IF(TRIM($E1353)&lt;&gt;"Tax Paid","",IF(COUNTIFS(LISTS!$F$2:$F$26,$AE1353,LISTS!$G$2:$G$26,$AF1353)=0,"NOT ON LIST",""))</f>
        <v/>
      </c>
      <c r="AH1353" s="8" t="str">
        <f t="shared" si="65"/>
        <v/>
      </c>
    </row>
    <row r="1354" spans="31:34" x14ac:dyDescent="0.25">
      <c r="AE1354" s="8" t="str">
        <f t="shared" si="63"/>
        <v/>
      </c>
      <c r="AF1354" s="8" t="str">
        <f t="shared" si="64"/>
        <v/>
      </c>
      <c r="AG1354" s="8" t="str">
        <f>IF(TRIM($E1354)&lt;&gt;"Tax Paid","",IF(COUNTIFS(LISTS!$F$2:$F$26,$AE1354,LISTS!$G$2:$G$26,$AF1354)=0,"NOT ON LIST",""))</f>
        <v/>
      </c>
      <c r="AH1354" s="8" t="str">
        <f t="shared" si="65"/>
        <v/>
      </c>
    </row>
    <row r="1355" spans="31:34" x14ac:dyDescent="0.25">
      <c r="AE1355" s="8" t="str">
        <f t="shared" si="63"/>
        <v/>
      </c>
      <c r="AF1355" s="8" t="str">
        <f t="shared" si="64"/>
        <v/>
      </c>
      <c r="AG1355" s="8" t="str">
        <f>IF(TRIM($E1355)&lt;&gt;"Tax Paid","",IF(COUNTIFS(LISTS!$F$2:$F$26,$AE1355,LISTS!$G$2:$G$26,$AF1355)=0,"NOT ON LIST",""))</f>
        <v/>
      </c>
      <c r="AH1355" s="8" t="str">
        <f t="shared" si="65"/>
        <v/>
      </c>
    </row>
    <row r="1356" spans="31:34" x14ac:dyDescent="0.25">
      <c r="AE1356" s="8" t="str">
        <f t="shared" si="63"/>
        <v/>
      </c>
      <c r="AF1356" s="8" t="str">
        <f t="shared" si="64"/>
        <v/>
      </c>
      <c r="AG1356" s="8" t="str">
        <f>IF(TRIM($E1356)&lt;&gt;"Tax Paid","",IF(COUNTIFS(LISTS!$F$2:$F$26,$AE1356,LISTS!$G$2:$G$26,$AF1356)=0,"NOT ON LIST",""))</f>
        <v/>
      </c>
      <c r="AH1356" s="8" t="str">
        <f t="shared" si="65"/>
        <v/>
      </c>
    </row>
    <row r="1357" spans="31:34" x14ac:dyDescent="0.25">
      <c r="AE1357" s="8" t="str">
        <f t="shared" si="63"/>
        <v/>
      </c>
      <c r="AF1357" s="8" t="str">
        <f t="shared" si="64"/>
        <v/>
      </c>
      <c r="AG1357" s="8" t="str">
        <f>IF(TRIM($E1357)&lt;&gt;"Tax Paid","",IF(COUNTIFS(LISTS!$F$2:$F$26,$AE1357,LISTS!$G$2:$G$26,$AF1357)=0,"NOT ON LIST",""))</f>
        <v/>
      </c>
      <c r="AH1357" s="8" t="str">
        <f t="shared" si="65"/>
        <v/>
      </c>
    </row>
    <row r="1358" spans="31:34" x14ac:dyDescent="0.25">
      <c r="AE1358" s="8" t="str">
        <f t="shared" si="63"/>
        <v/>
      </c>
      <c r="AF1358" s="8" t="str">
        <f t="shared" si="64"/>
        <v/>
      </c>
      <c r="AG1358" s="8" t="str">
        <f>IF(TRIM($E1358)&lt;&gt;"Tax Paid","",IF(COUNTIFS(LISTS!$F$2:$F$26,$AE1358,LISTS!$G$2:$G$26,$AF1358)=0,"NOT ON LIST",""))</f>
        <v/>
      </c>
      <c r="AH1358" s="8" t="str">
        <f t="shared" si="65"/>
        <v/>
      </c>
    </row>
    <row r="1359" spans="31:34" x14ac:dyDescent="0.25">
      <c r="AE1359" s="8" t="str">
        <f t="shared" si="63"/>
        <v/>
      </c>
      <c r="AF1359" s="8" t="str">
        <f t="shared" si="64"/>
        <v/>
      </c>
      <c r="AG1359" s="8" t="str">
        <f>IF(TRIM($E1359)&lt;&gt;"Tax Paid","",IF(COUNTIFS(LISTS!$F$2:$F$26,$AE1359,LISTS!$G$2:$G$26,$AF1359)=0,"NOT ON LIST",""))</f>
        <v/>
      </c>
      <c r="AH1359" s="8" t="str">
        <f t="shared" si="65"/>
        <v/>
      </c>
    </row>
    <row r="1360" spans="31:34" x14ac:dyDescent="0.25">
      <c r="AE1360" s="8" t="str">
        <f t="shared" si="63"/>
        <v/>
      </c>
      <c r="AF1360" s="8" t="str">
        <f t="shared" si="64"/>
        <v/>
      </c>
      <c r="AG1360" s="8" t="str">
        <f>IF(TRIM($E1360)&lt;&gt;"Tax Paid","",IF(COUNTIFS(LISTS!$F$2:$F$26,$AE1360,LISTS!$G$2:$G$26,$AF1360)=0,"NOT ON LIST",""))</f>
        <v/>
      </c>
      <c r="AH1360" s="8" t="str">
        <f t="shared" si="65"/>
        <v/>
      </c>
    </row>
    <row r="1361" spans="31:34" x14ac:dyDescent="0.25">
      <c r="AE1361" s="8" t="str">
        <f t="shared" si="63"/>
        <v/>
      </c>
      <c r="AF1361" s="8" t="str">
        <f t="shared" si="64"/>
        <v/>
      </c>
      <c r="AG1361" s="8" t="str">
        <f>IF(TRIM($E1361)&lt;&gt;"Tax Paid","",IF(COUNTIFS(LISTS!$F$2:$F$26,$AE1361,LISTS!$G$2:$G$26,$AF1361)=0,"NOT ON LIST",""))</f>
        <v/>
      </c>
      <c r="AH1361" s="8" t="str">
        <f t="shared" si="65"/>
        <v/>
      </c>
    </row>
    <row r="1362" spans="31:34" x14ac:dyDescent="0.25">
      <c r="AE1362" s="8" t="str">
        <f t="shared" si="63"/>
        <v/>
      </c>
      <c r="AF1362" s="8" t="str">
        <f t="shared" si="64"/>
        <v/>
      </c>
      <c r="AG1362" s="8" t="str">
        <f>IF(TRIM($E1362)&lt;&gt;"Tax Paid","",IF(COUNTIFS(LISTS!$F$2:$F$26,$AE1362,LISTS!$G$2:$G$26,$AF1362)=0,"NOT ON LIST",""))</f>
        <v/>
      </c>
      <c r="AH1362" s="8" t="str">
        <f t="shared" si="65"/>
        <v/>
      </c>
    </row>
    <row r="1363" spans="31:34" x14ac:dyDescent="0.25">
      <c r="AE1363" s="8" t="str">
        <f t="shared" si="63"/>
        <v/>
      </c>
      <c r="AF1363" s="8" t="str">
        <f t="shared" si="64"/>
        <v/>
      </c>
      <c r="AG1363" s="8" t="str">
        <f>IF(TRIM($E1363)&lt;&gt;"Tax Paid","",IF(COUNTIFS(LISTS!$F$2:$F$26,$AE1363,LISTS!$G$2:$G$26,$AF1363)=0,"NOT ON LIST",""))</f>
        <v/>
      </c>
      <c r="AH1363" s="8" t="str">
        <f t="shared" si="65"/>
        <v/>
      </c>
    </row>
    <row r="1364" spans="31:34" x14ac:dyDescent="0.25">
      <c r="AE1364" s="8" t="str">
        <f t="shared" si="63"/>
        <v/>
      </c>
      <c r="AF1364" s="8" t="str">
        <f t="shared" si="64"/>
        <v/>
      </c>
      <c r="AG1364" s="8" t="str">
        <f>IF(TRIM($E1364)&lt;&gt;"Tax Paid","",IF(COUNTIFS(LISTS!$F$2:$F$26,$AE1364,LISTS!$G$2:$G$26,$AF1364)=0,"NOT ON LIST",""))</f>
        <v/>
      </c>
      <c r="AH1364" s="8" t="str">
        <f t="shared" si="65"/>
        <v/>
      </c>
    </row>
    <row r="1365" spans="31:34" x14ac:dyDescent="0.25">
      <c r="AE1365" s="8" t="str">
        <f t="shared" si="63"/>
        <v/>
      </c>
      <c r="AF1365" s="8" t="str">
        <f t="shared" si="64"/>
        <v/>
      </c>
      <c r="AG1365" s="8" t="str">
        <f>IF(TRIM($E1365)&lt;&gt;"Tax Paid","",IF(COUNTIFS(LISTS!$F$2:$F$26,$AE1365,LISTS!$G$2:$G$26,$AF1365)=0,"NOT ON LIST",""))</f>
        <v/>
      </c>
      <c r="AH1365" s="8" t="str">
        <f t="shared" si="65"/>
        <v/>
      </c>
    </row>
    <row r="1366" spans="31:34" x14ac:dyDescent="0.25">
      <c r="AE1366" s="8" t="str">
        <f t="shared" si="63"/>
        <v/>
      </c>
      <c r="AF1366" s="8" t="str">
        <f t="shared" si="64"/>
        <v/>
      </c>
      <c r="AG1366" s="8" t="str">
        <f>IF(TRIM($E1366)&lt;&gt;"Tax Paid","",IF(COUNTIFS(LISTS!$F$2:$F$26,$AE1366,LISTS!$G$2:$G$26,$AF1366)=0,"NOT ON LIST",""))</f>
        <v/>
      </c>
      <c r="AH1366" s="8" t="str">
        <f t="shared" si="65"/>
        <v/>
      </c>
    </row>
    <row r="1367" spans="31:34" x14ac:dyDescent="0.25">
      <c r="AE1367" s="8" t="str">
        <f t="shared" si="63"/>
        <v/>
      </c>
      <c r="AF1367" s="8" t="str">
        <f t="shared" si="64"/>
        <v/>
      </c>
      <c r="AG1367" s="8" t="str">
        <f>IF(TRIM($E1367)&lt;&gt;"Tax Paid","",IF(COUNTIFS(LISTS!$F$2:$F$26,$AE1367,LISTS!$G$2:$G$26,$AF1367)=0,"NOT ON LIST",""))</f>
        <v/>
      </c>
      <c r="AH1367" s="8" t="str">
        <f t="shared" si="65"/>
        <v/>
      </c>
    </row>
    <row r="1368" spans="31:34" x14ac:dyDescent="0.25">
      <c r="AE1368" s="8" t="str">
        <f t="shared" si="63"/>
        <v/>
      </c>
      <c r="AF1368" s="8" t="str">
        <f t="shared" si="64"/>
        <v/>
      </c>
      <c r="AG1368" s="8" t="str">
        <f>IF(TRIM($E1368)&lt;&gt;"Tax Paid","",IF(COUNTIFS(LISTS!$F$2:$F$26,$AE1368,LISTS!$G$2:$G$26,$AF1368)=0,"NOT ON LIST",""))</f>
        <v/>
      </c>
      <c r="AH1368" s="8" t="str">
        <f t="shared" si="65"/>
        <v/>
      </c>
    </row>
    <row r="1369" spans="31:34" x14ac:dyDescent="0.25">
      <c r="AE1369" s="8" t="str">
        <f t="shared" si="63"/>
        <v/>
      </c>
      <c r="AF1369" s="8" t="str">
        <f t="shared" si="64"/>
        <v/>
      </c>
      <c r="AG1369" s="8" t="str">
        <f>IF(TRIM($E1369)&lt;&gt;"Tax Paid","",IF(COUNTIFS(LISTS!$F$2:$F$26,$AE1369,LISTS!$G$2:$G$26,$AF1369)=0,"NOT ON LIST",""))</f>
        <v/>
      </c>
      <c r="AH1369" s="8" t="str">
        <f t="shared" si="65"/>
        <v/>
      </c>
    </row>
    <row r="1370" spans="31:34" x14ac:dyDescent="0.25">
      <c r="AE1370" s="8" t="str">
        <f t="shared" si="63"/>
        <v/>
      </c>
      <c r="AF1370" s="8" t="str">
        <f t="shared" si="64"/>
        <v/>
      </c>
      <c r="AG1370" s="8" t="str">
        <f>IF(TRIM($E1370)&lt;&gt;"Tax Paid","",IF(COUNTIFS(LISTS!$F$2:$F$26,$AE1370,LISTS!$G$2:$G$26,$AF1370)=0,"NOT ON LIST",""))</f>
        <v/>
      </c>
      <c r="AH1370" s="8" t="str">
        <f t="shared" si="65"/>
        <v/>
      </c>
    </row>
    <row r="1371" spans="31:34" x14ac:dyDescent="0.25">
      <c r="AE1371" s="8" t="str">
        <f t="shared" si="63"/>
        <v/>
      </c>
      <c r="AF1371" s="8" t="str">
        <f t="shared" si="64"/>
        <v/>
      </c>
      <c r="AG1371" s="8" t="str">
        <f>IF(TRIM($E1371)&lt;&gt;"Tax Paid","",IF(COUNTIFS(LISTS!$F$2:$F$26,$AE1371,LISTS!$G$2:$G$26,$AF1371)=0,"NOT ON LIST",""))</f>
        <v/>
      </c>
      <c r="AH1371" s="8" t="str">
        <f t="shared" si="65"/>
        <v/>
      </c>
    </row>
    <row r="1372" spans="31:34" x14ac:dyDescent="0.25">
      <c r="AE1372" s="8" t="str">
        <f t="shared" si="63"/>
        <v/>
      </c>
      <c r="AF1372" s="8" t="str">
        <f t="shared" si="64"/>
        <v/>
      </c>
      <c r="AG1372" s="8" t="str">
        <f>IF(TRIM($E1372)&lt;&gt;"Tax Paid","",IF(COUNTIFS(LISTS!$F$2:$F$26,$AE1372,LISTS!$G$2:$G$26,$AF1372)=0,"NOT ON LIST",""))</f>
        <v/>
      </c>
      <c r="AH1372" s="8" t="str">
        <f t="shared" si="65"/>
        <v/>
      </c>
    </row>
    <row r="1373" spans="31:34" x14ac:dyDescent="0.25">
      <c r="AE1373" s="8" t="str">
        <f t="shared" si="63"/>
        <v/>
      </c>
      <c r="AF1373" s="8" t="str">
        <f t="shared" si="64"/>
        <v/>
      </c>
      <c r="AG1373" s="8" t="str">
        <f>IF(TRIM($E1373)&lt;&gt;"Tax Paid","",IF(COUNTIFS(LISTS!$F$2:$F$26,$AE1373,LISTS!$G$2:$G$26,$AF1373)=0,"NOT ON LIST",""))</f>
        <v/>
      </c>
      <c r="AH1373" s="8" t="str">
        <f t="shared" si="65"/>
        <v/>
      </c>
    </row>
    <row r="1374" spans="31:34" x14ac:dyDescent="0.25">
      <c r="AE1374" s="8" t="str">
        <f t="shared" si="63"/>
        <v/>
      </c>
      <c r="AF1374" s="8" t="str">
        <f t="shared" si="64"/>
        <v/>
      </c>
      <c r="AG1374" s="8" t="str">
        <f>IF(TRIM($E1374)&lt;&gt;"Tax Paid","",IF(COUNTIFS(LISTS!$F$2:$F$26,$AE1374,LISTS!$G$2:$G$26,$AF1374)=0,"NOT ON LIST",""))</f>
        <v/>
      </c>
      <c r="AH1374" s="8" t="str">
        <f t="shared" si="65"/>
        <v/>
      </c>
    </row>
    <row r="1375" spans="31:34" x14ac:dyDescent="0.25">
      <c r="AE1375" s="8" t="str">
        <f t="shared" si="63"/>
        <v/>
      </c>
      <c r="AF1375" s="8" t="str">
        <f t="shared" si="64"/>
        <v/>
      </c>
      <c r="AG1375" s="8" t="str">
        <f>IF(TRIM($E1375)&lt;&gt;"Tax Paid","",IF(COUNTIFS(LISTS!$F$2:$F$26,$AE1375,LISTS!$G$2:$G$26,$AF1375)=0,"NOT ON LIST",""))</f>
        <v/>
      </c>
      <c r="AH1375" s="8" t="str">
        <f t="shared" si="65"/>
        <v/>
      </c>
    </row>
    <row r="1376" spans="31:34" x14ac:dyDescent="0.25">
      <c r="AE1376" s="8" t="str">
        <f t="shared" si="63"/>
        <v/>
      </c>
      <c r="AF1376" s="8" t="str">
        <f t="shared" si="64"/>
        <v/>
      </c>
      <c r="AG1376" s="8" t="str">
        <f>IF(TRIM($E1376)&lt;&gt;"Tax Paid","",IF(COUNTIFS(LISTS!$F$2:$F$26,$AE1376,LISTS!$G$2:$G$26,$AF1376)=0,"NOT ON LIST",""))</f>
        <v/>
      </c>
      <c r="AH1376" s="8" t="str">
        <f t="shared" si="65"/>
        <v/>
      </c>
    </row>
    <row r="1377" spans="31:34" x14ac:dyDescent="0.25">
      <c r="AE1377" s="8" t="str">
        <f t="shared" si="63"/>
        <v/>
      </c>
      <c r="AF1377" s="8" t="str">
        <f t="shared" si="64"/>
        <v/>
      </c>
      <c r="AG1377" s="8" t="str">
        <f>IF(TRIM($E1377)&lt;&gt;"Tax Paid","",IF(COUNTIFS(LISTS!$F$2:$F$26,$AE1377,LISTS!$G$2:$G$26,$AF1377)=0,"NOT ON LIST",""))</f>
        <v/>
      </c>
      <c r="AH1377" s="8" t="str">
        <f t="shared" si="65"/>
        <v/>
      </c>
    </row>
    <row r="1378" spans="31:34" x14ac:dyDescent="0.25">
      <c r="AE1378" s="8" t="str">
        <f t="shared" si="63"/>
        <v/>
      </c>
      <c r="AF1378" s="8" t="str">
        <f t="shared" si="64"/>
        <v/>
      </c>
      <c r="AG1378" s="8" t="str">
        <f>IF(TRIM($E1378)&lt;&gt;"Tax Paid","",IF(COUNTIFS(LISTS!$F$2:$F$26,$AE1378,LISTS!$G$2:$G$26,$AF1378)=0,"NOT ON LIST",""))</f>
        <v/>
      </c>
      <c r="AH1378" s="8" t="str">
        <f t="shared" si="65"/>
        <v/>
      </c>
    </row>
    <row r="1379" spans="31:34" x14ac:dyDescent="0.25">
      <c r="AE1379" s="8" t="str">
        <f t="shared" si="63"/>
        <v/>
      </c>
      <c r="AF1379" s="8" t="str">
        <f t="shared" si="64"/>
        <v/>
      </c>
      <c r="AG1379" s="8" t="str">
        <f>IF(TRIM($E1379)&lt;&gt;"Tax Paid","",IF(COUNTIFS(LISTS!$F$2:$F$26,$AE1379,LISTS!$G$2:$G$26,$AF1379)=0,"NOT ON LIST",""))</f>
        <v/>
      </c>
      <c r="AH1379" s="8" t="str">
        <f t="shared" si="65"/>
        <v/>
      </c>
    </row>
    <row r="1380" spans="31:34" x14ac:dyDescent="0.25">
      <c r="AE1380" s="8" t="str">
        <f t="shared" si="63"/>
        <v/>
      </c>
      <c r="AF1380" s="8" t="str">
        <f t="shared" si="64"/>
        <v/>
      </c>
      <c r="AG1380" s="8" t="str">
        <f>IF(TRIM($E1380)&lt;&gt;"Tax Paid","",IF(COUNTIFS(LISTS!$F$2:$F$26,$AE1380,LISTS!$G$2:$G$26,$AF1380)=0,"NOT ON LIST",""))</f>
        <v/>
      </c>
      <c r="AH1380" s="8" t="str">
        <f t="shared" si="65"/>
        <v/>
      </c>
    </row>
    <row r="1381" spans="31:34" x14ac:dyDescent="0.25">
      <c r="AE1381" s="8" t="str">
        <f t="shared" si="63"/>
        <v/>
      </c>
      <c r="AF1381" s="8" t="str">
        <f t="shared" si="64"/>
        <v/>
      </c>
      <c r="AG1381" s="8" t="str">
        <f>IF(TRIM($E1381)&lt;&gt;"Tax Paid","",IF(COUNTIFS(LISTS!$F$2:$F$26,$AE1381,LISTS!$G$2:$G$26,$AF1381)=0,"NOT ON LIST",""))</f>
        <v/>
      </c>
      <c r="AH1381" s="8" t="str">
        <f t="shared" si="65"/>
        <v/>
      </c>
    </row>
    <row r="1382" spans="31:34" x14ac:dyDescent="0.25">
      <c r="AE1382" s="8" t="str">
        <f t="shared" si="63"/>
        <v/>
      </c>
      <c r="AF1382" s="8" t="str">
        <f t="shared" si="64"/>
        <v/>
      </c>
      <c r="AG1382" s="8" t="str">
        <f>IF(TRIM($E1382)&lt;&gt;"Tax Paid","",IF(COUNTIFS(LISTS!$F$2:$F$26,$AE1382,LISTS!$G$2:$G$26,$AF1382)=0,"NOT ON LIST",""))</f>
        <v/>
      </c>
      <c r="AH1382" s="8" t="str">
        <f t="shared" si="65"/>
        <v/>
      </c>
    </row>
    <row r="1383" spans="31:34" x14ac:dyDescent="0.25">
      <c r="AE1383" s="8" t="str">
        <f t="shared" si="63"/>
        <v/>
      </c>
      <c r="AF1383" s="8" t="str">
        <f t="shared" si="64"/>
        <v/>
      </c>
      <c r="AG1383" s="8" t="str">
        <f>IF(TRIM($E1383)&lt;&gt;"Tax Paid","",IF(COUNTIFS(LISTS!$F$2:$F$26,$AE1383,LISTS!$G$2:$G$26,$AF1383)=0,"NOT ON LIST",""))</f>
        <v/>
      </c>
      <c r="AH1383" s="8" t="str">
        <f t="shared" si="65"/>
        <v/>
      </c>
    </row>
    <row r="1384" spans="31:34" x14ac:dyDescent="0.25">
      <c r="AE1384" s="8" t="str">
        <f t="shared" si="63"/>
        <v/>
      </c>
      <c r="AF1384" s="8" t="str">
        <f t="shared" si="64"/>
        <v/>
      </c>
      <c r="AG1384" s="8" t="str">
        <f>IF(TRIM($E1384)&lt;&gt;"Tax Paid","",IF(COUNTIFS(LISTS!$F$2:$F$26,$AE1384,LISTS!$G$2:$G$26,$AF1384)=0,"NOT ON LIST",""))</f>
        <v/>
      </c>
      <c r="AH1384" s="8" t="str">
        <f t="shared" si="65"/>
        <v/>
      </c>
    </row>
    <row r="1385" spans="31:34" x14ac:dyDescent="0.25">
      <c r="AE1385" s="8" t="str">
        <f t="shared" si="63"/>
        <v/>
      </c>
      <c r="AF1385" s="8" t="str">
        <f t="shared" si="64"/>
        <v/>
      </c>
      <c r="AG1385" s="8" t="str">
        <f>IF(TRIM($E1385)&lt;&gt;"Tax Paid","",IF(COUNTIFS(LISTS!$F$2:$F$26,$AE1385,LISTS!$G$2:$G$26,$AF1385)=0,"NOT ON LIST",""))</f>
        <v/>
      </c>
      <c r="AH1385" s="8" t="str">
        <f t="shared" si="65"/>
        <v/>
      </c>
    </row>
    <row r="1386" spans="31:34" x14ac:dyDescent="0.25">
      <c r="AE1386" s="8" t="str">
        <f t="shared" si="63"/>
        <v/>
      </c>
      <c r="AF1386" s="8" t="str">
        <f t="shared" si="64"/>
        <v/>
      </c>
      <c r="AG1386" s="8" t="str">
        <f>IF(TRIM($E1386)&lt;&gt;"Tax Paid","",IF(COUNTIFS(LISTS!$F$2:$F$26,$AE1386,LISTS!$G$2:$G$26,$AF1386)=0,"NOT ON LIST",""))</f>
        <v/>
      </c>
      <c r="AH1386" s="8" t="str">
        <f t="shared" si="65"/>
        <v/>
      </c>
    </row>
    <row r="1387" spans="31:34" x14ac:dyDescent="0.25">
      <c r="AE1387" s="8" t="str">
        <f t="shared" si="63"/>
        <v/>
      </c>
      <c r="AF1387" s="8" t="str">
        <f t="shared" si="64"/>
        <v/>
      </c>
      <c r="AG1387" s="8" t="str">
        <f>IF(TRIM($E1387)&lt;&gt;"Tax Paid","",IF(COUNTIFS(LISTS!$F$2:$F$26,$AE1387,LISTS!$G$2:$G$26,$AF1387)=0,"NOT ON LIST",""))</f>
        <v/>
      </c>
      <c r="AH1387" s="8" t="str">
        <f t="shared" si="65"/>
        <v/>
      </c>
    </row>
    <row r="1388" spans="31:34" x14ac:dyDescent="0.25">
      <c r="AE1388" s="8" t="str">
        <f t="shared" si="63"/>
        <v/>
      </c>
      <c r="AF1388" s="8" t="str">
        <f t="shared" si="64"/>
        <v/>
      </c>
      <c r="AG1388" s="8" t="str">
        <f>IF(TRIM($E1388)&lt;&gt;"Tax Paid","",IF(COUNTIFS(LISTS!$F$2:$F$26,$AE1388,LISTS!$G$2:$G$26,$AF1388)=0,"NOT ON LIST",""))</f>
        <v/>
      </c>
      <c r="AH1388" s="8" t="str">
        <f t="shared" si="65"/>
        <v/>
      </c>
    </row>
    <row r="1389" spans="31:34" x14ac:dyDescent="0.25">
      <c r="AE1389" s="8" t="str">
        <f t="shared" si="63"/>
        <v/>
      </c>
      <c r="AF1389" s="8" t="str">
        <f t="shared" si="64"/>
        <v/>
      </c>
      <c r="AG1389" s="8" t="str">
        <f>IF(TRIM($E1389)&lt;&gt;"Tax Paid","",IF(COUNTIFS(LISTS!$F$2:$F$26,$AE1389,LISTS!$G$2:$G$26,$AF1389)=0,"NOT ON LIST",""))</f>
        <v/>
      </c>
      <c r="AH1389" s="8" t="str">
        <f t="shared" si="65"/>
        <v/>
      </c>
    </row>
    <row r="1390" spans="31:34" x14ac:dyDescent="0.25">
      <c r="AE1390" s="8" t="str">
        <f t="shared" si="63"/>
        <v/>
      </c>
      <c r="AF1390" s="8" t="str">
        <f t="shared" si="64"/>
        <v/>
      </c>
      <c r="AG1390" s="8" t="str">
        <f>IF(TRIM($E1390)&lt;&gt;"Tax Paid","",IF(COUNTIFS(LISTS!$F$2:$F$26,$AE1390,LISTS!$G$2:$G$26,$AF1390)=0,"NOT ON LIST",""))</f>
        <v/>
      </c>
      <c r="AH1390" s="8" t="str">
        <f t="shared" si="65"/>
        <v/>
      </c>
    </row>
    <row r="1391" spans="31:34" x14ac:dyDescent="0.25">
      <c r="AE1391" s="8" t="str">
        <f t="shared" si="63"/>
        <v/>
      </c>
      <c r="AF1391" s="8" t="str">
        <f t="shared" si="64"/>
        <v/>
      </c>
      <c r="AG1391" s="8" t="str">
        <f>IF(TRIM($E1391)&lt;&gt;"Tax Paid","",IF(COUNTIFS(LISTS!$F$2:$F$26,$AE1391,LISTS!$G$2:$G$26,$AF1391)=0,"NOT ON LIST",""))</f>
        <v/>
      </c>
      <c r="AH1391" s="8" t="str">
        <f t="shared" si="65"/>
        <v/>
      </c>
    </row>
    <row r="1392" spans="31:34" x14ac:dyDescent="0.25">
      <c r="AE1392" s="8" t="str">
        <f t="shared" si="63"/>
        <v/>
      </c>
      <c r="AF1392" s="8" t="str">
        <f t="shared" si="64"/>
        <v/>
      </c>
      <c r="AG1392" s="8" t="str">
        <f>IF(TRIM($E1392)&lt;&gt;"Tax Paid","",IF(COUNTIFS(LISTS!$F$2:$F$26,$AE1392,LISTS!$G$2:$G$26,$AF1392)=0,"NOT ON LIST",""))</f>
        <v/>
      </c>
      <c r="AH1392" s="8" t="str">
        <f t="shared" si="65"/>
        <v/>
      </c>
    </row>
    <row r="1393" spans="31:34" x14ac:dyDescent="0.25">
      <c r="AE1393" s="8" t="str">
        <f t="shared" si="63"/>
        <v/>
      </c>
      <c r="AF1393" s="8" t="str">
        <f t="shared" si="64"/>
        <v/>
      </c>
      <c r="AG1393" s="8" t="str">
        <f>IF(TRIM($E1393)&lt;&gt;"Tax Paid","",IF(COUNTIFS(LISTS!$F$2:$F$26,$AE1393,LISTS!$G$2:$G$26,$AF1393)=0,"NOT ON LIST",""))</f>
        <v/>
      </c>
      <c r="AH1393" s="8" t="str">
        <f t="shared" si="65"/>
        <v/>
      </c>
    </row>
    <row r="1394" spans="31:34" x14ac:dyDescent="0.25">
      <c r="AE1394" s="8" t="str">
        <f t="shared" si="63"/>
        <v/>
      </c>
      <c r="AF1394" s="8" t="str">
        <f t="shared" si="64"/>
        <v/>
      </c>
      <c r="AG1394" s="8" t="str">
        <f>IF(TRIM($E1394)&lt;&gt;"Tax Paid","",IF(COUNTIFS(LISTS!$F$2:$F$26,$AE1394,LISTS!$G$2:$G$26,$AF1394)=0,"NOT ON LIST",""))</f>
        <v/>
      </c>
      <c r="AH1394" s="8" t="str">
        <f t="shared" si="65"/>
        <v/>
      </c>
    </row>
    <row r="1395" spans="31:34" x14ac:dyDescent="0.25">
      <c r="AE1395" s="8" t="str">
        <f t="shared" si="63"/>
        <v/>
      </c>
      <c r="AF1395" s="8" t="str">
        <f t="shared" si="64"/>
        <v/>
      </c>
      <c r="AG1395" s="8" t="str">
        <f>IF(TRIM($E1395)&lt;&gt;"Tax Paid","",IF(COUNTIFS(LISTS!$F$2:$F$26,$AE1395,LISTS!$G$2:$G$26,$AF1395)=0,"NOT ON LIST",""))</f>
        <v/>
      </c>
      <c r="AH1395" s="8" t="str">
        <f t="shared" si="65"/>
        <v/>
      </c>
    </row>
    <row r="1396" spans="31:34" x14ac:dyDescent="0.25">
      <c r="AE1396" s="8" t="str">
        <f t="shared" si="63"/>
        <v/>
      </c>
      <c r="AF1396" s="8" t="str">
        <f t="shared" si="64"/>
        <v/>
      </c>
      <c r="AG1396" s="8" t="str">
        <f>IF(TRIM($E1396)&lt;&gt;"Tax Paid","",IF(COUNTIFS(LISTS!$F$2:$F$26,$AE1396,LISTS!$G$2:$G$26,$AF1396)=0,"NOT ON LIST",""))</f>
        <v/>
      </c>
      <c r="AH1396" s="8" t="str">
        <f t="shared" si="65"/>
        <v/>
      </c>
    </row>
    <row r="1397" spans="31:34" x14ac:dyDescent="0.25">
      <c r="AE1397" s="8" t="str">
        <f t="shared" si="63"/>
        <v/>
      </c>
      <c r="AF1397" s="8" t="str">
        <f t="shared" si="64"/>
        <v/>
      </c>
      <c r="AG1397" s="8" t="str">
        <f>IF(TRIM($E1397)&lt;&gt;"Tax Paid","",IF(COUNTIFS(LISTS!$F$2:$F$26,$AE1397,LISTS!$G$2:$G$26,$AF1397)=0,"NOT ON LIST",""))</f>
        <v/>
      </c>
      <c r="AH1397" s="8" t="str">
        <f t="shared" si="65"/>
        <v/>
      </c>
    </row>
    <row r="1398" spans="31:34" x14ac:dyDescent="0.25">
      <c r="AE1398" s="8" t="str">
        <f t="shared" si="63"/>
        <v/>
      </c>
      <c r="AF1398" s="8" t="str">
        <f t="shared" si="64"/>
        <v/>
      </c>
      <c r="AG1398" s="8" t="str">
        <f>IF(TRIM($E1398)&lt;&gt;"Tax Paid","",IF(COUNTIFS(LISTS!$F$2:$F$26,$AE1398,LISTS!$G$2:$G$26,$AF1398)=0,"NOT ON LIST",""))</f>
        <v/>
      </c>
      <c r="AH1398" s="8" t="str">
        <f t="shared" si="65"/>
        <v/>
      </c>
    </row>
    <row r="1399" spans="31:34" x14ac:dyDescent="0.25">
      <c r="AE1399" s="8" t="str">
        <f t="shared" si="63"/>
        <v/>
      </c>
      <c r="AF1399" s="8" t="str">
        <f t="shared" si="64"/>
        <v/>
      </c>
      <c r="AG1399" s="8" t="str">
        <f>IF(TRIM($E1399)&lt;&gt;"Tax Paid","",IF(COUNTIFS(LISTS!$F$2:$F$26,$AE1399,LISTS!$G$2:$G$26,$AF1399)=0,"NOT ON LIST",""))</f>
        <v/>
      </c>
      <c r="AH1399" s="8" t="str">
        <f t="shared" si="65"/>
        <v/>
      </c>
    </row>
    <row r="1400" spans="31:34" x14ac:dyDescent="0.25">
      <c r="AE1400" s="8" t="str">
        <f t="shared" si="63"/>
        <v/>
      </c>
      <c r="AF1400" s="8" t="str">
        <f t="shared" si="64"/>
        <v/>
      </c>
      <c r="AG1400" s="8" t="str">
        <f>IF(TRIM($E1400)&lt;&gt;"Tax Paid","",IF(COUNTIFS(LISTS!$F$2:$F$26,$AE1400,LISTS!$G$2:$G$26,$AF1400)=0,"NOT ON LIST",""))</f>
        <v/>
      </c>
      <c r="AH1400" s="8" t="str">
        <f t="shared" si="65"/>
        <v/>
      </c>
    </row>
    <row r="1401" spans="31:34" x14ac:dyDescent="0.25">
      <c r="AE1401" s="8" t="str">
        <f t="shared" si="63"/>
        <v/>
      </c>
      <c r="AF1401" s="8" t="str">
        <f t="shared" si="64"/>
        <v/>
      </c>
      <c r="AG1401" s="8" t="str">
        <f>IF(TRIM($E1401)&lt;&gt;"Tax Paid","",IF(COUNTIFS(LISTS!$F$2:$F$26,$AE1401,LISTS!$G$2:$G$26,$AF1401)=0,"NOT ON LIST",""))</f>
        <v/>
      </c>
      <c r="AH1401" s="8" t="str">
        <f t="shared" si="65"/>
        <v/>
      </c>
    </row>
    <row r="1402" spans="31:34" x14ac:dyDescent="0.25">
      <c r="AE1402" s="8" t="str">
        <f t="shared" si="63"/>
        <v/>
      </c>
      <c r="AF1402" s="8" t="str">
        <f t="shared" si="64"/>
        <v/>
      </c>
      <c r="AG1402" s="8" t="str">
        <f>IF(TRIM($E1402)&lt;&gt;"Tax Paid","",IF(COUNTIFS(LISTS!$F$2:$F$26,$AE1402,LISTS!$G$2:$G$26,$AF1402)=0,"NOT ON LIST",""))</f>
        <v/>
      </c>
      <c r="AH1402" s="8" t="str">
        <f t="shared" si="65"/>
        <v/>
      </c>
    </row>
    <row r="1403" spans="31:34" x14ac:dyDescent="0.25">
      <c r="AE1403" s="8" t="str">
        <f t="shared" si="63"/>
        <v/>
      </c>
      <c r="AF1403" s="8" t="str">
        <f t="shared" si="64"/>
        <v/>
      </c>
      <c r="AG1403" s="8" t="str">
        <f>IF(TRIM($E1403)&lt;&gt;"Tax Paid","",IF(COUNTIFS(LISTS!$F$2:$F$26,$AE1403,LISTS!$G$2:$G$26,$AF1403)=0,"NOT ON LIST",""))</f>
        <v/>
      </c>
      <c r="AH1403" s="8" t="str">
        <f t="shared" si="65"/>
        <v/>
      </c>
    </row>
    <row r="1404" spans="31:34" x14ac:dyDescent="0.25">
      <c r="AE1404" s="8" t="str">
        <f t="shared" si="63"/>
        <v/>
      </c>
      <c r="AF1404" s="8" t="str">
        <f t="shared" si="64"/>
        <v/>
      </c>
      <c r="AG1404" s="8" t="str">
        <f>IF(TRIM($E1404)&lt;&gt;"Tax Paid","",IF(COUNTIFS(LISTS!$F$2:$F$26,$AE1404,LISTS!$G$2:$G$26,$AF1404)=0,"NOT ON LIST",""))</f>
        <v/>
      </c>
      <c r="AH1404" s="8" t="str">
        <f t="shared" si="65"/>
        <v/>
      </c>
    </row>
    <row r="1405" spans="31:34" x14ac:dyDescent="0.25">
      <c r="AE1405" s="8" t="str">
        <f t="shared" si="63"/>
        <v/>
      </c>
      <c r="AF1405" s="8" t="str">
        <f t="shared" si="64"/>
        <v/>
      </c>
      <c r="AG1405" s="8" t="str">
        <f>IF(TRIM($E1405)&lt;&gt;"Tax Paid","",IF(COUNTIFS(LISTS!$F$2:$F$26,$AE1405,LISTS!$G$2:$G$26,$AF1405)=0,"NOT ON LIST",""))</f>
        <v/>
      </c>
      <c r="AH1405" s="8" t="str">
        <f t="shared" si="65"/>
        <v/>
      </c>
    </row>
    <row r="1406" spans="31:34" x14ac:dyDescent="0.25">
      <c r="AE1406" s="8" t="str">
        <f t="shared" si="63"/>
        <v/>
      </c>
      <c r="AF1406" s="8" t="str">
        <f t="shared" si="64"/>
        <v/>
      </c>
      <c r="AG1406" s="8" t="str">
        <f>IF(TRIM($E1406)&lt;&gt;"Tax Paid","",IF(COUNTIFS(LISTS!$F$2:$F$26,$AE1406,LISTS!$G$2:$G$26,$AF1406)=0,"NOT ON LIST",""))</f>
        <v/>
      </c>
      <c r="AH1406" s="8" t="str">
        <f t="shared" si="65"/>
        <v/>
      </c>
    </row>
    <row r="1407" spans="31:34" x14ac:dyDescent="0.25">
      <c r="AE1407" s="8" t="str">
        <f t="shared" si="63"/>
        <v/>
      </c>
      <c r="AF1407" s="8" t="str">
        <f t="shared" si="64"/>
        <v/>
      </c>
      <c r="AG1407" s="8" t="str">
        <f>IF(TRIM($E1407)&lt;&gt;"Tax Paid","",IF(COUNTIFS(LISTS!$F$2:$F$26,$AE1407,LISTS!$G$2:$G$26,$AF1407)=0,"NOT ON LIST",""))</f>
        <v/>
      </c>
      <c r="AH1407" s="8" t="str">
        <f t="shared" si="65"/>
        <v/>
      </c>
    </row>
    <row r="1408" spans="31:34" x14ac:dyDescent="0.25">
      <c r="AE1408" s="8" t="str">
        <f t="shared" si="63"/>
        <v/>
      </c>
      <c r="AF1408" s="8" t="str">
        <f t="shared" si="64"/>
        <v/>
      </c>
      <c r="AG1408" s="8" t="str">
        <f>IF(TRIM($E1408)&lt;&gt;"Tax Paid","",IF(COUNTIFS(LISTS!$F$2:$F$26,$AE1408,LISTS!$G$2:$G$26,$AF1408)=0,"NOT ON LIST",""))</f>
        <v/>
      </c>
      <c r="AH1408" s="8" t="str">
        <f t="shared" si="65"/>
        <v/>
      </c>
    </row>
    <row r="1409" spans="31:34" x14ac:dyDescent="0.25">
      <c r="AE1409" s="8" t="str">
        <f t="shared" si="63"/>
        <v/>
      </c>
      <c r="AF1409" s="8" t="str">
        <f t="shared" si="64"/>
        <v/>
      </c>
      <c r="AG1409" s="8" t="str">
        <f>IF(TRIM($E1409)&lt;&gt;"Tax Paid","",IF(COUNTIFS(LISTS!$F$2:$F$26,$AE1409,LISTS!$G$2:$G$26,$AF1409)=0,"NOT ON LIST",""))</f>
        <v/>
      </c>
      <c r="AH1409" s="8" t="str">
        <f t="shared" si="65"/>
        <v/>
      </c>
    </row>
    <row r="1410" spans="31:34" x14ac:dyDescent="0.25">
      <c r="AE1410" s="8" t="str">
        <f t="shared" ref="AE1410:AE1473" si="66">IF(TRIM($E1410)="Tax Paid",TRIM($S1410),"")</f>
        <v/>
      </c>
      <c r="AF1410" s="8" t="str">
        <f t="shared" ref="AF1410:AF1473" si="67">IF(TRIM($E1410)="Tax Paid",ROUND($Z1410/100,5),"")</f>
        <v/>
      </c>
      <c r="AG1410" s="8" t="str">
        <f>IF(TRIM($E1410)&lt;&gt;"Tax Paid","",IF(COUNTIFS(LISTS!$F$2:$F$26,$AE1410,LISTS!$G$2:$G$26,$AF1410)=0,"NOT ON LIST",""))</f>
        <v/>
      </c>
      <c r="AH1410" s="8" t="str">
        <f t="shared" ref="AH1410:AH1473" si="68">IF($AG1410="","",IF($AE1410="","(no county)",$AE1410)&amp;" ("&amp;SUBSTITUTE(TEXT($AF1410,"0.###%"),".%","%")&amp;")")</f>
        <v/>
      </c>
    </row>
    <row r="1411" spans="31:34" x14ac:dyDescent="0.25">
      <c r="AE1411" s="8" t="str">
        <f t="shared" si="66"/>
        <v/>
      </c>
      <c r="AF1411" s="8" t="str">
        <f t="shared" si="67"/>
        <v/>
      </c>
      <c r="AG1411" s="8" t="str">
        <f>IF(TRIM($E1411)&lt;&gt;"Tax Paid","",IF(COUNTIFS(LISTS!$F$2:$F$26,$AE1411,LISTS!$G$2:$G$26,$AF1411)=0,"NOT ON LIST",""))</f>
        <v/>
      </c>
      <c r="AH1411" s="8" t="str">
        <f t="shared" si="68"/>
        <v/>
      </c>
    </row>
    <row r="1412" spans="31:34" x14ac:dyDescent="0.25">
      <c r="AE1412" s="8" t="str">
        <f t="shared" si="66"/>
        <v/>
      </c>
      <c r="AF1412" s="8" t="str">
        <f t="shared" si="67"/>
        <v/>
      </c>
      <c r="AG1412" s="8" t="str">
        <f>IF(TRIM($E1412)&lt;&gt;"Tax Paid","",IF(COUNTIFS(LISTS!$F$2:$F$26,$AE1412,LISTS!$G$2:$G$26,$AF1412)=0,"NOT ON LIST",""))</f>
        <v/>
      </c>
      <c r="AH1412" s="8" t="str">
        <f t="shared" si="68"/>
        <v/>
      </c>
    </row>
    <row r="1413" spans="31:34" x14ac:dyDescent="0.25">
      <c r="AE1413" s="8" t="str">
        <f t="shared" si="66"/>
        <v/>
      </c>
      <c r="AF1413" s="8" t="str">
        <f t="shared" si="67"/>
        <v/>
      </c>
      <c r="AG1413" s="8" t="str">
        <f>IF(TRIM($E1413)&lt;&gt;"Tax Paid","",IF(COUNTIFS(LISTS!$F$2:$F$26,$AE1413,LISTS!$G$2:$G$26,$AF1413)=0,"NOT ON LIST",""))</f>
        <v/>
      </c>
      <c r="AH1413" s="8" t="str">
        <f t="shared" si="68"/>
        <v/>
      </c>
    </row>
    <row r="1414" spans="31:34" x14ac:dyDescent="0.25">
      <c r="AE1414" s="8" t="str">
        <f t="shared" si="66"/>
        <v/>
      </c>
      <c r="AF1414" s="8" t="str">
        <f t="shared" si="67"/>
        <v/>
      </c>
      <c r="AG1414" s="8" t="str">
        <f>IF(TRIM($E1414)&lt;&gt;"Tax Paid","",IF(COUNTIFS(LISTS!$F$2:$F$26,$AE1414,LISTS!$G$2:$G$26,$AF1414)=0,"NOT ON LIST",""))</f>
        <v/>
      </c>
      <c r="AH1414" s="8" t="str">
        <f t="shared" si="68"/>
        <v/>
      </c>
    </row>
    <row r="1415" spans="31:34" x14ac:dyDescent="0.25">
      <c r="AE1415" s="8" t="str">
        <f t="shared" si="66"/>
        <v/>
      </c>
      <c r="AF1415" s="8" t="str">
        <f t="shared" si="67"/>
        <v/>
      </c>
      <c r="AG1415" s="8" t="str">
        <f>IF(TRIM($E1415)&lt;&gt;"Tax Paid","",IF(COUNTIFS(LISTS!$F$2:$F$26,$AE1415,LISTS!$G$2:$G$26,$AF1415)=0,"NOT ON LIST",""))</f>
        <v/>
      </c>
      <c r="AH1415" s="8" t="str">
        <f t="shared" si="68"/>
        <v/>
      </c>
    </row>
    <row r="1416" spans="31:34" x14ac:dyDescent="0.25">
      <c r="AE1416" s="8" t="str">
        <f t="shared" si="66"/>
        <v/>
      </c>
      <c r="AF1416" s="8" t="str">
        <f t="shared" si="67"/>
        <v/>
      </c>
      <c r="AG1416" s="8" t="str">
        <f>IF(TRIM($E1416)&lt;&gt;"Tax Paid","",IF(COUNTIFS(LISTS!$F$2:$F$26,$AE1416,LISTS!$G$2:$G$26,$AF1416)=0,"NOT ON LIST",""))</f>
        <v/>
      </c>
      <c r="AH1416" s="8" t="str">
        <f t="shared" si="68"/>
        <v/>
      </c>
    </row>
    <row r="1417" spans="31:34" x14ac:dyDescent="0.25">
      <c r="AE1417" s="8" t="str">
        <f t="shared" si="66"/>
        <v/>
      </c>
      <c r="AF1417" s="8" t="str">
        <f t="shared" si="67"/>
        <v/>
      </c>
      <c r="AG1417" s="8" t="str">
        <f>IF(TRIM($E1417)&lt;&gt;"Tax Paid","",IF(COUNTIFS(LISTS!$F$2:$F$26,$AE1417,LISTS!$G$2:$G$26,$AF1417)=0,"NOT ON LIST",""))</f>
        <v/>
      </c>
      <c r="AH1417" s="8" t="str">
        <f t="shared" si="68"/>
        <v/>
      </c>
    </row>
    <row r="1418" spans="31:34" x14ac:dyDescent="0.25">
      <c r="AE1418" s="8" t="str">
        <f t="shared" si="66"/>
        <v/>
      </c>
      <c r="AF1418" s="8" t="str">
        <f t="shared" si="67"/>
        <v/>
      </c>
      <c r="AG1418" s="8" t="str">
        <f>IF(TRIM($E1418)&lt;&gt;"Tax Paid","",IF(COUNTIFS(LISTS!$F$2:$F$26,$AE1418,LISTS!$G$2:$G$26,$AF1418)=0,"NOT ON LIST",""))</f>
        <v/>
      </c>
      <c r="AH1418" s="8" t="str">
        <f t="shared" si="68"/>
        <v/>
      </c>
    </row>
    <row r="1419" spans="31:34" x14ac:dyDescent="0.25">
      <c r="AE1419" s="8" t="str">
        <f t="shared" si="66"/>
        <v/>
      </c>
      <c r="AF1419" s="8" t="str">
        <f t="shared" si="67"/>
        <v/>
      </c>
      <c r="AG1419" s="8" t="str">
        <f>IF(TRIM($E1419)&lt;&gt;"Tax Paid","",IF(COUNTIFS(LISTS!$F$2:$F$26,$AE1419,LISTS!$G$2:$G$26,$AF1419)=0,"NOT ON LIST",""))</f>
        <v/>
      </c>
      <c r="AH1419" s="8" t="str">
        <f t="shared" si="68"/>
        <v/>
      </c>
    </row>
    <row r="1420" spans="31:34" x14ac:dyDescent="0.25">
      <c r="AE1420" s="8" t="str">
        <f t="shared" si="66"/>
        <v/>
      </c>
      <c r="AF1420" s="8" t="str">
        <f t="shared" si="67"/>
        <v/>
      </c>
      <c r="AG1420" s="8" t="str">
        <f>IF(TRIM($E1420)&lt;&gt;"Tax Paid","",IF(COUNTIFS(LISTS!$F$2:$F$26,$AE1420,LISTS!$G$2:$G$26,$AF1420)=0,"NOT ON LIST",""))</f>
        <v/>
      </c>
      <c r="AH1420" s="8" t="str">
        <f t="shared" si="68"/>
        <v/>
      </c>
    </row>
    <row r="1421" spans="31:34" x14ac:dyDescent="0.25">
      <c r="AE1421" s="8" t="str">
        <f t="shared" si="66"/>
        <v/>
      </c>
      <c r="AF1421" s="8" t="str">
        <f t="shared" si="67"/>
        <v/>
      </c>
      <c r="AG1421" s="8" t="str">
        <f>IF(TRIM($E1421)&lt;&gt;"Tax Paid","",IF(COUNTIFS(LISTS!$F$2:$F$26,$AE1421,LISTS!$G$2:$G$26,$AF1421)=0,"NOT ON LIST",""))</f>
        <v/>
      </c>
      <c r="AH1421" s="8" t="str">
        <f t="shared" si="68"/>
        <v/>
      </c>
    </row>
    <row r="1422" spans="31:34" x14ac:dyDescent="0.25">
      <c r="AE1422" s="8" t="str">
        <f t="shared" si="66"/>
        <v/>
      </c>
      <c r="AF1422" s="8" t="str">
        <f t="shared" si="67"/>
        <v/>
      </c>
      <c r="AG1422" s="8" t="str">
        <f>IF(TRIM($E1422)&lt;&gt;"Tax Paid","",IF(COUNTIFS(LISTS!$F$2:$F$26,$AE1422,LISTS!$G$2:$G$26,$AF1422)=0,"NOT ON LIST",""))</f>
        <v/>
      </c>
      <c r="AH1422" s="8" t="str">
        <f t="shared" si="68"/>
        <v/>
      </c>
    </row>
    <row r="1423" spans="31:34" x14ac:dyDescent="0.25">
      <c r="AE1423" s="8" t="str">
        <f t="shared" si="66"/>
        <v/>
      </c>
      <c r="AF1423" s="8" t="str">
        <f t="shared" si="67"/>
        <v/>
      </c>
      <c r="AG1423" s="8" t="str">
        <f>IF(TRIM($E1423)&lt;&gt;"Tax Paid","",IF(COUNTIFS(LISTS!$F$2:$F$26,$AE1423,LISTS!$G$2:$G$26,$AF1423)=0,"NOT ON LIST",""))</f>
        <v/>
      </c>
      <c r="AH1423" s="8" t="str">
        <f t="shared" si="68"/>
        <v/>
      </c>
    </row>
    <row r="1424" spans="31:34" x14ac:dyDescent="0.25">
      <c r="AE1424" s="8" t="str">
        <f t="shared" si="66"/>
        <v/>
      </c>
      <c r="AF1424" s="8" t="str">
        <f t="shared" si="67"/>
        <v/>
      </c>
      <c r="AG1424" s="8" t="str">
        <f>IF(TRIM($E1424)&lt;&gt;"Tax Paid","",IF(COUNTIFS(LISTS!$F$2:$F$26,$AE1424,LISTS!$G$2:$G$26,$AF1424)=0,"NOT ON LIST",""))</f>
        <v/>
      </c>
      <c r="AH1424" s="8" t="str">
        <f t="shared" si="68"/>
        <v/>
      </c>
    </row>
    <row r="1425" spans="31:34" x14ac:dyDescent="0.25">
      <c r="AE1425" s="8" t="str">
        <f t="shared" si="66"/>
        <v/>
      </c>
      <c r="AF1425" s="8" t="str">
        <f t="shared" si="67"/>
        <v/>
      </c>
      <c r="AG1425" s="8" t="str">
        <f>IF(TRIM($E1425)&lt;&gt;"Tax Paid","",IF(COUNTIFS(LISTS!$F$2:$F$26,$AE1425,LISTS!$G$2:$G$26,$AF1425)=0,"NOT ON LIST",""))</f>
        <v/>
      </c>
      <c r="AH1425" s="8" t="str">
        <f t="shared" si="68"/>
        <v/>
      </c>
    </row>
    <row r="1426" spans="31:34" x14ac:dyDescent="0.25">
      <c r="AE1426" s="8" t="str">
        <f t="shared" si="66"/>
        <v/>
      </c>
      <c r="AF1426" s="8" t="str">
        <f t="shared" si="67"/>
        <v/>
      </c>
      <c r="AG1426" s="8" t="str">
        <f>IF(TRIM($E1426)&lt;&gt;"Tax Paid","",IF(COUNTIFS(LISTS!$F$2:$F$26,$AE1426,LISTS!$G$2:$G$26,$AF1426)=0,"NOT ON LIST",""))</f>
        <v/>
      </c>
      <c r="AH1426" s="8" t="str">
        <f t="shared" si="68"/>
        <v/>
      </c>
    </row>
    <row r="1427" spans="31:34" x14ac:dyDescent="0.25">
      <c r="AE1427" s="8" t="str">
        <f t="shared" si="66"/>
        <v/>
      </c>
      <c r="AF1427" s="8" t="str">
        <f t="shared" si="67"/>
        <v/>
      </c>
      <c r="AG1427" s="8" t="str">
        <f>IF(TRIM($E1427)&lt;&gt;"Tax Paid","",IF(COUNTIFS(LISTS!$F$2:$F$26,$AE1427,LISTS!$G$2:$G$26,$AF1427)=0,"NOT ON LIST",""))</f>
        <v/>
      </c>
      <c r="AH1427" s="8" t="str">
        <f t="shared" si="68"/>
        <v/>
      </c>
    </row>
    <row r="1428" spans="31:34" x14ac:dyDescent="0.25">
      <c r="AE1428" s="8" t="str">
        <f t="shared" si="66"/>
        <v/>
      </c>
      <c r="AF1428" s="8" t="str">
        <f t="shared" si="67"/>
        <v/>
      </c>
      <c r="AG1428" s="8" t="str">
        <f>IF(TRIM($E1428)&lt;&gt;"Tax Paid","",IF(COUNTIFS(LISTS!$F$2:$F$26,$AE1428,LISTS!$G$2:$G$26,$AF1428)=0,"NOT ON LIST",""))</f>
        <v/>
      </c>
      <c r="AH1428" s="8" t="str">
        <f t="shared" si="68"/>
        <v/>
      </c>
    </row>
    <row r="1429" spans="31:34" x14ac:dyDescent="0.25">
      <c r="AE1429" s="8" t="str">
        <f t="shared" si="66"/>
        <v/>
      </c>
      <c r="AF1429" s="8" t="str">
        <f t="shared" si="67"/>
        <v/>
      </c>
      <c r="AG1429" s="8" t="str">
        <f>IF(TRIM($E1429)&lt;&gt;"Tax Paid","",IF(COUNTIFS(LISTS!$F$2:$F$26,$AE1429,LISTS!$G$2:$G$26,$AF1429)=0,"NOT ON LIST",""))</f>
        <v/>
      </c>
      <c r="AH1429" s="8" t="str">
        <f t="shared" si="68"/>
        <v/>
      </c>
    </row>
    <row r="1430" spans="31:34" x14ac:dyDescent="0.25">
      <c r="AE1430" s="8" t="str">
        <f t="shared" si="66"/>
        <v/>
      </c>
      <c r="AF1430" s="8" t="str">
        <f t="shared" si="67"/>
        <v/>
      </c>
      <c r="AG1430" s="8" t="str">
        <f>IF(TRIM($E1430)&lt;&gt;"Tax Paid","",IF(COUNTIFS(LISTS!$F$2:$F$26,$AE1430,LISTS!$G$2:$G$26,$AF1430)=0,"NOT ON LIST",""))</f>
        <v/>
      </c>
      <c r="AH1430" s="8" t="str">
        <f t="shared" si="68"/>
        <v/>
      </c>
    </row>
    <row r="1431" spans="31:34" x14ac:dyDescent="0.25">
      <c r="AE1431" s="8" t="str">
        <f t="shared" si="66"/>
        <v/>
      </c>
      <c r="AF1431" s="8" t="str">
        <f t="shared" si="67"/>
        <v/>
      </c>
      <c r="AG1431" s="8" t="str">
        <f>IF(TRIM($E1431)&lt;&gt;"Tax Paid","",IF(COUNTIFS(LISTS!$F$2:$F$26,$AE1431,LISTS!$G$2:$G$26,$AF1431)=0,"NOT ON LIST",""))</f>
        <v/>
      </c>
      <c r="AH1431" s="8" t="str">
        <f t="shared" si="68"/>
        <v/>
      </c>
    </row>
    <row r="1432" spans="31:34" x14ac:dyDescent="0.25">
      <c r="AE1432" s="8" t="str">
        <f t="shared" si="66"/>
        <v/>
      </c>
      <c r="AF1432" s="8" t="str">
        <f t="shared" si="67"/>
        <v/>
      </c>
      <c r="AG1432" s="8" t="str">
        <f>IF(TRIM($E1432)&lt;&gt;"Tax Paid","",IF(COUNTIFS(LISTS!$F$2:$F$26,$AE1432,LISTS!$G$2:$G$26,$AF1432)=0,"NOT ON LIST",""))</f>
        <v/>
      </c>
      <c r="AH1432" s="8" t="str">
        <f t="shared" si="68"/>
        <v/>
      </c>
    </row>
    <row r="1433" spans="31:34" x14ac:dyDescent="0.25">
      <c r="AE1433" s="8" t="str">
        <f t="shared" si="66"/>
        <v/>
      </c>
      <c r="AF1433" s="8" t="str">
        <f t="shared" si="67"/>
        <v/>
      </c>
      <c r="AG1433" s="8" t="str">
        <f>IF(TRIM($E1433)&lt;&gt;"Tax Paid","",IF(COUNTIFS(LISTS!$F$2:$F$26,$AE1433,LISTS!$G$2:$G$26,$AF1433)=0,"NOT ON LIST",""))</f>
        <v/>
      </c>
      <c r="AH1433" s="8" t="str">
        <f t="shared" si="68"/>
        <v/>
      </c>
    </row>
    <row r="1434" spans="31:34" x14ac:dyDescent="0.25">
      <c r="AE1434" s="8" t="str">
        <f t="shared" si="66"/>
        <v/>
      </c>
      <c r="AF1434" s="8" t="str">
        <f t="shared" si="67"/>
        <v/>
      </c>
      <c r="AG1434" s="8" t="str">
        <f>IF(TRIM($E1434)&lt;&gt;"Tax Paid","",IF(COUNTIFS(LISTS!$F$2:$F$26,$AE1434,LISTS!$G$2:$G$26,$AF1434)=0,"NOT ON LIST",""))</f>
        <v/>
      </c>
      <c r="AH1434" s="8" t="str">
        <f t="shared" si="68"/>
        <v/>
      </c>
    </row>
    <row r="1435" spans="31:34" x14ac:dyDescent="0.25">
      <c r="AE1435" s="8" t="str">
        <f t="shared" si="66"/>
        <v/>
      </c>
      <c r="AF1435" s="8" t="str">
        <f t="shared" si="67"/>
        <v/>
      </c>
      <c r="AG1435" s="8" t="str">
        <f>IF(TRIM($E1435)&lt;&gt;"Tax Paid","",IF(COUNTIFS(LISTS!$F$2:$F$26,$AE1435,LISTS!$G$2:$G$26,$AF1435)=0,"NOT ON LIST",""))</f>
        <v/>
      </c>
      <c r="AH1435" s="8" t="str">
        <f t="shared" si="68"/>
        <v/>
      </c>
    </row>
    <row r="1436" spans="31:34" x14ac:dyDescent="0.25">
      <c r="AE1436" s="8" t="str">
        <f t="shared" si="66"/>
        <v/>
      </c>
      <c r="AF1436" s="8" t="str">
        <f t="shared" si="67"/>
        <v/>
      </c>
      <c r="AG1436" s="8" t="str">
        <f>IF(TRIM($E1436)&lt;&gt;"Tax Paid","",IF(COUNTIFS(LISTS!$F$2:$F$26,$AE1436,LISTS!$G$2:$G$26,$AF1436)=0,"NOT ON LIST",""))</f>
        <v/>
      </c>
      <c r="AH1436" s="8" t="str">
        <f t="shared" si="68"/>
        <v/>
      </c>
    </row>
    <row r="1437" spans="31:34" x14ac:dyDescent="0.25">
      <c r="AE1437" s="8" t="str">
        <f t="shared" si="66"/>
        <v/>
      </c>
      <c r="AF1437" s="8" t="str">
        <f t="shared" si="67"/>
        <v/>
      </c>
      <c r="AG1437" s="8" t="str">
        <f>IF(TRIM($E1437)&lt;&gt;"Tax Paid","",IF(COUNTIFS(LISTS!$F$2:$F$26,$AE1437,LISTS!$G$2:$G$26,$AF1437)=0,"NOT ON LIST",""))</f>
        <v/>
      </c>
      <c r="AH1437" s="8" t="str">
        <f t="shared" si="68"/>
        <v/>
      </c>
    </row>
    <row r="1438" spans="31:34" x14ac:dyDescent="0.25">
      <c r="AE1438" s="8" t="str">
        <f t="shared" si="66"/>
        <v/>
      </c>
      <c r="AF1438" s="8" t="str">
        <f t="shared" si="67"/>
        <v/>
      </c>
      <c r="AG1438" s="8" t="str">
        <f>IF(TRIM($E1438)&lt;&gt;"Tax Paid","",IF(COUNTIFS(LISTS!$F$2:$F$26,$AE1438,LISTS!$G$2:$G$26,$AF1438)=0,"NOT ON LIST",""))</f>
        <v/>
      </c>
      <c r="AH1438" s="8" t="str">
        <f t="shared" si="68"/>
        <v/>
      </c>
    </row>
    <row r="1439" spans="31:34" x14ac:dyDescent="0.25">
      <c r="AE1439" s="8" t="str">
        <f t="shared" si="66"/>
        <v/>
      </c>
      <c r="AF1439" s="8" t="str">
        <f t="shared" si="67"/>
        <v/>
      </c>
      <c r="AG1439" s="8" t="str">
        <f>IF(TRIM($E1439)&lt;&gt;"Tax Paid","",IF(COUNTIFS(LISTS!$F$2:$F$26,$AE1439,LISTS!$G$2:$G$26,$AF1439)=0,"NOT ON LIST",""))</f>
        <v/>
      </c>
      <c r="AH1439" s="8" t="str">
        <f t="shared" si="68"/>
        <v/>
      </c>
    </row>
    <row r="1440" spans="31:34" x14ac:dyDescent="0.25">
      <c r="AE1440" s="8" t="str">
        <f t="shared" si="66"/>
        <v/>
      </c>
      <c r="AF1440" s="8" t="str">
        <f t="shared" si="67"/>
        <v/>
      </c>
      <c r="AG1440" s="8" t="str">
        <f>IF(TRIM($E1440)&lt;&gt;"Tax Paid","",IF(COUNTIFS(LISTS!$F$2:$F$26,$AE1440,LISTS!$G$2:$G$26,$AF1440)=0,"NOT ON LIST",""))</f>
        <v/>
      </c>
      <c r="AH1440" s="8" t="str">
        <f t="shared" si="68"/>
        <v/>
      </c>
    </row>
    <row r="1441" spans="31:34" x14ac:dyDescent="0.25">
      <c r="AE1441" s="8" t="str">
        <f t="shared" si="66"/>
        <v/>
      </c>
      <c r="AF1441" s="8" t="str">
        <f t="shared" si="67"/>
        <v/>
      </c>
      <c r="AG1441" s="8" t="str">
        <f>IF(TRIM($E1441)&lt;&gt;"Tax Paid","",IF(COUNTIFS(LISTS!$F$2:$F$26,$AE1441,LISTS!$G$2:$G$26,$AF1441)=0,"NOT ON LIST",""))</f>
        <v/>
      </c>
      <c r="AH1441" s="8" t="str">
        <f t="shared" si="68"/>
        <v/>
      </c>
    </row>
    <row r="1442" spans="31:34" x14ac:dyDescent="0.25">
      <c r="AE1442" s="8" t="str">
        <f t="shared" si="66"/>
        <v/>
      </c>
      <c r="AF1442" s="8" t="str">
        <f t="shared" si="67"/>
        <v/>
      </c>
      <c r="AG1442" s="8" t="str">
        <f>IF(TRIM($E1442)&lt;&gt;"Tax Paid","",IF(COUNTIFS(LISTS!$F$2:$F$26,$AE1442,LISTS!$G$2:$G$26,$AF1442)=0,"NOT ON LIST",""))</f>
        <v/>
      </c>
      <c r="AH1442" s="8" t="str">
        <f t="shared" si="68"/>
        <v/>
      </c>
    </row>
    <row r="1443" spans="31:34" x14ac:dyDescent="0.25">
      <c r="AE1443" s="8" t="str">
        <f t="shared" si="66"/>
        <v/>
      </c>
      <c r="AF1443" s="8" t="str">
        <f t="shared" si="67"/>
        <v/>
      </c>
      <c r="AG1443" s="8" t="str">
        <f>IF(TRIM($E1443)&lt;&gt;"Tax Paid","",IF(COUNTIFS(LISTS!$F$2:$F$26,$AE1443,LISTS!$G$2:$G$26,$AF1443)=0,"NOT ON LIST",""))</f>
        <v/>
      </c>
      <c r="AH1443" s="8" t="str">
        <f t="shared" si="68"/>
        <v/>
      </c>
    </row>
    <row r="1444" spans="31:34" x14ac:dyDescent="0.25">
      <c r="AE1444" s="8" t="str">
        <f t="shared" si="66"/>
        <v/>
      </c>
      <c r="AF1444" s="8" t="str">
        <f t="shared" si="67"/>
        <v/>
      </c>
      <c r="AG1444" s="8" t="str">
        <f>IF(TRIM($E1444)&lt;&gt;"Tax Paid","",IF(COUNTIFS(LISTS!$F$2:$F$26,$AE1444,LISTS!$G$2:$G$26,$AF1444)=0,"NOT ON LIST",""))</f>
        <v/>
      </c>
      <c r="AH1444" s="8" t="str">
        <f t="shared" si="68"/>
        <v/>
      </c>
    </row>
    <row r="1445" spans="31:34" x14ac:dyDescent="0.25">
      <c r="AE1445" s="8" t="str">
        <f t="shared" si="66"/>
        <v/>
      </c>
      <c r="AF1445" s="8" t="str">
        <f t="shared" si="67"/>
        <v/>
      </c>
      <c r="AG1445" s="8" t="str">
        <f>IF(TRIM($E1445)&lt;&gt;"Tax Paid","",IF(COUNTIFS(LISTS!$F$2:$F$26,$AE1445,LISTS!$G$2:$G$26,$AF1445)=0,"NOT ON LIST",""))</f>
        <v/>
      </c>
      <c r="AH1445" s="8" t="str">
        <f t="shared" si="68"/>
        <v/>
      </c>
    </row>
    <row r="1446" spans="31:34" x14ac:dyDescent="0.25">
      <c r="AE1446" s="8" t="str">
        <f t="shared" si="66"/>
        <v/>
      </c>
      <c r="AF1446" s="8" t="str">
        <f t="shared" si="67"/>
        <v/>
      </c>
      <c r="AG1446" s="8" t="str">
        <f>IF(TRIM($E1446)&lt;&gt;"Tax Paid","",IF(COUNTIFS(LISTS!$F$2:$F$26,$AE1446,LISTS!$G$2:$G$26,$AF1446)=0,"NOT ON LIST",""))</f>
        <v/>
      </c>
      <c r="AH1446" s="8" t="str">
        <f t="shared" si="68"/>
        <v/>
      </c>
    </row>
    <row r="1447" spans="31:34" x14ac:dyDescent="0.25">
      <c r="AE1447" s="8" t="str">
        <f t="shared" si="66"/>
        <v/>
      </c>
      <c r="AF1447" s="8" t="str">
        <f t="shared" si="67"/>
        <v/>
      </c>
      <c r="AG1447" s="8" t="str">
        <f>IF(TRIM($E1447)&lt;&gt;"Tax Paid","",IF(COUNTIFS(LISTS!$F$2:$F$26,$AE1447,LISTS!$G$2:$G$26,$AF1447)=0,"NOT ON LIST",""))</f>
        <v/>
      </c>
      <c r="AH1447" s="8" t="str">
        <f t="shared" si="68"/>
        <v/>
      </c>
    </row>
    <row r="1448" spans="31:34" x14ac:dyDescent="0.25">
      <c r="AE1448" s="8" t="str">
        <f t="shared" si="66"/>
        <v/>
      </c>
      <c r="AF1448" s="8" t="str">
        <f t="shared" si="67"/>
        <v/>
      </c>
      <c r="AG1448" s="8" t="str">
        <f>IF(TRIM($E1448)&lt;&gt;"Tax Paid","",IF(COUNTIFS(LISTS!$F$2:$F$26,$AE1448,LISTS!$G$2:$G$26,$AF1448)=0,"NOT ON LIST",""))</f>
        <v/>
      </c>
      <c r="AH1448" s="8" t="str">
        <f t="shared" si="68"/>
        <v/>
      </c>
    </row>
    <row r="1449" spans="31:34" x14ac:dyDescent="0.25">
      <c r="AE1449" s="8" t="str">
        <f t="shared" si="66"/>
        <v/>
      </c>
      <c r="AF1449" s="8" t="str">
        <f t="shared" si="67"/>
        <v/>
      </c>
      <c r="AG1449" s="8" t="str">
        <f>IF(TRIM($E1449)&lt;&gt;"Tax Paid","",IF(COUNTIFS(LISTS!$F$2:$F$26,$AE1449,LISTS!$G$2:$G$26,$AF1449)=0,"NOT ON LIST",""))</f>
        <v/>
      </c>
      <c r="AH1449" s="8" t="str">
        <f t="shared" si="68"/>
        <v/>
      </c>
    </row>
    <row r="1450" spans="31:34" x14ac:dyDescent="0.25">
      <c r="AE1450" s="8" t="str">
        <f t="shared" si="66"/>
        <v/>
      </c>
      <c r="AF1450" s="8" t="str">
        <f t="shared" si="67"/>
        <v/>
      </c>
      <c r="AG1450" s="8" t="str">
        <f>IF(TRIM($E1450)&lt;&gt;"Tax Paid","",IF(COUNTIFS(LISTS!$F$2:$F$26,$AE1450,LISTS!$G$2:$G$26,$AF1450)=0,"NOT ON LIST",""))</f>
        <v/>
      </c>
      <c r="AH1450" s="8" t="str">
        <f t="shared" si="68"/>
        <v/>
      </c>
    </row>
    <row r="1451" spans="31:34" x14ac:dyDescent="0.25">
      <c r="AE1451" s="8" t="str">
        <f t="shared" si="66"/>
        <v/>
      </c>
      <c r="AF1451" s="8" t="str">
        <f t="shared" si="67"/>
        <v/>
      </c>
      <c r="AG1451" s="8" t="str">
        <f>IF(TRIM($E1451)&lt;&gt;"Tax Paid","",IF(COUNTIFS(LISTS!$F$2:$F$26,$AE1451,LISTS!$G$2:$G$26,$AF1451)=0,"NOT ON LIST",""))</f>
        <v/>
      </c>
      <c r="AH1451" s="8" t="str">
        <f t="shared" si="68"/>
        <v/>
      </c>
    </row>
    <row r="1452" spans="31:34" x14ac:dyDescent="0.25">
      <c r="AE1452" s="8" t="str">
        <f t="shared" si="66"/>
        <v/>
      </c>
      <c r="AF1452" s="8" t="str">
        <f t="shared" si="67"/>
        <v/>
      </c>
      <c r="AG1452" s="8" t="str">
        <f>IF(TRIM($E1452)&lt;&gt;"Tax Paid","",IF(COUNTIFS(LISTS!$F$2:$F$26,$AE1452,LISTS!$G$2:$G$26,$AF1452)=0,"NOT ON LIST",""))</f>
        <v/>
      </c>
      <c r="AH1452" s="8" t="str">
        <f t="shared" si="68"/>
        <v/>
      </c>
    </row>
    <row r="1453" spans="31:34" x14ac:dyDescent="0.25">
      <c r="AE1453" s="8" t="str">
        <f t="shared" si="66"/>
        <v/>
      </c>
      <c r="AF1453" s="8" t="str">
        <f t="shared" si="67"/>
        <v/>
      </c>
      <c r="AG1453" s="8" t="str">
        <f>IF(TRIM($E1453)&lt;&gt;"Tax Paid","",IF(COUNTIFS(LISTS!$F$2:$F$26,$AE1453,LISTS!$G$2:$G$26,$AF1453)=0,"NOT ON LIST",""))</f>
        <v/>
      </c>
      <c r="AH1453" s="8" t="str">
        <f t="shared" si="68"/>
        <v/>
      </c>
    </row>
    <row r="1454" spans="31:34" x14ac:dyDescent="0.25">
      <c r="AE1454" s="8" t="str">
        <f t="shared" si="66"/>
        <v/>
      </c>
      <c r="AF1454" s="8" t="str">
        <f t="shared" si="67"/>
        <v/>
      </c>
      <c r="AG1454" s="8" t="str">
        <f>IF(TRIM($E1454)&lt;&gt;"Tax Paid","",IF(COUNTIFS(LISTS!$F$2:$F$26,$AE1454,LISTS!$G$2:$G$26,$AF1454)=0,"NOT ON LIST",""))</f>
        <v/>
      </c>
      <c r="AH1454" s="8" t="str">
        <f t="shared" si="68"/>
        <v/>
      </c>
    </row>
    <row r="1455" spans="31:34" x14ac:dyDescent="0.25">
      <c r="AE1455" s="8" t="str">
        <f t="shared" si="66"/>
        <v/>
      </c>
      <c r="AF1455" s="8" t="str">
        <f t="shared" si="67"/>
        <v/>
      </c>
      <c r="AG1455" s="8" t="str">
        <f>IF(TRIM($E1455)&lt;&gt;"Tax Paid","",IF(COUNTIFS(LISTS!$F$2:$F$26,$AE1455,LISTS!$G$2:$G$26,$AF1455)=0,"NOT ON LIST",""))</f>
        <v/>
      </c>
      <c r="AH1455" s="8" t="str">
        <f t="shared" si="68"/>
        <v/>
      </c>
    </row>
    <row r="1456" spans="31:34" x14ac:dyDescent="0.25">
      <c r="AE1456" s="8" t="str">
        <f t="shared" si="66"/>
        <v/>
      </c>
      <c r="AF1456" s="8" t="str">
        <f t="shared" si="67"/>
        <v/>
      </c>
      <c r="AG1456" s="8" t="str">
        <f>IF(TRIM($E1456)&lt;&gt;"Tax Paid","",IF(COUNTIFS(LISTS!$F$2:$F$26,$AE1456,LISTS!$G$2:$G$26,$AF1456)=0,"NOT ON LIST",""))</f>
        <v/>
      </c>
      <c r="AH1456" s="8" t="str">
        <f t="shared" si="68"/>
        <v/>
      </c>
    </row>
    <row r="1457" spans="31:34" x14ac:dyDescent="0.25">
      <c r="AE1457" s="8" t="str">
        <f t="shared" si="66"/>
        <v/>
      </c>
      <c r="AF1457" s="8" t="str">
        <f t="shared" si="67"/>
        <v/>
      </c>
      <c r="AG1457" s="8" t="str">
        <f>IF(TRIM($E1457)&lt;&gt;"Tax Paid","",IF(COUNTIFS(LISTS!$F$2:$F$26,$AE1457,LISTS!$G$2:$G$26,$AF1457)=0,"NOT ON LIST",""))</f>
        <v/>
      </c>
      <c r="AH1457" s="8" t="str">
        <f t="shared" si="68"/>
        <v/>
      </c>
    </row>
    <row r="1458" spans="31:34" x14ac:dyDescent="0.25">
      <c r="AE1458" s="8" t="str">
        <f t="shared" si="66"/>
        <v/>
      </c>
      <c r="AF1458" s="8" t="str">
        <f t="shared" si="67"/>
        <v/>
      </c>
      <c r="AG1458" s="8" t="str">
        <f>IF(TRIM($E1458)&lt;&gt;"Tax Paid","",IF(COUNTIFS(LISTS!$F$2:$F$26,$AE1458,LISTS!$G$2:$G$26,$AF1458)=0,"NOT ON LIST",""))</f>
        <v/>
      </c>
      <c r="AH1458" s="8" t="str">
        <f t="shared" si="68"/>
        <v/>
      </c>
    </row>
    <row r="1459" spans="31:34" x14ac:dyDescent="0.25">
      <c r="AE1459" s="8" t="str">
        <f t="shared" si="66"/>
        <v/>
      </c>
      <c r="AF1459" s="8" t="str">
        <f t="shared" si="67"/>
        <v/>
      </c>
      <c r="AG1459" s="8" t="str">
        <f>IF(TRIM($E1459)&lt;&gt;"Tax Paid","",IF(COUNTIFS(LISTS!$F$2:$F$26,$AE1459,LISTS!$G$2:$G$26,$AF1459)=0,"NOT ON LIST",""))</f>
        <v/>
      </c>
      <c r="AH1459" s="8" t="str">
        <f t="shared" si="68"/>
        <v/>
      </c>
    </row>
    <row r="1460" spans="31:34" x14ac:dyDescent="0.25">
      <c r="AE1460" s="8" t="str">
        <f t="shared" si="66"/>
        <v/>
      </c>
      <c r="AF1460" s="8" t="str">
        <f t="shared" si="67"/>
        <v/>
      </c>
      <c r="AG1460" s="8" t="str">
        <f>IF(TRIM($E1460)&lt;&gt;"Tax Paid","",IF(COUNTIFS(LISTS!$F$2:$F$26,$AE1460,LISTS!$G$2:$G$26,$AF1460)=0,"NOT ON LIST",""))</f>
        <v/>
      </c>
      <c r="AH1460" s="8" t="str">
        <f t="shared" si="68"/>
        <v/>
      </c>
    </row>
    <row r="1461" spans="31:34" x14ac:dyDescent="0.25">
      <c r="AE1461" s="8" t="str">
        <f t="shared" si="66"/>
        <v/>
      </c>
      <c r="AF1461" s="8" t="str">
        <f t="shared" si="67"/>
        <v/>
      </c>
      <c r="AG1461" s="8" t="str">
        <f>IF(TRIM($E1461)&lt;&gt;"Tax Paid","",IF(COUNTIFS(LISTS!$F$2:$F$26,$AE1461,LISTS!$G$2:$G$26,$AF1461)=0,"NOT ON LIST",""))</f>
        <v/>
      </c>
      <c r="AH1461" s="8" t="str">
        <f t="shared" si="68"/>
        <v/>
      </c>
    </row>
    <row r="1462" spans="31:34" x14ac:dyDescent="0.25">
      <c r="AE1462" s="8" t="str">
        <f t="shared" si="66"/>
        <v/>
      </c>
      <c r="AF1462" s="8" t="str">
        <f t="shared" si="67"/>
        <v/>
      </c>
      <c r="AG1462" s="8" t="str">
        <f>IF(TRIM($E1462)&lt;&gt;"Tax Paid","",IF(COUNTIFS(LISTS!$F$2:$F$26,$AE1462,LISTS!$G$2:$G$26,$AF1462)=0,"NOT ON LIST",""))</f>
        <v/>
      </c>
      <c r="AH1462" s="8" t="str">
        <f t="shared" si="68"/>
        <v/>
      </c>
    </row>
    <row r="1463" spans="31:34" x14ac:dyDescent="0.25">
      <c r="AE1463" s="8" t="str">
        <f t="shared" si="66"/>
        <v/>
      </c>
      <c r="AF1463" s="8" t="str">
        <f t="shared" si="67"/>
        <v/>
      </c>
      <c r="AG1463" s="8" t="str">
        <f>IF(TRIM($E1463)&lt;&gt;"Tax Paid","",IF(COUNTIFS(LISTS!$F$2:$F$26,$AE1463,LISTS!$G$2:$G$26,$AF1463)=0,"NOT ON LIST",""))</f>
        <v/>
      </c>
      <c r="AH1463" s="8" t="str">
        <f t="shared" si="68"/>
        <v/>
      </c>
    </row>
    <row r="1464" spans="31:34" x14ac:dyDescent="0.25">
      <c r="AE1464" s="8" t="str">
        <f t="shared" si="66"/>
        <v/>
      </c>
      <c r="AF1464" s="8" t="str">
        <f t="shared" si="67"/>
        <v/>
      </c>
      <c r="AG1464" s="8" t="str">
        <f>IF(TRIM($E1464)&lt;&gt;"Tax Paid","",IF(COUNTIFS(LISTS!$F$2:$F$26,$AE1464,LISTS!$G$2:$G$26,$AF1464)=0,"NOT ON LIST",""))</f>
        <v/>
      </c>
      <c r="AH1464" s="8" t="str">
        <f t="shared" si="68"/>
        <v/>
      </c>
    </row>
    <row r="1465" spans="31:34" x14ac:dyDescent="0.25">
      <c r="AE1465" s="8" t="str">
        <f t="shared" si="66"/>
        <v/>
      </c>
      <c r="AF1465" s="8" t="str">
        <f t="shared" si="67"/>
        <v/>
      </c>
      <c r="AG1465" s="8" t="str">
        <f>IF(TRIM($E1465)&lt;&gt;"Tax Paid","",IF(COUNTIFS(LISTS!$F$2:$F$26,$AE1465,LISTS!$G$2:$G$26,$AF1465)=0,"NOT ON LIST",""))</f>
        <v/>
      </c>
      <c r="AH1465" s="8" t="str">
        <f t="shared" si="68"/>
        <v/>
      </c>
    </row>
    <row r="1466" spans="31:34" x14ac:dyDescent="0.25">
      <c r="AE1466" s="8" t="str">
        <f t="shared" si="66"/>
        <v/>
      </c>
      <c r="AF1466" s="8" t="str">
        <f t="shared" si="67"/>
        <v/>
      </c>
      <c r="AG1466" s="8" t="str">
        <f>IF(TRIM($E1466)&lt;&gt;"Tax Paid","",IF(COUNTIFS(LISTS!$F$2:$F$26,$AE1466,LISTS!$G$2:$G$26,$AF1466)=0,"NOT ON LIST",""))</f>
        <v/>
      </c>
      <c r="AH1466" s="8" t="str">
        <f t="shared" si="68"/>
        <v/>
      </c>
    </row>
    <row r="1467" spans="31:34" x14ac:dyDescent="0.25">
      <c r="AE1467" s="8" t="str">
        <f t="shared" si="66"/>
        <v/>
      </c>
      <c r="AF1467" s="8" t="str">
        <f t="shared" si="67"/>
        <v/>
      </c>
      <c r="AG1467" s="8" t="str">
        <f>IF(TRIM($E1467)&lt;&gt;"Tax Paid","",IF(COUNTIFS(LISTS!$F$2:$F$26,$AE1467,LISTS!$G$2:$G$26,$AF1467)=0,"NOT ON LIST",""))</f>
        <v/>
      </c>
      <c r="AH1467" s="8" t="str">
        <f t="shared" si="68"/>
        <v/>
      </c>
    </row>
    <row r="1468" spans="31:34" x14ac:dyDescent="0.25">
      <c r="AE1468" s="8" t="str">
        <f t="shared" si="66"/>
        <v/>
      </c>
      <c r="AF1468" s="8" t="str">
        <f t="shared" si="67"/>
        <v/>
      </c>
      <c r="AG1468" s="8" t="str">
        <f>IF(TRIM($E1468)&lt;&gt;"Tax Paid","",IF(COUNTIFS(LISTS!$F$2:$F$26,$AE1468,LISTS!$G$2:$G$26,$AF1468)=0,"NOT ON LIST",""))</f>
        <v/>
      </c>
      <c r="AH1468" s="8" t="str">
        <f t="shared" si="68"/>
        <v/>
      </c>
    </row>
    <row r="1469" spans="31:34" x14ac:dyDescent="0.25">
      <c r="AE1469" s="8" t="str">
        <f t="shared" si="66"/>
        <v/>
      </c>
      <c r="AF1469" s="8" t="str">
        <f t="shared" si="67"/>
        <v/>
      </c>
      <c r="AG1469" s="8" t="str">
        <f>IF(TRIM($E1469)&lt;&gt;"Tax Paid","",IF(COUNTIFS(LISTS!$F$2:$F$26,$AE1469,LISTS!$G$2:$G$26,$AF1469)=0,"NOT ON LIST",""))</f>
        <v/>
      </c>
      <c r="AH1469" s="8" t="str">
        <f t="shared" si="68"/>
        <v/>
      </c>
    </row>
    <row r="1470" spans="31:34" x14ac:dyDescent="0.25">
      <c r="AE1470" s="8" t="str">
        <f t="shared" si="66"/>
        <v/>
      </c>
      <c r="AF1470" s="8" t="str">
        <f t="shared" si="67"/>
        <v/>
      </c>
      <c r="AG1470" s="8" t="str">
        <f>IF(TRIM($E1470)&lt;&gt;"Tax Paid","",IF(COUNTIFS(LISTS!$F$2:$F$26,$AE1470,LISTS!$G$2:$G$26,$AF1470)=0,"NOT ON LIST",""))</f>
        <v/>
      </c>
      <c r="AH1470" s="8" t="str">
        <f t="shared" si="68"/>
        <v/>
      </c>
    </row>
    <row r="1471" spans="31:34" x14ac:dyDescent="0.25">
      <c r="AE1471" s="8" t="str">
        <f t="shared" si="66"/>
        <v/>
      </c>
      <c r="AF1471" s="8" t="str">
        <f t="shared" si="67"/>
        <v/>
      </c>
      <c r="AG1471" s="8" t="str">
        <f>IF(TRIM($E1471)&lt;&gt;"Tax Paid","",IF(COUNTIFS(LISTS!$F$2:$F$26,$AE1471,LISTS!$G$2:$G$26,$AF1471)=0,"NOT ON LIST",""))</f>
        <v/>
      </c>
      <c r="AH1471" s="8" t="str">
        <f t="shared" si="68"/>
        <v/>
      </c>
    </row>
    <row r="1472" spans="31:34" x14ac:dyDescent="0.25">
      <c r="AE1472" s="8" t="str">
        <f t="shared" si="66"/>
        <v/>
      </c>
      <c r="AF1472" s="8" t="str">
        <f t="shared" si="67"/>
        <v/>
      </c>
      <c r="AG1472" s="8" t="str">
        <f>IF(TRIM($E1472)&lt;&gt;"Tax Paid","",IF(COUNTIFS(LISTS!$F$2:$F$26,$AE1472,LISTS!$G$2:$G$26,$AF1472)=0,"NOT ON LIST",""))</f>
        <v/>
      </c>
      <c r="AH1472" s="8" t="str">
        <f t="shared" si="68"/>
        <v/>
      </c>
    </row>
    <row r="1473" spans="31:34" x14ac:dyDescent="0.25">
      <c r="AE1473" s="8" t="str">
        <f t="shared" si="66"/>
        <v/>
      </c>
      <c r="AF1473" s="8" t="str">
        <f t="shared" si="67"/>
        <v/>
      </c>
      <c r="AG1473" s="8" t="str">
        <f>IF(TRIM($E1473)&lt;&gt;"Tax Paid","",IF(COUNTIFS(LISTS!$F$2:$F$26,$AE1473,LISTS!$G$2:$G$26,$AF1473)=0,"NOT ON LIST",""))</f>
        <v/>
      </c>
      <c r="AH1473" s="8" t="str">
        <f t="shared" si="68"/>
        <v/>
      </c>
    </row>
    <row r="1474" spans="31:34" x14ac:dyDescent="0.25">
      <c r="AE1474" s="8" t="str">
        <f t="shared" ref="AE1474:AE1500" si="69">IF(TRIM($E1474)="Tax Paid",TRIM($S1474),"")</f>
        <v/>
      </c>
      <c r="AF1474" s="8" t="str">
        <f t="shared" ref="AF1474:AF1500" si="70">IF(TRIM($E1474)="Tax Paid",ROUND($Z1474/100,5),"")</f>
        <v/>
      </c>
      <c r="AG1474" s="8" t="str">
        <f>IF(TRIM($E1474)&lt;&gt;"Tax Paid","",IF(COUNTIFS(LISTS!$F$2:$F$26,$AE1474,LISTS!$G$2:$G$26,$AF1474)=0,"NOT ON LIST",""))</f>
        <v/>
      </c>
      <c r="AH1474" s="8" t="str">
        <f t="shared" ref="AH1474:AH1500" si="71">IF($AG1474="","",IF($AE1474="","(no county)",$AE1474)&amp;" ("&amp;SUBSTITUTE(TEXT($AF1474,"0.###%"),".%","%")&amp;")")</f>
        <v/>
      </c>
    </row>
    <row r="1475" spans="31:34" x14ac:dyDescent="0.25">
      <c r="AE1475" s="8" t="str">
        <f t="shared" si="69"/>
        <v/>
      </c>
      <c r="AF1475" s="8" t="str">
        <f t="shared" si="70"/>
        <v/>
      </c>
      <c r="AG1475" s="8" t="str">
        <f>IF(TRIM($E1475)&lt;&gt;"Tax Paid","",IF(COUNTIFS(LISTS!$F$2:$F$26,$AE1475,LISTS!$G$2:$G$26,$AF1475)=0,"NOT ON LIST",""))</f>
        <v/>
      </c>
      <c r="AH1475" s="8" t="str">
        <f t="shared" si="71"/>
        <v/>
      </c>
    </row>
    <row r="1476" spans="31:34" x14ac:dyDescent="0.25">
      <c r="AE1476" s="8" t="str">
        <f t="shared" si="69"/>
        <v/>
      </c>
      <c r="AF1476" s="8" t="str">
        <f t="shared" si="70"/>
        <v/>
      </c>
      <c r="AG1476" s="8" t="str">
        <f>IF(TRIM($E1476)&lt;&gt;"Tax Paid","",IF(COUNTIFS(LISTS!$F$2:$F$26,$AE1476,LISTS!$G$2:$G$26,$AF1476)=0,"NOT ON LIST",""))</f>
        <v/>
      </c>
      <c r="AH1476" s="8" t="str">
        <f t="shared" si="71"/>
        <v/>
      </c>
    </row>
    <row r="1477" spans="31:34" x14ac:dyDescent="0.25">
      <c r="AE1477" s="8" t="str">
        <f t="shared" si="69"/>
        <v/>
      </c>
      <c r="AF1477" s="8" t="str">
        <f t="shared" si="70"/>
        <v/>
      </c>
      <c r="AG1477" s="8" t="str">
        <f>IF(TRIM($E1477)&lt;&gt;"Tax Paid","",IF(COUNTIFS(LISTS!$F$2:$F$26,$AE1477,LISTS!$G$2:$G$26,$AF1477)=0,"NOT ON LIST",""))</f>
        <v/>
      </c>
      <c r="AH1477" s="8" t="str">
        <f t="shared" si="71"/>
        <v/>
      </c>
    </row>
    <row r="1478" spans="31:34" x14ac:dyDescent="0.25">
      <c r="AE1478" s="8" t="str">
        <f t="shared" si="69"/>
        <v/>
      </c>
      <c r="AF1478" s="8" t="str">
        <f t="shared" si="70"/>
        <v/>
      </c>
      <c r="AG1478" s="8" t="str">
        <f>IF(TRIM($E1478)&lt;&gt;"Tax Paid","",IF(COUNTIFS(LISTS!$F$2:$F$26,$AE1478,LISTS!$G$2:$G$26,$AF1478)=0,"NOT ON LIST",""))</f>
        <v/>
      </c>
      <c r="AH1478" s="8" t="str">
        <f t="shared" si="71"/>
        <v/>
      </c>
    </row>
    <row r="1479" spans="31:34" x14ac:dyDescent="0.25">
      <c r="AE1479" s="8" t="str">
        <f t="shared" si="69"/>
        <v/>
      </c>
      <c r="AF1479" s="8" t="str">
        <f t="shared" si="70"/>
        <v/>
      </c>
      <c r="AG1479" s="8" t="str">
        <f>IF(TRIM($E1479)&lt;&gt;"Tax Paid","",IF(COUNTIFS(LISTS!$F$2:$F$26,$AE1479,LISTS!$G$2:$G$26,$AF1479)=0,"NOT ON LIST",""))</f>
        <v/>
      </c>
      <c r="AH1479" s="8" t="str">
        <f t="shared" si="71"/>
        <v/>
      </c>
    </row>
    <row r="1480" spans="31:34" x14ac:dyDescent="0.25">
      <c r="AE1480" s="8" t="str">
        <f t="shared" si="69"/>
        <v/>
      </c>
      <c r="AF1480" s="8" t="str">
        <f t="shared" si="70"/>
        <v/>
      </c>
      <c r="AG1480" s="8" t="str">
        <f>IF(TRIM($E1480)&lt;&gt;"Tax Paid","",IF(COUNTIFS(LISTS!$F$2:$F$26,$AE1480,LISTS!$G$2:$G$26,$AF1480)=0,"NOT ON LIST",""))</f>
        <v/>
      </c>
      <c r="AH1480" s="8" t="str">
        <f t="shared" si="71"/>
        <v/>
      </c>
    </row>
    <row r="1481" spans="31:34" x14ac:dyDescent="0.25">
      <c r="AE1481" s="8" t="str">
        <f t="shared" si="69"/>
        <v/>
      </c>
      <c r="AF1481" s="8" t="str">
        <f t="shared" si="70"/>
        <v/>
      </c>
      <c r="AG1481" s="8" t="str">
        <f>IF(TRIM($E1481)&lt;&gt;"Tax Paid","",IF(COUNTIFS(LISTS!$F$2:$F$26,$AE1481,LISTS!$G$2:$G$26,$AF1481)=0,"NOT ON LIST",""))</f>
        <v/>
      </c>
      <c r="AH1481" s="8" t="str">
        <f t="shared" si="71"/>
        <v/>
      </c>
    </row>
    <row r="1482" spans="31:34" x14ac:dyDescent="0.25">
      <c r="AE1482" s="8" t="str">
        <f t="shared" si="69"/>
        <v/>
      </c>
      <c r="AF1482" s="8" t="str">
        <f t="shared" si="70"/>
        <v/>
      </c>
      <c r="AG1482" s="8" t="str">
        <f>IF(TRIM($E1482)&lt;&gt;"Tax Paid","",IF(COUNTIFS(LISTS!$F$2:$F$26,$AE1482,LISTS!$G$2:$G$26,$AF1482)=0,"NOT ON LIST",""))</f>
        <v/>
      </c>
      <c r="AH1482" s="8" t="str">
        <f t="shared" si="71"/>
        <v/>
      </c>
    </row>
    <row r="1483" spans="31:34" x14ac:dyDescent="0.25">
      <c r="AE1483" s="8" t="str">
        <f t="shared" si="69"/>
        <v/>
      </c>
      <c r="AF1483" s="8" t="str">
        <f t="shared" si="70"/>
        <v/>
      </c>
      <c r="AG1483" s="8" t="str">
        <f>IF(TRIM($E1483)&lt;&gt;"Tax Paid","",IF(COUNTIFS(LISTS!$F$2:$F$26,$AE1483,LISTS!$G$2:$G$26,$AF1483)=0,"NOT ON LIST",""))</f>
        <v/>
      </c>
      <c r="AH1483" s="8" t="str">
        <f t="shared" si="71"/>
        <v/>
      </c>
    </row>
    <row r="1484" spans="31:34" x14ac:dyDescent="0.25">
      <c r="AE1484" s="8" t="str">
        <f t="shared" si="69"/>
        <v/>
      </c>
      <c r="AF1484" s="8" t="str">
        <f t="shared" si="70"/>
        <v/>
      </c>
      <c r="AG1484" s="8" t="str">
        <f>IF(TRIM($E1484)&lt;&gt;"Tax Paid","",IF(COUNTIFS(LISTS!$F$2:$F$26,$AE1484,LISTS!$G$2:$G$26,$AF1484)=0,"NOT ON LIST",""))</f>
        <v/>
      </c>
      <c r="AH1484" s="8" t="str">
        <f t="shared" si="71"/>
        <v/>
      </c>
    </row>
    <row r="1485" spans="31:34" x14ac:dyDescent="0.25">
      <c r="AE1485" s="8" t="str">
        <f t="shared" si="69"/>
        <v/>
      </c>
      <c r="AF1485" s="8" t="str">
        <f t="shared" si="70"/>
        <v/>
      </c>
      <c r="AG1485" s="8" t="str">
        <f>IF(TRIM($E1485)&lt;&gt;"Tax Paid","",IF(COUNTIFS(LISTS!$F$2:$F$26,$AE1485,LISTS!$G$2:$G$26,$AF1485)=0,"NOT ON LIST",""))</f>
        <v/>
      </c>
      <c r="AH1485" s="8" t="str">
        <f t="shared" si="71"/>
        <v/>
      </c>
    </row>
    <row r="1486" spans="31:34" x14ac:dyDescent="0.25">
      <c r="AE1486" s="8" t="str">
        <f t="shared" si="69"/>
        <v/>
      </c>
      <c r="AF1486" s="8" t="str">
        <f t="shared" si="70"/>
        <v/>
      </c>
      <c r="AG1486" s="8" t="str">
        <f>IF(TRIM($E1486)&lt;&gt;"Tax Paid","",IF(COUNTIFS(LISTS!$F$2:$F$26,$AE1486,LISTS!$G$2:$G$26,$AF1486)=0,"NOT ON LIST",""))</f>
        <v/>
      </c>
      <c r="AH1486" s="8" t="str">
        <f t="shared" si="71"/>
        <v/>
      </c>
    </row>
    <row r="1487" spans="31:34" x14ac:dyDescent="0.25">
      <c r="AE1487" s="8" t="str">
        <f t="shared" si="69"/>
        <v/>
      </c>
      <c r="AF1487" s="8" t="str">
        <f t="shared" si="70"/>
        <v/>
      </c>
      <c r="AG1487" s="8" t="str">
        <f>IF(TRIM($E1487)&lt;&gt;"Tax Paid","",IF(COUNTIFS(LISTS!$F$2:$F$26,$AE1487,LISTS!$G$2:$G$26,$AF1487)=0,"NOT ON LIST",""))</f>
        <v/>
      </c>
      <c r="AH1487" s="8" t="str">
        <f t="shared" si="71"/>
        <v/>
      </c>
    </row>
    <row r="1488" spans="31:34" x14ac:dyDescent="0.25">
      <c r="AE1488" s="8" t="str">
        <f t="shared" si="69"/>
        <v/>
      </c>
      <c r="AF1488" s="8" t="str">
        <f t="shared" si="70"/>
        <v/>
      </c>
      <c r="AG1488" s="8" t="str">
        <f>IF(TRIM($E1488)&lt;&gt;"Tax Paid","",IF(COUNTIFS(LISTS!$F$2:$F$26,$AE1488,LISTS!$G$2:$G$26,$AF1488)=0,"NOT ON LIST",""))</f>
        <v/>
      </c>
      <c r="AH1488" s="8" t="str">
        <f t="shared" si="71"/>
        <v/>
      </c>
    </row>
    <row r="1489" spans="31:34" x14ac:dyDescent="0.25">
      <c r="AE1489" s="8" t="str">
        <f t="shared" si="69"/>
        <v/>
      </c>
      <c r="AF1489" s="8" t="str">
        <f t="shared" si="70"/>
        <v/>
      </c>
      <c r="AG1489" s="8" t="str">
        <f>IF(TRIM($E1489)&lt;&gt;"Tax Paid","",IF(COUNTIFS(LISTS!$F$2:$F$26,$AE1489,LISTS!$G$2:$G$26,$AF1489)=0,"NOT ON LIST",""))</f>
        <v/>
      </c>
      <c r="AH1489" s="8" t="str">
        <f t="shared" si="71"/>
        <v/>
      </c>
    </row>
    <row r="1490" spans="31:34" x14ac:dyDescent="0.25">
      <c r="AE1490" s="8" t="str">
        <f t="shared" si="69"/>
        <v/>
      </c>
      <c r="AF1490" s="8" t="str">
        <f t="shared" si="70"/>
        <v/>
      </c>
      <c r="AG1490" s="8" t="str">
        <f>IF(TRIM($E1490)&lt;&gt;"Tax Paid","",IF(COUNTIFS(LISTS!$F$2:$F$26,$AE1490,LISTS!$G$2:$G$26,$AF1490)=0,"NOT ON LIST",""))</f>
        <v/>
      </c>
      <c r="AH1490" s="8" t="str">
        <f t="shared" si="71"/>
        <v/>
      </c>
    </row>
    <row r="1491" spans="31:34" x14ac:dyDescent="0.25">
      <c r="AE1491" s="8" t="str">
        <f t="shared" si="69"/>
        <v/>
      </c>
      <c r="AF1491" s="8" t="str">
        <f t="shared" si="70"/>
        <v/>
      </c>
      <c r="AG1491" s="8" t="str">
        <f>IF(TRIM($E1491)&lt;&gt;"Tax Paid","",IF(COUNTIFS(LISTS!$F$2:$F$26,$AE1491,LISTS!$G$2:$G$26,$AF1491)=0,"NOT ON LIST",""))</f>
        <v/>
      </c>
      <c r="AH1491" s="8" t="str">
        <f t="shared" si="71"/>
        <v/>
      </c>
    </row>
    <row r="1492" spans="31:34" x14ac:dyDescent="0.25">
      <c r="AE1492" s="8" t="str">
        <f t="shared" si="69"/>
        <v/>
      </c>
      <c r="AF1492" s="8" t="str">
        <f t="shared" si="70"/>
        <v/>
      </c>
      <c r="AG1492" s="8" t="str">
        <f>IF(TRIM($E1492)&lt;&gt;"Tax Paid","",IF(COUNTIFS(LISTS!$F$2:$F$26,$AE1492,LISTS!$G$2:$G$26,$AF1492)=0,"NOT ON LIST",""))</f>
        <v/>
      </c>
      <c r="AH1492" s="8" t="str">
        <f t="shared" si="71"/>
        <v/>
      </c>
    </row>
    <row r="1493" spans="31:34" x14ac:dyDescent="0.25">
      <c r="AE1493" s="8" t="str">
        <f t="shared" si="69"/>
        <v/>
      </c>
      <c r="AF1493" s="8" t="str">
        <f t="shared" si="70"/>
        <v/>
      </c>
      <c r="AG1493" s="8" t="str">
        <f>IF(TRIM($E1493)&lt;&gt;"Tax Paid","",IF(COUNTIFS(LISTS!$F$2:$F$26,$AE1493,LISTS!$G$2:$G$26,$AF1493)=0,"NOT ON LIST",""))</f>
        <v/>
      </c>
      <c r="AH1493" s="8" t="str">
        <f t="shared" si="71"/>
        <v/>
      </c>
    </row>
    <row r="1494" spans="31:34" x14ac:dyDescent="0.25">
      <c r="AE1494" s="8" t="str">
        <f t="shared" si="69"/>
        <v/>
      </c>
      <c r="AF1494" s="8" t="str">
        <f t="shared" si="70"/>
        <v/>
      </c>
      <c r="AG1494" s="8" t="str">
        <f>IF(TRIM($E1494)&lt;&gt;"Tax Paid","",IF(COUNTIFS(LISTS!$F$2:$F$26,$AE1494,LISTS!$G$2:$G$26,$AF1494)=0,"NOT ON LIST",""))</f>
        <v/>
      </c>
      <c r="AH1494" s="8" t="str">
        <f t="shared" si="71"/>
        <v/>
      </c>
    </row>
    <row r="1495" spans="31:34" x14ac:dyDescent="0.25">
      <c r="AE1495" s="8" t="str">
        <f t="shared" si="69"/>
        <v/>
      </c>
      <c r="AF1495" s="8" t="str">
        <f t="shared" si="70"/>
        <v/>
      </c>
      <c r="AG1495" s="8" t="str">
        <f>IF(TRIM($E1495)&lt;&gt;"Tax Paid","",IF(COUNTIFS(LISTS!$F$2:$F$26,$AE1495,LISTS!$G$2:$G$26,$AF1495)=0,"NOT ON LIST",""))</f>
        <v/>
      </c>
      <c r="AH1495" s="8" t="str">
        <f t="shared" si="71"/>
        <v/>
      </c>
    </row>
    <row r="1496" spans="31:34" x14ac:dyDescent="0.25">
      <c r="AE1496" s="8" t="str">
        <f t="shared" si="69"/>
        <v/>
      </c>
      <c r="AF1496" s="8" t="str">
        <f t="shared" si="70"/>
        <v/>
      </c>
      <c r="AG1496" s="8" t="str">
        <f>IF(TRIM($E1496)&lt;&gt;"Tax Paid","",IF(COUNTIFS(LISTS!$F$2:$F$26,$AE1496,LISTS!$G$2:$G$26,$AF1496)=0,"NOT ON LIST",""))</f>
        <v/>
      </c>
      <c r="AH1496" s="8" t="str">
        <f t="shared" si="71"/>
        <v/>
      </c>
    </row>
    <row r="1497" spans="31:34" x14ac:dyDescent="0.25">
      <c r="AE1497" s="8" t="str">
        <f t="shared" si="69"/>
        <v/>
      </c>
      <c r="AF1497" s="8" t="str">
        <f t="shared" si="70"/>
        <v/>
      </c>
      <c r="AG1497" s="8" t="str">
        <f>IF(TRIM($E1497)&lt;&gt;"Tax Paid","",IF(COUNTIFS(LISTS!$F$2:$F$26,$AE1497,LISTS!$G$2:$G$26,$AF1497)=0,"NOT ON LIST",""))</f>
        <v/>
      </c>
      <c r="AH1497" s="8" t="str">
        <f t="shared" si="71"/>
        <v/>
      </c>
    </row>
    <row r="1498" spans="31:34" x14ac:dyDescent="0.25">
      <c r="AE1498" s="8" t="str">
        <f t="shared" si="69"/>
        <v/>
      </c>
      <c r="AF1498" s="8" t="str">
        <f t="shared" si="70"/>
        <v/>
      </c>
      <c r="AG1498" s="8" t="str">
        <f>IF(TRIM($E1498)&lt;&gt;"Tax Paid","",IF(COUNTIFS(LISTS!$F$2:$F$26,$AE1498,LISTS!$G$2:$G$26,$AF1498)=0,"NOT ON LIST",""))</f>
        <v/>
      </c>
      <c r="AH1498" s="8" t="str">
        <f t="shared" si="71"/>
        <v/>
      </c>
    </row>
    <row r="1499" spans="31:34" x14ac:dyDescent="0.25">
      <c r="AE1499" s="8" t="str">
        <f t="shared" si="69"/>
        <v/>
      </c>
      <c r="AF1499" s="8" t="str">
        <f t="shared" si="70"/>
        <v/>
      </c>
      <c r="AG1499" s="8" t="str">
        <f>IF(TRIM($E1499)&lt;&gt;"Tax Paid","",IF(COUNTIFS(LISTS!$F$2:$F$26,$AE1499,LISTS!$G$2:$G$26,$AF1499)=0,"NOT ON LIST",""))</f>
        <v/>
      </c>
      <c r="AH1499" s="8" t="str">
        <f t="shared" si="71"/>
        <v/>
      </c>
    </row>
    <row r="1500" spans="31:34" x14ac:dyDescent="0.25">
      <c r="AE1500" s="8" t="str">
        <f t="shared" si="69"/>
        <v/>
      </c>
      <c r="AF1500" s="8" t="str">
        <f t="shared" si="70"/>
        <v/>
      </c>
      <c r="AG1500" s="8" t="str">
        <f>IF(TRIM($E1500)&lt;&gt;"Tax Paid","",IF(COUNTIFS(LISTS!$F$2:$F$26,$AE1500,LISTS!$G$2:$G$26,$AF1500)=0,"NOT ON LIST",""))</f>
        <v/>
      </c>
      <c r="AH1500" s="8" t="str">
        <f t="shared" si="71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L29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18" customWidth="1"/>
    <col min="2" max="2" width="10" customWidth="1"/>
    <col min="3" max="3" width="18" customWidth="1"/>
    <col min="4" max="4" width="24" customWidth="1"/>
    <col min="5" max="5" width="3" customWidth="1"/>
    <col min="6" max="7" width="14" hidden="1" customWidth="1" outlineLevel="1"/>
    <col min="8" max="8" width="3" customWidth="1"/>
    <col min="9" max="9" width="40" customWidth="1"/>
    <col min="10" max="10" width="46" customWidth="1"/>
    <col min="11" max="11" width="3" customWidth="1"/>
    <col min="12" max="12" width="14" customWidth="1"/>
  </cols>
  <sheetData>
    <row r="1" spans="1:12" ht="30" x14ac:dyDescent="0.25">
      <c r="A1" s="19" t="s">
        <v>70</v>
      </c>
      <c r="B1" s="19" t="s">
        <v>146</v>
      </c>
      <c r="C1" s="19" t="s">
        <v>147</v>
      </c>
      <c r="D1" s="19" t="s">
        <v>148</v>
      </c>
      <c r="F1" s="19" t="s">
        <v>142</v>
      </c>
      <c r="G1" s="19" t="s">
        <v>143</v>
      </c>
      <c r="I1" s="19" t="s">
        <v>149</v>
      </c>
      <c r="J1" s="19" t="s">
        <v>150</v>
      </c>
      <c r="L1" s="19" t="s">
        <v>151</v>
      </c>
    </row>
    <row r="2" spans="1:12" x14ac:dyDescent="0.25">
      <c r="A2" s="20" t="s">
        <v>152</v>
      </c>
      <c r="B2" s="21">
        <v>4.2250000000000003E-2</v>
      </c>
      <c r="C2" s="20"/>
      <c r="D2" s="14" t="str">
        <f t="shared" ref="D2:D26" si="0">IF(OR(TRIM(A2)="",B2=""),"",TRIM(A2)&amp;" ("&amp;SUBSTITUTE(TEXT(B2,"0.###%"),".%","%")&amp;")")</f>
        <v>Cedar (4.225%)</v>
      </c>
      <c r="F2" s="14" t="str">
        <f t="shared" ref="F2:F26" si="1">IF(D2="","",TRIM(A2))</f>
        <v>Cedar</v>
      </c>
      <c r="G2" s="14">
        <f t="shared" ref="G2:G26" si="2">IF(D2="","",ROUND(B2,5))</f>
        <v>4.2250000000000003E-2</v>
      </c>
      <c r="I2" s="20" t="s">
        <v>153</v>
      </c>
      <c r="J2" s="20" t="s">
        <v>154</v>
      </c>
      <c r="L2" s="21">
        <v>4.2250000000000003E-2</v>
      </c>
    </row>
    <row r="3" spans="1:12" x14ac:dyDescent="0.25">
      <c r="A3" s="20" t="s">
        <v>155</v>
      </c>
      <c r="B3" s="21">
        <v>4.2250000000000003E-2</v>
      </c>
      <c r="C3" s="20"/>
      <c r="D3" s="14" t="str">
        <f t="shared" si="0"/>
        <v>Wright (4.225%)</v>
      </c>
      <c r="F3" s="14" t="str">
        <f t="shared" si="1"/>
        <v>Wright</v>
      </c>
      <c r="G3" s="14">
        <f t="shared" si="2"/>
        <v>4.2250000000000003E-2</v>
      </c>
      <c r="I3" s="20" t="s">
        <v>156</v>
      </c>
      <c r="J3" s="20" t="s">
        <v>157</v>
      </c>
    </row>
    <row r="4" spans="1:12" x14ac:dyDescent="0.25">
      <c r="A4" s="20" t="s">
        <v>158</v>
      </c>
      <c r="B4" s="21">
        <v>4.2250000000000003E-2</v>
      </c>
      <c r="C4" s="20"/>
      <c r="D4" s="14" t="str">
        <f t="shared" si="0"/>
        <v>Hickory (4.225%)</v>
      </c>
      <c r="F4" s="14" t="str">
        <f t="shared" si="1"/>
        <v>Hickory</v>
      </c>
      <c r="G4" s="14">
        <f t="shared" si="2"/>
        <v>4.2250000000000003E-2</v>
      </c>
      <c r="I4" s="20" t="s">
        <v>159</v>
      </c>
      <c r="J4" s="20" t="s">
        <v>160</v>
      </c>
    </row>
    <row r="5" spans="1:12" x14ac:dyDescent="0.25">
      <c r="A5" s="20" t="s">
        <v>161</v>
      </c>
      <c r="B5" s="21">
        <v>4.2250000000000003E-2</v>
      </c>
      <c r="C5" s="20"/>
      <c r="D5" s="14" t="str">
        <f t="shared" si="0"/>
        <v>Christian (4.225%)</v>
      </c>
      <c r="F5" s="14" t="str">
        <f t="shared" si="1"/>
        <v>Christian</v>
      </c>
      <c r="G5" s="14">
        <f t="shared" si="2"/>
        <v>4.2250000000000003E-2</v>
      </c>
      <c r="I5" s="20" t="s">
        <v>162</v>
      </c>
      <c r="J5" s="20" t="s">
        <v>163</v>
      </c>
    </row>
    <row r="6" spans="1:12" x14ac:dyDescent="0.25">
      <c r="A6" s="20" t="s">
        <v>164</v>
      </c>
      <c r="B6" s="21">
        <v>6.0999999999999999E-2</v>
      </c>
      <c r="C6" s="20" t="s">
        <v>165</v>
      </c>
      <c r="D6" s="14" t="str">
        <f t="shared" si="0"/>
        <v>Nodaway (6.1%)</v>
      </c>
      <c r="F6" s="14" t="str">
        <f t="shared" si="1"/>
        <v>Nodaway</v>
      </c>
      <c r="G6" s="14">
        <f t="shared" si="2"/>
        <v>6.0999999999999999E-2</v>
      </c>
      <c r="I6" s="20" t="s">
        <v>166</v>
      </c>
      <c r="J6" s="20"/>
    </row>
    <row r="7" spans="1:12" x14ac:dyDescent="0.25">
      <c r="A7" s="20" t="s">
        <v>167</v>
      </c>
      <c r="B7" s="21">
        <v>5.2249999999999998E-2</v>
      </c>
      <c r="C7" s="20"/>
      <c r="D7" s="14" t="str">
        <f t="shared" si="0"/>
        <v>Bates (5.225%)</v>
      </c>
      <c r="F7" s="14" t="str">
        <f t="shared" si="1"/>
        <v>Bates</v>
      </c>
      <c r="G7" s="14">
        <f t="shared" si="2"/>
        <v>5.2249999999999998E-2</v>
      </c>
      <c r="I7" s="20"/>
      <c r="J7" s="20"/>
    </row>
    <row r="8" spans="1:12" x14ac:dyDescent="0.25">
      <c r="A8" s="20" t="s">
        <v>168</v>
      </c>
      <c r="B8" s="21">
        <v>5.6000000000000001E-2</v>
      </c>
      <c r="C8" s="20"/>
      <c r="D8" s="14" t="str">
        <f t="shared" si="0"/>
        <v>Jasper (5.6%)</v>
      </c>
      <c r="F8" s="14" t="str">
        <f t="shared" si="1"/>
        <v>Jasper</v>
      </c>
      <c r="G8" s="14">
        <f t="shared" si="2"/>
        <v>5.6000000000000001E-2</v>
      </c>
      <c r="I8" s="20"/>
      <c r="J8" s="20"/>
    </row>
    <row r="9" spans="1:12" x14ac:dyDescent="0.25">
      <c r="A9" s="20" t="s">
        <v>169</v>
      </c>
      <c r="B9" s="21">
        <v>8.7249999999999994E-2</v>
      </c>
      <c r="C9" s="20"/>
      <c r="D9" s="14" t="str">
        <f t="shared" si="0"/>
        <v>Clay (8.725%)</v>
      </c>
      <c r="F9" s="14" t="str">
        <f t="shared" si="1"/>
        <v>Clay</v>
      </c>
      <c r="G9" s="14">
        <f t="shared" si="2"/>
        <v>8.7249999999999994E-2</v>
      </c>
      <c r="I9" s="20"/>
      <c r="J9" s="20"/>
    </row>
    <row r="10" spans="1:12" x14ac:dyDescent="0.25">
      <c r="A10" s="20" t="s">
        <v>169</v>
      </c>
      <c r="B10" s="21">
        <v>8.5999999999999993E-2</v>
      </c>
      <c r="C10" s="20"/>
      <c r="D10" s="14" t="str">
        <f t="shared" si="0"/>
        <v>Clay (8.6%)</v>
      </c>
      <c r="F10" s="14" t="str">
        <f t="shared" si="1"/>
        <v>Clay</v>
      </c>
      <c r="G10" s="14">
        <f t="shared" si="2"/>
        <v>8.5999999999999993E-2</v>
      </c>
      <c r="I10" s="20"/>
      <c r="J10" s="20"/>
    </row>
    <row r="11" spans="1:12" x14ac:dyDescent="0.25">
      <c r="A11" s="20" t="s">
        <v>169</v>
      </c>
      <c r="B11" s="21">
        <v>9.7250000000000003E-2</v>
      </c>
      <c r="C11" s="20"/>
      <c r="D11" s="14" t="str">
        <f t="shared" si="0"/>
        <v>Clay (9.725%)</v>
      </c>
      <c r="F11" s="14" t="str">
        <f t="shared" si="1"/>
        <v>Clay</v>
      </c>
      <c r="G11" s="14">
        <f t="shared" si="2"/>
        <v>9.7250000000000003E-2</v>
      </c>
      <c r="I11" s="20"/>
      <c r="J11" s="20"/>
    </row>
    <row r="12" spans="1:12" x14ac:dyDescent="0.25">
      <c r="A12" s="20" t="s">
        <v>170</v>
      </c>
      <c r="B12" s="21">
        <v>6.225E-2</v>
      </c>
      <c r="C12" s="20" t="s">
        <v>171</v>
      </c>
      <c r="D12" s="14" t="str">
        <f t="shared" si="0"/>
        <v>Stoddard (6.225%)</v>
      </c>
      <c r="F12" s="14" t="str">
        <f t="shared" si="1"/>
        <v>Stoddard</v>
      </c>
      <c r="G12" s="14">
        <f t="shared" si="2"/>
        <v>6.225E-2</v>
      </c>
      <c r="I12" s="20"/>
      <c r="J12" s="20"/>
    </row>
    <row r="13" spans="1:12" x14ac:dyDescent="0.25">
      <c r="A13" s="20" t="s">
        <v>172</v>
      </c>
      <c r="B13" s="21">
        <v>6.225E-2</v>
      </c>
      <c r="C13" s="20"/>
      <c r="D13" s="14" t="str">
        <f t="shared" si="0"/>
        <v>Warren (6.225%)</v>
      </c>
      <c r="F13" s="14" t="str">
        <f t="shared" si="1"/>
        <v>Warren</v>
      </c>
      <c r="G13" s="14">
        <f t="shared" si="2"/>
        <v>6.225E-2</v>
      </c>
      <c r="I13" s="20"/>
      <c r="J13" s="20"/>
    </row>
    <row r="14" spans="1:12" x14ac:dyDescent="0.25">
      <c r="A14" s="20" t="s">
        <v>173</v>
      </c>
      <c r="B14" s="21">
        <v>6.3500000000000001E-2</v>
      </c>
      <c r="C14" s="20"/>
      <c r="D14" s="14" t="str">
        <f t="shared" si="0"/>
        <v>Greene (6.35%)</v>
      </c>
      <c r="F14" s="14" t="str">
        <f t="shared" si="1"/>
        <v>Greene</v>
      </c>
      <c r="G14" s="14">
        <f t="shared" si="2"/>
        <v>6.3500000000000001E-2</v>
      </c>
      <c r="I14" s="20"/>
      <c r="J14" s="20"/>
    </row>
    <row r="15" spans="1:12" x14ac:dyDescent="0.25">
      <c r="A15" s="20" t="s">
        <v>174</v>
      </c>
      <c r="B15" s="21">
        <v>7.9250000000000001E-2</v>
      </c>
      <c r="C15" s="20"/>
      <c r="D15" s="14" t="str">
        <f t="shared" si="0"/>
        <v>Henry (7.925%)</v>
      </c>
      <c r="F15" s="14" t="str">
        <f t="shared" si="1"/>
        <v>Henry</v>
      </c>
      <c r="G15" s="14">
        <f t="shared" si="2"/>
        <v>7.9250000000000001E-2</v>
      </c>
      <c r="I15" s="20"/>
      <c r="J15" s="20"/>
    </row>
    <row r="16" spans="1:12" x14ac:dyDescent="0.25">
      <c r="A16" s="20" t="s">
        <v>175</v>
      </c>
      <c r="B16" s="21">
        <v>7.9500000000000001E-2</v>
      </c>
      <c r="C16" s="20"/>
      <c r="D16" s="14" t="str">
        <f t="shared" si="0"/>
        <v>St. Charles (7.95%)</v>
      </c>
      <c r="F16" s="14" t="str">
        <f t="shared" si="1"/>
        <v>St. Charles</v>
      </c>
      <c r="G16" s="14">
        <f t="shared" si="2"/>
        <v>7.9500000000000001E-2</v>
      </c>
      <c r="I16" s="20"/>
      <c r="J16" s="20"/>
    </row>
    <row r="17" spans="1:7" x14ac:dyDescent="0.25">
      <c r="A17" s="20" t="s">
        <v>176</v>
      </c>
      <c r="B17" s="21">
        <v>7.9750000000000001E-2</v>
      </c>
      <c r="C17" s="20"/>
      <c r="D17" s="14" t="str">
        <f t="shared" si="0"/>
        <v>Boone (7.975%)</v>
      </c>
      <c r="F17" s="14" t="str">
        <f t="shared" si="1"/>
        <v>Boone</v>
      </c>
      <c r="G17" s="14">
        <f t="shared" si="2"/>
        <v>7.9750000000000001E-2</v>
      </c>
    </row>
    <row r="18" spans="1:7" x14ac:dyDescent="0.25">
      <c r="A18" s="20" t="s">
        <v>155</v>
      </c>
      <c r="B18" s="21">
        <v>6.0999999999999999E-2</v>
      </c>
      <c r="C18" s="20"/>
      <c r="D18" s="14" t="str">
        <f t="shared" si="0"/>
        <v>Wright (6.1%)</v>
      </c>
      <c r="F18" s="14" t="str">
        <f t="shared" si="1"/>
        <v>Wright</v>
      </c>
      <c r="G18" s="14">
        <f t="shared" si="2"/>
        <v>6.0999999999999999E-2</v>
      </c>
    </row>
    <row r="19" spans="1:7" x14ac:dyDescent="0.25">
      <c r="A19" s="20" t="s">
        <v>177</v>
      </c>
      <c r="B19" s="21">
        <v>6.4750000000000002E-2</v>
      </c>
      <c r="C19" s="20"/>
      <c r="D19" s="14" t="str">
        <f t="shared" si="0"/>
        <v>Franklin (6.475%)</v>
      </c>
      <c r="F19" s="14" t="str">
        <f t="shared" si="1"/>
        <v>Franklin</v>
      </c>
      <c r="G19" s="14">
        <f t="shared" si="2"/>
        <v>6.4750000000000002E-2</v>
      </c>
    </row>
    <row r="20" spans="1:7" x14ac:dyDescent="0.25">
      <c r="A20" s="20" t="s">
        <v>178</v>
      </c>
      <c r="B20" s="21">
        <v>8.4750000000000006E-2</v>
      </c>
      <c r="C20" s="20"/>
      <c r="D20" s="14" t="str">
        <f t="shared" si="0"/>
        <v>Cape Girardeau (8.475%)</v>
      </c>
      <c r="F20" s="14" t="str">
        <f t="shared" si="1"/>
        <v>Cape Girardeau</v>
      </c>
      <c r="G20" s="14">
        <f t="shared" si="2"/>
        <v>8.4750000000000006E-2</v>
      </c>
    </row>
    <row r="21" spans="1:7" x14ac:dyDescent="0.25">
      <c r="A21" s="20"/>
      <c r="B21" s="21"/>
      <c r="C21" s="20"/>
      <c r="D21" s="14" t="str">
        <f t="shared" si="0"/>
        <v/>
      </c>
      <c r="F21" s="14" t="str">
        <f t="shared" si="1"/>
        <v/>
      </c>
      <c r="G21" s="14" t="str">
        <f t="shared" si="2"/>
        <v/>
      </c>
    </row>
    <row r="22" spans="1:7" x14ac:dyDescent="0.25">
      <c r="A22" s="20"/>
      <c r="B22" s="21"/>
      <c r="C22" s="20"/>
      <c r="D22" s="14" t="str">
        <f t="shared" si="0"/>
        <v/>
      </c>
      <c r="F22" s="14" t="str">
        <f t="shared" si="1"/>
        <v/>
      </c>
      <c r="G22" s="14" t="str">
        <f t="shared" si="2"/>
        <v/>
      </c>
    </row>
    <row r="23" spans="1:7" x14ac:dyDescent="0.25">
      <c r="A23" s="20"/>
      <c r="B23" s="21"/>
      <c r="C23" s="20"/>
      <c r="D23" s="14" t="str">
        <f t="shared" si="0"/>
        <v/>
      </c>
      <c r="F23" s="14" t="str">
        <f t="shared" si="1"/>
        <v/>
      </c>
      <c r="G23" s="14" t="str">
        <f t="shared" si="2"/>
        <v/>
      </c>
    </row>
    <row r="24" spans="1:7" x14ac:dyDescent="0.25">
      <c r="A24" s="20"/>
      <c r="B24" s="21"/>
      <c r="C24" s="20"/>
      <c r="D24" s="14" t="str">
        <f t="shared" si="0"/>
        <v/>
      </c>
      <c r="F24" s="14" t="str">
        <f t="shared" si="1"/>
        <v/>
      </c>
      <c r="G24" s="14" t="str">
        <f t="shared" si="2"/>
        <v/>
      </c>
    </row>
    <row r="25" spans="1:7" x14ac:dyDescent="0.25">
      <c r="A25" s="20"/>
      <c r="B25" s="21"/>
      <c r="C25" s="20"/>
      <c r="D25" s="14" t="str">
        <f t="shared" si="0"/>
        <v/>
      </c>
      <c r="F25" s="14" t="str">
        <f t="shared" si="1"/>
        <v/>
      </c>
      <c r="G25" s="14" t="str">
        <f t="shared" si="2"/>
        <v/>
      </c>
    </row>
    <row r="26" spans="1:7" x14ac:dyDescent="0.25">
      <c r="A26" s="20"/>
      <c r="B26" s="21"/>
      <c r="C26" s="20"/>
      <c r="D26" s="14" t="str">
        <f t="shared" si="0"/>
        <v/>
      </c>
      <c r="F26" s="14" t="str">
        <f t="shared" si="1"/>
        <v/>
      </c>
      <c r="G26" s="14" t="str">
        <f t="shared" si="2"/>
        <v/>
      </c>
    </row>
    <row r="28" spans="1:7" x14ac:dyDescent="0.25">
      <c r="A28" s="11" t="s">
        <v>179</v>
      </c>
    </row>
    <row r="29" spans="1:7" x14ac:dyDescent="0.25">
      <c r="A29" s="1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RECAP</vt:lpstr>
      <vt:lpstr>TERSE MONTH 1</vt:lpstr>
      <vt:lpstr>AR MONTH 1</vt:lpstr>
      <vt:lpstr>TERSE MONTH 2</vt:lpstr>
      <vt:lpstr>AR MONTH 2</vt:lpstr>
      <vt:lpstr>TERSE MONTH 3</vt:lpstr>
      <vt:lpstr>AR MONTH 3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2026-10-12T17:44:57Z</dcterms:created>
  <dcterms:modified xsi:type="dcterms:W3CDTF">2026-10-12T17:45:00Z</dcterms:modified>
</cp:coreProperties>
</file>